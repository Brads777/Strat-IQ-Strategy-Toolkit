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drawings/drawing4.xml" ContentType="application/vnd.openxmlformats-officedocument.drawing+xml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omments2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PESTEL" sheetId="2" state="visible" r:id="rId4"/>
    <sheet name="Five Forces" sheetId="3" state="visible" r:id="rId5"/>
    <sheet name="KSF Scorecard" sheetId="4" state="visible" r:id="rId6"/>
    <sheet name="VRIO" sheetId="5" state="visible" r:id="rId7"/>
    <sheet name="SWOT-TOWS" sheetId="6" state="visible" r:id="rId8"/>
    <sheet name="Decision Matrix" sheetId="7" state="visible" r:id="rId9"/>
    <sheet name="Expected Value" sheetId="8" state="visible" r:id="rId10"/>
    <sheet name="Business Case" sheetId="9" state="visible" r:id="rId11"/>
    <sheet name="Risk Analysis" sheetId="10" state="visible" r:id="rId12"/>
    <sheet name="Balanced Scorecard" sheetId="11" state="visible" r:id="rId13"/>
    <sheet name="Strategy Map" sheetId="12" state="visible" r:id="rId14"/>
    <sheet name="GLO-BUS CIR" sheetId="13" state="visible" r:id="rId15"/>
    <sheet name="GLO-BUS Planner" sheetId="14" state="visible" r:id="rId16"/>
    <sheet name="Y6 Results" sheetId="15" state="visible" r:id="rId17"/>
    <sheet name="Y7 Results" sheetId="16" state="visible" r:id="rId18"/>
    <sheet name="Tracking" sheetId="17" state="visible" r:id="rId19"/>
    <sheet name="Rivals" sheetId="18" state="visible" r:id="rId20"/>
  </sheets>
  <definedNames>
    <definedName function="false" hidden="false" name="CreditScale" vbProcedure="false">Tracking!$K$6:$K$26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Green = strategic focus (16+), amber = scenario-plan (9-15), red = monitor.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Competence trap: passes V, R and I but delivers a KSF weighted under 10% — rare and hard to copy, but not what this industry rewards.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Every objective except financial ones should drive one above it; every objective except learning-and-growth ones should be driven by one below it.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Course guardrail: incremental changes, one direction at a time. Moves bigger than this are flagged below.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Credit rating gap is in notches (positive = at or above expectation).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Credit rating gap is in notches (positive = at or above expectation).</t>
        </r>
      </text>
    </comment>
  </commentList>
</comments>
</file>

<file path=xl/sharedStrings.xml><?xml version="1.0" encoding="utf-8"?>
<sst xmlns="http://schemas.openxmlformats.org/spreadsheetml/2006/main" count="1495" uniqueCount="721">
  <si>
    <t xml:space="preserve">StratOS Workbook</t>
  </si>
  <si>
    <t xml:space="preserve">Global electric vehicles (passenger BEV and PHEV) · base company BYD</t>
  </si>
  <si>
    <t xml:space="preserve">Pre-filled from the StratOS ledger (global-ev-demo-2026, as of 2026-10-01).</t>
  </si>
  <si>
    <t xml:space="preserve">How to use</t>
  </si>
  <si>
    <t xml:space="preserve">Each sheet is one StratOS framework. Type only in the cream cells (blue text). Grey cells are formulas: they score, rank and flag automatically. Every finding should name its evidence in the Source column, the same rule StratOS follows.</t>
  </si>
  <si>
    <t xml:space="preserve">Colour key</t>
  </si>
  <si>
    <t xml:space="preserve">Blue on cream = input · black on grey = formula · green / amber / red = status.</t>
  </si>
  <si>
    <t xml:space="preserve">PESTEL</t>
  </si>
  <si>
    <t xml:space="preserve">Macro findings with impact × certainty priority and the P&amp;L line each one hits.</t>
  </si>
  <si>
    <t xml:space="preserve">Five Forces</t>
  </si>
  <si>
    <t xml:space="preserve">Sub-factor scores roll up to each force and to an industry attractiveness score.</t>
  </si>
  <si>
    <t xml:space="preserve">KSF Scorecard</t>
  </si>
  <si>
    <t xml:space="preserve">Weighted KSFs, every competitor scored, totals and rank; weights must sum to 100%.</t>
  </si>
  <si>
    <t xml:space="preserve">VRIO</t>
  </si>
  <si>
    <t xml:space="preserve">Yes / No / ? for each test; the verdict and the KSF reality check are calculated.</t>
  </si>
  <si>
    <t xml:space="preserve">SWOT-TOWS</t>
  </si>
  <si>
    <t xml:space="preserve">Four traced lists and the TOWS options that pair them.</t>
  </si>
  <si>
    <t xml:space="preserve">Decision Matrix</t>
  </si>
  <si>
    <t xml:space="preserve">Criteria weights × option scores, with a weighted total and rank; do nothing included.</t>
  </si>
  <si>
    <t xml:space="preserve">Expected Value</t>
  </si>
  <si>
    <t xml:space="preserve">Scenario probabilities × NPVs, expected NPV, worst case, maximin, value of information, and a Bayes' rule pilot check (EVSI).</t>
  </si>
  <si>
    <t xml:space="preserve">Business Case</t>
  </si>
  <si>
    <t xml:space="preserve">Driver-based cash flows, NPV, IRR and cumulative cash.</t>
  </si>
  <si>
    <t xml:space="preserve">Risk Analysis</t>
  </si>
  <si>
    <t xml:space="preserve">Exhibit Q-3: a tornado chart (which driver moves NPV most) and a 1,000-run Monte Carlo simulation (median, P10-P90, chance NPV is below zero) over your low / likely / high ranges.</t>
  </si>
  <si>
    <t xml:space="preserve">Balanced Scorecard</t>
  </si>
  <si>
    <t xml:space="preserve">Objectives and measures in four perspectives, leading vs lagging, status vs target, balance check.</t>
  </si>
  <si>
    <t xml:space="preserve">Strategy Map</t>
  </si>
  <si>
    <t xml:space="preserve">Objectives by perspective and their cause-and-effect links; picture included when built from a ledger.</t>
  </si>
  <si>
    <t xml:space="preserve">GLO-BUS CIR</t>
  </si>
  <si>
    <t xml:space="preserve">Paste the CIR figures; each company is placed in a strategic group automatically.</t>
  </si>
  <si>
    <t xml:space="preserve">Y# Results</t>
  </si>
  <si>
    <t xml:space="preserve">One tab per GLO-BUS year: the five scored KPIs against investor expectations, company and product results, market share by region, the decisions entered and the CIR.</t>
  </si>
  <si>
    <t xml:space="preserve">Tracking</t>
  </si>
  <si>
    <t xml:space="preserve">Trends across the years, pulled from the Year tabs, with charts: EPS, ROE, stock price, image and credit rating, market share, cost per unit, revenue and profit, margins.</t>
  </si>
  <si>
    <t xml:space="preserve">Rivals</t>
  </si>
  <si>
    <t xml:space="preserve">Where you stand in the contest: every company's overall score, rank, price, P/Q and market share by year, from the class-wide reports only, with charts.</t>
  </si>
  <si>
    <t xml:space="preserve">GLO-BUS Planner</t>
  </si>
  <si>
    <t xml:space="preserve">Plan every decision for each year in one place, in screen order; flags changes bigger than your threshold and years where price and advertising are both cut. You enter the decisions in GLO-BUS yourself; the capture skill can then check them against this plan.</t>
  </si>
  <si>
    <t xml:space="preserve">Your work stays yours</t>
  </si>
  <si>
    <t xml:space="preserve">In graded work, the inputs, choices and every Impact Summary are the student's. The workbook calculates; it never decides.</t>
  </si>
  <si>
    <t xml:space="preserve">© 2026 Brad Scheller · StratOS Strategy Lab · Apache-2.0</t>
  </si>
  <si>
    <t xml:space="preserve">PESTEL Analysis</t>
  </si>
  <si>
    <t xml:space="preserve">Macro findings, each tied to a P&amp;L line. Priority = impact × certainty (1-25).</t>
  </si>
  <si>
    <t xml:space="preserve">Pre-filled from your StratOS ledger. Blue text on cream = inputs you can change.  Black on grey = formulas (do not type over them).</t>
  </si>
  <si>
    <t xml:space="preserve">ID</t>
  </si>
  <si>
    <t xml:space="preserve">Dimension</t>
  </si>
  <si>
    <t xml:space="preserve">Finding</t>
  </si>
  <si>
    <t xml:space="preserve">Direction (+ / - / ±)</t>
  </si>
  <si>
    <t xml:space="preserve">Impact 1-5</t>
  </si>
  <si>
    <t xml:space="preserve">Certainty 1-5</t>
  </si>
  <si>
    <t xml:space="preserve">Priority</t>
  </si>
  <si>
    <t xml:space="preserve">P&amp;L line</t>
  </si>
  <si>
    <t xml:space="preserve">Source / evidence</t>
  </si>
  <si>
    <t xml:space="preserve">P1</t>
  </si>
  <si>
    <t xml:space="preserve">Economic</t>
  </si>
  <si>
    <t xml:space="preserve">Battery cell prices keep falling</t>
  </si>
  <si>
    <t xml:space="preserve">+</t>
  </si>
  <si>
    <t xml:space="preserve">cogs.inputs</t>
  </si>
  <si>
    <t xml:space="preserve">E003</t>
  </si>
  <si>
    <t xml:space="preserve">P2</t>
  </si>
  <si>
    <t xml:space="preserve">Political</t>
  </si>
  <si>
    <t xml:space="preserve">EU tariffs on China-built BEVs</t>
  </si>
  <si>
    <t xml:space="preserve">-</t>
  </si>
  <si>
    <t xml:space="preserve">tax_and_levies</t>
  </si>
  <si>
    <t xml:space="preserve">E002</t>
  </si>
  <si>
    <t xml:space="preserve">P3</t>
  </si>
  <si>
    <t xml:space="preserve">Technological</t>
  </si>
  <si>
    <t xml:space="preserve">Software-defined vehicles shift value to features</t>
  </si>
  <si>
    <t xml:space="preserve">revenue.mix</t>
  </si>
  <si>
    <t xml:space="preserve">E008</t>
  </si>
  <si>
    <t xml:space="preserve">P4</t>
  </si>
  <si>
    <t xml:space="preserve">Social</t>
  </si>
  <si>
    <t xml:space="preserve">Range and charging anxiety slow mass-market adoption</t>
  </si>
  <si>
    <t xml:space="preserve">revenue.volume</t>
  </si>
  <si>
    <t xml:space="preserve">E007</t>
  </si>
  <si>
    <t xml:space="preserve">P5</t>
  </si>
  <si>
    <t xml:space="preserve">Env</t>
  </si>
  <si>
    <t xml:space="preserve">Fleet CO2 targets push OEMs to sell more BEVs</t>
  </si>
  <si>
    <t xml:space="preserve">E005</t>
  </si>
  <si>
    <t xml:space="preserve">P6</t>
  </si>
  <si>
    <t xml:space="preserve">Legal</t>
  </si>
  <si>
    <t xml:space="preserve">Local-content rules for EU incentives</t>
  </si>
  <si>
    <t xml:space="preserve">revenue.price</t>
  </si>
  <si>
    <t xml:space="preserve">Findings</t>
  </si>
  <si>
    <t xml:space="preserve">High priority (≥16)</t>
  </si>
  <si>
    <t xml:space="preserve">Missing a source</t>
  </si>
  <si>
    <t xml:space="preserve">Porter's Five Forces</t>
  </si>
  <si>
    <t xml:space="preserve">Score each sub-factor 1 (weak force, good for profit) to 5 (strong force). A force score you enter overrides the sub-factor average.</t>
  </si>
  <si>
    <t xml:space="preserve">Force</t>
  </si>
  <si>
    <t xml:space="preserve">Sub-factor</t>
  </si>
  <si>
    <t xml:space="preserve">Score 1-5</t>
  </si>
  <si>
    <t xml:space="preserve">Evidence / source</t>
  </si>
  <si>
    <t xml:space="preserve">Competitive rivalry</t>
  </si>
  <si>
    <t xml:space="preserve">Current competition</t>
  </si>
  <si>
    <t xml:space="preserve">Market growth</t>
  </si>
  <si>
    <t xml:space="preserve">Exit barriers</t>
  </si>
  <si>
    <t xml:space="preserve">Differentiation</t>
  </si>
  <si>
    <t xml:space="preserve">Supplier power</t>
  </si>
  <si>
    <t xml:space="preserve">Supplier concentration</t>
  </si>
  <si>
    <t xml:space="preserve">Switching costs</t>
  </si>
  <si>
    <t xml:space="preserve">Forward integration</t>
  </si>
  <si>
    <t xml:space="preserve">Input uniqueness</t>
  </si>
  <si>
    <t xml:space="preserve">Buyer power</t>
  </si>
  <si>
    <t xml:space="preserve">Buyer concentration</t>
  </si>
  <si>
    <t xml:space="preserve">Purchase volume</t>
  </si>
  <si>
    <t xml:space="preserve">Price sensitivity</t>
  </si>
  <si>
    <t xml:space="preserve">Threat of new entrants</t>
  </si>
  <si>
    <t xml:space="preserve">Entry barriers</t>
  </si>
  <si>
    <t xml:space="preserve">Capital requirements</t>
  </si>
  <si>
    <t xml:space="preserve">Scale economies</t>
  </si>
  <si>
    <t xml:space="preserve">Distribution access</t>
  </si>
  <si>
    <t xml:space="preserve">Threat of substitutes</t>
  </si>
  <si>
    <t xml:space="preserve">Available substitutes</t>
  </si>
  <si>
    <t xml:space="preserve">Price-performance</t>
  </si>
  <si>
    <t xml:space="preserve">Buyer propensity</t>
  </si>
  <si>
    <t xml:space="preserve">Sub-factor average</t>
  </si>
  <si>
    <t xml:space="preserve">Your force score (optional)</t>
  </si>
  <si>
    <t xml:space="preserve">Score used</t>
  </si>
  <si>
    <t xml:space="preserve">Strength</t>
  </si>
  <si>
    <t xml:space="preserve">Horizon score (optional)</t>
  </si>
  <si>
    <t xml:space="preserve">Industry attractiveness (1-5)</t>
  </si>
  <si>
    <t xml:space="preserve">At the horizon</t>
  </si>
  <si>
    <t xml:space="preserve">Attractiveness = 6 minus the average force score (1-5; higher is more attractive).</t>
  </si>
  <si>
    <t xml:space="preserve">The horizon score appears once all five horizon scores are entered.</t>
  </si>
  <si>
    <t xml:space="preserve">Key Success Factors Scorecard</t>
  </si>
  <si>
    <t xml:space="preserve">Weights are fractions that must sum to 100%. Score each competitor 1 (weak) to 5 (strong) on each KSF.</t>
  </si>
  <si>
    <t xml:space="preserve">Key success factor</t>
  </si>
  <si>
    <t xml:space="preserve">Weight</t>
  </si>
  <si>
    <t xml:space="preserve">Traces to (force / driver)</t>
  </si>
  <si>
    <t xml:space="preserve">BYD</t>
  </si>
  <si>
    <t xml:space="preserve">Tesla</t>
  </si>
  <si>
    <t xml:space="preserve">Volkswagen Group</t>
  </si>
  <si>
    <t xml:space="preserve">Geely</t>
  </si>
  <si>
    <t xml:space="preserve">Xiaomi</t>
  </si>
  <si>
    <t xml:space="preserve">Stellantis</t>
  </si>
  <si>
    <t xml:space="preserve">K1</t>
  </si>
  <si>
    <t xml:space="preserve">Battery cost and supply</t>
  </si>
  <si>
    <t xml:space="preserve">suppliers, D1</t>
  </si>
  <si>
    <t xml:space="preserve">K2</t>
  </si>
  <si>
    <t xml:space="preserve">Software and UX</t>
  </si>
  <si>
    <t xml:space="preserve">rivalry, D3</t>
  </si>
  <si>
    <t xml:space="preserve">K3</t>
  </si>
  <si>
    <t xml:space="preserve">Local production footprint</t>
  </si>
  <si>
    <t xml:space="preserve">D2</t>
  </si>
  <si>
    <t xml:space="preserve">K4</t>
  </si>
  <si>
    <t xml:space="preserve">Brand trust in Europe</t>
  </si>
  <si>
    <t xml:space="preserve">buyers</t>
  </si>
  <si>
    <t xml:space="preserve">K5</t>
  </si>
  <si>
    <t xml:space="preserve">Charging and service network</t>
  </si>
  <si>
    <t xml:space="preserve">D3</t>
  </si>
  <si>
    <t xml:space="preserve">Weight check (must be 100%)</t>
  </si>
  <si>
    <t xml:space="preserve">Weighted score (out of 5)</t>
  </si>
  <si>
    <t xml:space="preserve">Rank</t>
  </si>
  <si>
    <t xml:space="preserve">VRIO Analysis</t>
  </si>
  <si>
    <t xml:space="preserve">Answer the four tests in order with Yes / No / ?. The verdict stops at the first No or ?. KSF weight (a fraction) drives the reality check.</t>
  </si>
  <si>
    <t xml:space="preserve">Resource or capability</t>
  </si>
  <si>
    <t xml:space="preserve">Type</t>
  </si>
  <si>
    <t xml:space="preserve">Valuable?</t>
  </si>
  <si>
    <t xml:space="preserve">Rare?</t>
  </si>
  <si>
    <t xml:space="preserve">Inimitable?</t>
  </si>
  <si>
    <t xml:space="preserve">Organized?</t>
  </si>
  <si>
    <t xml:space="preserve">Verdict</t>
  </si>
  <si>
    <t xml:space="preserve">KSF it delivers</t>
  </si>
  <si>
    <t xml:space="preserve">KSF weight</t>
  </si>
  <si>
    <t xml:space="preserve">Reality check</t>
  </si>
  <si>
    <t xml:space="preserve">Evidence</t>
  </si>
  <si>
    <t xml:space="preserve">Vertical battery integration</t>
  </si>
  <si>
    <t xml:space="preserve">capability</t>
  </si>
  <si>
    <t xml:space="preserve">Yes</t>
  </si>
  <si>
    <t xml:space="preserve">E010</t>
  </si>
  <si>
    <t xml:space="preserve">Fast model cadence</t>
  </si>
  <si>
    <t xml:space="preserve">No</t>
  </si>
  <si>
    <t xml:space="preserve">E001</t>
  </si>
  <si>
    <t xml:space="preserve">In-car software and OTA</t>
  </si>
  <si>
    <t xml:space="preserve">?</t>
  </si>
  <si>
    <t xml:space="preserve">Scale in China</t>
  </si>
  <si>
    <t xml:space="preserve">resource</t>
  </si>
  <si>
    <t xml:space="preserve">SWOT and TOWS</t>
  </si>
  <si>
    <t xml:space="preserve">Every item names the finding it came from. TOWS options pair the items by ID.</t>
  </si>
  <si>
    <t xml:space="preserve">Strengths (internal, helpful)</t>
  </si>
  <si>
    <t xml:space="preserve">Source</t>
  </si>
  <si>
    <t xml:space="preserve">Weaknesses (internal, harmful)</t>
  </si>
  <si>
    <t xml:space="preserve">S1</t>
  </si>
  <si>
    <t xml:space="preserve">Lowest cell cost in the industry</t>
  </si>
  <si>
    <t xml:space="preserve">C1</t>
  </si>
  <si>
    <t xml:space="preserve">W1</t>
  </si>
  <si>
    <t xml:space="preserve">Low brand trust in Europe</t>
  </si>
  <si>
    <t xml:space="preserve">S2</t>
  </si>
  <si>
    <t xml:space="preserve">C2</t>
  </si>
  <si>
    <t xml:space="preserve">W2</t>
  </si>
  <si>
    <t xml:space="preserve">Software lags the leaders</t>
  </si>
  <si>
    <t xml:space="preserve">C3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</si>
  <si>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</si>
  <si>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</si>
  <si>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</si>
  <si>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</si>
  <si>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</si>
  <si>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</si>
  <si>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</si>
  <si>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</si>
  <si>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Opportunities (external, helpful)</t>
  </si>
  <si>
    <t xml:space="preserve">Threats (external, harmful)</t>
  </si>
  <si>
    <t xml:space="preserve">O1</t>
  </si>
  <si>
    <t xml:space="preserve">Affordable EU compact segment is under-served</t>
  </si>
  <si>
    <t xml:space="preserve">T1</t>
  </si>
  <si>
    <t xml:space="preserve">O2</t>
  </si>
  <si>
    <t xml:space="preserve">Fleet CO2 targets lift BEV demand</t>
  </si>
  <si>
    <t xml:space="preserve">T2</t>
  </si>
  <si>
    <t xml:space="preserve">Local-content rules for incentives</t>
  </si>
  <si>
    <t xml:space="preserve">O3</t>
  </si>
  <si>
    <t xml:space="preserve">T3</t>
  </si>
  <si>
    <t xml:space="preserve">O4</t>
  </si>
  <si>
    <t xml:space="preserve">T4</t>
  </si>
  <si>
    <t xml:space="preserve">O5</t>
  </si>
  <si>
    <t xml:space="preserve">T5</t>
  </si>
  <si>
    <t xml:space="preserve">O6</t>
  </si>
  <si>
    <t xml:space="preserve">T6</t>
  </si>
  <si>
    <t xml:space="preserve">Cell</t>
  </si>
  <si>
    <t xml:space="preserve">TOWS strategic option</t>
  </si>
  <si>
    <t xml:space="preserve">Pairs (e.g. S1 × O1)</t>
  </si>
  <si>
    <t xml:space="preserve">ST</t>
  </si>
  <si>
    <t xml:space="preserve">Build an EU plant to avoid tariffs</t>
  </si>
  <si>
    <t xml:space="preserve">S1 × T1</t>
  </si>
  <si>
    <t xml:space="preserve">SO</t>
  </si>
  <si>
    <t xml:space="preserve">Launch a sub-EUR 25k compact</t>
  </si>
  <si>
    <t xml:space="preserve">S1 × O1</t>
  </si>
  <si>
    <t xml:space="preserve">WT</t>
  </si>
  <si>
    <t xml:space="preserve">Partner with a European OEM for local assembly and brand</t>
  </si>
  <si>
    <t xml:space="preserve">W1 × T2</t>
  </si>
  <si>
    <t xml:space="preserve">Weight each criterion 1-5 and score each option 1-5. Include do nothing.</t>
  </si>
  <si>
    <t xml:space="preserve">Criterion</t>
  </si>
  <si>
    <t xml:space="preserve">Weight 1-5</t>
  </si>
  <si>
    <t xml:space="preserve">Tied to goal</t>
  </si>
  <si>
    <t xml:space="preserve">A. EU plant</t>
  </si>
  <si>
    <t xml:space="preserve">B. Partner</t>
  </si>
  <si>
    <t xml:space="preserve">0. Do nothing</t>
  </si>
  <si>
    <t xml:space="preserve">Option 4</t>
  </si>
  <si>
    <t xml:space="preserve">Option 5</t>
  </si>
  <si>
    <t xml:space="preserve">Profit by 2029</t>
  </si>
  <si>
    <t xml:space="preserve">B1</t>
  </si>
  <si>
    <t xml:space="preserve">Avoids tariffs</t>
  </si>
  <si>
    <t xml:space="preserve">B2</t>
  </si>
  <si>
    <t xml:space="preserve">Capital at risk (low = good)</t>
  </si>
  <si>
    <t xml:space="preserve">Builds EU brand trust</t>
  </si>
  <si>
    <t xml:space="preserve">B3</t>
  </si>
  <si>
    <t xml:space="preserve">The matrix ranks; it does not choose. The recommendation is yours.</t>
  </si>
  <si>
    <t xml:space="preserve">Probabilities as percentages that sum to 100% per option; NPV in $M. Follows the course handout 'Choosing Among Strategic Alternatives'.</t>
  </si>
  <si>
    <t xml:space="preserve">Option</t>
  </si>
  <si>
    <t xml:space="preserve">P strong</t>
  </si>
  <si>
    <t xml:space="preserve">NPV strong ($M)</t>
  </si>
  <si>
    <t xml:space="preserve">P moderate</t>
  </si>
  <si>
    <t xml:space="preserve">NPV moderate ($M)</t>
  </si>
  <si>
    <t xml:space="preserve">P weak</t>
  </si>
  <si>
    <t xml:space="preserve">NPV weak ($M)</t>
  </si>
  <si>
    <t xml:space="preserve">Probability check</t>
  </si>
  <si>
    <t xml:space="preserve">Expected NPV ($M)</t>
  </si>
  <si>
    <t xml:space="preserve">Worst case</t>
  </si>
  <si>
    <t xml:space="preserve">Best case</t>
  </si>
  <si>
    <t xml:space="preserve">Leader on expected value</t>
  </si>
  <si>
    <t xml:space="preserve">Maximin choice (best worst case)</t>
  </si>
  <si>
    <t xml:space="preserve">Value of perfect information ($M)</t>
  </si>
  <si>
    <t xml:space="preserve">The most worth paying for a pilot that reveals the scenario first (leader's probabilities).</t>
  </si>
  <si>
    <t xml:space="preserve">Is a pilot worth it? (Bayes' rule)</t>
  </si>
  <si>
    <t xml:space="preserve">How likely the pilot shows each result IF that scenario is real. Each row sums to 100%. Uses the first option's scenario probabilities as the prior.</t>
  </si>
  <si>
    <t xml:space="preserve">Scenario</t>
  </si>
  <si>
    <t xml:space="preserve">Prior</t>
  </si>
  <si>
    <t xml:space="preserve">P(positive | scenario)</t>
  </si>
  <si>
    <t xml:space="preserve">P(negative | scenario)</t>
  </si>
  <si>
    <t xml:space="preserve">Row check</t>
  </si>
  <si>
    <t xml:space="preserve">Posterior if positive</t>
  </si>
  <si>
    <t xml:space="preserve">Posterior if negative</t>
  </si>
  <si>
    <t xml:space="preserve">Strong</t>
  </si>
  <si>
    <t xml:space="preserve">Moderate</t>
  </si>
  <si>
    <t xml:space="preserve">Weak</t>
  </si>
  <si>
    <t xml:space="preserve">P(result)</t>
  </si>
  <si>
    <t xml:space="preserve">Expected NPV now</t>
  </si>
  <si>
    <t xml:space="preserve">If positive</t>
  </si>
  <si>
    <t xml:space="preserve">If negative</t>
  </si>
  <si>
    <t xml:space="preserve">Best option if the pilot is positive</t>
  </si>
  <si>
    <t xml:space="preserve">If both results point to the same option, the pilot cannot change the choice and is worth nothing for this decision.</t>
  </si>
  <si>
    <t xml:space="preserve">Best option if the pilot is negative</t>
  </si>
  <si>
    <t xml:space="preserve">Expected NPV with the pilot ($M)</t>
  </si>
  <si>
    <t xml:space="preserve">Value of the pilot, EVSI ($M)</t>
  </si>
  <si>
    <t xml:space="preserve">Pilot cost ($M)</t>
  </si>
  <si>
    <t xml:space="preserve">Net value of running the pilot ($M)</t>
  </si>
  <si>
    <t xml:space="preserve">Share of perfect information</t>
  </si>
  <si>
    <t xml:space="preserve">One option. Year 0 is the investment year. Working capital is released in the final year. Money in $.</t>
  </si>
  <si>
    <t xml:space="preserve">Option: A. EU plant (from the ledger)</t>
  </si>
  <si>
    <t xml:space="preserve">Assumptions</t>
  </si>
  <si>
    <t xml:space="preserve">Discount rate</t>
  </si>
  <si>
    <t xml:space="preserve">Tax rate</t>
  </si>
  <si>
    <t xml:space="preserve">Working capital (% of revenue)</t>
  </si>
  <si>
    <t xml:space="preserve">$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</si>
  <si>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</si>
  <si>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</si>
  <si>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</si>
  <si>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</si>
  <si>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</si>
  <si>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</si>
  <si>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Units</t>
  </si>
  <si>
    <t xml:space="preserve">Price per unit</t>
  </si>
  <si>
    <t xml:space="preserve">Variable cost per unit</t>
  </si>
  <si>
    <t xml:space="preserve">Fixed costs</t>
  </si>
  <si>
    <t xml:space="preserve">Capex</t>
  </si>
  <si>
    <t xml:space="preserve">Revenue</t>
  </si>
  <si>
    <t xml:space="preserve">Contribution</t>
  </si>
  <si>
    <t xml:space="preserve">Operating profit (EBIT)</t>
  </si>
  <si>
    <t xml:space="preserve">Tax</t>
  </si>
  <si>
    <t xml:space="preserve">Working capital</t>
  </si>
  <si>
    <t xml:space="preserve">Change in working capital</t>
  </si>
  <si>
    <t xml:space="preserve">Cash flow</t>
  </si>
  <si>
    <t xml:space="preserve">Cumulative cash flow</t>
  </si>
  <si>
    <t xml:space="preserve">NPV</t>
  </si>
  <si>
    <t xml:space="preserve">IRR</t>
  </si>
  <si>
    <t xml:space="preserve">Clears the hurdle?</t>
  </si>
  <si>
    <t xml:space="preserve">State the break-even in words in your exhibit (the Business Case skill computes it).</t>
  </si>
  <si>
    <t xml:space="preserve">Risk Analysis (Exhibit Q-3)</t>
  </si>
  <si>
    <t xml:space="preserve">Works on the Business Case sheet. Set a low / likely / high for each driver: % change from plan, except the discount rate (an absolute rate). Blank = no uncertainty.</t>
  </si>
  <si>
    <t xml:space="preserve">Driver</t>
  </si>
  <si>
    <t xml:space="preserve">Low</t>
  </si>
  <si>
    <t xml:space="preserve">Likely</t>
  </si>
  <si>
    <t xml:space="preserve">High</t>
  </si>
  <si>
    <t xml:space="preserve">Eff. low</t>
  </si>
  <si>
    <t xml:space="preserve">Eff. likely</t>
  </si>
  <si>
    <t xml:space="preserve">Eff. high</t>
  </si>
  <si>
    <t xml:space="preserve">Discount rate (absolute)</t>
  </si>
  <si>
    <t xml:space="preserve">Range check</t>
  </si>
  <si>
    <t xml:space="preserve">Tornado: NPV with one driver at its low or high, the others at plan</t>
  </si>
  <si>
    <t xml:space="preserve">Price ×</t>
  </si>
  <si>
    <t xml:space="preserve">Units ×</t>
  </si>
  <si>
    <t xml:space="preserve">Var. cost ×</t>
  </si>
  <si>
    <t xml:space="preserve">Fixed ×</t>
  </si>
  <si>
    <t xml:space="preserve">Capex ×</t>
  </si>
  <si>
    <t xml:space="preserve">Rate</t>
  </si>
  <si>
    <t xml:space="preserve">CF Y0</t>
  </si>
  <si>
    <t xml:space="preserve">CF Y1</t>
  </si>
  <si>
    <t xml:space="preserve">CF Y2</t>
  </si>
  <si>
    <t xml:space="preserve">CF Y3</t>
  </si>
  <si>
    <t xml:space="preserve">CF Y4</t>
  </si>
  <si>
    <t xml:space="preserve">CF Y5</t>
  </si>
  <si>
    <t xml:space="preserve">Plan</t>
  </si>
  <si>
    <t xml:space="preserve">Price per unit low</t>
  </si>
  <si>
    <t xml:space="preserve">Price per unit high</t>
  </si>
  <si>
    <t xml:space="preserve">Units low</t>
  </si>
  <si>
    <t xml:space="preserve">Units high</t>
  </si>
  <si>
    <t xml:space="preserve">Variable cost per unit low</t>
  </si>
  <si>
    <t xml:space="preserve">Variable cost per unit high</t>
  </si>
  <si>
    <t xml:space="preserve">Fixed costs low</t>
  </si>
  <si>
    <t xml:space="preserve">Fixed costs high</t>
  </si>
  <si>
    <t xml:space="preserve">Capex low</t>
  </si>
  <si>
    <t xml:space="preserve">Capex high</t>
  </si>
  <si>
    <t xml:space="preserve">Discount rate (absolute) low</t>
  </si>
  <si>
    <t xml:space="preserve">Discount rate (absolute) high</t>
  </si>
  <si>
    <t xml:space="preserve">Tornado table (sorted by swing; the chart reads this)</t>
  </si>
  <si>
    <t xml:space="preserve">NPV at low</t>
  </si>
  <si>
    <t xml:space="preserve">NPV at high</t>
  </si>
  <si>
    <t xml:space="preserve">Swing</t>
  </si>
  <si>
    <t xml:space="preserve">Low − plan</t>
  </si>
  <si>
    <t xml:space="preserve">High − plan</t>
  </si>
  <si>
    <t xml:space="preserve">Crosses zero?</t>
  </si>
  <si>
    <t xml:space="preserve">Rank key</t>
  </si>
  <si>
    <t xml:space="preserve">Helper (unsorted)</t>
  </si>
  <si>
    <t xml:space="preserve">Monte Carlo simulation: 1,000 futures, each driver drawn from a triangular (low, likely, high) distribution. Press F9 to draw again; results move slightly each time.</t>
  </si>
  <si>
    <t xml:space="preserve">Mean NPV</t>
  </si>
  <si>
    <t xml:space="preserve">Median NPV</t>
  </si>
  <si>
    <t xml:space="preserve">P10 (1 in 10 worse than this)</t>
  </si>
  <si>
    <t xml:space="preserve">P90 (1 in 10 better than this)</t>
  </si>
  <si>
    <t xml:space="preserve">Standard deviation</t>
  </si>
  <si>
    <t xml:space="preserve">Probability NPV &lt; 0</t>
  </si>
  <si>
    <t xml:space="preserve">NPV at plan (for comparison)</t>
  </si>
  <si>
    <t xml:space="preserve">Drivers are drawn independently. If two move together (e.g. a price cut that lifts volume), the real spread differs. For exact, repeatable figures use the Business Case skill's risk_analysis.py.</t>
  </si>
  <si>
    <t xml:space="preserve">Bin from</t>
  </si>
  <si>
    <t xml:space="preserve">Bin to</t>
  </si>
  <si>
    <t xml:space="preserve">Count</t>
  </si>
  <si>
    <t xml:space="preserve">Run</t>
  </si>
  <si>
    <t xml:space="preserve">Random 1</t>
  </si>
  <si>
    <t xml:space="preserve">Random 2</t>
  </si>
  <si>
    <t xml:space="preserve">Random 3</t>
  </si>
  <si>
    <t xml:space="preserve">Random 4</t>
  </si>
  <si>
    <t xml:space="preserve">Random 5</t>
  </si>
  <si>
    <t xml:space="preserve">Random 6</t>
  </si>
  <si>
    <t xml:space="preserve">1-2 measures per objective, 8-16 in all. Status: on target ≥100% of target, caution 90-99%, below plan &lt;90% (inverted when lower is better).</t>
  </si>
  <si>
    <t xml:space="preserve">Perspective</t>
  </si>
  <si>
    <t xml:space="preserve">Objective</t>
  </si>
  <si>
    <t xml:space="preserve">Measure</t>
  </si>
  <si>
    <t xml:space="preserve">Leading / lagging</t>
  </si>
  <si>
    <t xml:space="preserve">Better when</t>
  </si>
  <si>
    <t xml:space="preserve">Target</t>
  </si>
  <si>
    <t xml:space="preserve">Actual</t>
  </si>
  <si>
    <t xml:space="preserve">% of target</t>
  </si>
  <si>
    <t xml:space="preserve">Status</t>
  </si>
  <si>
    <t xml:space="preserve">Owner</t>
  </si>
  <si>
    <t xml:space="preserve">Initiative</t>
  </si>
  <si>
    <t xml:space="preserve">Traces to</t>
  </si>
  <si>
    <t xml:space="preserve">Financial</t>
  </si>
  <si>
    <t xml:space="preserve">Profitable EU growth</t>
  </si>
  <si>
    <t xml:space="preserve">EU operating margin</t>
  </si>
  <si>
    <t xml:space="preserve">Lagging</t>
  </si>
  <si>
    <t xml:space="preserve">Higher</t>
  </si>
  <si>
    <t xml:space="preserve">CFO</t>
  </si>
  <si>
    <t xml:space="preserve">Customer</t>
  </si>
  <si>
    <t xml:space="preserve">Value choice below EUR 30k</t>
  </si>
  <si>
    <t xml:space="preserve">EU registrations (000s)</t>
  </si>
  <si>
    <t xml:space="preserve">CMO</t>
  </si>
  <si>
    <t xml:space="preserve">Internal process</t>
  </si>
  <si>
    <t xml:space="preserve">Local cell supply</t>
  </si>
  <si>
    <t xml:space="preserve">Local cell share</t>
  </si>
  <si>
    <t xml:space="preserve">Leading</t>
  </si>
  <si>
    <t xml:space="preserve">COO</t>
  </si>
  <si>
    <t xml:space="preserve">Learning and growth</t>
  </si>
  <si>
    <t xml:space="preserve">EU plant workforce</t>
  </si>
  <si>
    <t xml:space="preserve">Trained line staff</t>
  </si>
  <si>
    <t xml:space="preserve">CHRO</t>
  </si>
  <si>
    <t xml:space="preserve">Balance check</t>
  </si>
  <si>
    <t xml:space="preserve">Measures</t>
  </si>
  <si>
    <t xml:space="preserve">Share that are leading</t>
  </si>
  <si>
    <t xml:space="preserve">Measures with no owner</t>
  </si>
  <si>
    <t xml:space="preserve">Objectives by perspective, bottom to top. 'Drives' lists the IDs of the objectives each one leads to in the level above.</t>
  </si>
  <si>
    <t xml:space="preserve">Drives (IDs, ; separated)</t>
  </si>
  <si>
    <t xml:space="preserve">Check</t>
  </si>
  <si>
    <t xml:space="preserve">F1</t>
  </si>
  <si>
    <t xml:space="preserve">I1</t>
  </si>
  <si>
    <t xml:space="preserve">L1</t>
  </si>
  <si>
    <t xml:space="preserve">GLO-BUS Competitive Intelligence Report</t>
  </si>
  <si>
    <t xml:space="preserve">One row per company and product. Groups are set against the share-weighted industry average for that product. Analogues, not answers: you decide.</t>
  </si>
  <si>
    <t xml:space="preserve">From the capture of Year 7</t>
  </si>
  <si>
    <t xml:space="preserve">Company</t>
  </si>
  <si>
    <t xml:space="preserve">Product</t>
  </si>
  <si>
    <t xml:space="preserve">Price ($)</t>
  </si>
  <si>
    <t xml:space="preserve">P/Q (stars)</t>
  </si>
  <si>
    <t xml:space="preserve">Share (%)</t>
  </si>
  <si>
    <t xml:space="preserve">Models</t>
  </si>
  <si>
    <t xml:space="preserve">Strategic group</t>
  </si>
  <si>
    <t xml:space="preserve">Industry averages (share-weighted)</t>
  </si>
  <si>
    <t xml:space="preserve">Price</t>
  </si>
  <si>
    <t xml:space="preserve">P/Q</t>
  </si>
  <si>
    <t xml:space="preserve">Camera</t>
  </si>
  <si>
    <t xml:space="preserve">Drone</t>
  </si>
  <si>
    <t xml:space="preserve">GLO-BUS Decision Planner</t>
  </si>
  <si>
    <t xml:space="preserve">Plan each year's decisions here, test them in the game's projections, then enter them in GLO-BUS screen by screen in this order. Your team makes and enters every decision.</t>
  </si>
  <si>
    <t xml:space="preserve">Change threshold for the incremental-change check:</t>
  </si>
  <si>
    <t xml:space="preserve">Key (do not edit)</t>
  </si>
  <si>
    <t xml:space="preserve">Decision area</t>
  </si>
  <si>
    <t xml:space="preserve">Decision</t>
  </si>
  <si>
    <t xml:space="preserve">Unit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</si>
  <si>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</si>
  <si>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</si>
  <si>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</si>
  <si>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</si>
  <si>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</si>
  <si>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</si>
  <si>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</si>
  <si>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</si>
  <si>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</si>
  <si>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</si>
  <si>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strategy.camera</t>
  </si>
  <si>
    <t xml:space="preserve">Strategy anchor</t>
  </si>
  <si>
    <t xml:space="preserve">Strategy (Cameras)</t>
  </si>
  <si>
    <t xml:space="preserve">text</t>
  </si>
  <si>
    <t xml:space="preserve">Best-cost</t>
  </si>
  <si>
    <t xml:space="preserve">strategy.drone</t>
  </si>
  <si>
    <t xml:space="preserve">Strategy (Drones)</t>
  </si>
  <si>
    <t xml:space="preserve">Focused differentiation</t>
  </si>
  <si>
    <t xml:space="preserve">design.camera.pq</t>
  </si>
  <si>
    <t xml:space="preserve">Product design</t>
  </si>
  <si>
    <t xml:space="preserve">P/Q rating target (Cameras)</t>
  </si>
  <si>
    <t xml:space="preserve">stars</t>
  </si>
  <si>
    <t xml:space="preserve">design.drone.pq</t>
  </si>
  <si>
    <t xml:space="preserve">P/Q rating target (Drones)</t>
  </si>
  <si>
    <t xml:space="preserve">design.camera.models</t>
  </si>
  <si>
    <t xml:space="preserve">Number of models (Cameras)</t>
  </si>
  <si>
    <t xml:space="preserve">count</t>
  </si>
  <si>
    <t xml:space="preserve">design.drone.models</t>
  </si>
  <si>
    <t xml:space="preserve">Number of models (Drones)</t>
  </si>
  <si>
    <t xml:space="preserve">design.camera.rd</t>
  </si>
  <si>
    <t xml:space="preserve">R&amp;D / component quality spend (Cameras)</t>
  </si>
  <si>
    <t xml:space="preserve">$000s</t>
  </si>
  <si>
    <t xml:space="preserve">design.drone.rd</t>
  </si>
  <si>
    <t xml:space="preserve">R&amp;D / component quality spend (Drones)</t>
  </si>
  <si>
    <t xml:space="preserve">mkt.camera.na.price</t>
  </si>
  <si>
    <t xml:space="preserve">Marketing</t>
  </si>
  <si>
    <t xml:space="preserve">Price (Cameras, North America)</t>
  </si>
  <si>
    <t xml:space="preserve">mkt.camera.ea.price</t>
  </si>
  <si>
    <t xml:space="preserve">Price (Cameras, Europe-Africa)</t>
  </si>
  <si>
    <t xml:space="preserve">mkt.camera.ap.price</t>
  </si>
  <si>
    <t xml:space="preserve">Price (Cameras, Asia-Pacific)</t>
  </si>
  <si>
    <t xml:space="preserve">mkt.camera.la.price</t>
  </si>
  <si>
    <t xml:space="preserve">Price (Cameras, Latin America)</t>
  </si>
  <si>
    <t xml:space="preserve">mkt.drone.na.price</t>
  </si>
  <si>
    <t xml:space="preserve">Price (Drones, North America)</t>
  </si>
  <si>
    <t xml:space="preserve">mkt.drone.ea.price</t>
  </si>
  <si>
    <t xml:space="preserve">Price (Drones, Europe-Africa)</t>
  </si>
  <si>
    <t xml:space="preserve">mkt.drone.ap.price</t>
  </si>
  <si>
    <t xml:space="preserve">Price (Drones, Asia-Pacific)</t>
  </si>
  <si>
    <t xml:space="preserve">mkt.drone.la.price</t>
  </si>
  <si>
    <t xml:space="preserve">Price (Drones, Latin America)</t>
  </si>
  <si>
    <t xml:space="preserve">mkt.camera.na.ads</t>
  </si>
  <si>
    <t xml:space="preserve">Advertising (Cameras, North America)</t>
  </si>
  <si>
    <t xml:space="preserve">mkt.camera.ea.ads</t>
  </si>
  <si>
    <t xml:space="preserve">Advertising (Cameras, Europe-Africa)</t>
  </si>
  <si>
    <t xml:space="preserve">mkt.camera.ap.ads</t>
  </si>
  <si>
    <t xml:space="preserve">Advertising (Cameras, Asia-Pacific)</t>
  </si>
  <si>
    <t xml:space="preserve">mkt.camera.la.ads</t>
  </si>
  <si>
    <t xml:space="preserve">Advertising (Cameras, Latin America)</t>
  </si>
  <si>
    <t xml:space="preserve">mkt.drone.na.ads</t>
  </si>
  <si>
    <t xml:space="preserve">Advertising (Drones, North America)</t>
  </si>
  <si>
    <t xml:space="preserve">mkt.drone.ea.ads</t>
  </si>
  <si>
    <t xml:space="preserve">Advertising (Drones, Europe-Africa)</t>
  </si>
  <si>
    <t xml:space="preserve">mkt.drone.ap.ads</t>
  </si>
  <si>
    <t xml:space="preserve">Advertising (Drones, Asia-Pacific)</t>
  </si>
  <si>
    <t xml:space="preserve">mkt.drone.la.ads</t>
  </si>
  <si>
    <t xml:space="preserve">Advertising (Drones, Latin America)</t>
  </si>
  <si>
    <t xml:space="preserve">mkt.camera.na.promo</t>
  </si>
  <si>
    <t xml:space="preserve">Retailer support / promotions (Cameras, North America)</t>
  </si>
  <si>
    <t xml:space="preserve">per screen</t>
  </si>
  <si>
    <t xml:space="preserve">mkt.camera.ea.promo</t>
  </si>
  <si>
    <t xml:space="preserve">Retailer support / promotions (Cameras, Europe-Africa)</t>
  </si>
  <si>
    <t xml:space="preserve">mkt.camera.ap.promo</t>
  </si>
  <si>
    <t xml:space="preserve">Retailer support / promotions (Cameras, Asia-Pacific)</t>
  </si>
  <si>
    <t xml:space="preserve">mkt.camera.la.promo</t>
  </si>
  <si>
    <t xml:space="preserve">Retailer support / promotions (Cameras, Latin America)</t>
  </si>
  <si>
    <t xml:space="preserve">mkt.drone.na.promo</t>
  </si>
  <si>
    <t xml:space="preserve">Retailer support / promotions (Drones, North America)</t>
  </si>
  <si>
    <t xml:space="preserve">mkt.drone.ea.promo</t>
  </si>
  <si>
    <t xml:space="preserve">Retailer support / promotions (Drones, Europe-Africa)</t>
  </si>
  <si>
    <t xml:space="preserve">mkt.drone.ap.promo</t>
  </si>
  <si>
    <t xml:space="preserve">Retailer support / promotions (Drones, Asia-Pacific)</t>
  </si>
  <si>
    <t xml:space="preserve">mkt.drone.la.promo</t>
  </si>
  <si>
    <t xml:space="preserve">Retailer support / promotions (Drones, Latin America)</t>
  </si>
  <si>
    <t xml:space="preserve">mkt.camera.na.warranty</t>
  </si>
  <si>
    <t xml:space="preserve">Warranty (Cameras, North America)</t>
  </si>
  <si>
    <t xml:space="preserve">days</t>
  </si>
  <si>
    <t xml:space="preserve">mkt.camera.ea.warranty</t>
  </si>
  <si>
    <t xml:space="preserve">Warranty (Cameras, Europe-Africa)</t>
  </si>
  <si>
    <t xml:space="preserve">mkt.camera.ap.warranty</t>
  </si>
  <si>
    <t xml:space="preserve">Warranty (Cameras, Asia-Pacific)</t>
  </si>
  <si>
    <t xml:space="preserve">mkt.camera.la.warranty</t>
  </si>
  <si>
    <t xml:space="preserve">Warranty (Cameras, Latin America)</t>
  </si>
  <si>
    <t xml:space="preserve">mkt.drone.na.warranty</t>
  </si>
  <si>
    <t xml:space="preserve">Warranty (Drones, North America)</t>
  </si>
  <si>
    <t xml:space="preserve">mkt.drone.ea.warranty</t>
  </si>
  <si>
    <t xml:space="preserve">Warranty (Drones, Europe-Africa)</t>
  </si>
  <si>
    <t xml:space="preserve">mkt.drone.ap.warranty</t>
  </si>
  <si>
    <t xml:space="preserve">Warranty (Drones, Asia-Pacific)</t>
  </si>
  <si>
    <t xml:space="preserve">mkt.drone.la.warranty</t>
  </si>
  <si>
    <t xml:space="preserve">Warranty (Drones, Latin America)</t>
  </si>
  <si>
    <t xml:space="preserve">ops.camera.workstations</t>
  </si>
  <si>
    <t xml:space="preserve">Assembly operations</t>
  </si>
  <si>
    <t xml:space="preserve">Workstations (Cameras)</t>
  </si>
  <si>
    <t xml:space="preserve">ops.drone.workstations</t>
  </si>
  <si>
    <t xml:space="preserve">Workstations (Drones)</t>
  </si>
  <si>
    <t xml:space="preserve">ops.camera.overtime</t>
  </si>
  <si>
    <t xml:space="preserve">Overtime (Cameras)</t>
  </si>
  <si>
    <t xml:space="preserve">%</t>
  </si>
  <si>
    <t xml:space="preserve">ops.drone.overtime</t>
  </si>
  <si>
    <t xml:space="preserve">Overtime (Drones)</t>
  </si>
  <si>
    <t xml:space="preserve">ops.camera.training</t>
  </si>
  <si>
    <t xml:space="preserve">Best-practice training (Cameras)</t>
  </si>
  <si>
    <t xml:space="preserve">$ per worker</t>
  </si>
  <si>
    <t xml:space="preserve">ops.drone.training</t>
  </si>
  <si>
    <t xml:space="preserve">Best-practice training (Drones)</t>
  </si>
  <si>
    <t xml:space="preserve">comp.base</t>
  </si>
  <si>
    <t xml:space="preserve">Compensation</t>
  </si>
  <si>
    <t xml:space="preserve">Base wage</t>
  </si>
  <si>
    <t xml:space="preserve">comp.incentive</t>
  </si>
  <si>
    <t xml:space="preserve">Incentive pay</t>
  </si>
  <si>
    <t xml:space="preserve">$ per unit</t>
  </si>
  <si>
    <t xml:space="preserve">comp.fringe</t>
  </si>
  <si>
    <t xml:space="preserve">Fringe benefits</t>
  </si>
  <si>
    <t xml:space="preserve">csr.budget</t>
  </si>
  <si>
    <t xml:space="preserve">Corporate citizenship</t>
  </si>
  <si>
    <t xml:space="preserve">CSR / citizenship spending</t>
  </si>
  <si>
    <t xml:space="preserve">csr.programs</t>
  </si>
  <si>
    <t xml:space="preserve">Programs in place</t>
  </si>
  <si>
    <t xml:space="preserve">fin.st_loan</t>
  </si>
  <si>
    <t xml:space="preserve">Finance</t>
  </si>
  <si>
    <t xml:space="preserve">Short-term loan</t>
  </si>
  <si>
    <t xml:space="preserve">fin.lt_loan</t>
  </si>
  <si>
    <t xml:space="preserve">Long-term loan</t>
  </si>
  <si>
    <t xml:space="preserve">fin.stock_issue</t>
  </si>
  <si>
    <t xml:space="preserve">Stock issue</t>
  </si>
  <si>
    <t xml:space="preserve">000s shares</t>
  </si>
  <si>
    <t xml:space="preserve">fin.buyback</t>
  </si>
  <si>
    <t xml:space="preserve">Stock buyback</t>
  </si>
  <si>
    <t xml:space="preserve">fin.dividend</t>
  </si>
  <si>
    <t xml:space="preserve">Dividend per share</t>
  </si>
  <si>
    <t xml:space="preserve">kpi.eps</t>
  </si>
  <si>
    <t xml:space="preserve">Projected KPIs (from the game's projections)</t>
  </si>
  <si>
    <t xml:space="preserve">Projected EPS</t>
  </si>
  <si>
    <t xml:space="preserve">kpi.roe</t>
  </si>
  <si>
    <t xml:space="preserve">Projected ROE</t>
  </si>
  <si>
    <t xml:space="preserve">kpi.stock</t>
  </si>
  <si>
    <t xml:space="preserve">Projected stock price</t>
  </si>
  <si>
    <t xml:space="preserve">kpi.credit</t>
  </si>
  <si>
    <t xml:space="preserve">Projected credit rating</t>
  </si>
  <si>
    <t xml:space="preserve">kpi.image</t>
  </si>
  <si>
    <t xml:space="preserve">Projected image rating</t>
  </si>
  <si>
    <t xml:space="preserve">score</t>
  </si>
  <si>
    <t xml:space="preserve">Change vs the year before (numbers only); amber = bigger than the threshold</t>
  </si>
  <si>
    <t xml:space="preserve">Key</t>
  </si>
  <si>
    <t xml:space="preserve">Guardrail: price and advertising cut in the same year (course rule: protect gross margin)</t>
  </si>
  <si>
    <t xml:space="preserve">Product, region</t>
  </si>
  <si>
    <t xml:space="preserve">Cameras, North America</t>
  </si>
  <si>
    <t xml:space="preserve">Cameras, Europe-Africa</t>
  </si>
  <si>
    <t xml:space="preserve">Cameras, Asia-Pacific</t>
  </si>
  <si>
    <t xml:space="preserve">Cameras, Latin America</t>
  </si>
  <si>
    <t xml:space="preserve">Drones, North America</t>
  </si>
  <si>
    <t xml:space="preserve">Drones, Europe-Africa</t>
  </si>
  <si>
    <t xml:space="preserve">Drones, Asia-Pacific</t>
  </si>
  <si>
    <t xml:space="preserve">Drones, Latin America</t>
  </si>
  <si>
    <t xml:space="preserve">How to use: 1) plan the year in its column; 2) enter the same values in GLO-BUS and test the projections; 3) record the projected KPIs; 4) after entering, run 'check our GLO-BUS entries against the plan' (GLO-BUS Capture), which reads the screens and flags any difference. Nothing is uploaded or entered for you.</t>
  </si>
  <si>
    <t xml:space="preserve">Labels follow the usual GLO-BUS screens; if your version differs, rename the Decision column but keep the Key column unchanged (the plan check uses it).</t>
  </si>
  <si>
    <t xml:space="preserve">GLO-BUS Year 6 results</t>
  </si>
  <si>
    <t xml:space="preserve">From the team's capture of this year's reports. Correct any value that was misread. Figures in the units shown; edit the cream cells.</t>
  </si>
  <si>
    <t xml:space="preserve">Scored KPI</t>
  </si>
  <si>
    <t xml:space="preserve">Investor expectation</t>
  </si>
  <si>
    <t xml:space="preserve">Gap</t>
  </si>
  <si>
    <t xml:space="preserve">Met?</t>
  </si>
  <si>
    <t xml:space="preserve">Earnings per share (EPS)</t>
  </si>
  <si>
    <t xml:space="preserve">Return on equity (ROE)</t>
  </si>
  <si>
    <t xml:space="preserve">Stock price</t>
  </si>
  <si>
    <t xml:space="preserve">Credit rating</t>
  </si>
  <si>
    <t xml:space="preserve">B+</t>
  </si>
  <si>
    <t xml:space="preserve">BB</t>
  </si>
  <si>
    <t xml:space="preserve">Image rating</t>
  </si>
  <si>
    <t xml:space="preserve">Company result</t>
  </si>
  <si>
    <t xml:space="preserve">Value</t>
  </si>
  <si>
    <t xml:space="preserve">Overall score (points)</t>
  </si>
  <si>
    <t xml:space="preserve">Rank in the industry (rank)</t>
  </si>
  <si>
    <t xml:space="preserve">Net revenues ($000s)</t>
  </si>
  <si>
    <t xml:space="preserve">Net profit ($000s)</t>
  </si>
  <si>
    <t xml:space="preserve">Ending cash ($000s)</t>
  </si>
  <si>
    <t xml:space="preserve">Product result</t>
  </si>
  <si>
    <t xml:space="preserve">Cameras</t>
  </si>
  <si>
    <t xml:space="preserve">Drones</t>
  </si>
  <si>
    <t xml:space="preserve">Units sold (000s)</t>
  </si>
  <si>
    <t xml:space="preserve">Average price ($)</t>
  </si>
  <si>
    <t xml:space="preserve">P/Q rating (stars)</t>
  </si>
  <si>
    <t xml:space="preserve">Cost per unit ($)</t>
  </si>
  <si>
    <t xml:space="preserve">Operating margin (%)</t>
  </si>
  <si>
    <t xml:space="preserve">Industry average price ($)</t>
  </si>
  <si>
    <t xml:space="preserve">Industry average P/Q (stars)</t>
  </si>
  <si>
    <t xml:space="preserve">Industry average cost per unit ($)</t>
  </si>
  <si>
    <t xml:space="preserve">Price vs industry average</t>
  </si>
  <si>
    <t xml:space="preserve">Cost per unit vs industry average</t>
  </si>
  <si>
    <t xml:space="preserve">Market share (%)</t>
  </si>
  <si>
    <t xml:space="preserve">North America</t>
  </si>
  <si>
    <t xml:space="preserve">Europe-Africa</t>
  </si>
  <si>
    <t xml:space="preserve">Asia-Pacific</t>
  </si>
  <si>
    <t xml:space="preserve">Latin America</t>
  </si>
  <si>
    <t xml:space="preserve">Average across regions</t>
  </si>
  <si>
    <t xml:space="preserve">Decision entered this year</t>
  </si>
  <si>
    <t xml:space="preserve">CIR: company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</si>
  <si>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</si>
  <si>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</si>
  <si>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</si>
  <si>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</si>
  <si>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</si>
  <si>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</si>
  <si>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</si>
  <si>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</si>
  <si>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GLO-BUS Year 7 results</t>
  </si>
  <si>
    <t xml:space="preserve">BB-</t>
  </si>
  <si>
    <t xml:space="preserve">GLO-BUS trends</t>
  </si>
  <si>
    <t xml:space="preserve">Pulled by formula from the Year tabs. Rebuild the workbook after each round to add the new year. Charts update when a Year tab changes.</t>
  </si>
  <si>
    <t xml:space="preserve">EPS</t>
  </si>
  <si>
    <t xml:space="preserve">AAA</t>
  </si>
  <si>
    <t xml:space="preserve">EPS expectation</t>
  </si>
  <si>
    <t xml:space="preserve">AA+</t>
  </si>
  <si>
    <t xml:space="preserve">ROE</t>
  </si>
  <si>
    <t xml:space="preserve">AA</t>
  </si>
  <si>
    <t xml:space="preserve">ROE expectation</t>
  </si>
  <si>
    <t xml:space="preserve">AA-</t>
  </si>
  <si>
    <t xml:space="preserve">A+</t>
  </si>
  <si>
    <t xml:space="preserve">Stock price expectation</t>
  </si>
  <si>
    <t xml:space="preserve">A-</t>
  </si>
  <si>
    <t xml:space="preserve">Credit rating score (AAA = 21)</t>
  </si>
  <si>
    <t xml:space="preserve">BBB+</t>
  </si>
  <si>
    <t xml:space="preserve">BBB</t>
  </si>
  <si>
    <t xml:space="preserve">Image rating expectation</t>
  </si>
  <si>
    <t xml:space="preserve">BBB-</t>
  </si>
  <si>
    <t xml:space="preserve">Overall score</t>
  </si>
  <si>
    <t xml:space="preserve">BB+</t>
  </si>
  <si>
    <t xml:space="preserve">Cameras: market share (avg %)</t>
  </si>
  <si>
    <t xml:space="preserve">B-</t>
  </si>
  <si>
    <t xml:space="preserve">Drones: market share (avg %)</t>
  </si>
  <si>
    <t xml:space="preserve">CCC+</t>
  </si>
  <si>
    <t xml:space="preserve">Cameras: cost per unit ($)</t>
  </si>
  <si>
    <t xml:space="preserve">CCC</t>
  </si>
  <si>
    <t xml:space="preserve">Cameras: industry cost per unit ($)</t>
  </si>
  <si>
    <t xml:space="preserve">CCC-</t>
  </si>
  <si>
    <t xml:space="preserve">Drones: cost per unit ($)</t>
  </si>
  <si>
    <t xml:space="preserve">CC</t>
  </si>
  <si>
    <t xml:space="preserve">Drones: industry cost per unit ($)</t>
  </si>
  <si>
    <t xml:space="preserve">Cameras: price ($)</t>
  </si>
  <si>
    <t xml:space="preserve">Drones: price ($)</t>
  </si>
  <si>
    <t xml:space="preserve">Cameras: P/Q</t>
  </si>
  <si>
    <t xml:space="preserve">Drones: P/Q</t>
  </si>
  <si>
    <t xml:space="preserve">Cameras: operating margin</t>
  </si>
  <si>
    <t xml:space="preserve">Drones: operating margin</t>
  </si>
  <si>
    <t xml:space="preserve">Cameras: industry price ($)</t>
  </si>
  <si>
    <t xml:space="preserve">Drones: industry price ($)</t>
  </si>
  <si>
    <t xml:space="preserve">Cameras: industry P/Q</t>
  </si>
  <si>
    <t xml:space="preserve">Drones: industry P/Q</t>
  </si>
  <si>
    <t xml:space="preserve">Cameras: price vs industry</t>
  </si>
  <si>
    <t xml:space="preserve">Cameras: cost per unit vs industry</t>
  </si>
  <si>
    <t xml:space="preserve">Drones: price vs industry</t>
  </si>
  <si>
    <t xml:space="preserve">Drones: cost per unit vs industry</t>
  </si>
  <si>
    <t xml:space="preserve">Where you stand: the rivals</t>
  </si>
  <si>
    <t xml:space="preserve">Only what the class-wide reports show every team (scoreboard, Competitive Intelligence Report). Nothing is taken from another team's screens. Rebuild after each round.</t>
  </si>
  <si>
    <t xml:space="preserve">Company A</t>
  </si>
  <si>
    <t xml:space="preserve">Company B</t>
  </si>
  <si>
    <t xml:space="preserve">Company C  (you)</t>
  </si>
  <si>
    <t xml:space="preserve">Company D</t>
  </si>
  <si>
    <t xml:space="preserve">Company E</t>
  </si>
  <si>
    <t xml:space="preserve">Company F</t>
  </si>
  <si>
    <t xml:space="preserve">Company G</t>
  </si>
  <si>
    <t xml:space="preserve">Company H</t>
  </si>
  <si>
    <t xml:space="preserve">Cameras: market share (%)</t>
  </si>
  <si>
    <t xml:space="preserve">Drones: market share (%)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</si>
</sst>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"/>
    <numFmt numFmtId="166" formatCode="0.0"/>
    <numFmt numFmtId="167" formatCode="0%"/>
    <numFmt numFmtId="168" formatCode="0.00"/>
    <numFmt numFmtId="169" formatCode="0.0%"/>
    <numFmt numFmtId="170" formatCode="#,##0"/>
    <numFmt numFmtId="171" formatCode="\$#,##0"/>
    <numFmt numFmtId="172" formatCode="\$#,##0;&quot;($&quot;#,##0\);\-"/>
    <numFmt numFmtId="173" formatCode="\$#,##0,,\M"/>
    <numFmt numFmtId="174" formatCode="General"/>
    <numFmt numFmtId="175" formatCode="#,##0.00"/>
    <numFmt numFmtId="176" formatCode="\$#,##0.00"/>
    <numFmt numFmtId="177" formatCode="\$0.00"/>
    <numFmt numFmtId="178" formatCode="\+0;\-0;0"/>
    <numFmt numFmtId="179" formatCode="\+0.0%;\-0.0%;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D3557"/>
      <name val="Arial"/>
      <family val="0"/>
      <charset val="1"/>
    </font>
    <font>
      <b val="true"/>
      <sz val="12"/>
      <color rgb="FFC9A5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D3557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8"/>
      <color rgb="FF888888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BBBBBB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D3557"/>
        <bgColor rgb="FF333399"/>
      </patternFill>
    </fill>
    <fill>
      <patternFill patternType="solid">
        <fgColor rgb="FFFFF9DB"/>
        <bgColor rgb="FFFFF0C2"/>
      </patternFill>
    </fill>
    <fill>
      <patternFill patternType="solid">
        <fgColor rgb="FFEEF2F7"/>
        <bgColor rgb="FFFFFFFF"/>
      </patternFill>
    </fill>
    <fill>
      <patternFill patternType="solid">
        <fgColor rgb="FFFBE9C9"/>
        <bgColor rgb="FFFFF0C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F0DF"/>
        </patternFill>
      </fill>
    </dxf>
    <dxf>
      <fill>
        <patternFill>
          <bgColor rgb="FFFFF0C2"/>
        </patternFill>
      </fill>
    </dxf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BBBBBB"/>
      <rgbColor rgb="FF878787"/>
      <rgbColor rgb="FF888888"/>
      <rgbColor rgb="FFC44536"/>
      <rgbColor rgb="FFFFF9DB"/>
      <rgbColor rgb="FFEEF2F7"/>
      <rgbColor rgb="FF660066"/>
      <rgbColor rgb="FFC9A55C"/>
      <rgbColor rgb="FF0066CC"/>
      <rgbColor rgb="FFC8CD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8F0DF"/>
      <rgbColor rgb="FFFFF0C2"/>
      <rgbColor rgb="FFA8DADC"/>
      <rgbColor rgb="FFFBE9C9"/>
      <rgbColor rgb="FFCC99FF"/>
      <rgbColor rgb="FFF8D7D3"/>
      <rgbColor rgb="FF457B9D"/>
      <rgbColor rgb="FF33CCCC"/>
      <rgbColor rgb="FF99CC00"/>
      <rgbColor rgb="FFFFCC00"/>
      <rgbColor rgb="FFFF9900"/>
      <rgbColor rgb="FFFF6600"/>
      <rgbColor rgb="FF6C757D"/>
      <rgbColor rgb="FF999999"/>
      <rgbColor rgb="FF1D3557"/>
      <rgbColor rgb="FF2D936C"/>
      <rgbColor rgb="FF003300"/>
      <rgbColor rgb="FF333300"/>
      <rgbColor rgb="FF993300"/>
      <rgbColor rgb="FF8D6A9F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Tornado: change in NPV from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'Risk Analysis'!E31</c:f>
              <c:strCache>
                <c:ptCount val="1"/>
                <c:pt idx="0">
                  <c:v>Low − plan</c:v>
                </c:pt>
              </c:strCache>
            </c:strRef>
          </c:tx>
          <c:spPr>
            <a:solidFill>
              <a:srgbClr val="c44536"/>
            </a:solidFill>
            <a:ln w="0">
              <a:solidFill>
                <a:srgbClr val="c4453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Analysis'!$E$32:$E$37</c:f>
              <c:numCache>
                <c:formatCode>\$#,##0;"($"#,##0\);\-</c:formatCode>
                <c:ptCount val="6"/>
                <c:pt idx="0">
                  <c:v>-556163357.34643</c:v>
                </c:pt>
                <c:pt idx="1">
                  <c:v>-597697671.18242</c:v>
                </c:pt>
                <c:pt idx="2">
                  <c:v>234520205.152405</c:v>
                </c:pt>
                <c:pt idx="3">
                  <c:v>113815809.898728</c:v>
                </c:pt>
                <c:pt idx="4">
                  <c:v>68958129.8795793</c:v>
                </c:pt>
                <c:pt idx="5">
                  <c:v>26952493.9304941</c:v>
                </c:pt>
              </c:numCache>
            </c:numRef>
          </c:val>
        </c:ser>
        <c:ser>
          <c:idx val="1"/>
          <c:order val="1"/>
          <c:tx>
            <c:strRef>
              <c:f>'Risk Analysis'!F31</c:f>
              <c:strCache>
                <c:ptCount val="1"/>
                <c:pt idx="0">
                  <c:v>High − plan</c:v>
                </c:pt>
              </c:strCache>
            </c:strRef>
          </c:tx>
          <c:spPr>
            <a:solidFill>
              <a:srgbClr val="1d3557"/>
            </a:solidFill>
            <a:ln w="0">
              <a:solidFill>
                <a:srgbClr val="1d355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Analysis'!$A$32:$A$37</c:f>
              <c:strCache>
                <c:ptCount val="6"/>
                <c:pt idx="0">
                  <c:v>Units</c:v>
                </c:pt>
                <c:pt idx="1">
                  <c:v>Price per unit</c:v>
                </c:pt>
                <c:pt idx="2">
                  <c:v>Variable cost per unit</c:v>
                </c:pt>
                <c:pt idx="3">
                  <c:v>Capex</c:v>
                </c:pt>
                <c:pt idx="4">
                  <c:v>Discount rate (absolute)</c:v>
                </c:pt>
                <c:pt idx="5">
                  <c:v>Fixed costs</c:v>
                </c:pt>
              </c:strCache>
            </c:strRef>
          </c:cat>
          <c:val>
            <c:numRef>
              <c:f>'Risk Analysis'!$F$32:$F$37</c:f>
              <c:numCache>
                <c:formatCode>\$#,##0;"($"#,##0\);\-</c:formatCode>
                <c:ptCount val="6"/>
                <c:pt idx="0">
                  <c:v>417122518.009823</c:v>
                </c:pt>
                <c:pt idx="1">
                  <c:v>298848835.59121</c:v>
                </c:pt>
                <c:pt idx="2">
                  <c:v>-375232328.243848</c:v>
                </c:pt>
                <c:pt idx="3">
                  <c:v>-455263239.594911</c:v>
                </c:pt>
                <c:pt idx="4">
                  <c:v>-128773005.650056</c:v>
                </c:pt>
                <c:pt idx="5">
                  <c:v>-53904987.8609881</c:v>
                </c:pt>
              </c:numCache>
            </c:numRef>
          </c:val>
        </c:ser>
        <c:gapWidth val="150"/>
        <c:overlap val="100"/>
        <c:axId val="84751451"/>
        <c:axId val="21692160"/>
      </c:barChart>
      <c:catAx>
        <c:axId val="847514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92160"/>
        <c:crosses val="autoZero"/>
        <c:auto val="1"/>
        <c:lblAlgn val="ctr"/>
        <c:lblOffset val="100"/>
        <c:noMultiLvlLbl val="0"/>
      </c:catAx>
      <c:valAx>
        <c:axId val="21692160"/>
        <c:scaling>
          <c:orientation val="minMax"/>
        </c:scaling>
        <c:delete val="0"/>
        <c:axPos val="l"/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5145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NPV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Analysis'!C58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d355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Analysis'!$B$59:$B$78</c:f>
              <c:strCache>
                <c:ptCount val="20"/>
                <c:pt idx="0">
                  <c:v>-$1,201M</c:v>
                </c:pt>
                <c:pt idx="1">
                  <c:v>-$1,109M</c:v>
                </c:pt>
                <c:pt idx="2">
                  <c:v>-$1,016M</c:v>
                </c:pt>
                <c:pt idx="3">
                  <c:v>-$924M</c:v>
                </c:pt>
                <c:pt idx="4">
                  <c:v>-$832M</c:v>
                </c:pt>
                <c:pt idx="5">
                  <c:v>-$739M</c:v>
                </c:pt>
                <c:pt idx="6">
                  <c:v>-$647M</c:v>
                </c:pt>
                <c:pt idx="7">
                  <c:v>-$554M</c:v>
                </c:pt>
                <c:pt idx="8">
                  <c:v>-$462M</c:v>
                </c:pt>
                <c:pt idx="9">
                  <c:v>-$370M</c:v>
                </c:pt>
                <c:pt idx="10">
                  <c:v>-$277M</c:v>
                </c:pt>
                <c:pt idx="11">
                  <c:v>-$185M</c:v>
                </c:pt>
                <c:pt idx="12">
                  <c:v>-$93M</c:v>
                </c:pt>
                <c:pt idx="13">
                  <c:v>$0M</c:v>
                </c:pt>
                <c:pt idx="14">
                  <c:v>$92M</c:v>
                </c:pt>
                <c:pt idx="15">
                  <c:v>$184M</c:v>
                </c:pt>
                <c:pt idx="16">
                  <c:v>$277M</c:v>
                </c:pt>
                <c:pt idx="17">
                  <c:v>$369M</c:v>
                </c:pt>
                <c:pt idx="18">
                  <c:v>$461M</c:v>
                </c:pt>
                <c:pt idx="19">
                  <c:v>$554M</c:v>
                </c:pt>
              </c:strCache>
            </c:strRef>
          </c:cat>
          <c:val>
            <c:numRef>
              <c:f>'Risk Analysis'!$C$59:$C$78</c:f>
              <c:numCache>
                <c:formatCode>0</c:formatCode>
                <c:ptCount val="20"/>
                <c:pt idx="0">
                  <c:v>4</c:v>
                </c:pt>
                <c:pt idx="1">
                  <c:v>3</c:v>
                </c:pt>
                <c:pt idx="2">
                  <c:v>10</c:v>
                </c:pt>
                <c:pt idx="3">
                  <c:v>21</c:v>
                </c:pt>
                <c:pt idx="4">
                  <c:v>29</c:v>
                </c:pt>
                <c:pt idx="5">
                  <c:v>52</c:v>
                </c:pt>
                <c:pt idx="6">
                  <c:v>84</c:v>
                </c:pt>
                <c:pt idx="7">
                  <c:v>97</c:v>
                </c:pt>
                <c:pt idx="8">
                  <c:v>100</c:v>
                </c:pt>
                <c:pt idx="9">
                  <c:v>121</c:v>
                </c:pt>
                <c:pt idx="10">
                  <c:v>94</c:v>
                </c:pt>
                <c:pt idx="11">
                  <c:v>116</c:v>
                </c:pt>
                <c:pt idx="12">
                  <c:v>90</c:v>
                </c:pt>
                <c:pt idx="13">
                  <c:v>65</c:v>
                </c:pt>
                <c:pt idx="14">
                  <c:v>55</c:v>
                </c:pt>
                <c:pt idx="15">
                  <c:v>23</c:v>
                </c:pt>
                <c:pt idx="16">
                  <c:v>25</c:v>
                </c:pt>
                <c:pt idx="17">
                  <c:v>6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</c:ser>
        <c:gapWidth val="10"/>
        <c:overlap val="0"/>
        <c:axId val="79079491"/>
        <c:axId val="1279712"/>
      </c:barChart>
      <c:catAx>
        <c:axId val="79079491"/>
        <c:scaling>
          <c:orientation val="minMax"/>
        </c:scaling>
        <c:delete val="0"/>
        <c:axPos val="b"/>
        <c:numFmt formatCode="\$#,##0,,\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9712"/>
        <c:crosses val="autoZero"/>
        <c:auto val="1"/>
        <c:lblAlgn val="ctr"/>
        <c:lblOffset val="100"/>
        <c:noMultiLvlLbl val="0"/>
      </c:catAx>
      <c:valAx>
        <c:axId val="127971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794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EPS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Tracking!A6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Tracking!$B$6:$C$6</c:f>
              <c:numCache>
                <c:formatCode>\$0.00</c:formatCode>
                <c:ptCount val="2"/>
                <c:pt idx="0">
                  <c:v>1.85</c:v>
                </c:pt>
                <c:pt idx="1">
                  <c:v>2.1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Tracking!A7</c:f>
              <c:strCache>
                <c:ptCount val="1"/>
                <c:pt idx="0">
                  <c:v>EPS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Tracking!$B$7:$C$7</c:f>
              <c:numCache>
                <c:formatCode>\$0.00</c:formatCode>
                <c:ptCount val="2"/>
                <c:pt idx="0">
                  <c:v>2</c:v>
                </c:pt>
                <c:pt idx="1">
                  <c:v>2.15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310367"/>
        <c:axId val="57918951"/>
      </c:lineChart>
      <c:catAx>
        <c:axId val="5031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18951"/>
        <c:crosses val="autoZero"/>
        <c:auto val="1"/>
        <c:lblAlgn val="ctr"/>
        <c:lblOffset val="100"/>
        <c:noMultiLvlLbl val="0"/>
      </c:catAx>
      <c:valAx>
        <c:axId val="57918951"/>
        <c:scaling>
          <c:orientation val="minMax"/>
        </c:scaling>
        <c:delete val="0"/>
        <c:axPos val="l"/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103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ROE vs investor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Tracking!A8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Tracking!$B$8:$C$8</c:f>
              <c:numCache>
                <c:formatCode>0.0%</c:formatCode>
                <c:ptCount val="2"/>
                <c:pt idx="0">
                  <c:v>0.142</c:v>
                </c:pt>
                <c:pt idx="1">
                  <c:v>0.155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Tracking!A9</c:f>
              <c:strCache>
                <c:ptCount val="1"/>
                <c:pt idx="0">
                  <c:v>ROE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Tracking!$B$9:$C$9</c:f>
              <c:numCache>
                <c:formatCode>0.0%</c:formatCode>
                <c:ptCount val="2"/>
                <c:pt idx="0">
                  <c:v>0.15</c:v>
                </c:pt>
                <c:pt idx="1">
                  <c:v>0.155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582986"/>
        <c:axId val="17436704"/>
      </c:lineChart>
      <c:catAx>
        <c:axId val="815829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436704"/>
        <c:crosses val="autoZero"/>
        <c:auto val="1"/>
        <c:lblAlgn val="ctr"/>
        <c:lblOffset val="100"/>
        <c:noMultiLvlLbl val="0"/>
      </c:catAx>
      <c:valAx>
        <c:axId val="1743670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829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 price vs expectation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Tracking!A10</c:f>
              <c:strCache>
                <c:ptCount val="1"/>
                <c:pt idx="0">
                  <c:v>Stock price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Tracking!$B$10:$C$10</c:f>
              <c:numCache>
                <c:formatCode>\$0.00</c:formatCode>
                <c:ptCount val="2"/>
                <c:pt idx="0">
                  <c:v>22.4</c:v>
                </c:pt>
                <c:pt idx="1">
                  <c:v>26.1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Tracking!A11</c:f>
              <c:strCache>
                <c:ptCount val="1"/>
                <c:pt idx="0">
                  <c:v>Stock price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Tracking!$B$11:$C$11</c:f>
              <c:numCache>
                <c:formatCode>\$0.00</c:formatCode>
                <c:ptCount val="2"/>
                <c:pt idx="0">
                  <c:v>25</c:v>
                </c:pt>
                <c:pt idx="1">
                  <c:v>27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845324"/>
        <c:axId val="78011319"/>
      </c:lineChart>
      <c:catAx>
        <c:axId val="318453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011319"/>
        <c:crosses val="autoZero"/>
        <c:auto val="1"/>
        <c:lblAlgn val="ctr"/>
        <c:lblOffset val="100"/>
        <c:noMultiLvlLbl val="0"/>
      </c:catAx>
      <c:valAx>
        <c:axId val="78011319"/>
        <c:scaling>
          <c:orientation val="minMax"/>
        </c:scaling>
        <c:delete val="0"/>
        <c:axPos val="l"/>
        <c:numFmt formatCode="\$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84532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Image rating and credit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Tracking!A14</c:f>
              <c:strCache>
                <c:ptCount val="1"/>
                <c:pt idx="0">
                  <c:v>Image rating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Tracking!$B$14:$C$14</c:f>
              <c:numCache>
                <c:formatCode>0</c:formatCode>
                <c:ptCount val="2"/>
                <c:pt idx="0">
                  <c:v>68</c:v>
                </c:pt>
                <c:pt idx="1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Tracking!A15</c:f>
              <c:strCache>
                <c:ptCount val="1"/>
                <c:pt idx="0">
                  <c:v>Image rating expectation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Tracking!$B$15:$C$15</c:f>
              <c:numCache>
                <c:formatCode>0</c:formatCode>
                <c:ptCount val="2"/>
                <c:pt idx="0">
                  <c:v>70</c:v>
                </c:pt>
                <c:pt idx="1">
                  <c:v>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Tracking!A13</c:f>
              <c:strCache>
                <c:ptCount val="1"/>
                <c:pt idx="0">
                  <c:v>Credit rating score (AAA = 21)</c:v>
                </c:pt>
              </c:strCache>
            </c:strRef>
          </c:tx>
          <c:spPr>
            <a:solidFill>
              <a:srgbClr val="2d936c"/>
            </a:solidFill>
            <a:ln w="2808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Tracking!$B$13:$C$13</c:f>
              <c:numCache>
                <c:formatCode>0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678177"/>
        <c:axId val="80800322"/>
      </c:lineChart>
      <c:catAx>
        <c:axId val="176781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00322"/>
        <c:crosses val="autoZero"/>
        <c:auto val="1"/>
        <c:lblAlgn val="ctr"/>
        <c:lblOffset val="100"/>
        <c:noMultiLvlLbl val="0"/>
      </c:catAx>
      <c:valAx>
        <c:axId val="8080032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781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share (average of regions,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Tracking!A21</c:f>
              <c:strCache>
                <c:ptCount val="1"/>
                <c:pt idx="0">
                  <c:v>Cameras: market share (avg %)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Tracking!$B$21:$C$21</c:f>
              <c:numCache>
                <c:formatCode>0.0</c:formatCode>
                <c:ptCount val="2"/>
                <c:pt idx="0">
                  <c:v>12.225</c:v>
                </c:pt>
                <c:pt idx="1">
                  <c:v>12.975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Tracking!A22</c:f>
              <c:strCache>
                <c:ptCount val="1"/>
                <c:pt idx="0">
                  <c:v>Drones: market share (avg %)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Tracking!$B$22:$C$22</c:f>
              <c:numCache>
                <c:formatCode>0.0</c:formatCode>
                <c:ptCount val="2"/>
                <c:pt idx="0">
                  <c:v>11.975</c:v>
                </c:pt>
                <c:pt idx="1">
                  <c:v>12.55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216783"/>
        <c:axId val="51774234"/>
      </c:lineChart>
      <c:catAx>
        <c:axId val="692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4234"/>
        <c:crosses val="autoZero"/>
        <c:auto val="1"/>
        <c:lblAlgn val="ctr"/>
        <c:lblOffset val="100"/>
        <c:noMultiLvlLbl val="0"/>
      </c:catAx>
      <c:valAx>
        <c:axId val="5177423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1678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per unit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Tracking!A23</c:f>
              <c:strCache>
                <c:ptCount val="1"/>
                <c:pt idx="0">
                  <c:v>Cameras: cost per unit ($)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Tracking!$B$23:$C$23</c:f>
              <c:numCache>
                <c:formatCode>\$#,##0</c:formatCode>
                <c:ptCount val="2"/>
                <c:pt idx="0">
                  <c:v>182</c:v>
                </c:pt>
                <c:pt idx="1">
                  <c:v>176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Tracking!A24</c:f>
              <c:strCache>
                <c:ptCount val="1"/>
                <c:pt idx="0">
                  <c:v>Cameras: industry cost per unit ($)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Tracking!$B$24:$C$24</c:f>
              <c:numCache>
                <c:formatCode>\$#,##0</c:formatCode>
                <c:ptCount val="2"/>
                <c:pt idx="0">
                  <c:v>186</c:v>
                </c:pt>
                <c:pt idx="1">
                  <c:v>184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Tracking!A25</c:f>
              <c:strCache>
                <c:ptCount val="1"/>
                <c:pt idx="0">
                  <c:v>Drones: cost per unit ($)</c:v>
                </c:pt>
              </c:strCache>
            </c:strRef>
          </c:tx>
          <c:spPr>
            <a:solidFill>
              <a:srgbClr val="2d936c"/>
            </a:solidFill>
            <a:ln w="2808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Tracking!$B$25:$C$25</c:f>
              <c:numCache>
                <c:formatCode>\$#,##0</c:formatCode>
                <c:ptCount val="2"/>
                <c:pt idx="0">
                  <c:v>905</c:v>
                </c:pt>
                <c:pt idx="1">
                  <c:v>884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Tracking!A26</c:f>
              <c:strCache>
                <c:ptCount val="1"/>
                <c:pt idx="0">
                  <c:v>Drones: industry cost per unit ($)</c:v>
                </c:pt>
              </c:strCache>
            </c:strRef>
          </c:tx>
          <c:spPr>
            <a:solidFill>
              <a:srgbClr val="c44536"/>
            </a:solidFill>
            <a:ln w="2808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Tracking!$B$26:$C$26</c:f>
              <c:numCache>
                <c:formatCode>\$#,##0</c:formatCode>
                <c:ptCount val="2"/>
                <c:pt idx="0">
                  <c:v>890</c:v>
                </c:pt>
                <c:pt idx="1">
                  <c:v>879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198115"/>
        <c:axId val="35197907"/>
      </c:lineChart>
      <c:catAx>
        <c:axId val="42198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97907"/>
        <c:crosses val="autoZero"/>
        <c:auto val="1"/>
        <c:lblAlgn val="ctr"/>
        <c:lblOffset val="100"/>
        <c:noMultiLvlLbl val="0"/>
      </c:catAx>
      <c:valAx>
        <c:axId val="35197907"/>
        <c:scaling>
          <c:orientation val="minMax"/>
        </c:scaling>
        <c:delete val="0"/>
        <c:axPos val="l"/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98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revenues and net profit ($000s)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Tracking!A18</c:f>
              <c:strCache>
                <c:ptCount val="1"/>
                <c:pt idx="0">
                  <c:v>Net revenues ($000s)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Tracking!$B$18:$C$18</c:f>
              <c:numCache>
                <c:formatCode>#,##0</c:formatCode>
                <c:ptCount val="2"/>
                <c:pt idx="0">
                  <c:v>412000</c:v>
                </c:pt>
                <c:pt idx="1">
                  <c:v>455000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Tracking!A19</c:f>
              <c:strCache>
                <c:ptCount val="1"/>
                <c:pt idx="0">
                  <c:v>Net profit ($000s)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Tracking!$B$19:$C$19</c:f>
              <c:numCache>
                <c:formatCode>#,##0</c:formatCode>
                <c:ptCount val="2"/>
                <c:pt idx="0">
                  <c:v>18500</c:v>
                </c:pt>
                <c:pt idx="1">
                  <c:v>21900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885958"/>
        <c:axId val="57970830"/>
      </c:lineChart>
      <c:catAx>
        <c:axId val="398859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70830"/>
        <c:crosses val="autoZero"/>
        <c:auto val="1"/>
        <c:lblAlgn val="ctr"/>
        <c:lblOffset val="100"/>
        <c:noMultiLvlLbl val="0"/>
      </c:catAx>
      <c:valAx>
        <c:axId val="5797083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859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margin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Tracking!A31</c:f>
              <c:strCache>
                <c:ptCount val="1"/>
                <c:pt idx="0">
                  <c:v>Cameras: operating margin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Tracking!$B$31:$C$31</c:f>
              <c:numCache>
                <c:formatCode>0.0%</c:formatCode>
                <c:ptCount val="2"/>
                <c:pt idx="0">
                  <c:v>0.11</c:v>
                </c:pt>
                <c:pt idx="1">
                  <c:v>0.125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Tracking!A32</c:f>
              <c:strCache>
                <c:ptCount val="1"/>
                <c:pt idx="0">
                  <c:v>Drones: operating margin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Tracking!$B$32:$C$32</c:f>
              <c:numCache>
                <c:formatCode>0.0%</c:formatCode>
                <c:ptCount val="2"/>
                <c:pt idx="0">
                  <c:v>0.09</c:v>
                </c:pt>
                <c:pt idx="1">
                  <c:v>0.105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5314089"/>
        <c:axId val="26526902"/>
      </c:lineChart>
      <c:catAx>
        <c:axId val="75314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26902"/>
        <c:crosses val="autoZero"/>
        <c:auto val="1"/>
        <c:lblAlgn val="ctr"/>
        <c:lblOffset val="100"/>
        <c:noMultiLvlLbl val="0"/>
      </c:catAx>
      <c:valAx>
        <c:axId val="2652690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140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Cameras: P/Q vs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Tracking!A29</c:f>
              <c:strCache>
                <c:ptCount val="1"/>
                <c:pt idx="0">
                  <c:v>Cameras: P/Q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Tracking!$B$29:$C$29</c:f>
              <c:numCache>
                <c:formatCode>0.0</c:formatCode>
                <c:ptCount val="2"/>
                <c:pt idx="0">
                  <c:v>4</c:v>
                </c:pt>
                <c:pt idx="1">
                  <c:v>4.2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Tracking!A35</c:f>
              <c:strCache>
                <c:ptCount val="1"/>
                <c:pt idx="0">
                  <c:v>Cameras: industry P/Q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Tracking!$B$35:$C$35</c:f>
              <c:numCache>
                <c:formatCode>0.0</c:formatCode>
                <c:ptCount val="2"/>
                <c:pt idx="0">
                  <c:v>4</c:v>
                </c:pt>
                <c:pt idx="1">
                  <c:v>4.1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616786"/>
        <c:axId val="9085577"/>
      </c:lineChart>
      <c:catAx>
        <c:axId val="166167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5577"/>
        <c:crosses val="autoZero"/>
        <c:auto val="1"/>
        <c:lblAlgn val="ctr"/>
        <c:lblOffset val="100"/>
        <c:noMultiLvlLbl val="0"/>
      </c:catAx>
      <c:valAx>
        <c:axId val="908557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16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Position vs industry: price premium and cost gap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Tracking!A37</c:f>
              <c:strCache>
                <c:ptCount val="1"/>
                <c:pt idx="0">
                  <c:v>Cameras: price vs industry</c:v>
                </c:pt>
              </c:strCache>
            </c:strRef>
          </c:tx>
          <c:spPr>
            <a:solidFill>
              <a:srgbClr val="1d3557"/>
            </a:solidFill>
            <a:ln w="2808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Tracking!$B$37:$C$37</c:f>
              <c:numCache>
                <c:formatCode>\+0.0%;\-0.0%;0.0%</c:formatCode>
                <c:ptCount val="2"/>
                <c:pt idx="0">
                  <c:v>-0.0434782608695652</c:v>
                </c:pt>
                <c:pt idx="1">
                  <c:v>-0.044280442804428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Tracking!A38</c:f>
              <c:strCache>
                <c:ptCount val="1"/>
                <c:pt idx="0">
                  <c:v>Cameras: cost per unit vs industry</c:v>
                </c:pt>
              </c:strCache>
            </c:strRef>
          </c:tx>
          <c:spPr>
            <a:solidFill>
              <a:srgbClr val="c9a55c"/>
            </a:solidFill>
            <a:ln w="28080">
              <a:solidFill>
                <a:srgbClr val="c9a55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Tracking!$B$38:$C$38</c:f>
              <c:numCache>
                <c:formatCode>\+0.0%;\-0.0%;0.0%</c:formatCode>
                <c:ptCount val="2"/>
                <c:pt idx="0">
                  <c:v>-0.021505376344086</c:v>
                </c:pt>
                <c:pt idx="1">
                  <c:v>-0.0434782608695652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Tracking!A39</c:f>
              <c:strCache>
                <c:ptCount val="1"/>
                <c:pt idx="0">
                  <c:v>Drones: price vs industry</c:v>
                </c:pt>
              </c:strCache>
            </c:strRef>
          </c:tx>
          <c:spPr>
            <a:solidFill>
              <a:srgbClr val="2d936c"/>
            </a:solidFill>
            <a:ln w="28080">
              <a:solidFill>
                <a:srgbClr val="2d936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Tracking!$B$39:$C$39</c:f>
              <c:numCache>
                <c:formatCode>\+0.0%;\-0.0%;0.0%</c:formatCode>
                <c:ptCount val="2"/>
                <c:pt idx="0">
                  <c:v>0.0351464435146442</c:v>
                </c:pt>
                <c:pt idx="1">
                  <c:v>0.0345117845117846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Tracking!A40</c:f>
              <c:strCache>
                <c:ptCount val="1"/>
                <c:pt idx="0">
                  <c:v>Drones: cost per unit vs industry</c:v>
                </c:pt>
              </c:strCache>
            </c:strRef>
          </c:tx>
          <c:spPr>
            <a:solidFill>
              <a:srgbClr val="c44536"/>
            </a:solidFill>
            <a:ln w="28080">
              <a:solidFill>
                <a:srgbClr val="c4453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Tracking!$B$5:$C$5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Tracking!$B$40:$C$40</c:f>
              <c:numCache>
                <c:formatCode>\+0.0%;\-0.0%;0.0%</c:formatCode>
                <c:ptCount val="2"/>
                <c:pt idx="0">
                  <c:v>0.0168539325842696</c:v>
                </c:pt>
                <c:pt idx="1">
                  <c:v>0.00568828213879402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808111"/>
        <c:axId val="28665479"/>
      </c:lineChart>
      <c:catAx>
        <c:axId val="1880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5479"/>
        <c:crosses val="autoZero"/>
        <c:auto val="1"/>
        <c:lblAlgn val="ctr"/>
        <c:lblOffset val="100"/>
        <c:noMultiLvlLbl val="0"/>
      </c:catAx>
      <c:valAx>
        <c:axId val="286654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0811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score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Rivals!A6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1512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Rivals!$B$6:$C$6</c:f>
              <c:numCache>
                <c:formatCode>0</c:formatCode>
                <c:ptCount val="2"/>
                <c:pt idx="0">
                  <c:v>81</c:v>
                </c:pt>
                <c:pt idx="1">
                  <c:v>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Rivals!A7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6c757d"/>
            </a:solidFill>
            <a:ln w="1512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Rivals!$B$7:$C$7</c:f>
              <c:numCache>
                <c:formatCode>0</c:formatCode>
                <c:ptCount val="2"/>
                <c:pt idx="0">
                  <c:v>70</c:v>
                </c:pt>
                <c:pt idx="1">
                  <c:v>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Rivals!A8</c:f>
              <c:strCache>
                <c:ptCount val="1"/>
                <c:pt idx="0">
                  <c:v>Company C  (you)</c:v>
                </c:pt>
              </c:strCache>
            </c:strRef>
          </c:tx>
          <c:spPr>
            <a:solidFill>
              <a:srgbClr val="c9a55c"/>
            </a:solidFill>
            <a:ln w="4212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Rivals!$B$8:$C$8</c:f>
              <c:numCache>
                <c:formatCode>0</c:formatCode>
                <c:ptCount val="2"/>
                <c:pt idx="0">
                  <c:v>78</c:v>
                </c:pt>
                <c:pt idx="1">
                  <c:v>84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Rivals!A9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1512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Rivals!$B$9:$C$9</c:f>
              <c:numCache>
                <c:formatCode>0</c:formatCode>
                <c:ptCount val="2"/>
                <c:pt idx="0">
                  <c:v>83</c:v>
                </c:pt>
                <c:pt idx="1">
                  <c:v>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Rivals!A10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1512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Rivals!$B$10:$C$10</c:f>
              <c:numCache>
                <c:formatCode>0</c:formatCode>
                <c:ptCount val="2"/>
                <c:pt idx="0">
                  <c:v>66</c:v>
                </c:pt>
                <c:pt idx="1">
                  <c:v>63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Rivals!A11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1512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Rivals!$B$11:$C$11</c:f>
              <c:numCache>
                <c:formatCode>0</c:formatCode>
                <c:ptCount val="2"/>
                <c:pt idx="0">
                  <c:v>74</c:v>
                </c:pt>
                <c:pt idx="1">
                  <c:v>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Rivals!A12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a8dadc"/>
            </a:solidFill>
            <a:ln w="15120">
              <a:solidFill>
                <a:srgbClr val="a8da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Rivals!$B$12:$C$12</c:f>
              <c:numCache>
                <c:formatCode>0</c:formatCode>
                <c:ptCount val="2"/>
                <c:pt idx="0">
                  <c:v>77</c:v>
                </c:pt>
                <c:pt idx="1">
                  <c:v>80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Rivals!A13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1512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Rivals!$B$5:$C$5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Rivals!$B$13:$C$13</c:f>
              <c:numCache>
                <c:formatCode>0</c:formatCode>
                <c:ptCount val="2"/>
                <c:pt idx="0">
                  <c:v>69</c:v>
                </c:pt>
                <c:pt idx="1">
                  <c:v>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217272"/>
        <c:axId val="32254117"/>
      </c:lineChart>
      <c:catAx>
        <c:axId val="4221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54117"/>
        <c:crosses val="autoZero"/>
        <c:auto val="1"/>
        <c:lblAlgn val="ctr"/>
        <c:lblOffset val="100"/>
        <c:noMultiLvlLbl val="0"/>
      </c:catAx>
      <c:valAx>
        <c:axId val="3225411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17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Cameras: market share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Rivals!A46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1512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Rivals!$B$46:$C$46</c:f>
              <c:numCache>
                <c:formatCode>0.0</c:formatCode>
                <c:ptCount val="2"/>
                <c:pt idx="0">
                  <c:v>13.6</c:v>
                </c:pt>
                <c:pt idx="1">
                  <c:v>12.875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Rivals!A47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6c757d"/>
            </a:solidFill>
            <a:ln w="1512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Rivals!$B$47:$C$47</c:f>
              <c:numCache>
                <c:formatCode>0.0</c:formatCode>
                <c:ptCount val="2"/>
                <c:pt idx="0">
                  <c:v>13.525</c:v>
                </c:pt>
                <c:pt idx="1">
                  <c:v>13.025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Rivals!A48</c:f>
              <c:strCache>
                <c:ptCount val="1"/>
                <c:pt idx="0">
                  <c:v>Company C  (you)</c:v>
                </c:pt>
              </c:strCache>
            </c:strRef>
          </c:tx>
          <c:spPr>
            <a:solidFill>
              <a:srgbClr val="c9a55c"/>
            </a:solidFill>
            <a:ln w="4212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Rivals!$B$48:$C$48</c:f>
              <c:numCache>
                <c:formatCode>0.0</c:formatCode>
                <c:ptCount val="2"/>
                <c:pt idx="0">
                  <c:v>14.675</c:v>
                </c:pt>
                <c:pt idx="1">
                  <c:v>15.35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Rivals!A49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1512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Rivals!$B$49:$C$49</c:f>
              <c:numCache>
                <c:formatCode>0.0</c:formatCode>
                <c:ptCount val="2"/>
                <c:pt idx="0">
                  <c:v>9.9</c:v>
                </c:pt>
                <c:pt idx="1">
                  <c:v>10.175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Rivals!A50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1512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Rivals!$B$50:$C$50</c:f>
              <c:numCache>
                <c:formatCode>0.0</c:formatCode>
                <c:ptCount val="2"/>
                <c:pt idx="0">
                  <c:v>12.65</c:v>
                </c:pt>
                <c:pt idx="1">
                  <c:v>11.95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Rivals!A51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1512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Rivals!$B$51:$C$51</c:f>
              <c:numCache>
                <c:formatCode>0.0</c:formatCode>
                <c:ptCount val="2"/>
                <c:pt idx="0">
                  <c:v>12.325</c:v>
                </c:pt>
                <c:pt idx="1">
                  <c:v>12.675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Rivals!A52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a8dadc"/>
            </a:solidFill>
            <a:ln w="15120">
              <a:solidFill>
                <a:srgbClr val="a8da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Rivals!$B$52:$C$52</c:f>
              <c:numCache>
                <c:formatCode>0.0</c:formatCode>
                <c:ptCount val="2"/>
                <c:pt idx="0">
                  <c:v>12.35</c:v>
                </c:pt>
                <c:pt idx="1">
                  <c:v>12.975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Rivals!A53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1512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Rivals!$B$45:$C$45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Rivals!$B$53:$C$53</c:f>
              <c:numCache>
                <c:formatCode>0.0</c:formatCode>
                <c:ptCount val="2"/>
                <c:pt idx="0">
                  <c:v>11.025</c:v>
                </c:pt>
                <c:pt idx="1">
                  <c:v>10.95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261766"/>
        <c:axId val="2483248"/>
      </c:lineChart>
      <c:catAx>
        <c:axId val="792617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3248"/>
        <c:crosses val="autoZero"/>
        <c:auto val="1"/>
        <c:lblAlgn val="ctr"/>
        <c:lblOffset val="100"/>
        <c:noMultiLvlLbl val="0"/>
      </c:catAx>
      <c:valAx>
        <c:axId val="24832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617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Drones: market share by company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Rivals!A76</c:f>
              <c:strCache>
                <c:ptCount val="1"/>
                <c:pt idx="0">
                  <c:v>Company A</c:v>
                </c:pt>
              </c:strCache>
            </c:strRef>
          </c:tx>
          <c:spPr>
            <a:solidFill>
              <a:srgbClr val="1d3557"/>
            </a:solidFill>
            <a:ln w="15120">
              <a:solidFill>
                <a:srgbClr val="1d355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Rivals!$B$76:$C$76</c:f>
              <c:numCache>
                <c:formatCode>0.0</c:formatCode>
                <c:ptCount val="2"/>
                <c:pt idx="0">
                  <c:v>13</c:v>
                </c:pt>
                <c:pt idx="1">
                  <c:v>13.225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Rivals!A77</c:f>
              <c:strCache>
                <c:ptCount val="1"/>
                <c:pt idx="0">
                  <c:v>Company B</c:v>
                </c:pt>
              </c:strCache>
            </c:strRef>
          </c:tx>
          <c:spPr>
            <a:solidFill>
              <a:srgbClr val="6c757d"/>
            </a:solidFill>
            <a:ln w="15120">
              <a:solidFill>
                <a:srgbClr val="6c75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Rivals!$B$77:$C$77</c:f>
              <c:numCache>
                <c:formatCode>0.0</c:formatCode>
                <c:ptCount val="2"/>
                <c:pt idx="0">
                  <c:v>12.925</c:v>
                </c:pt>
                <c:pt idx="1">
                  <c:v>13.15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Rivals!A78</c:f>
              <c:strCache>
                <c:ptCount val="1"/>
                <c:pt idx="0">
                  <c:v>Company C  (you)</c:v>
                </c:pt>
              </c:strCache>
            </c:strRef>
          </c:tx>
          <c:spPr>
            <a:solidFill>
              <a:srgbClr val="c9a55c"/>
            </a:solidFill>
            <a:ln w="42120">
              <a:solidFill>
                <a:srgbClr val="c9a55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Rivals!$B$78:$C$78</c:f>
              <c:numCache>
                <c:formatCode>0.0</c:formatCode>
                <c:ptCount val="2"/>
                <c:pt idx="0">
                  <c:v>14.725</c:v>
                </c:pt>
                <c:pt idx="1">
                  <c:v>13.275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Rivals!A79</c:f>
              <c:strCache>
                <c:ptCount val="1"/>
                <c:pt idx="0">
                  <c:v>Company D</c:v>
                </c:pt>
              </c:strCache>
            </c:strRef>
          </c:tx>
          <c:spPr>
            <a:solidFill>
              <a:srgbClr val="c44536"/>
            </a:solidFill>
            <a:ln w="15120">
              <a:solidFill>
                <a:srgbClr val="c4453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Rivals!$B$79:$C$79</c:f>
              <c:numCache>
                <c:formatCode>0.0</c:formatCode>
                <c:ptCount val="2"/>
                <c:pt idx="0">
                  <c:v>9.225</c:v>
                </c:pt>
                <c:pt idx="1">
                  <c:v>10.55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Rivals!A80</c:f>
              <c:strCache>
                <c:ptCount val="1"/>
                <c:pt idx="0">
                  <c:v>Company E</c:v>
                </c:pt>
              </c:strCache>
            </c:strRef>
          </c:tx>
          <c:spPr>
            <a:solidFill>
              <a:srgbClr val="457b9d"/>
            </a:solidFill>
            <a:ln w="15120">
              <a:solidFill>
                <a:srgbClr val="457b9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Rivals!$B$80:$C$80</c:f>
              <c:numCache>
                <c:formatCode>0.0</c:formatCode>
                <c:ptCount val="2"/>
                <c:pt idx="0">
                  <c:v>13.325</c:v>
                </c:pt>
                <c:pt idx="1">
                  <c:v>12.425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Rivals!A81</c:f>
              <c:strCache>
                <c:ptCount val="1"/>
                <c:pt idx="0">
                  <c:v>Company F</c:v>
                </c:pt>
              </c:strCache>
            </c:strRef>
          </c:tx>
          <c:spPr>
            <a:solidFill>
              <a:srgbClr val="8d6a9f"/>
            </a:solidFill>
            <a:ln w="15120">
              <a:solidFill>
                <a:srgbClr val="8d6a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Rivals!$B$81:$C$81</c:f>
              <c:numCache>
                <c:formatCode>0.0</c:formatCode>
                <c:ptCount val="2"/>
                <c:pt idx="0">
                  <c:v>12.775</c:v>
                </c:pt>
                <c:pt idx="1">
                  <c:v>13.075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Rivals!A82</c:f>
              <c:strCache>
                <c:ptCount val="1"/>
                <c:pt idx="0">
                  <c:v>Company G</c:v>
                </c:pt>
              </c:strCache>
            </c:strRef>
          </c:tx>
          <c:spPr>
            <a:solidFill>
              <a:srgbClr val="a8dadc"/>
            </a:solidFill>
            <a:ln w="15120">
              <a:solidFill>
                <a:srgbClr val="a8dad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Rivals!$B$82:$C$82</c:f>
              <c:numCache>
                <c:formatCode>0.0</c:formatCode>
                <c:ptCount val="2"/>
                <c:pt idx="0">
                  <c:v>13.725</c:v>
                </c:pt>
                <c:pt idx="1">
                  <c:v>13.75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Rivals!A83</c:f>
              <c:strCache>
                <c:ptCount val="1"/>
                <c:pt idx="0">
                  <c:v>Company H</c:v>
                </c:pt>
              </c:strCache>
            </c:strRef>
          </c:tx>
          <c:spPr>
            <a:solidFill>
              <a:srgbClr val="b5651d"/>
            </a:solidFill>
            <a:ln w="15120">
              <a:solidFill>
                <a:srgbClr val="b5651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Rivals!$B$75:$C$75</c:f>
              <c:strCache>
                <c:ptCount val="2"/>
                <c:pt idx="0">
                  <c:v>Year 6</c:v>
                </c:pt>
                <c:pt idx="1">
                  <c:v>Year 7</c:v>
                </c:pt>
              </c:strCache>
            </c:strRef>
          </c:cat>
          <c:val>
            <c:numRef>
              <c:f>Rivals!$B$83:$C$83</c:f>
              <c:numCache>
                <c:formatCode>0.0</c:formatCode>
                <c:ptCount val="2"/>
                <c:pt idx="0">
                  <c:v>10.25</c:v>
                </c:pt>
                <c:pt idx="1">
                  <c:v>10.45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9602594"/>
        <c:axId val="13245914"/>
      </c:lineChart>
      <c:catAx>
        <c:axId val="396025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45914"/>
        <c:crosses val="autoZero"/>
        <c:auto val="1"/>
        <c:lblAlgn val="ctr"/>
        <c:lblOffset val="100"/>
        <c:noMultiLvlLbl val="0"/>
      </c:catAx>
      <c:valAx>
        <c:axId val="1324591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02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Relationship Id="rId9" Type="http://schemas.openxmlformats.org/officeDocument/2006/relationships/chart" Target="../charts/chart11.xml"/><Relationship Id="rId10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27</xdr:row>
      <xdr:rowOff>66600</xdr:rowOff>
    </xdr:from>
    <xdr:to>
      <xdr:col>14</xdr:col>
      <xdr:colOff>536400</xdr:colOff>
      <xdr:row>36</xdr:row>
      <xdr:rowOff>186840</xdr:rowOff>
    </xdr:to>
    <xdr:graphicFrame>
      <xdr:nvGraphicFramePr>
        <xdr:cNvPr id="0" name="Chart 1"/>
        <xdr:cNvGraphicFramePr/>
      </xdr:nvGraphicFramePr>
      <xdr:xfrm>
        <a:off x="8951760" y="5715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48</xdr:row>
      <xdr:rowOff>129600</xdr:rowOff>
    </xdr:from>
    <xdr:to>
      <xdr:col>9</xdr:col>
      <xdr:colOff>747360</xdr:colOff>
      <xdr:row>57</xdr:row>
      <xdr:rowOff>362160</xdr:rowOff>
    </xdr:to>
    <xdr:graphicFrame>
      <xdr:nvGraphicFramePr>
        <xdr:cNvPr id="1" name="Chart 2"/>
        <xdr:cNvGraphicFramePr/>
      </xdr:nvGraphicFramePr>
      <xdr:xfrm>
        <a:off x="4299480" y="11430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17</xdr:col>
      <xdr:colOff>131040</xdr:colOff>
      <xdr:row>28</xdr:row>
      <xdr:rowOff>92520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8646840" y="762120"/>
          <a:ext cx="6857640" cy="4914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41</xdr:row>
      <xdr:rowOff>130680</xdr:rowOff>
    </xdr:from>
    <xdr:to>
      <xdr:col>4</xdr:col>
      <xdr:colOff>19080</xdr:colOff>
      <xdr:row>55</xdr:row>
      <xdr:rowOff>55440</xdr:rowOff>
    </xdr:to>
    <xdr:graphicFrame>
      <xdr:nvGraphicFramePr>
        <xdr:cNvPr id="3" name="Chart 1"/>
        <xdr:cNvGraphicFramePr/>
      </xdr:nvGraphicFramePr>
      <xdr:xfrm>
        <a:off x="0" y="8191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41</xdr:row>
      <xdr:rowOff>130680</xdr:rowOff>
    </xdr:from>
    <xdr:to>
      <xdr:col>15</xdr:col>
      <xdr:colOff>579240</xdr:colOff>
      <xdr:row>55</xdr:row>
      <xdr:rowOff>55440</xdr:rowOff>
    </xdr:to>
    <xdr:graphicFrame>
      <xdr:nvGraphicFramePr>
        <xdr:cNvPr id="4" name="Chart 2"/>
        <xdr:cNvGraphicFramePr/>
      </xdr:nvGraphicFramePr>
      <xdr:xfrm>
        <a:off x="6675120" y="8191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57</xdr:row>
      <xdr:rowOff>131040</xdr:rowOff>
    </xdr:from>
    <xdr:to>
      <xdr:col>4</xdr:col>
      <xdr:colOff>19080</xdr:colOff>
      <xdr:row>71</xdr:row>
      <xdr:rowOff>55440</xdr:rowOff>
    </xdr:to>
    <xdr:graphicFrame>
      <xdr:nvGraphicFramePr>
        <xdr:cNvPr id="5" name="Chart 3"/>
        <xdr:cNvGraphicFramePr/>
      </xdr:nvGraphicFramePr>
      <xdr:xfrm>
        <a:off x="0" y="11239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57</xdr:row>
      <xdr:rowOff>131040</xdr:rowOff>
    </xdr:from>
    <xdr:to>
      <xdr:col>15</xdr:col>
      <xdr:colOff>579240</xdr:colOff>
      <xdr:row>71</xdr:row>
      <xdr:rowOff>55440</xdr:rowOff>
    </xdr:to>
    <xdr:graphicFrame>
      <xdr:nvGraphicFramePr>
        <xdr:cNvPr id="6" name="Chart 4"/>
        <xdr:cNvGraphicFramePr/>
      </xdr:nvGraphicFramePr>
      <xdr:xfrm>
        <a:off x="6675120" y="11239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73</xdr:row>
      <xdr:rowOff>131040</xdr:rowOff>
    </xdr:from>
    <xdr:to>
      <xdr:col>4</xdr:col>
      <xdr:colOff>19080</xdr:colOff>
      <xdr:row>87</xdr:row>
      <xdr:rowOff>55800</xdr:rowOff>
    </xdr:to>
    <xdr:graphicFrame>
      <xdr:nvGraphicFramePr>
        <xdr:cNvPr id="7" name="Chart 5"/>
        <xdr:cNvGraphicFramePr/>
      </xdr:nvGraphicFramePr>
      <xdr:xfrm>
        <a:off x="0" y="1428768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73</xdr:row>
      <xdr:rowOff>131040</xdr:rowOff>
    </xdr:from>
    <xdr:to>
      <xdr:col>15</xdr:col>
      <xdr:colOff>579240</xdr:colOff>
      <xdr:row>87</xdr:row>
      <xdr:rowOff>55800</xdr:rowOff>
    </xdr:to>
    <xdr:graphicFrame>
      <xdr:nvGraphicFramePr>
        <xdr:cNvPr id="8" name="Chart 6"/>
        <xdr:cNvGraphicFramePr/>
      </xdr:nvGraphicFramePr>
      <xdr:xfrm>
        <a:off x="6675120" y="1428768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89</xdr:row>
      <xdr:rowOff>130680</xdr:rowOff>
    </xdr:from>
    <xdr:to>
      <xdr:col>4</xdr:col>
      <xdr:colOff>19080</xdr:colOff>
      <xdr:row>103</xdr:row>
      <xdr:rowOff>55440</xdr:rowOff>
    </xdr:to>
    <xdr:graphicFrame>
      <xdr:nvGraphicFramePr>
        <xdr:cNvPr id="9" name="Chart 7"/>
        <xdr:cNvGraphicFramePr/>
      </xdr:nvGraphicFramePr>
      <xdr:xfrm>
        <a:off x="0" y="17335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89</xdr:row>
      <xdr:rowOff>130680</xdr:rowOff>
    </xdr:from>
    <xdr:to>
      <xdr:col>15</xdr:col>
      <xdr:colOff>579240</xdr:colOff>
      <xdr:row>103</xdr:row>
      <xdr:rowOff>55440</xdr:rowOff>
    </xdr:to>
    <xdr:graphicFrame>
      <xdr:nvGraphicFramePr>
        <xdr:cNvPr id="10" name="Chart 8"/>
        <xdr:cNvGraphicFramePr/>
      </xdr:nvGraphicFramePr>
      <xdr:xfrm>
        <a:off x="6675120" y="1733544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105</xdr:row>
      <xdr:rowOff>131040</xdr:rowOff>
    </xdr:from>
    <xdr:to>
      <xdr:col>4</xdr:col>
      <xdr:colOff>19080</xdr:colOff>
      <xdr:row>119</xdr:row>
      <xdr:rowOff>55440</xdr:rowOff>
    </xdr:to>
    <xdr:graphicFrame>
      <xdr:nvGraphicFramePr>
        <xdr:cNvPr id="11" name="Chart 9"/>
        <xdr:cNvGraphicFramePr/>
      </xdr:nvGraphicFramePr>
      <xdr:xfrm>
        <a:off x="0" y="20383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0</xdr:colOff>
      <xdr:row>105</xdr:row>
      <xdr:rowOff>131040</xdr:rowOff>
    </xdr:from>
    <xdr:to>
      <xdr:col>15</xdr:col>
      <xdr:colOff>579240</xdr:colOff>
      <xdr:row>119</xdr:row>
      <xdr:rowOff>55440</xdr:rowOff>
    </xdr:to>
    <xdr:graphicFrame>
      <xdr:nvGraphicFramePr>
        <xdr:cNvPr id="12" name="Chart 10"/>
        <xdr:cNvGraphicFramePr/>
      </xdr:nvGraphicFramePr>
      <xdr:xfrm>
        <a:off x="6675120" y="2038356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131040</xdr:rowOff>
    </xdr:from>
    <xdr:to>
      <xdr:col>12</xdr:col>
      <xdr:colOff>507600</xdr:colOff>
      <xdr:row>15</xdr:row>
      <xdr:rowOff>163440</xdr:rowOff>
    </xdr:to>
    <xdr:graphicFrame>
      <xdr:nvGraphicFramePr>
        <xdr:cNvPr id="13" name="Chart 1"/>
        <xdr:cNvGraphicFramePr/>
      </xdr:nvGraphicFramePr>
      <xdr:xfrm>
        <a:off x="4158720" y="76212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131040</xdr:rowOff>
    </xdr:from>
    <xdr:to>
      <xdr:col>12</xdr:col>
      <xdr:colOff>507600</xdr:colOff>
      <xdr:row>33</xdr:row>
      <xdr:rowOff>163440</xdr:rowOff>
    </xdr:to>
    <xdr:graphicFrame>
      <xdr:nvGraphicFramePr>
        <xdr:cNvPr id="14" name="Chart 2"/>
        <xdr:cNvGraphicFramePr/>
      </xdr:nvGraphicFramePr>
      <xdr:xfrm>
        <a:off x="4158720" y="4381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37</xdr:row>
      <xdr:rowOff>130680</xdr:rowOff>
    </xdr:from>
    <xdr:to>
      <xdr:col>12</xdr:col>
      <xdr:colOff>507600</xdr:colOff>
      <xdr:row>50</xdr:row>
      <xdr:rowOff>163440</xdr:rowOff>
    </xdr:to>
    <xdr:graphicFrame>
      <xdr:nvGraphicFramePr>
        <xdr:cNvPr id="15" name="Chart 3"/>
        <xdr:cNvGraphicFramePr/>
      </xdr:nvGraphicFramePr>
      <xdr:xfrm>
        <a:off x="4158720" y="8001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4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5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6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35.0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4" customFormat="false" ht="23.85" hidden="false" customHeight="false" outlineLevel="0" collapsed="false">
      <c r="B14" s="4" t="s">
        <v>19</v>
      </c>
      <c r="C14" s="5" t="s">
        <v>20</v>
      </c>
    </row>
    <row r="15" customFormat="false" ht="15" hidden="false" customHeight="false" outlineLevel="0" collapsed="false">
      <c r="B15" s="4" t="s">
        <v>21</v>
      </c>
      <c r="C15" s="5" t="s">
        <v>22</v>
      </c>
    </row>
    <row r="16" customFormat="false" ht="23.85" hidden="false" customHeight="false" outlineLevel="0" collapsed="false">
      <c r="B16" s="4" t="s">
        <v>23</v>
      </c>
      <c r="C16" s="5" t="s">
        <v>24</v>
      </c>
    </row>
    <row r="17" customFormat="false" ht="15" hidden="false" customHeight="false" outlineLevel="0" collapsed="false">
      <c r="B17" s="4" t="s">
        <v>25</v>
      </c>
      <c r="C17" s="5" t="s">
        <v>26</v>
      </c>
    </row>
    <row r="18" customFormat="false" ht="15" hidden="false" customHeight="false" outlineLevel="0" collapsed="false">
      <c r="B18" s="4" t="s">
        <v>27</v>
      </c>
      <c r="C18" s="5" t="s">
        <v>28</v>
      </c>
    </row>
    <row r="19" customFormat="false" ht="15" hidden="false" customHeight="false" outlineLevel="0" collapsed="false">
      <c r="B19" s="4" t="s">
        <v>29</v>
      </c>
      <c r="C19" s="5" t="s">
        <v>30</v>
      </c>
    </row>
    <row r="20" customFormat="false" ht="23.85" hidden="false" customHeight="false" outlineLevel="0" collapsed="false">
      <c r="B20" s="4" t="s">
        <v>31</v>
      </c>
      <c r="C20" s="5" t="s">
        <v>32</v>
      </c>
    </row>
    <row r="21" customFormat="false" ht="23.85" hidden="false" customHeight="false" outlineLevel="0" collapsed="false">
      <c r="B21" s="4" t="s">
        <v>33</v>
      </c>
      <c r="C21" s="5" t="s">
        <v>34</v>
      </c>
    </row>
    <row r="22" customFormat="false" ht="23.85" hidden="false" customHeight="false" outlineLevel="0" collapsed="false">
      <c r="B22" s="4" t="s">
        <v>35</v>
      </c>
      <c r="C22" s="5" t="s">
        <v>36</v>
      </c>
    </row>
    <row r="23" customFormat="false" ht="35.05" hidden="false" customHeight="false" outlineLevel="0" collapsed="false">
      <c r="B23" s="4" t="s">
        <v>37</v>
      </c>
      <c r="C23" s="5" t="s">
        <v>38</v>
      </c>
    </row>
    <row r="24" customFormat="false" ht="23.85" hidden="false" customHeight="false" outlineLevel="0" collapsed="false">
      <c r="B24" s="4" t="s">
        <v>39</v>
      </c>
      <c r="C24" s="5" t="s">
        <v>40</v>
      </c>
    </row>
    <row r="26" customFormat="false" ht="15" hidden="false" customHeight="false" outlineLevel="0" collapsed="false">
      <c r="B26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6" t="s">
        <v>42</v>
      </c>
    </row>
    <row r="2" customFormat="false" ht="15" hidden="false" customHeight="false" outlineLevel="0" collapsed="false">
      <c r="A2" s="3" t="s">
        <v>43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45</v>
      </c>
      <c r="B5" s="8" t="s">
        <v>46</v>
      </c>
      <c r="C5" s="8" t="s">
        <v>47</v>
      </c>
      <c r="D5" s="8" t="s">
        <v>48</v>
      </c>
      <c r="E5" s="8" t="s">
        <v>49</v>
      </c>
      <c r="F5" s="8" t="s">
        <v>50</v>
      </c>
      <c r="G5" s="8" t="s">
        <v>51</v>
      </c>
      <c r="H5" s="8" t="s">
        <v>52</v>
      </c>
      <c r="I5" s="8" t="s">
        <v>53</v>
      </c>
    </row>
    <row r="6" customFormat="false" ht="15" hidden="false" customHeight="false" outlineLevel="0" collapsed="false">
      <c r="A6" s="9" t="s">
        <v>54</v>
      </c>
      <c r="B6" s="9" t="s">
        <v>55</v>
      </c>
      <c r="C6" s="9" t="s">
        <v>56</v>
      </c>
      <c r="D6" s="9" t="s">
        <v>57</v>
      </c>
      <c r="E6" s="9" t="n">
        <v>5</v>
      </c>
      <c r="F6" s="9" t="n">
        <v>3</v>
      </c>
      <c r="G6" s="10" t="n">
        <f aca="false">IF(AND(ISNUMBER(E6),ISNUMBER(F6)),E6*F6,"")</f>
        <v>15</v>
      </c>
      <c r="H6" s="9" t="s">
        <v>58</v>
      </c>
      <c r="I6" s="9" t="s">
        <v>59</v>
      </c>
    </row>
    <row r="7" customFormat="false" ht="15" hidden="false" customHeight="false" outlineLevel="0" collapsed="false">
      <c r="A7" s="9" t="s">
        <v>60</v>
      </c>
      <c r="B7" s="9" t="s">
        <v>61</v>
      </c>
      <c r="C7" s="9" t="s">
        <v>62</v>
      </c>
      <c r="D7" s="9" t="s">
        <v>63</v>
      </c>
      <c r="E7" s="9" t="n">
        <v>5</v>
      </c>
      <c r="F7" s="9" t="n">
        <v>5</v>
      </c>
      <c r="G7" s="10" t="n">
        <f aca="false">IF(AND(ISNUMBER(E7),ISNUMBER(F7)),E7*F7,"")</f>
        <v>25</v>
      </c>
      <c r="H7" s="9" t="s">
        <v>64</v>
      </c>
      <c r="I7" s="9" t="s">
        <v>65</v>
      </c>
    </row>
    <row r="8" customFormat="false" ht="15" hidden="false" customHeight="false" outlineLevel="0" collapsed="false">
      <c r="A8" s="9" t="s">
        <v>66</v>
      </c>
      <c r="B8" s="9" t="s">
        <v>67</v>
      </c>
      <c r="C8" s="9" t="s">
        <v>68</v>
      </c>
      <c r="D8" s="9" t="s">
        <v>57</v>
      </c>
      <c r="E8" s="9" t="n">
        <v>5</v>
      </c>
      <c r="F8" s="9" t="n">
        <v>3</v>
      </c>
      <c r="G8" s="10" t="n">
        <f aca="false">IF(AND(ISNUMBER(E8),ISNUMBER(F8)),E8*F8,"")</f>
        <v>15</v>
      </c>
      <c r="H8" s="9" t="s">
        <v>69</v>
      </c>
      <c r="I8" s="9" t="s">
        <v>70</v>
      </c>
    </row>
    <row r="9" customFormat="false" ht="15" hidden="false" customHeight="false" outlineLevel="0" collapsed="false">
      <c r="A9" s="9" t="s">
        <v>71</v>
      </c>
      <c r="B9" s="9" t="s">
        <v>72</v>
      </c>
      <c r="C9" s="9" t="s">
        <v>73</v>
      </c>
      <c r="D9" s="9" t="s">
        <v>63</v>
      </c>
      <c r="E9" s="9" t="n">
        <v>3</v>
      </c>
      <c r="F9" s="9" t="n">
        <v>3</v>
      </c>
      <c r="G9" s="10" t="n">
        <f aca="false">IF(AND(ISNUMBER(E9),ISNUMBER(F9)),E9*F9,"")</f>
        <v>9</v>
      </c>
      <c r="H9" s="9" t="s">
        <v>74</v>
      </c>
      <c r="I9" s="9" t="s">
        <v>75</v>
      </c>
    </row>
    <row r="10" customFormat="false" ht="15" hidden="false" customHeight="false" outlineLevel="0" collapsed="false">
      <c r="A10" s="9" t="s">
        <v>76</v>
      </c>
      <c r="B10" s="9" t="s">
        <v>77</v>
      </c>
      <c r="C10" s="9" t="s">
        <v>78</v>
      </c>
      <c r="D10" s="9" t="s">
        <v>57</v>
      </c>
      <c r="E10" s="9" t="n">
        <v>3</v>
      </c>
      <c r="F10" s="9" t="n">
        <v>5</v>
      </c>
      <c r="G10" s="10" t="n">
        <f aca="false">IF(AND(ISNUMBER(E10),ISNUMBER(F10)),E10*F10,"")</f>
        <v>15</v>
      </c>
      <c r="H10" s="9" t="s">
        <v>74</v>
      </c>
      <c r="I10" s="9" t="s">
        <v>79</v>
      </c>
    </row>
    <row r="11" customFormat="false" ht="15" hidden="false" customHeight="false" outlineLevel="0" collapsed="false">
      <c r="A11" s="9" t="s">
        <v>80</v>
      </c>
      <c r="B11" s="9" t="s">
        <v>81</v>
      </c>
      <c r="C11" s="9" t="s">
        <v>82</v>
      </c>
      <c r="D11" s="9" t="s">
        <v>63</v>
      </c>
      <c r="E11" s="9" t="n">
        <v>3</v>
      </c>
      <c r="F11" s="9" t="n">
        <v>3</v>
      </c>
      <c r="G11" s="10" t="n">
        <f aca="false">IF(AND(ISNUMBER(E11),ISNUMBER(F11)),E11*F11,"")</f>
        <v>9</v>
      </c>
      <c r="H11" s="9" t="s">
        <v>83</v>
      </c>
      <c r="I11" s="9" t="s">
        <v>65</v>
      </c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10" t="str">
        <f aca="false">IF(AND(ISNUMBER(E12),ISNUMBER(F12)),E12*F12,"")</f>
        <v/>
      </c>
      <c r="H12" s="9"/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10" t="str">
        <f aca="false">IF(AND(ISNUMBER(E13),ISNUMBER(F13)),E13*F13,"")</f>
        <v/>
      </c>
      <c r="H13" s="9"/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10" t="str">
        <f aca="false">IF(AND(ISNUMBER(E14),ISNUMBER(F14)),E14*F14,"")</f>
        <v/>
      </c>
      <c r="H14" s="9"/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10" t="str">
        <f aca="false">IF(AND(ISNUMBER(E15),ISNUMBER(F15)),E15*F15,"")</f>
        <v/>
      </c>
      <c r="H15" s="9"/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10" t="str">
        <f aca="false">IF(AND(ISNUMBER(E16),ISNUMBER(F16)),E16*F16,"")</f>
        <v/>
      </c>
      <c r="H16" s="9"/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10" t="str">
        <f aca="false">IF(AND(ISNUMBER(E17),ISNUMBER(F17)),E17*F17,"")</f>
        <v/>
      </c>
      <c r="H17" s="9"/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10" t="str">
        <f aca="false">IF(AND(ISNUMBER(E18),ISNUMBER(F18)),E18*F18,"")</f>
        <v/>
      </c>
      <c r="H18" s="9"/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10" t="str">
        <f aca="false">IF(AND(ISNUMBER(E19),ISNUMBER(F19)),E19*F19,"")</f>
        <v/>
      </c>
      <c r="H19" s="9"/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0" t="str">
        <f aca="false">IF(AND(ISNUMBER(E20),ISNUMBER(F20)),E20*F20,"")</f>
        <v/>
      </c>
      <c r="H20" s="9"/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10" t="str">
        <f aca="false">IF(AND(ISNUMBER(E21),ISNUMBER(F21)),E21*F21,"")</f>
        <v/>
      </c>
      <c r="H21" s="9"/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10" t="str">
        <f aca="false">IF(AND(ISNUMBER(E22),ISNUMBER(F22)),E22*F22,"")</f>
        <v/>
      </c>
      <c r="H22" s="9"/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10" t="str">
        <f aca="false">IF(AND(ISNUMBER(E23),ISNUMBER(F23)),E23*F23,"")</f>
        <v/>
      </c>
      <c r="H23" s="9"/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10" t="str">
        <f aca="false">IF(AND(ISNUMBER(E24),ISNUMBER(F24)),E24*F24,"")</f>
        <v/>
      </c>
      <c r="H24" s="9"/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10" t="str">
        <f aca="false">IF(AND(ISNUMBER(E25),ISNUMBER(F25)),E25*F25,"")</f>
        <v/>
      </c>
      <c r="H25" s="9"/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10" t="str">
        <f aca="false">IF(AND(ISNUMBER(E26),ISNUMBER(F26)),E26*F26,"")</f>
        <v/>
      </c>
      <c r="H26" s="9"/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10" t="str">
        <f aca="false">IF(AND(ISNUMBER(E27),ISNUMBER(F27)),E27*F27,"")</f>
        <v/>
      </c>
      <c r="H27" s="9"/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10" t="str">
        <f aca="false">IF(AND(ISNUMBER(E28),ISNUMBER(F28)),E28*F28,"")</f>
        <v/>
      </c>
      <c r="H28" s="9"/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10" t="str">
        <f aca="false">IF(AND(ISNUMBER(E29),ISNUMBER(F29)),E29*F29,"")</f>
        <v/>
      </c>
      <c r="H29" s="9"/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10" t="str">
        <f aca="false">IF(AND(ISNUMBER(E30),ISNUMBER(F30)),E30*F30,"")</f>
        <v/>
      </c>
      <c r="H30" s="9"/>
      <c r="I30" s="9"/>
    </row>
    <row r="32" customFormat="false" ht="15" hidden="false" customHeight="false" outlineLevel="0" collapsed="false">
      <c r="B32" s="11" t="s">
        <v>84</v>
      </c>
      <c r="C32" s="10" t="n">
        <f aca="false">COUNTA(C6:C30)</f>
        <v>6</v>
      </c>
    </row>
    <row r="33" customFormat="false" ht="23.85" hidden="false" customHeight="false" outlineLevel="0" collapsed="false">
      <c r="B33" s="11" t="s">
        <v>85</v>
      </c>
      <c r="C33" s="10" t="n">
        <f aca="false">COUNTIF(G6:G30,"&gt;=16")</f>
        <v>1</v>
      </c>
    </row>
    <row r="34" customFormat="false" ht="23.85" hidden="false" customHeight="false" outlineLevel="0" collapsed="false">
      <c r="B34" s="11" t="s">
        <v>86</v>
      </c>
      <c r="C34" s="10" t="n">
        <f aca="false">SUMPRODUCT((C6:C30&lt;&gt;"")*(I6:I30=""))</f>
        <v>0</v>
      </c>
    </row>
  </sheetData>
  <conditionalFormatting sqref="G6:G30">
    <cfRule type="expression" priority="2" aboveAverage="0" equalAverage="0" bottom="0" percent="0" rank="0" text="" dxfId="0">
      <formula>AND(ISNUMBER(G6),G6&gt;=16)</formula>
    </cfRule>
    <cfRule type="expression" priority="3" aboveAverage="0" equalAverage="0" bottom="0" percent="0" rank="0" text="" dxfId="1">
      <formula>AND(ISNUMBER(G6),G6&gt;=9,G6&lt;16)</formula>
    </cfRule>
    <cfRule type="expression" priority="4" aboveAverage="0" equalAverage="0" bottom="0" percent="0" rank="0" text="" dxfId="2">
      <formula>AND(ISNUMBER(G6),G6&lt;9)</formula>
    </cfRule>
  </conditionalFormatting>
  <dataValidations count="4">
    <dataValidation allowBlank="true" errorStyle="stop" operator="between" showDropDown="false" showErrorMessage="false" showInputMessage="false" sqref="B6:B30" type="list">
      <formula1>"Political,Economic,Social,Technological,Environmental,Legal"</formula1>
      <formula2>0</formula2>
    </dataValidation>
    <dataValidation allowBlank="true" errorStyle="stop" operator="between" showDropDown="false" showErrorMessage="false" showInputMessage="false" sqref="D6:D30" type="list">
      <formula1>"+,-,±"</formula1>
      <formula2>0</formula2>
    </dataValidation>
    <dataValidation allowBlank="true" error="Enter a whole number from 1 to 5." errorStyle="stop" errorTitle="StratOS" operator="between" showDropDown="false" showErrorMessage="false" showInputMessage="false" sqref="E6:F30" type="whole">
      <formula1>1</formula1>
      <formula2>5</formula2>
    </dataValidation>
    <dataValidation allowBlank="true" errorStyle="stop" operator="between" showDropDown="false" showErrorMessage="false" showInputMessage="false" sqref="H6:H30" type="list">
      <formula1>"revenue.price,revenue.volume,revenue.mix,cogs.inputs,cogs.labor,opex.sga,opex.rnd,capex,working_capital,financing,tax_and_levies"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6" t="s">
        <v>87</v>
      </c>
    </row>
    <row r="2" customFormat="false" ht="15" hidden="false" customHeight="false" outlineLevel="0" collapsed="false">
      <c r="A2" s="3" t="s">
        <v>88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89</v>
      </c>
      <c r="B5" s="8" t="s">
        <v>90</v>
      </c>
      <c r="C5" s="8" t="s">
        <v>91</v>
      </c>
      <c r="D5" s="8" t="s">
        <v>92</v>
      </c>
    </row>
    <row r="6" customFormat="false" ht="15" hidden="false" customHeight="false" outlineLevel="0" collapsed="false">
      <c r="A6" s="5" t="s">
        <v>93</v>
      </c>
      <c r="B6" s="5" t="s">
        <v>94</v>
      </c>
      <c r="C6" s="9"/>
      <c r="D6" s="9"/>
    </row>
    <row r="7" customFormat="false" ht="15" hidden="false" customHeight="false" outlineLevel="0" collapsed="false">
      <c r="A7" s="5" t="s">
        <v>93</v>
      </c>
      <c r="B7" s="5" t="s">
        <v>95</v>
      </c>
      <c r="C7" s="9"/>
      <c r="D7" s="9"/>
    </row>
    <row r="8" customFormat="false" ht="15" hidden="false" customHeight="false" outlineLevel="0" collapsed="false">
      <c r="A8" s="5" t="s">
        <v>93</v>
      </c>
      <c r="B8" s="5" t="s">
        <v>96</v>
      </c>
      <c r="C8" s="9"/>
      <c r="D8" s="9"/>
    </row>
    <row r="9" customFormat="false" ht="15" hidden="false" customHeight="false" outlineLevel="0" collapsed="false">
      <c r="A9" s="5" t="s">
        <v>93</v>
      </c>
      <c r="B9" s="5" t="s">
        <v>97</v>
      </c>
      <c r="C9" s="9"/>
      <c r="D9" s="9"/>
    </row>
    <row r="10" customFormat="false" ht="15" hidden="false" customHeight="false" outlineLevel="0" collapsed="false">
      <c r="A10" s="5" t="s">
        <v>98</v>
      </c>
      <c r="B10" s="5" t="s">
        <v>99</v>
      </c>
      <c r="C10" s="9"/>
      <c r="D10" s="9"/>
    </row>
    <row r="11" customFormat="false" ht="15" hidden="false" customHeight="false" outlineLevel="0" collapsed="false">
      <c r="A11" s="5" t="s">
        <v>98</v>
      </c>
      <c r="B11" s="5" t="s">
        <v>100</v>
      </c>
      <c r="C11" s="9"/>
      <c r="D11" s="9"/>
    </row>
    <row r="12" customFormat="false" ht="15" hidden="false" customHeight="false" outlineLevel="0" collapsed="false">
      <c r="A12" s="5" t="s">
        <v>98</v>
      </c>
      <c r="B12" s="5" t="s">
        <v>101</v>
      </c>
      <c r="C12" s="9"/>
      <c r="D12" s="9"/>
    </row>
    <row r="13" customFormat="false" ht="15" hidden="false" customHeight="false" outlineLevel="0" collapsed="false">
      <c r="A13" s="5" t="s">
        <v>98</v>
      </c>
      <c r="B13" s="5" t="s">
        <v>102</v>
      </c>
      <c r="C13" s="9"/>
      <c r="D13" s="9"/>
    </row>
    <row r="14" customFormat="false" ht="15" hidden="false" customHeight="false" outlineLevel="0" collapsed="false">
      <c r="A14" s="5" t="s">
        <v>103</v>
      </c>
      <c r="B14" s="5" t="s">
        <v>104</v>
      </c>
      <c r="C14" s="9"/>
      <c r="D14" s="9"/>
    </row>
    <row r="15" customFormat="false" ht="15" hidden="false" customHeight="false" outlineLevel="0" collapsed="false">
      <c r="A15" s="5" t="s">
        <v>103</v>
      </c>
      <c r="B15" s="5" t="s">
        <v>105</v>
      </c>
      <c r="C15" s="9"/>
      <c r="D15" s="9"/>
    </row>
    <row r="16" customFormat="false" ht="15" hidden="false" customHeight="false" outlineLevel="0" collapsed="false">
      <c r="A16" s="5" t="s">
        <v>103</v>
      </c>
      <c r="B16" s="5" t="s">
        <v>100</v>
      </c>
      <c r="C16" s="9"/>
      <c r="D16" s="9"/>
    </row>
    <row r="17" customFormat="false" ht="15" hidden="false" customHeight="false" outlineLevel="0" collapsed="false">
      <c r="A17" s="5" t="s">
        <v>103</v>
      </c>
      <c r="B17" s="5" t="s">
        <v>106</v>
      </c>
      <c r="C17" s="9"/>
      <c r="D17" s="9"/>
    </row>
    <row r="18" customFormat="false" ht="15" hidden="false" customHeight="false" outlineLevel="0" collapsed="false">
      <c r="A18" s="5" t="s">
        <v>107</v>
      </c>
      <c r="B18" s="5" t="s">
        <v>108</v>
      </c>
      <c r="C18" s="9"/>
      <c r="D18" s="9"/>
    </row>
    <row r="19" customFormat="false" ht="15" hidden="false" customHeight="false" outlineLevel="0" collapsed="false">
      <c r="A19" s="5" t="s">
        <v>107</v>
      </c>
      <c r="B19" s="5" t="s">
        <v>109</v>
      </c>
      <c r="C19" s="9"/>
      <c r="D19" s="9"/>
    </row>
    <row r="20" customFormat="false" ht="15" hidden="false" customHeight="false" outlineLevel="0" collapsed="false">
      <c r="A20" s="5" t="s">
        <v>107</v>
      </c>
      <c r="B20" s="5" t="s">
        <v>110</v>
      </c>
      <c r="C20" s="9"/>
      <c r="D20" s="9"/>
    </row>
    <row r="21" customFormat="false" ht="15" hidden="false" customHeight="false" outlineLevel="0" collapsed="false">
      <c r="A21" s="5" t="s">
        <v>107</v>
      </c>
      <c r="B21" s="5" t="s">
        <v>111</v>
      </c>
      <c r="C21" s="9"/>
      <c r="D21" s="9"/>
    </row>
    <row r="22" customFormat="false" ht="15" hidden="false" customHeight="false" outlineLevel="0" collapsed="false">
      <c r="A22" s="5" t="s">
        <v>112</v>
      </c>
      <c r="B22" s="5" t="s">
        <v>113</v>
      </c>
      <c r="C22" s="9"/>
      <c r="D22" s="9"/>
    </row>
    <row r="23" customFormat="false" ht="15" hidden="false" customHeight="false" outlineLevel="0" collapsed="false">
      <c r="A23" s="5" t="s">
        <v>112</v>
      </c>
      <c r="B23" s="5" t="s">
        <v>100</v>
      </c>
      <c r="C23" s="9"/>
      <c r="D23" s="9"/>
    </row>
    <row r="24" customFormat="false" ht="15" hidden="false" customHeight="false" outlineLevel="0" collapsed="false">
      <c r="A24" s="5" t="s">
        <v>112</v>
      </c>
      <c r="B24" s="5" t="s">
        <v>114</v>
      </c>
      <c r="C24" s="9"/>
      <c r="D24" s="9"/>
    </row>
    <row r="25" customFormat="false" ht="15" hidden="false" customHeight="false" outlineLevel="0" collapsed="false">
      <c r="A25" s="5" t="s">
        <v>112</v>
      </c>
      <c r="B25" s="5" t="s">
        <v>115</v>
      </c>
      <c r="C25" s="9"/>
      <c r="D25" s="9"/>
    </row>
    <row r="27" customFormat="false" ht="35.05" hidden="false" customHeight="false" outlineLevel="0" collapsed="false">
      <c r="A27" s="8" t="s">
        <v>89</v>
      </c>
      <c r="B27" s="8" t="s">
        <v>116</v>
      </c>
      <c r="C27" s="8" t="s">
        <v>117</v>
      </c>
      <c r="D27" s="8" t="s">
        <v>118</v>
      </c>
      <c r="E27" s="8" t="s">
        <v>119</v>
      </c>
      <c r="F27" s="8" t="s">
        <v>120</v>
      </c>
    </row>
    <row r="28" customFormat="false" ht="15" hidden="false" customHeight="false" outlineLevel="0" collapsed="false">
      <c r="A28" s="11" t="s">
        <v>93</v>
      </c>
      <c r="B28" s="12" t="str">
        <f aca="false">IFERROR(AVERAGEIF($A$6:$A$25,A28,$C$6:$C$25),"")</f>
        <v/>
      </c>
      <c r="C28" s="13" t="n">
        <v>5</v>
      </c>
      <c r="D28" s="12" t="n">
        <f aca="false">IF(ISNUMBER(C28),C28,B28)</f>
        <v>5</v>
      </c>
      <c r="E28" s="14" t="str">
        <f aca="false">IF(D28="","",IF(D28&gt;=4,"Strong",IF(D28&gt;=2.5,"Moderate","Weak")))</f>
        <v>Strong</v>
      </c>
      <c r="F28" s="13" t="n">
        <v>5</v>
      </c>
    </row>
    <row r="29" customFormat="false" ht="15" hidden="false" customHeight="false" outlineLevel="0" collapsed="false">
      <c r="A29" s="11" t="s">
        <v>98</v>
      </c>
      <c r="B29" s="12" t="str">
        <f aca="false">IFERROR(AVERAGEIF($A$6:$A$25,A29,$C$6:$C$25),"")</f>
        <v/>
      </c>
      <c r="C29" s="13" t="n">
        <v>4</v>
      </c>
      <c r="D29" s="12" t="n">
        <f aca="false">IF(ISNUMBER(C29),C29,B29)</f>
        <v>4</v>
      </c>
      <c r="E29" s="14" t="str">
        <f aca="false">IF(D29="","",IF(D29&gt;=4,"Strong",IF(D29&gt;=2.5,"Moderate","Weak")))</f>
        <v>Strong</v>
      </c>
      <c r="F29" s="13" t="n">
        <v>3</v>
      </c>
    </row>
    <row r="30" customFormat="false" ht="15" hidden="false" customHeight="false" outlineLevel="0" collapsed="false">
      <c r="A30" s="11" t="s">
        <v>103</v>
      </c>
      <c r="B30" s="12" t="str">
        <f aca="false">IFERROR(AVERAGEIF($A$6:$A$25,A30,$C$6:$C$25),"")</f>
        <v/>
      </c>
      <c r="C30" s="13" t="n">
        <v>3</v>
      </c>
      <c r="D30" s="12" t="n">
        <f aca="false">IF(ISNUMBER(C30),C30,B30)</f>
        <v>3</v>
      </c>
      <c r="E30" s="14" t="str">
        <f aca="false">IF(D30="","",IF(D30&gt;=4,"Strong",IF(D30&gt;=2.5,"Moderate","Weak")))</f>
        <v>Moderate</v>
      </c>
      <c r="F30" s="13" t="n">
        <v>4</v>
      </c>
    </row>
    <row r="31" customFormat="false" ht="15" hidden="false" customHeight="false" outlineLevel="0" collapsed="false">
      <c r="A31" s="11" t="s">
        <v>107</v>
      </c>
      <c r="B31" s="12" t="str">
        <f aca="false">IFERROR(AVERAGEIF($A$6:$A$25,A31,$C$6:$C$25),"")</f>
        <v/>
      </c>
      <c r="C31" s="13" t="n">
        <v>4</v>
      </c>
      <c r="D31" s="12" t="n">
        <f aca="false">IF(ISNUMBER(C31),C31,B31)</f>
        <v>4</v>
      </c>
      <c r="E31" s="14" t="str">
        <f aca="false">IF(D31="","",IF(D31&gt;=4,"Strong",IF(D31&gt;=2.5,"Moderate","Weak")))</f>
        <v>Strong</v>
      </c>
      <c r="F31" s="13" t="n">
        <v>4</v>
      </c>
    </row>
    <row r="32" customFormat="false" ht="15" hidden="false" customHeight="false" outlineLevel="0" collapsed="false">
      <c r="A32" s="11" t="s">
        <v>112</v>
      </c>
      <c r="B32" s="12" t="str">
        <f aca="false">IFERROR(AVERAGEIF($A$6:$A$25,A32,$C$6:$C$25),"")</f>
        <v/>
      </c>
      <c r="C32" s="13" t="n">
        <v>2</v>
      </c>
      <c r="D32" s="12" t="n">
        <f aca="false">IF(ISNUMBER(C32),C32,B32)</f>
        <v>2</v>
      </c>
      <c r="E32" s="14" t="str">
        <f aca="false">IF(D32="","",IF(D32&gt;=4,"Strong",IF(D32&gt;=2.5,"Moderate","Weak")))</f>
        <v>Weak</v>
      </c>
      <c r="F32" s="13" t="n">
        <v>2</v>
      </c>
    </row>
    <row r="34" customFormat="false" ht="15" hidden="false" customHeight="false" outlineLevel="0" collapsed="false">
      <c r="A34" s="11" t="s">
        <v>121</v>
      </c>
      <c r="B34" s="15" t="n">
        <f aca="false">IFERROR(6-AVERAGE(D28:D32),"")</f>
        <v>2.4</v>
      </c>
    </row>
    <row r="35" customFormat="false" ht="15" hidden="false" customHeight="false" outlineLevel="0" collapsed="false">
      <c r="A35" s="11" t="s">
        <v>122</v>
      </c>
      <c r="B35" s="12" t="n">
        <f aca="false">IF(COUNT(F28:F32)=5,6-AVERAGE(F28:F32),"")</f>
        <v>2.4</v>
      </c>
    </row>
    <row r="37" customFormat="false" ht="15" hidden="false" customHeight="false" outlineLevel="0" collapsed="false">
      <c r="A37" s="3" t="s">
        <v>123</v>
      </c>
    </row>
    <row r="38" customFormat="false" ht="15" hidden="false" customHeight="false" outlineLevel="0" collapsed="false">
      <c r="A38" s="3" t="s">
        <v>124</v>
      </c>
    </row>
  </sheetData>
  <conditionalFormatting sqref="E28:E32">
    <cfRule type="expression" priority="2" aboveAverage="0" equalAverage="0" bottom="0" percent="0" rank="0" text="" dxfId="0">
      <formula>E28="Weak"</formula>
    </cfRule>
    <cfRule type="expression" priority="3" aboveAverage="0" equalAverage="0" bottom="0" percent="0" rank="0" text="" dxfId="1">
      <formula>E28="Moderate"</formula>
    </cfRule>
    <cfRule type="expression" priority="4" aboveAverage="0" equalAverage="0" bottom="0" percent="0" rank="0" text="" dxfId="2">
      <formula>E28="Strong"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C6:C2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10" min="5" style="0" width="13"/>
  </cols>
  <sheetData>
    <row r="1" customFormat="false" ht="19.7" hidden="false" customHeight="false" outlineLevel="0" collapsed="false">
      <c r="A1" s="6" t="s">
        <v>125</v>
      </c>
    </row>
    <row r="2" customFormat="false" ht="15" hidden="false" customHeight="false" outlineLevel="0" collapsed="false">
      <c r="A2" s="3" t="s">
        <v>126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45</v>
      </c>
      <c r="B5" s="8" t="s">
        <v>127</v>
      </c>
      <c r="C5" s="8" t="s">
        <v>128</v>
      </c>
      <c r="D5" s="8" t="s">
        <v>129</v>
      </c>
      <c r="E5" s="16" t="s">
        <v>130</v>
      </c>
      <c r="F5" s="16" t="s">
        <v>131</v>
      </c>
      <c r="G5" s="16" t="s">
        <v>132</v>
      </c>
      <c r="H5" s="16" t="s">
        <v>133</v>
      </c>
      <c r="I5" s="16" t="s">
        <v>134</v>
      </c>
      <c r="J5" s="16" t="s">
        <v>135</v>
      </c>
    </row>
    <row r="6" customFormat="false" ht="15" hidden="false" customHeight="false" outlineLevel="0" collapsed="false">
      <c r="A6" s="9" t="s">
        <v>136</v>
      </c>
      <c r="B6" s="9" t="s">
        <v>137</v>
      </c>
      <c r="C6" s="17" t="n">
        <v>0.3</v>
      </c>
      <c r="D6" s="9" t="s">
        <v>138</v>
      </c>
      <c r="E6" s="9" t="n">
        <v>5</v>
      </c>
      <c r="F6" s="9" t="n">
        <v>4</v>
      </c>
      <c r="G6" s="9" t="n">
        <v>3</v>
      </c>
      <c r="H6" s="9" t="n">
        <v>4</v>
      </c>
      <c r="I6" s="9" t="n">
        <v>3</v>
      </c>
      <c r="J6" s="9" t="n">
        <v>2</v>
      </c>
    </row>
    <row r="7" customFormat="false" ht="15" hidden="false" customHeight="false" outlineLevel="0" collapsed="false">
      <c r="A7" s="9" t="s">
        <v>139</v>
      </c>
      <c r="B7" s="9" t="s">
        <v>140</v>
      </c>
      <c r="C7" s="17" t="n">
        <v>0.25</v>
      </c>
      <c r="D7" s="9" t="s">
        <v>141</v>
      </c>
      <c r="E7" s="9" t="n">
        <v>3</v>
      </c>
      <c r="F7" s="9" t="n">
        <v>5</v>
      </c>
      <c r="G7" s="9" t="n">
        <v>2</v>
      </c>
      <c r="H7" s="9" t="n">
        <v>3</v>
      </c>
      <c r="I7" s="9" t="n">
        <v>5</v>
      </c>
      <c r="J7" s="9" t="n">
        <v>2</v>
      </c>
    </row>
    <row r="8" customFormat="false" ht="15" hidden="false" customHeight="false" outlineLevel="0" collapsed="false">
      <c r="A8" s="9" t="s">
        <v>142</v>
      </c>
      <c r="B8" s="9" t="s">
        <v>143</v>
      </c>
      <c r="C8" s="17" t="n">
        <v>0.2</v>
      </c>
      <c r="D8" s="9" t="s">
        <v>144</v>
      </c>
      <c r="E8" s="9" t="n">
        <v>2</v>
      </c>
      <c r="F8" s="9" t="n">
        <v>4</v>
      </c>
      <c r="G8" s="9" t="n">
        <v>5</v>
      </c>
      <c r="H8" s="9" t="n">
        <v>3</v>
      </c>
      <c r="I8" s="9" t="n">
        <v>1</v>
      </c>
      <c r="J8" s="9" t="n">
        <v>5</v>
      </c>
    </row>
    <row r="9" customFormat="false" ht="15" hidden="false" customHeight="false" outlineLevel="0" collapsed="false">
      <c r="A9" s="9" t="s">
        <v>145</v>
      </c>
      <c r="B9" s="9" t="s">
        <v>146</v>
      </c>
      <c r="C9" s="17" t="n">
        <v>0.15</v>
      </c>
      <c r="D9" s="9" t="s">
        <v>147</v>
      </c>
      <c r="E9" s="9" t="n">
        <v>2</v>
      </c>
      <c r="F9" s="9" t="n">
        <v>3</v>
      </c>
      <c r="G9" s="9" t="n">
        <v>5</v>
      </c>
      <c r="H9" s="9" t="n">
        <v>3</v>
      </c>
      <c r="I9" s="9" t="n">
        <v>2</v>
      </c>
      <c r="J9" s="9" t="n">
        <v>4</v>
      </c>
    </row>
    <row r="10" customFormat="false" ht="15" hidden="false" customHeight="false" outlineLevel="0" collapsed="false">
      <c r="A10" s="9" t="s">
        <v>148</v>
      </c>
      <c r="B10" s="9" t="s">
        <v>149</v>
      </c>
      <c r="C10" s="17" t="n">
        <v>0.1</v>
      </c>
      <c r="D10" s="9" t="s">
        <v>150</v>
      </c>
      <c r="E10" s="9" t="n">
        <v>3</v>
      </c>
      <c r="F10" s="9" t="n">
        <v>5</v>
      </c>
      <c r="G10" s="9" t="n">
        <v>4</v>
      </c>
      <c r="H10" s="9" t="n">
        <v>3</v>
      </c>
      <c r="I10" s="9" t="n">
        <v>2</v>
      </c>
      <c r="J10" s="9" t="n">
        <v>3</v>
      </c>
    </row>
    <row r="11" customFormat="false" ht="15" hidden="false" customHeight="false" outlineLevel="0" collapsed="false">
      <c r="A11" s="9"/>
      <c r="B11" s="9"/>
      <c r="C11" s="17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17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17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17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17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B16" s="11" t="s">
        <v>151</v>
      </c>
      <c r="C16" s="18" t="n">
        <f aca="false">SUM(C6:C15)</f>
        <v>1</v>
      </c>
      <c r="D16" s="14" t="str">
        <f aca="false">IF(ABS(C16-1)&lt;0.001,"OK","Weights must sum to 100%")</f>
        <v>OK</v>
      </c>
    </row>
    <row r="17" customFormat="false" ht="15" hidden="false" customHeight="false" outlineLevel="0" collapsed="false">
      <c r="B17" s="11" t="s">
        <v>152</v>
      </c>
      <c r="E17" s="19" t="n">
        <f aca="false">IF(COUNT(E6:E15)=0,"",SUMPRODUCT($C$6:$C$15,E6:E15))</f>
        <v>3.25</v>
      </c>
      <c r="F17" s="19" t="n">
        <f aca="false">IF(COUNT(F6:F15)=0,"",SUMPRODUCT($C$6:$C$15,F6:F15))</f>
        <v>4.2</v>
      </c>
      <c r="G17" s="19" t="n">
        <f aca="false">IF(COUNT(G6:G15)=0,"",SUMPRODUCT($C$6:$C$15,G6:G15))</f>
        <v>3.55</v>
      </c>
      <c r="H17" s="19" t="n">
        <f aca="false">IF(COUNT(H6:H15)=0,"",SUMPRODUCT($C$6:$C$15,H6:H15))</f>
        <v>3.3</v>
      </c>
      <c r="I17" s="19" t="n">
        <f aca="false">IF(COUNT(I6:I15)=0,"",SUMPRODUCT($C$6:$C$15,I6:I15))</f>
        <v>2.85</v>
      </c>
      <c r="J17" s="19" t="n">
        <f aca="false">IF(COUNT(J6:J15)=0,"",SUMPRODUCT($C$6:$C$15,J6:J15))</f>
        <v>3</v>
      </c>
    </row>
    <row r="18" customFormat="false" ht="15" hidden="false" customHeight="false" outlineLevel="0" collapsed="false">
      <c r="B18" s="11" t="s">
        <v>153</v>
      </c>
      <c r="E18" s="10" t="n">
        <f aca="false">IF(E17="","",RANK(E17,$E$17:$J$17))</f>
        <v>4</v>
      </c>
      <c r="F18" s="10" t="n">
        <f aca="false">IF(F17="","",RANK(F17,$E$17:$J$17))</f>
        <v>1</v>
      </c>
      <c r="G18" s="10" t="n">
        <f aca="false">IF(G17="","",RANK(G17,$E$17:$J$17))</f>
        <v>2</v>
      </c>
      <c r="H18" s="10" t="n">
        <f aca="false">IF(H17="","",RANK(H17,$E$17:$J$17))</f>
        <v>3</v>
      </c>
      <c r="I18" s="10" t="n">
        <f aca="false">IF(I17="","",RANK(I17,$E$17:$J$17))</f>
        <v>6</v>
      </c>
      <c r="J18" s="10" t="n">
        <f aca="false">IF(J17="","",RANK(J17,$E$17:$J$17))</f>
        <v>5</v>
      </c>
    </row>
  </sheetData>
  <conditionalFormatting sqref="D16">
    <cfRule type="expression" priority="2" aboveAverage="0" equalAverage="0" bottom="0" percent="0" rank="0" text="" dxfId="0">
      <formula>D16="OK"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D16&lt;&gt;"OK"</formula>
    </cfRule>
  </conditionalFormatting>
  <dataValidations count="1">
    <dataValidation allowBlank="true" error="Enter a whole number from 1 to 5." errorStyle="stop" errorTitle="StratOS" operator="between" showDropDown="false" showErrorMessage="false" showInputMessage="false" sqref="E6:J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6" t="s">
        <v>154</v>
      </c>
    </row>
    <row r="2" customFormat="false" ht="15" hidden="false" customHeight="false" outlineLevel="0" collapsed="false">
      <c r="A2" s="3" t="s">
        <v>155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156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161</v>
      </c>
      <c r="G5" s="8" t="s">
        <v>162</v>
      </c>
      <c r="H5" s="8" t="s">
        <v>163</v>
      </c>
      <c r="I5" s="8" t="s">
        <v>164</v>
      </c>
      <c r="J5" s="8" t="s">
        <v>165</v>
      </c>
      <c r="K5" s="8" t="s">
        <v>166</v>
      </c>
    </row>
    <row r="6" customFormat="false" ht="15" hidden="false" customHeight="false" outlineLevel="0" collapsed="false">
      <c r="A6" s="9" t="s">
        <v>167</v>
      </c>
      <c r="B6" s="9" t="s">
        <v>168</v>
      </c>
      <c r="C6" s="9" t="s">
        <v>169</v>
      </c>
      <c r="D6" s="9" t="s">
        <v>169</v>
      </c>
      <c r="E6" s="9" t="s">
        <v>169</v>
      </c>
      <c r="F6" s="9" t="s">
        <v>169</v>
      </c>
      <c r="G6" s="14" t="str">
        <f aca="false">IF(A6="","",IF(C6&lt;&gt;"Yes",IF(C6="No","Competitive disadvantage","Undetermined"),IF(D6&lt;&gt;"Yes",IF(D6="No","Competitive parity","Undetermined beyond valuable"),IF(E6&lt;&gt;"Yes",IF(E6="No","Temporary advantage","Undetermined beyond rare"),IF(F6="Yes","Sustained advantage",IF(F6="No","Unexploited advantage","Undetermined beyond inimitable"))))))</f>
        <v>Sustained advantage</v>
      </c>
      <c r="H6" s="9" t="s">
        <v>136</v>
      </c>
      <c r="I6" s="17" t="n">
        <v>0.3</v>
      </c>
      <c r="J6" s="14" t="str">
        <f aca="false">IF(A6="","",IF(AND(C6="Yes",D6="Yes",E6="Yes",N(I6)&lt;0.1),"Competence trap",IF(AND(OR(G6="Temporary advantage",G6="Unexploited advantage",G6="Sustained advantage"),N(I6)&gt;=0.1),"Supported",IF(AND(G6="Competitive parity",N(I6)&gt;=0.1),"Table stakes",""))))</f>
        <v>Supported</v>
      </c>
      <c r="K6" s="9" t="s">
        <v>170</v>
      </c>
    </row>
    <row r="7" customFormat="false" ht="15" hidden="false" customHeight="false" outlineLevel="0" collapsed="false">
      <c r="A7" s="9" t="s">
        <v>171</v>
      </c>
      <c r="B7" s="9" t="s">
        <v>168</v>
      </c>
      <c r="C7" s="9" t="s">
        <v>169</v>
      </c>
      <c r="D7" s="9" t="s">
        <v>169</v>
      </c>
      <c r="E7" s="9" t="s">
        <v>172</v>
      </c>
      <c r="F7" s="9" t="s">
        <v>169</v>
      </c>
      <c r="G7" s="14" t="str">
        <f aca="false">IF(A7="","",IF(C7&lt;&gt;"Yes",IF(C7="No","Competitive disadvantage","Undetermined"),IF(D7&lt;&gt;"Yes",IF(D7="No","Competitive parity","Undetermined beyond valuable"),IF(E7&lt;&gt;"Yes",IF(E7="No","Temporary advantage","Undetermined beyond rare"),IF(F7="Yes","Sustained advantage",IF(F7="No","Unexploited advantage","Undetermined beyond inimitable"))))))</f>
        <v>Temporary advantage</v>
      </c>
      <c r="H7" s="9" t="s">
        <v>139</v>
      </c>
      <c r="I7" s="17" t="n">
        <v>0.25</v>
      </c>
      <c r="J7" s="14" t="str">
        <f aca="false">IF(A7="","",IF(AND(C7="Yes",D7="Yes",E7="Yes",N(I7)&lt;0.1),"Competence trap",IF(AND(OR(G7="Temporary advantage",G7="Unexploited advantage",G7="Sustained advantage"),N(I7)&gt;=0.1),"Supported",IF(AND(G7="Competitive parity",N(I7)&gt;=0.1),"Table stakes",""))))</f>
        <v>Supported</v>
      </c>
      <c r="K7" s="9" t="s">
        <v>173</v>
      </c>
    </row>
    <row r="8" customFormat="false" ht="15" hidden="false" customHeight="false" outlineLevel="0" collapsed="false">
      <c r="A8" s="9" t="s">
        <v>174</v>
      </c>
      <c r="B8" s="9" t="s">
        <v>168</v>
      </c>
      <c r="C8" s="9" t="s">
        <v>169</v>
      </c>
      <c r="D8" s="9" t="s">
        <v>172</v>
      </c>
      <c r="E8" s="9" t="s">
        <v>172</v>
      </c>
      <c r="F8" s="9" t="s">
        <v>175</v>
      </c>
      <c r="G8" s="14" t="str">
        <f aca="false">IF(A8="","",IF(C8&lt;&gt;"Yes",IF(C8="No","Competitive disadvantage","Undetermined"),IF(D8&lt;&gt;"Yes",IF(D8="No","Competitive parity","Undetermined beyond valuable"),IF(E8&lt;&gt;"Yes",IF(E8="No","Temporary advantage","Undetermined beyond rare"),IF(F8="Yes","Sustained advantage",IF(F8="No","Unexploited advantage","Undetermined beyond inimitable"))))))</f>
        <v>Competitive parity</v>
      </c>
      <c r="H8" s="9" t="s">
        <v>139</v>
      </c>
      <c r="I8" s="17" t="n">
        <v>0.25</v>
      </c>
      <c r="J8" s="14" t="str">
        <f aca="false">IF(A8="","",IF(AND(C8="Yes",D8="Yes",E8="Yes",N(I8)&lt;0.1),"Competence trap",IF(AND(OR(G8="Temporary advantage",G8="Unexploited advantage",G8="Sustained advantage"),N(I8)&gt;=0.1),"Supported",IF(AND(G8="Competitive parity",N(I8)&gt;=0.1),"Table stakes",""))))</f>
        <v>Table stakes</v>
      </c>
      <c r="K8" s="9" t="s">
        <v>70</v>
      </c>
    </row>
    <row r="9" customFormat="false" ht="15" hidden="false" customHeight="false" outlineLevel="0" collapsed="false">
      <c r="A9" s="9" t="s">
        <v>176</v>
      </c>
      <c r="B9" s="9" t="s">
        <v>177</v>
      </c>
      <c r="C9" s="9" t="s">
        <v>169</v>
      </c>
      <c r="D9" s="9" t="s">
        <v>169</v>
      </c>
      <c r="E9" s="9" t="s">
        <v>175</v>
      </c>
      <c r="F9" s="9" t="s">
        <v>169</v>
      </c>
      <c r="G9" s="14" t="str">
        <f aca="false">IF(A9="","",IF(C9&lt;&gt;"Yes",IF(C9="No","Competitive disadvantage","Undetermined"),IF(D9&lt;&gt;"Yes",IF(D9="No","Competitive parity","Undetermined beyond valuable"),IF(E9&lt;&gt;"Yes",IF(E9="No","Temporary advantage","Undetermined beyond rare"),IF(F9="Yes","Sustained advantage",IF(F9="No","Unexploited advantage","Undetermined beyond inimitable"))))))</f>
        <v>Undetermined beyond rare</v>
      </c>
      <c r="H9" s="9" t="s">
        <v>136</v>
      </c>
      <c r="I9" s="17" t="n">
        <v>0.3</v>
      </c>
      <c r="J9" s="14" t="str">
        <f aca="false">IF(A9="","",IF(AND(C9="Yes",D9="Yes",E9="Yes",N(I9)&lt;0.1),"Competence trap",IF(AND(OR(G9="Temporary advantage",G9="Unexploited advantage",G9="Sustained advantage"),N(I9)&gt;=0.1),"Supported",IF(AND(G9="Competitive parity",N(I9)&gt;=0.1),"Table stakes",""))))</f>
        <v/>
      </c>
      <c r="K9" s="9" t="s">
        <v>173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14" t="str">
        <f aca="false">IF(A10="","",IF(C10&lt;&gt;"Yes",IF(C10="No","Competitive disadvantage","Undetermined"),IF(D10&lt;&gt;"Yes",IF(D10="No","Competitive parity","Undetermined beyond valuable"),IF(E10&lt;&gt;"Yes",IF(E10="No","Temporary advantage","Undetermined beyond rare"),IF(F10="Yes","Sustained advantage",IF(F10="No","Unexploited advantage","Undetermined beyond inimitable"))))))</f>
        <v/>
      </c>
      <c r="H10" s="9"/>
      <c r="I10" s="17"/>
      <c r="J10" s="14" t="str">
        <f aca="false">IF(A10="","",IF(AND(C10="Yes",D10="Yes",E10="Yes",N(I10)&lt;0.1),"Competence trap",IF(AND(OR(G10="Temporary advantage",G10="Unexploited advantage",G10="Sustained advantage"),N(I10)&gt;=0.1),"Supported",IF(AND(G10="Competitive parity",N(I10)&gt;=0.1),"Table stakes",""))))</f>
        <v/>
      </c>
      <c r="K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14" t="str">
        <f aca="false">IF(A11="","",IF(C11&lt;&gt;"Yes",IF(C11="No","Competitive disadvantage","Undetermined"),IF(D11&lt;&gt;"Yes",IF(D11="No","Competitive parity","Undetermined beyond valuable"),IF(E11&lt;&gt;"Yes",IF(E11="No","Temporary advantage","Undetermined beyond rare"),IF(F11="Yes","Sustained advantage",IF(F11="No","Unexploited advantage","Undetermined beyond inimitable"))))))</f>
        <v/>
      </c>
      <c r="H11" s="9"/>
      <c r="I11" s="17"/>
      <c r="J11" s="14" t="str">
        <f aca="false">IF(A11="","",IF(AND(C11="Yes",D11="Yes",E11="Yes",N(I11)&lt;0.1),"Competence trap",IF(AND(OR(G11="Temporary advantage",G11="Unexploited advantage",G11="Sustained advantage"),N(I11)&gt;=0.1),"Supported",IF(AND(G11="Competitive parity",N(I11)&gt;=0.1),"Table stakes",""))))</f>
        <v/>
      </c>
      <c r="K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14" t="str">
        <f aca="false">IF(A12="","",IF(C12&lt;&gt;"Yes",IF(C12="No","Competitive disadvantage","Undetermined"),IF(D12&lt;&gt;"Yes",IF(D12="No","Competitive parity","Undetermined beyond valuable"),IF(E12&lt;&gt;"Yes",IF(E12="No","Temporary advantage","Undetermined beyond rare"),IF(F12="Yes","Sustained advantage",IF(F12="No","Unexploited advantage","Undetermined beyond inimitable"))))))</f>
        <v/>
      </c>
      <c r="H12" s="9"/>
      <c r="I12" s="17"/>
      <c r="J12" s="14" t="str">
        <f aca="false">IF(A12="","",IF(AND(C12="Yes",D12="Yes",E12="Yes",N(I12)&lt;0.1),"Competence trap",IF(AND(OR(G12="Temporary advantage",G12="Unexploited advantage",G12="Sustained advantage"),N(I12)&gt;=0.1),"Supported",IF(AND(G12="Competitive parity",N(I12)&gt;=0.1),"Table stakes",""))))</f>
        <v/>
      </c>
      <c r="K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14" t="str">
        <f aca="false">IF(A13="","",IF(C13&lt;&gt;"Yes",IF(C13="No","Competitive disadvantage","Undetermined"),IF(D13&lt;&gt;"Yes",IF(D13="No","Competitive parity","Undetermined beyond valuable"),IF(E13&lt;&gt;"Yes",IF(E13="No","Temporary advantage","Undetermined beyond rare"),IF(F13="Yes","Sustained advantage",IF(F13="No","Unexploited advantage","Undetermined beyond inimitable"))))))</f>
        <v/>
      </c>
      <c r="H13" s="9"/>
      <c r="I13" s="17"/>
      <c r="J13" s="14" t="str">
        <f aca="false">IF(A13="","",IF(AND(C13="Yes",D13="Yes",E13="Yes",N(I13)&lt;0.1),"Competence trap",IF(AND(OR(G13="Temporary advantage",G13="Unexploited advantage",G13="Sustained advantage"),N(I13)&gt;=0.1),"Supported",IF(AND(G13="Competitive parity",N(I13)&gt;=0.1),"Table stakes",""))))</f>
        <v/>
      </c>
      <c r="K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14" t="str">
        <f aca="false">IF(A14="","",IF(C14&lt;&gt;"Yes",IF(C14="No","Competitive disadvantage","Undetermined"),IF(D14&lt;&gt;"Yes",IF(D14="No","Competitive parity","Undetermined beyond valuable"),IF(E14&lt;&gt;"Yes",IF(E14="No","Temporary advantage","Undetermined beyond rare"),IF(F14="Yes","Sustained advantage",IF(F14="No","Unexploited advantage","Undetermined beyond inimitable"))))))</f>
        <v/>
      </c>
      <c r="H14" s="9"/>
      <c r="I14" s="17"/>
      <c r="J14" s="14" t="str">
        <f aca="false">IF(A14="","",IF(AND(C14="Yes",D14="Yes",E14="Yes",N(I14)&lt;0.1),"Competence trap",IF(AND(OR(G14="Temporary advantage",G14="Unexploited advantage",G14="Sustained advantage"),N(I14)&gt;=0.1),"Supported",IF(AND(G14="Competitive parity",N(I14)&gt;=0.1),"Table stakes",""))))</f>
        <v/>
      </c>
      <c r="K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14" t="str">
        <f aca="false">IF(A15="","",IF(C15&lt;&gt;"Yes",IF(C15="No","Competitive disadvantage","Undetermined"),IF(D15&lt;&gt;"Yes",IF(D15="No","Competitive parity","Undetermined beyond valuable"),IF(E15&lt;&gt;"Yes",IF(E15="No","Temporary advantage","Undetermined beyond rare"),IF(F15="Yes","Sustained advantage",IF(F15="No","Unexploited advantage","Undetermined beyond inimitable"))))))</f>
        <v/>
      </c>
      <c r="H15" s="9"/>
      <c r="I15" s="17"/>
      <c r="J15" s="14" t="str">
        <f aca="false">IF(A15="","",IF(AND(C15="Yes",D15="Yes",E15="Yes",N(I15)&lt;0.1),"Competence trap",IF(AND(OR(G15="Temporary advantage",G15="Unexploited advantage",G15="Sustained advantage"),N(I15)&gt;=0.1),"Supported",IF(AND(G15="Competitive parity",N(I15)&gt;=0.1),"Table stakes",""))))</f>
        <v/>
      </c>
      <c r="K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14" t="str">
        <f aca="false">IF(A16="","",IF(C16&lt;&gt;"Yes",IF(C16="No","Competitive disadvantage","Undetermined"),IF(D16&lt;&gt;"Yes",IF(D16="No","Competitive parity","Undetermined beyond valuable"),IF(E16&lt;&gt;"Yes",IF(E16="No","Temporary advantage","Undetermined beyond rare"),IF(F16="Yes","Sustained advantage",IF(F16="No","Unexploited advantage","Undetermined beyond inimitable"))))))</f>
        <v/>
      </c>
      <c r="H16" s="9"/>
      <c r="I16" s="17"/>
      <c r="J16" s="14" t="str">
        <f aca="false">IF(A16="","",IF(AND(C16="Yes",D16="Yes",E16="Yes",N(I16)&lt;0.1),"Competence trap",IF(AND(OR(G16="Temporary advantage",G16="Unexploited advantage",G16="Sustained advantage"),N(I16)&gt;=0.1),"Supported",IF(AND(G16="Competitive parity",N(I16)&gt;=0.1),"Table stakes",""))))</f>
        <v/>
      </c>
      <c r="K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14" t="str">
        <f aca="false">IF(A17="","",IF(C17&lt;&gt;"Yes",IF(C17="No","Competitive disadvantage","Undetermined"),IF(D17&lt;&gt;"Yes",IF(D17="No","Competitive parity","Undetermined beyond valuable"),IF(E17&lt;&gt;"Yes",IF(E17="No","Temporary advantage","Undetermined beyond rare"),IF(F17="Yes","Sustained advantage",IF(F17="No","Unexploited advantage","Undetermined beyond inimitable"))))))</f>
        <v/>
      </c>
      <c r="H17" s="9"/>
      <c r="I17" s="17"/>
      <c r="J17" s="14" t="str">
        <f aca="false">IF(A17="","",IF(AND(C17="Yes",D17="Yes",E17="Yes",N(I17)&lt;0.1),"Competence trap",IF(AND(OR(G17="Temporary advantage",G17="Unexploited advantage",G17="Sustained advantage"),N(I17)&gt;=0.1),"Supported",IF(AND(G17="Competitive parity",N(I17)&gt;=0.1),"Table stakes",""))))</f>
        <v/>
      </c>
      <c r="K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14" t="str">
        <f aca="false">IF(A18="","",IF(C18&lt;&gt;"Yes",IF(C18="No","Competitive disadvantage","Undetermined"),IF(D18&lt;&gt;"Yes",IF(D18="No","Competitive parity","Undetermined beyond valuable"),IF(E18&lt;&gt;"Yes",IF(E18="No","Temporary advantage","Undetermined beyond rare"),IF(F18="Yes","Sustained advantage",IF(F18="No","Unexploited advantage","Undetermined beyond inimitable"))))))</f>
        <v/>
      </c>
      <c r="H18" s="9"/>
      <c r="I18" s="17"/>
      <c r="J18" s="14" t="str">
        <f aca="false">IF(A18="","",IF(AND(C18="Yes",D18="Yes",E18="Yes",N(I18)&lt;0.1),"Competence trap",IF(AND(OR(G18="Temporary advantage",G18="Unexploited advantage",G18="Sustained advantage"),N(I18)&gt;=0.1),"Supported",IF(AND(G18="Competitive parity",N(I18)&gt;=0.1),"Table stakes",""))))</f>
        <v/>
      </c>
      <c r="K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14" t="str">
        <f aca="false">IF(A19="","",IF(C19&lt;&gt;"Yes",IF(C19="No","Competitive disadvantage","Undetermined"),IF(D19&lt;&gt;"Yes",IF(D19="No","Competitive parity","Undetermined beyond valuable"),IF(E19&lt;&gt;"Yes",IF(E19="No","Temporary advantage","Undetermined beyond rare"),IF(F19="Yes","Sustained advantage",IF(F19="No","Unexploited advantage","Undetermined beyond inimitable"))))))</f>
        <v/>
      </c>
      <c r="H19" s="9"/>
      <c r="I19" s="17"/>
      <c r="J19" s="14" t="str">
        <f aca="false">IF(A19="","",IF(AND(C19="Yes",D19="Yes",E19="Yes",N(I19)&lt;0.1),"Competence trap",IF(AND(OR(G19="Temporary advantage",G19="Unexploited advantage",G19="Sustained advantage"),N(I19)&gt;=0.1),"Supported",IF(AND(G19="Competitive parity",N(I19)&gt;=0.1),"Table stakes",""))))</f>
        <v/>
      </c>
      <c r="K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14" t="str">
        <f aca="false">IF(A20="","",IF(C20&lt;&gt;"Yes",IF(C20="No","Competitive disadvantage","Undetermined"),IF(D20&lt;&gt;"Yes",IF(D20="No","Competitive parity","Undetermined beyond valuable"),IF(E20&lt;&gt;"Yes",IF(E20="No","Temporary advantage","Undetermined beyond rare"),IF(F20="Yes","Sustained advantage",IF(F20="No","Unexploited advantage","Undetermined beyond inimitable"))))))</f>
        <v/>
      </c>
      <c r="H20" s="9"/>
      <c r="I20" s="17"/>
      <c r="J20" s="14" t="str">
        <f aca="false">IF(A20="","",IF(AND(C20="Yes",D20="Yes",E20="Yes",N(I20)&lt;0.1),"Competence trap",IF(AND(OR(G20="Temporary advantage",G20="Unexploited advantage",G20="Sustained advantage"),N(I20)&gt;=0.1),"Supported",IF(AND(G20="Competitive parity",N(I20)&gt;=0.1),"Table stakes",""))))</f>
        <v/>
      </c>
      <c r="K20" s="9"/>
    </row>
  </sheetData>
  <conditionalFormatting sqref="G6:G20">
    <cfRule type="expression" priority="2" aboveAverage="0" equalAverage="0" bottom="0" percent="0" rank="0" text="" dxfId="0">
      <formula>G6="Sustained advantage"</formula>
    </cfRule>
    <cfRule type="expression" priority="3" aboveAverage="0" equalAverage="0" bottom="0" percent="0" rank="0" text="" dxfId="1">
      <formula>OR(G6="Temporary advantage",G6="Unexploited advantage",G6="Competitive parity")</formula>
    </cfRule>
    <cfRule type="expression" priority="4" aboveAverage="0" equalAverage="0" bottom="0" percent="0" rank="0" text="" dxfId="2">
      <formula>G6="Competitive disadvantage"</formula>
    </cfRule>
  </conditionalFormatting>
  <conditionalFormatting sqref="J6:J20">
    <cfRule type="expression" priority="5" aboveAverage="0" equalAverage="0" bottom="0" percent="0" rank="0" text="" dxfId="2">
      <formula>J6="Competence trap"</formula>
    </cfRule>
    <cfRule type="expression" priority="6" aboveAverage="0" equalAverage="0" bottom="0" percent="0" rank="0" text="" dxfId="0">
      <formula>J6="Supported"</formula>
    </cfRule>
  </conditionalFormatting>
  <dataValidations count="2">
    <dataValidation allowBlank="true" errorStyle="stop" operator="between" showDropDown="false" showErrorMessage="false" showInputMessage="false" sqref="C6:F20" type="list">
      <formula1>"Yes,No,?"</formula1>
      <formula2>0</formula2>
    </dataValidation>
    <dataValidation allowBlank="true" errorStyle="stop" operator="between" showDropDown="false" showErrorMessage="false" showInputMessage="false" sqref="B6:B20" type="list">
      <formula1>"resource,capability"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6" min="6" style="0" width="50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6" t="s">
        <v>178</v>
      </c>
    </row>
    <row r="2" customFormat="false" ht="15" hidden="false" customHeight="false" outlineLevel="0" collapsed="false">
      <c r="A2" s="3" t="s">
        <v>179</v>
      </c>
    </row>
    <row r="3" customFormat="false" ht="15" hidden="false" customHeight="false" outlineLevel="0" collapsed="false">
      <c r="A3" s="7" t="s">
        <v>44</v>
      </c>
    </row>
    <row r="5" customFormat="false" ht="15" hidden="false" customHeight="false" outlineLevel="0" collapsed="false">
      <c r="A5" s="8" t="s">
        <v>45</v>
      </c>
      <c r="B5" s="8" t="s">
        <v>180</v>
      </c>
      <c r="C5" s="8" t="s">
        <v>181</v>
      </c>
      <c r="E5" s="8" t="s">
        <v>45</v>
      </c>
      <c r="F5" s="8" t="s">
        <v>182</v>
      </c>
      <c r="G5" s="8" t="s">
        <v>181</v>
      </c>
    </row>
    <row r="6" customFormat="false" ht="15" hidden="false" customHeight="false" outlineLevel="0" collapsed="false">
      <c r="A6" s="11" t="s">
        <v>183</v>
      </c>
      <c r="B6" s="9" t="s">
        <v>184</v>
      </c>
      <c r="C6" s="9" t="s">
        <v>185</v>
      </c>
      <c r="E6" s="11" t="s">
        <v>186</v>
      </c>
      <c r="F6" s="9" t="s">
        <v>187</v>
      </c>
      <c r="G6" s="9" t="s">
        <v>145</v>
      </c>
    </row>
    <row r="7" customFormat="false" ht="15" hidden="false" customHeight="false" outlineLevel="0" collapsed="false">
      <c r="A7" s="11" t="s">
        <v>188</v>
      </c>
      <c r="B7" s="9" t="s">
        <v>171</v>
      </c>
      <c r="C7" s="9" t="s">
        <v>189</v>
      </c>
      <c r="E7" s="11" t="s">
        <v>190</v>
      </c>
      <c r="F7" s="9" t="s">
        <v>191</v>
      </c>
      <c r="G7" s="9" t="s">
        <v>192</v>
      </c>
    </row>
    <row r="8" customFormat="false" ht="15" hidden="false" customHeight="false" outlineLevel="0" collapsed="false">
      <c r="A8" s="11" t="s">
        <v>193</v>
      </c>
      <c r="B8" s="9"/>
      <c r="C8" s="9"/>
      <c r="E8" s="11" t="s">
        <v>194</v>
      </c>
      <c r="F8" s="9"/>
      <c r="G8" s="9"/>
    </row>
    <row r="9" customFormat="false" ht="15" hidden="false" customHeight="false" outlineLevel="0" collapsed="false">
      <c r="A9" s="11" t="s">
        <v>195</v>
      </c>
      <c r="B9" s="9"/>
      <c r="C9" s="9"/>
      <c r="E9" s="11" t="s">
        <v>196</v>
      </c>
      <c r="F9" s="9"/>
      <c r="G9" s="9"/>
    </row>
    <row r="10" customFormat="false" ht="15" hidden="false" customHeight="false" outlineLevel="0" collapsed="false">
      <c r="A10" s="11" t="s">
        <v>197</v>
      </c>
      <c r="B10" s="9"/>
      <c r="C10" s="9"/>
      <c r="E10" s="11" t="s">
        <v>198</v>
      </c>
      <c r="F10" s="9"/>
      <c r="G10" s="9"/>
    </row>
    <row r="11" customFormat="false" ht="15" hidden="false" customHeight="false" outlineLevel="0" collapsed="false">
      <c r="A11" s="11" t="s">
        <v>199</v>
      </c>
      <c r="B11" s="9"/>
      <c r="C11" s="9"/>
      <c r="E11" s="11" t="s">
        <v>200</v>
      </c>
      <c r="F11" s="9"/>
      <c r="G11" s="9"/>
    </row>
    <row r="14" customFormat="false" ht="15" hidden="false" customHeight="false" outlineLevel="0" collapsed="false">
      <c r="A14" s="8" t="s">
        <v>45</v>
      </c>
      <c r="B14" s="8" t="s">
        <v>201</v>
      </c>
      <c r="C14" s="8" t="s">
        <v>181</v>
      </c>
      <c r="E14" s="8" t="s">
        <v>45</v>
      </c>
      <c r="F14" s="8" t="s">
        <v>202</v>
      </c>
      <c r="G14" s="8" t="s">
        <v>181</v>
      </c>
    </row>
    <row r="15" customFormat="false" ht="15" hidden="false" customHeight="false" outlineLevel="0" collapsed="false">
      <c r="A15" s="11" t="s">
        <v>203</v>
      </c>
      <c r="B15" s="9" t="s">
        <v>204</v>
      </c>
      <c r="C15" s="9" t="s">
        <v>186</v>
      </c>
      <c r="E15" s="11" t="s">
        <v>205</v>
      </c>
      <c r="F15" s="9" t="s">
        <v>62</v>
      </c>
      <c r="G15" s="9" t="s">
        <v>60</v>
      </c>
    </row>
    <row r="16" customFormat="false" ht="15" hidden="false" customHeight="false" outlineLevel="0" collapsed="false">
      <c r="A16" s="11" t="s">
        <v>206</v>
      </c>
      <c r="B16" s="9" t="s">
        <v>207</v>
      </c>
      <c r="C16" s="9" t="s">
        <v>76</v>
      </c>
      <c r="E16" s="11" t="s">
        <v>208</v>
      </c>
      <c r="F16" s="9" t="s">
        <v>209</v>
      </c>
      <c r="G16" s="9" t="s">
        <v>80</v>
      </c>
    </row>
    <row r="17" customFormat="false" ht="15" hidden="false" customHeight="false" outlineLevel="0" collapsed="false">
      <c r="A17" s="11" t="s">
        <v>210</v>
      </c>
      <c r="B17" s="9"/>
      <c r="C17" s="9"/>
      <c r="E17" s="11" t="s">
        <v>211</v>
      </c>
      <c r="F17" s="9"/>
      <c r="G17" s="9"/>
    </row>
    <row r="18" customFormat="false" ht="15" hidden="false" customHeight="false" outlineLevel="0" collapsed="false">
      <c r="A18" s="11" t="s">
        <v>212</v>
      </c>
      <c r="B18" s="9"/>
      <c r="C18" s="9"/>
      <c r="E18" s="11" t="s">
        <v>213</v>
      </c>
      <c r="F18" s="9"/>
      <c r="G18" s="9"/>
    </row>
    <row r="19" customFormat="false" ht="15" hidden="false" customHeight="false" outlineLevel="0" collapsed="false">
      <c r="A19" s="11" t="s">
        <v>214</v>
      </c>
      <c r="B19" s="9"/>
      <c r="C19" s="9"/>
      <c r="E19" s="11" t="s">
        <v>215</v>
      </c>
      <c r="F19" s="9"/>
      <c r="G19" s="9"/>
    </row>
    <row r="20" customFormat="false" ht="15" hidden="false" customHeight="false" outlineLevel="0" collapsed="false">
      <c r="A20" s="11" t="s">
        <v>216</v>
      </c>
      <c r="B20" s="9"/>
      <c r="C20" s="9"/>
      <c r="E20" s="11" t="s">
        <v>217</v>
      </c>
      <c r="F20" s="9"/>
      <c r="G20" s="9"/>
    </row>
    <row r="23" customFormat="false" ht="15" hidden="false" customHeight="false" outlineLevel="0" collapsed="false">
      <c r="A23" s="8" t="s">
        <v>218</v>
      </c>
      <c r="B23" s="8" t="s">
        <v>219</v>
      </c>
      <c r="C23" s="8" t="s">
        <v>220</v>
      </c>
    </row>
    <row r="24" customFormat="false" ht="15" hidden="false" customHeight="false" outlineLevel="0" collapsed="false">
      <c r="A24" s="9" t="s">
        <v>221</v>
      </c>
      <c r="B24" s="9" t="s">
        <v>222</v>
      </c>
      <c r="C24" s="9" t="s">
        <v>223</v>
      </c>
    </row>
    <row r="25" customFormat="false" ht="15" hidden="false" customHeight="false" outlineLevel="0" collapsed="false">
      <c r="A25" s="9" t="s">
        <v>224</v>
      </c>
      <c r="B25" s="9" t="s">
        <v>225</v>
      </c>
      <c r="C25" s="9" t="s">
        <v>226</v>
      </c>
    </row>
    <row r="26" customFormat="false" ht="15" hidden="false" customHeight="false" outlineLevel="0" collapsed="false">
      <c r="A26" s="9" t="s">
        <v>227</v>
      </c>
      <c r="B26" s="9" t="s">
        <v>228</v>
      </c>
      <c r="C26" s="9" t="s">
        <v>229</v>
      </c>
    </row>
    <row r="27" customFormat="false" ht="15" hidden="false" customHeight="false" outlineLevel="0" collapsed="false">
      <c r="A27" s="9"/>
      <c r="B27" s="9"/>
      <c r="C27" s="9"/>
    </row>
    <row r="28" customFormat="false" ht="15" hidden="false" customHeight="false" outlineLevel="0" collapsed="false">
      <c r="A28" s="9"/>
      <c r="B28" s="9"/>
      <c r="C28" s="9"/>
    </row>
    <row r="29" customFormat="false" ht="15" hidden="false" customHeight="false" outlineLevel="0" collapsed="false">
      <c r="A29" s="9"/>
      <c r="B29" s="9"/>
      <c r="C29" s="9"/>
    </row>
    <row r="30" customFormat="false" ht="15" hidden="false" customHeight="false" outlineLevel="0" collapsed="false">
      <c r="A30" s="9"/>
      <c r="B30" s="9"/>
      <c r="C30" s="9"/>
    </row>
    <row r="31" customFormat="false" ht="15" hidden="false" customHeight="false" outlineLevel="0" collapsed="false">
      <c r="A31" s="9"/>
      <c r="B31" s="9"/>
      <c r="C31" s="9"/>
    </row>
    <row r="32" customFormat="false" ht="15" hidden="false" customHeight="false" outlineLevel="0" collapsed="false">
      <c r="A32" s="9"/>
      <c r="B32" s="9"/>
      <c r="C32" s="9"/>
    </row>
    <row r="33" customFormat="false" ht="15" hidden="false" customHeight="false" outlineLevel="0" collapsed="false">
      <c r="A33" s="9"/>
      <c r="B33" s="9"/>
      <c r="C33" s="9"/>
    </row>
    <row r="34" customFormat="false" ht="15" hidden="false" customHeight="false" outlineLevel="0" collapsed="false">
      <c r="A34" s="9"/>
      <c r="B34" s="9"/>
      <c r="C34" s="9"/>
    </row>
    <row r="35" customFormat="false" ht="15" hidden="false" customHeight="false" outlineLevel="0" collapsed="false">
      <c r="A35" s="9"/>
      <c r="B35" s="9"/>
      <c r="C35" s="9"/>
    </row>
  </sheetData>
  <dataValidations count="1">
    <dataValidation allowBlank="true" errorStyle="stop" operator="between" showDropDown="false" showErrorMessage="false" showInputMessage="false" sqref="A24:A35" type="list">
      <formula1>"SO,WO,ST,WT"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8" min="4" style="0" width="15"/>
  </cols>
  <sheetData>
    <row r="1" customFormat="false" ht="19.7" hidden="false" customHeight="false" outlineLevel="0" collapsed="false">
      <c r="A1" s="6" t="s">
        <v>17</v>
      </c>
    </row>
    <row r="2" customFormat="false" ht="15" hidden="false" customHeight="false" outlineLevel="0" collapsed="false">
      <c r="A2" s="3" t="s">
        <v>230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231</v>
      </c>
      <c r="B5" s="8" t="s">
        <v>232</v>
      </c>
      <c r="C5" s="8" t="s">
        <v>233</v>
      </c>
      <c r="D5" s="16" t="s">
        <v>234</v>
      </c>
      <c r="E5" s="16" t="s">
        <v>235</v>
      </c>
      <c r="F5" s="16" t="s">
        <v>236</v>
      </c>
      <c r="G5" s="16" t="s">
        <v>237</v>
      </c>
      <c r="H5" s="16" t="s">
        <v>238</v>
      </c>
    </row>
    <row r="6" customFormat="false" ht="15" hidden="false" customHeight="false" outlineLevel="0" collapsed="false">
      <c r="A6" s="9" t="s">
        <v>239</v>
      </c>
      <c r="B6" s="9" t="n">
        <v>5</v>
      </c>
      <c r="C6" s="9" t="s">
        <v>240</v>
      </c>
      <c r="D6" s="9" t="n">
        <v>4</v>
      </c>
      <c r="E6" s="9" t="n">
        <v>3</v>
      </c>
      <c r="F6" s="9" t="n">
        <v>1</v>
      </c>
      <c r="G6" s="9"/>
      <c r="H6" s="9"/>
    </row>
    <row r="7" customFormat="false" ht="15" hidden="false" customHeight="false" outlineLevel="0" collapsed="false">
      <c r="A7" s="9" t="s">
        <v>241</v>
      </c>
      <c r="B7" s="9" t="n">
        <v>4</v>
      </c>
      <c r="C7" s="9" t="s">
        <v>242</v>
      </c>
      <c r="D7" s="9" t="n">
        <v>5</v>
      </c>
      <c r="E7" s="9" t="n">
        <v>4</v>
      </c>
      <c r="F7" s="9" t="n">
        <v>1</v>
      </c>
      <c r="G7" s="9"/>
      <c r="H7" s="9"/>
    </row>
    <row r="8" customFormat="false" ht="15" hidden="false" customHeight="false" outlineLevel="0" collapsed="false">
      <c r="A8" s="9" t="s">
        <v>243</v>
      </c>
      <c r="B8" s="9" t="n">
        <v>3</v>
      </c>
      <c r="C8" s="9" t="s">
        <v>240</v>
      </c>
      <c r="D8" s="9" t="n">
        <v>1</v>
      </c>
      <c r="E8" s="9" t="n">
        <v>4</v>
      </c>
      <c r="F8" s="9" t="n">
        <v>5</v>
      </c>
      <c r="G8" s="9"/>
      <c r="H8" s="9"/>
    </row>
    <row r="9" customFormat="false" ht="15" hidden="false" customHeight="false" outlineLevel="0" collapsed="false">
      <c r="A9" s="9" t="s">
        <v>244</v>
      </c>
      <c r="B9" s="9" t="n">
        <v>3</v>
      </c>
      <c r="C9" s="9" t="s">
        <v>245</v>
      </c>
      <c r="D9" s="9" t="n">
        <v>3</v>
      </c>
      <c r="E9" s="9" t="n">
        <v>5</v>
      </c>
      <c r="F9" s="9" t="n">
        <v>1</v>
      </c>
      <c r="G9" s="9"/>
      <c r="H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11" t="s">
        <v>152</v>
      </c>
      <c r="D14" s="19" t="n">
        <f aca="false">IF(COUNT(D6:D13)=0,"",SUMPRODUCT($B$6:$B$13,D6:D13)/SUMPRODUCT($B$6:$B$13*(D6:D13&lt;&gt;"")))</f>
        <v>3.46666666666667</v>
      </c>
      <c r="E14" s="19" t="n">
        <f aca="false">IF(COUNT(E6:E13)=0,"",SUMPRODUCT($B$6:$B$13,E6:E13)/SUMPRODUCT($B$6:$B$13*(E6:E13&lt;&gt;"")))</f>
        <v>3.86666666666667</v>
      </c>
      <c r="F14" s="19" t="n">
        <f aca="false">IF(COUNT(F6:F13)=0,"",SUMPRODUCT($B$6:$B$13,F6:F13)/SUMPRODUCT($B$6:$B$13*(F6:F13&lt;&gt;"")))</f>
        <v>1.8</v>
      </c>
      <c r="G14" s="19" t="str">
        <f aca="false">IF(COUNT(G6:G13)=0,"",SUMPRODUCT($B$6:$B$13,G6:G13)/SUMPRODUCT($B$6:$B$13*(G6:G13&lt;&gt;"")))</f>
        <v/>
      </c>
      <c r="H14" s="19" t="str">
        <f aca="false">IF(COUNT(H6:H13)=0,"",SUMPRODUCT($B$6:$B$13,H6:H13)/SUMPRODUCT($B$6:$B$13*(H6:H13&lt;&gt;"")))</f>
        <v/>
      </c>
    </row>
    <row r="15" customFormat="false" ht="15" hidden="false" customHeight="false" outlineLevel="0" collapsed="false">
      <c r="A15" s="11" t="s">
        <v>153</v>
      </c>
      <c r="D15" s="10" t="n">
        <f aca="false">IF(D14="","",RANK(D14,$D$14:$H$14))</f>
        <v>2</v>
      </c>
      <c r="E15" s="10" t="n">
        <f aca="false">IF(E14="","",RANK(E14,$D$14:$H$14))</f>
        <v>1</v>
      </c>
      <c r="F15" s="10" t="n">
        <f aca="false">IF(F14="","",RANK(F14,$D$14:$H$14))</f>
        <v>3</v>
      </c>
      <c r="G15" s="10" t="str">
        <f aca="false">IF(G14="","",RANK(G14,$D$14:$H$14))</f>
        <v/>
      </c>
      <c r="H15" s="10" t="str">
        <f aca="false">IF(H14="","",RANK(H14,$D$14:$H$14))</f>
        <v/>
      </c>
    </row>
    <row r="17" customFormat="false" ht="23.85" hidden="false" customHeight="false" outlineLevel="0" collapsed="false">
      <c r="A17" s="5" t="s">
        <v>246</v>
      </c>
    </row>
  </sheetData>
  <dataValidations count="1">
    <dataValidation allowBlank="true" error="Enter a whole number from 1 to 5." errorStyle="stop" errorTitle="StratOS" operator="between" showDropDown="false" showErrorMessage="false" showInputMessage="false" sqref="B6:H13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6" t="s">
        <v>19</v>
      </c>
    </row>
    <row r="2" customFormat="false" ht="15" hidden="false" customHeight="false" outlineLevel="0" collapsed="false">
      <c r="A2" s="3" t="s">
        <v>247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248</v>
      </c>
      <c r="B5" s="8" t="s">
        <v>249</v>
      </c>
      <c r="C5" s="8" t="s">
        <v>250</v>
      </c>
      <c r="D5" s="8" t="s">
        <v>251</v>
      </c>
      <c r="E5" s="8" t="s">
        <v>252</v>
      </c>
      <c r="F5" s="8" t="s">
        <v>253</v>
      </c>
      <c r="G5" s="8" t="s">
        <v>254</v>
      </c>
      <c r="H5" s="8" t="s">
        <v>255</v>
      </c>
      <c r="I5" s="8" t="s">
        <v>256</v>
      </c>
      <c r="J5" s="8" t="s">
        <v>257</v>
      </c>
      <c r="K5" s="8" t="s">
        <v>258</v>
      </c>
    </row>
    <row r="6" customFormat="false" ht="15" hidden="false" customHeight="false" outlineLevel="0" collapsed="false">
      <c r="A6" s="9" t="s">
        <v>234</v>
      </c>
      <c r="B6" s="17" t="n">
        <v>0.3</v>
      </c>
      <c r="C6" s="13" t="n">
        <v>620</v>
      </c>
      <c r="D6" s="17" t="n">
        <v>0.5</v>
      </c>
      <c r="E6" s="13" t="n">
        <v>-35</v>
      </c>
      <c r="F6" s="17" t="n">
        <v>0.2</v>
      </c>
      <c r="G6" s="13" t="n">
        <v>-540</v>
      </c>
      <c r="H6" s="14" t="str">
        <f aca="false">IF(A6="","",IF(ABS(B6+D6+F6-1)&lt;0.001,"OK","Must sum to 100%"))</f>
        <v>OK</v>
      </c>
      <c r="I6" s="19" t="n">
        <f aca="false">IF(A6="","",B6*C6+D6*E6+F6*G6)</f>
        <v>60.5</v>
      </c>
      <c r="J6" s="12" t="n">
        <f aca="false">IF(A6="","",MIN(C6,E6,G6))</f>
        <v>-540</v>
      </c>
      <c r="K6" s="12" t="n">
        <f aca="false">IF(A6="","",MAX(C6,E6,G6))</f>
        <v>620</v>
      </c>
    </row>
    <row r="7" customFormat="false" ht="15" hidden="false" customHeight="false" outlineLevel="0" collapsed="false">
      <c r="A7" s="9" t="s">
        <v>235</v>
      </c>
      <c r="B7" s="17" t="n">
        <v>0.3</v>
      </c>
      <c r="C7" s="13" t="n">
        <v>260</v>
      </c>
      <c r="D7" s="17" t="n">
        <v>0.5</v>
      </c>
      <c r="E7" s="13" t="n">
        <v>40</v>
      </c>
      <c r="F7" s="17" t="n">
        <v>0.2</v>
      </c>
      <c r="G7" s="13" t="n">
        <v>-60</v>
      </c>
      <c r="H7" s="14" t="str">
        <f aca="false">IF(A7="","",IF(ABS(B7+D7+F7-1)&lt;0.001,"OK","Must sum to 100%"))</f>
        <v>OK</v>
      </c>
      <c r="I7" s="19" t="n">
        <f aca="false">IF(A7="","",B7*C7+D7*E7+F7*G7)</f>
        <v>86</v>
      </c>
      <c r="J7" s="12" t="n">
        <f aca="false">IF(A7="","",MIN(C7,E7,G7))</f>
        <v>-60</v>
      </c>
      <c r="K7" s="12" t="n">
        <f aca="false">IF(A7="","",MAX(C7,E7,G7))</f>
        <v>260</v>
      </c>
    </row>
    <row r="8" customFormat="false" ht="15" hidden="false" customHeight="false" outlineLevel="0" collapsed="false">
      <c r="A8" s="9" t="s">
        <v>236</v>
      </c>
      <c r="B8" s="17" t="n">
        <v>0.3</v>
      </c>
      <c r="C8" s="13" t="n">
        <v>0</v>
      </c>
      <c r="D8" s="17" t="n">
        <v>0.5</v>
      </c>
      <c r="E8" s="13" t="n">
        <v>0</v>
      </c>
      <c r="F8" s="17" t="n">
        <v>0.2</v>
      </c>
      <c r="G8" s="13" t="n">
        <v>0</v>
      </c>
      <c r="H8" s="14" t="str">
        <f aca="false">IF(A8="","",IF(ABS(B8+D8+F8-1)&lt;0.001,"OK","Must sum to 100%"))</f>
        <v>OK</v>
      </c>
      <c r="I8" s="19" t="n">
        <f aca="false">IF(A8="","",B8*C8+D8*E8+F8*G8)</f>
        <v>0</v>
      </c>
      <c r="J8" s="12" t="n">
        <f aca="false">IF(A8="","",MIN(C8,E8,G8))</f>
        <v>0</v>
      </c>
      <c r="K8" s="12" t="n">
        <f aca="false">IF(A8="","",MAX(C8,E8,G8))</f>
        <v>0</v>
      </c>
    </row>
    <row r="9" customFormat="false" ht="15" hidden="false" customHeight="false" outlineLevel="0" collapsed="false">
      <c r="A9" s="9"/>
      <c r="B9" s="17"/>
      <c r="C9" s="13"/>
      <c r="D9" s="17"/>
      <c r="E9" s="13"/>
      <c r="F9" s="17"/>
      <c r="G9" s="13"/>
      <c r="H9" s="14" t="str">
        <f aca="false">IF(A9="","",IF(ABS(B9+D9+F9-1)&lt;0.001,"OK","Must sum to 100%"))</f>
        <v/>
      </c>
      <c r="I9" s="19" t="str">
        <f aca="false">IF(A9="","",B9*C9+D9*E9+F9*G9)</f>
        <v/>
      </c>
      <c r="J9" s="12" t="str">
        <f aca="false">IF(A9="","",MIN(C9,E9,G9))</f>
        <v/>
      </c>
      <c r="K9" s="12" t="str">
        <f aca="false">IF(A9="","",MAX(C9,E9,G9))</f>
        <v/>
      </c>
    </row>
    <row r="10" customFormat="false" ht="15" hidden="false" customHeight="false" outlineLevel="0" collapsed="false">
      <c r="A10" s="9"/>
      <c r="B10" s="17"/>
      <c r="C10" s="13"/>
      <c r="D10" s="17"/>
      <c r="E10" s="13"/>
      <c r="F10" s="17"/>
      <c r="G10" s="13"/>
      <c r="H10" s="14" t="str">
        <f aca="false">IF(A10="","",IF(ABS(B10+D10+F10-1)&lt;0.001,"OK","Must sum to 100%"))</f>
        <v/>
      </c>
      <c r="I10" s="19" t="str">
        <f aca="false">IF(A10="","",B10*C10+D10*E10+F10*G10)</f>
        <v/>
      </c>
      <c r="J10" s="12" t="str">
        <f aca="false">IF(A10="","",MIN(C10,E10,G10))</f>
        <v/>
      </c>
      <c r="K10" s="12" t="str">
        <f aca="false">IF(A10="","",MAX(C10,E10,G10))</f>
        <v/>
      </c>
    </row>
    <row r="11" customFormat="false" ht="15" hidden="false" customHeight="false" outlineLevel="0" collapsed="false">
      <c r="A11" s="9"/>
      <c r="B11" s="17"/>
      <c r="C11" s="13"/>
      <c r="D11" s="17"/>
      <c r="E11" s="13"/>
      <c r="F11" s="17"/>
      <c r="G11" s="13"/>
      <c r="H11" s="14" t="str">
        <f aca="false">IF(A11="","",IF(ABS(B11+D11+F11-1)&lt;0.001,"OK","Must sum to 100%"))</f>
        <v/>
      </c>
      <c r="I11" s="19" t="str">
        <f aca="false">IF(A11="","",B11*C11+D11*E11+F11*G11)</f>
        <v/>
      </c>
      <c r="J11" s="12" t="str">
        <f aca="false">IF(A11="","",MIN(C11,E11,G11))</f>
        <v/>
      </c>
      <c r="K11" s="12" t="str">
        <f aca="false">IF(A11="","",MAX(C11,E11,G11))</f>
        <v/>
      </c>
    </row>
    <row r="13" customFormat="false" ht="15" hidden="false" customHeight="false" outlineLevel="0" collapsed="false">
      <c r="A13" s="11" t="s">
        <v>259</v>
      </c>
      <c r="B13" s="20" t="str">
        <f aca="false">IFERROR(INDEX(A6:A11,MATCH(MAX(I6:I11),I6:I11,0)),"")</f>
        <v>B. Partner</v>
      </c>
    </row>
    <row r="14" customFormat="false" ht="23.85" hidden="false" customHeight="false" outlineLevel="0" collapsed="false">
      <c r="A14" s="11" t="s">
        <v>260</v>
      </c>
      <c r="B14" s="20" t="str">
        <f aca="false">IFERROR(INDEX(A6:A11,MATCH(MAX(J6:J11),J6:J11,0)),"")</f>
        <v>0. Do nothing</v>
      </c>
    </row>
    <row r="15" customFormat="false" ht="23.85" hidden="false" customHeight="true" outlineLevel="0" collapsed="false">
      <c r="A15" s="11" t="s">
        <v>261</v>
      </c>
      <c r="B15" s="19" t="n">
        <f aca="false">IFERROR(INDEX(B6:B11,MATCH(MAX(I6:I11),I6:I11,0))*MAX(C6:C11)+INDEX(D6:D11,MATCH(MAX(I6:I11),I6:I11,0))*MAX(E6:E11)+INDEX(F6:F11,MATCH(MAX(I6:I11),I6:I11,0))*MAX(G6:G11)-MAX(I6:I11),"")</f>
        <v>120</v>
      </c>
      <c r="C15" s="21" t="s">
        <v>262</v>
      </c>
      <c r="D15" s="21"/>
      <c r="E15" s="21"/>
      <c r="F15" s="21"/>
      <c r="G15" s="21"/>
      <c r="H15" s="21"/>
      <c r="I15" s="21"/>
      <c r="J15" s="21"/>
      <c r="K15" s="21"/>
    </row>
    <row r="18" customFormat="false" ht="23.85" hidden="false" customHeight="true" outlineLevel="0" collapsed="false">
      <c r="A18" s="11" t="s">
        <v>263</v>
      </c>
      <c r="B18" s="21" t="s">
        <v>264</v>
      </c>
      <c r="C18" s="21"/>
      <c r="D18" s="21"/>
      <c r="E18" s="21"/>
      <c r="F18" s="21"/>
      <c r="G18" s="21"/>
      <c r="H18" s="21"/>
      <c r="I18" s="21"/>
      <c r="J18" s="21"/>
      <c r="K18" s="21"/>
    </row>
    <row r="19" customFormat="false" ht="30" hidden="false" customHeight="true" outlineLevel="0" collapsed="false">
      <c r="A19" s="8" t="s">
        <v>265</v>
      </c>
      <c r="B19" s="8" t="s">
        <v>266</v>
      </c>
      <c r="C19" s="8" t="s">
        <v>267</v>
      </c>
      <c r="D19" s="8" t="s">
        <v>268</v>
      </c>
      <c r="E19" s="8" t="s">
        <v>269</v>
      </c>
      <c r="F19" s="8" t="s">
        <v>270</v>
      </c>
      <c r="G19" s="8" t="s">
        <v>271</v>
      </c>
    </row>
    <row r="20" customFormat="false" ht="15" hidden="false" customHeight="false" outlineLevel="0" collapsed="false">
      <c r="A20" s="5" t="s">
        <v>272</v>
      </c>
      <c r="B20" s="22" t="n">
        <f aca="false">IF(B6="","",B6)</f>
        <v>0.3</v>
      </c>
      <c r="C20" s="17" t="n">
        <v>0.8</v>
      </c>
      <c r="D20" s="17" t="n">
        <v>0.2</v>
      </c>
      <c r="E20" s="14" t="str">
        <f aca="false">IF(C20="","",IF(ABS(C20+D20-1)&lt;0.001,"OK","Must sum to 100%"))</f>
        <v>OK</v>
      </c>
      <c r="F20" s="23" t="n">
        <f aca="false">IFERROR(B20*C20/SUMPRODUCT($B$20:$B$22,$C$20:$C$22),"")</f>
        <v>0.461538461538462</v>
      </c>
      <c r="G20" s="23" t="n">
        <f aca="false">IFERROR(B20*D20/SUMPRODUCT($B$20:$B$22,$D$20:$D$22),"")</f>
        <v>0.125</v>
      </c>
    </row>
    <row r="21" customFormat="false" ht="15" hidden="false" customHeight="false" outlineLevel="0" collapsed="false">
      <c r="A21" s="5" t="s">
        <v>273</v>
      </c>
      <c r="B21" s="22" t="n">
        <f aca="false">IF(D6="","",D6)</f>
        <v>0.5</v>
      </c>
      <c r="C21" s="17" t="n">
        <v>0.5</v>
      </c>
      <c r="D21" s="17" t="n">
        <v>0.5</v>
      </c>
      <c r="E21" s="14" t="str">
        <f aca="false">IF(C21="","",IF(ABS(C21+D21-1)&lt;0.001,"OK","Must sum to 100%"))</f>
        <v>OK</v>
      </c>
      <c r="F21" s="23" t="n">
        <f aca="false">IFERROR(B21*C21/SUMPRODUCT($B$20:$B$22,$C$20:$C$22),"")</f>
        <v>0.480769230769231</v>
      </c>
      <c r="G21" s="23" t="n">
        <f aca="false">IFERROR(B21*D21/SUMPRODUCT($B$20:$B$22,$D$20:$D$22),"")</f>
        <v>0.520833333333333</v>
      </c>
    </row>
    <row r="22" customFormat="false" ht="15" hidden="false" customHeight="false" outlineLevel="0" collapsed="false">
      <c r="A22" s="5" t="s">
        <v>274</v>
      </c>
      <c r="B22" s="22" t="n">
        <f aca="false">IF(F6="","",F6)</f>
        <v>0.2</v>
      </c>
      <c r="C22" s="17" t="n">
        <v>0.15</v>
      </c>
      <c r="D22" s="17" t="n">
        <v>0.85</v>
      </c>
      <c r="E22" s="14" t="str">
        <f aca="false">IF(C22="","",IF(ABS(C22+D22-1)&lt;0.001,"OK","Must sum to 100%"))</f>
        <v>OK</v>
      </c>
      <c r="F22" s="23" t="n">
        <f aca="false">IFERROR(B22*C22/SUMPRODUCT($B$20:$B$22,$C$20:$C$22),"")</f>
        <v>0.0576923076923077</v>
      </c>
      <c r="G22" s="23" t="n">
        <f aca="false">IFERROR(B22*D22/SUMPRODUCT($B$20:$B$22,$D$20:$D$22),"")</f>
        <v>0.354166666666667</v>
      </c>
    </row>
    <row r="23" customFormat="false" ht="15" hidden="false" customHeight="false" outlineLevel="0" collapsed="false">
      <c r="A23" s="11" t="s">
        <v>275</v>
      </c>
      <c r="F23" s="24" t="n">
        <f aca="false">IFERROR(SUMPRODUCT(B20:B22,C20:C22),"")</f>
        <v>0.52</v>
      </c>
      <c r="G23" s="24" t="n">
        <f aca="false">IFERROR(SUMPRODUCT(B20:B22,D20:D22),"")</f>
        <v>0.48</v>
      </c>
    </row>
    <row r="25" customFormat="false" ht="30" hidden="false" customHeight="true" outlineLevel="0" collapsed="false">
      <c r="A25" s="8" t="s">
        <v>248</v>
      </c>
      <c r="B25" s="8" t="s">
        <v>276</v>
      </c>
      <c r="C25" s="8" t="s">
        <v>277</v>
      </c>
      <c r="D25" s="8" t="s">
        <v>278</v>
      </c>
    </row>
    <row r="26" customFormat="false" ht="15" hidden="false" customHeight="false" outlineLevel="0" collapsed="false">
      <c r="A26" s="14" t="str">
        <f aca="false">IF(A6="","",A6)</f>
        <v>A. EU plant</v>
      </c>
      <c r="B26" s="25" t="n">
        <f aca="false">IF(A6="","",I6)</f>
        <v>60.5</v>
      </c>
      <c r="C26" s="25" t="n">
        <f aca="false">IF(OR(A6="",F20=""),"",C6*F20+E6*F21+G6*F22)</f>
        <v>238.173076923077</v>
      </c>
      <c r="D26" s="25" t="n">
        <f aca="false">IF(OR(A6="",G20=""),"",C6*G20+E6*G21+G6*G22)</f>
        <v>-131.979166666667</v>
      </c>
    </row>
    <row r="27" customFormat="false" ht="15" hidden="false" customHeight="false" outlineLevel="0" collapsed="false">
      <c r="A27" s="14" t="str">
        <f aca="false">IF(A7="","",A7)</f>
        <v>B. Partner</v>
      </c>
      <c r="B27" s="25" t="n">
        <f aca="false">IF(A7="","",I7)</f>
        <v>86</v>
      </c>
      <c r="C27" s="25" t="n">
        <f aca="false">IF(OR(A7="",F20=""),"",C7*F20+E7*F21+G7*F22)</f>
        <v>135.769230769231</v>
      </c>
      <c r="D27" s="25" t="n">
        <f aca="false">IF(OR(A7="",G20=""),"",C7*G20+E7*G21+G7*G22)</f>
        <v>32.0833333333333</v>
      </c>
    </row>
    <row r="28" customFormat="false" ht="15" hidden="false" customHeight="false" outlineLevel="0" collapsed="false">
      <c r="A28" s="14" t="str">
        <f aca="false">IF(A8="","",A8)</f>
        <v>0. Do nothing</v>
      </c>
      <c r="B28" s="25" t="n">
        <f aca="false">IF(A8="","",I8)</f>
        <v>0</v>
      </c>
      <c r="C28" s="25" t="n">
        <f aca="false">IF(OR(A8="",F20=""),"",C8*F20+E8*F21+G8*F22)</f>
        <v>0</v>
      </c>
      <c r="D28" s="25" t="n">
        <f aca="false">IF(OR(A8="",G20=""),"",C8*G20+E8*G21+G8*G22)</f>
        <v>0</v>
      </c>
    </row>
    <row r="29" customFormat="false" ht="15" hidden="false" customHeight="false" outlineLevel="0" collapsed="false">
      <c r="A29" s="14" t="str">
        <f aca="false">IF(A9="","",A9)</f>
        <v/>
      </c>
      <c r="B29" s="25" t="str">
        <f aca="false">IF(A9="","",I9)</f>
        <v/>
      </c>
      <c r="C29" s="25" t="str">
        <f aca="false">IF(OR(A9="",F20=""),"",C9*F20+E9*F21+G9*F22)</f>
        <v/>
      </c>
      <c r="D29" s="25" t="str">
        <f aca="false">IF(OR(A9="",G20=""),"",C9*G20+E9*G21+G9*G22)</f>
        <v/>
      </c>
    </row>
    <row r="30" customFormat="false" ht="15" hidden="false" customHeight="false" outlineLevel="0" collapsed="false">
      <c r="A30" s="14" t="str">
        <f aca="false">IF(A10="","",A10)</f>
        <v/>
      </c>
      <c r="B30" s="25" t="str">
        <f aca="false">IF(A10="","",I10)</f>
        <v/>
      </c>
      <c r="C30" s="25" t="str">
        <f aca="false">IF(OR(A10="",F20=""),"",C10*F20+E10*F21+G10*F22)</f>
        <v/>
      </c>
      <c r="D30" s="25" t="str">
        <f aca="false">IF(OR(A10="",G20=""),"",C10*G20+E10*G21+G10*G22)</f>
        <v/>
      </c>
    </row>
    <row r="31" customFormat="false" ht="15" hidden="false" customHeight="false" outlineLevel="0" collapsed="false">
      <c r="A31" s="14" t="str">
        <f aca="false">IF(A11="","",A11)</f>
        <v/>
      </c>
      <c r="B31" s="25" t="str">
        <f aca="false">IF(A11="","",I11)</f>
        <v/>
      </c>
      <c r="C31" s="25" t="str">
        <f aca="false">IF(OR(A11="",F20=""),"",C11*F20+E11*F21+G11*F22)</f>
        <v/>
      </c>
      <c r="D31" s="25" t="str">
        <f aca="false">IF(OR(A11="",G20=""),"",C11*G20+E11*G21+G11*G22)</f>
        <v/>
      </c>
    </row>
    <row r="33" customFormat="false" ht="23.85" hidden="false" customHeight="true" outlineLevel="0" collapsed="false">
      <c r="A33" s="11" t="s">
        <v>279</v>
      </c>
      <c r="B33" s="20" t="str">
        <f aca="false">IFERROR(INDEX(A26:A31,MATCH(MAX(C26:C31),C26:C31,0)),"")</f>
        <v>A. EU plant</v>
      </c>
      <c r="C33" s="21" t="s">
        <v>280</v>
      </c>
      <c r="D33" s="21"/>
      <c r="E33" s="21"/>
      <c r="F33" s="21"/>
      <c r="G33" s="21"/>
      <c r="H33" s="21"/>
      <c r="I33" s="21"/>
      <c r="J33" s="21"/>
      <c r="K33" s="21"/>
    </row>
    <row r="34" customFormat="false" ht="23.85" hidden="false" customHeight="false" outlineLevel="0" collapsed="false">
      <c r="A34" s="11" t="s">
        <v>281</v>
      </c>
      <c r="B34" s="20" t="str">
        <f aca="false">IFERROR(INDEX(A26:A31,MATCH(MAX(D26:D31),D26:D31,0)),"")</f>
        <v>B. Partner</v>
      </c>
      <c r="C34" s="21"/>
      <c r="D34" s="21"/>
      <c r="E34" s="21"/>
      <c r="F34" s="21"/>
      <c r="G34" s="21"/>
      <c r="H34" s="21"/>
      <c r="I34" s="21"/>
      <c r="J34" s="21"/>
      <c r="K34" s="21"/>
    </row>
    <row r="35" customFormat="false" ht="23.85" hidden="false" customHeight="false" outlineLevel="0" collapsed="false">
      <c r="A35" s="11" t="s">
        <v>282</v>
      </c>
      <c r="B35" s="19" t="n">
        <f aca="false">IFERROR(F23*MAX(C26:C31)+G23*MAX(D26:D31),"")</f>
        <v>139.25</v>
      </c>
    </row>
    <row r="36" customFormat="false" ht="15" hidden="false" customHeight="false" outlineLevel="0" collapsed="false">
      <c r="A36" s="11" t="s">
        <v>283</v>
      </c>
      <c r="B36" s="19" t="n">
        <f aca="false">IFERROR(B35-MAX(I6:I11),"")</f>
        <v>53.25</v>
      </c>
    </row>
    <row r="37" customFormat="false" ht="15" hidden="false" customHeight="false" outlineLevel="0" collapsed="false">
      <c r="A37" s="11" t="s">
        <v>284</v>
      </c>
      <c r="B37" s="26" t="n">
        <v>25</v>
      </c>
    </row>
    <row r="38" customFormat="false" ht="23.85" hidden="false" customHeight="false" outlineLevel="0" collapsed="false">
      <c r="A38" s="11" t="s">
        <v>285</v>
      </c>
      <c r="B38" s="19" t="n">
        <f aca="false">IFERROR(IF(B37="","",B36-B37),"")</f>
        <v>28.25</v>
      </c>
    </row>
    <row r="39" customFormat="false" ht="15" hidden="false" customHeight="false" outlineLevel="0" collapsed="false">
      <c r="A39" s="11" t="s">
        <v>286</v>
      </c>
      <c r="B39" s="18" t="n">
        <f aca="false">IFERROR(B36/B15,"")</f>
        <v>0.44375</v>
      </c>
    </row>
  </sheetData>
  <mergeCells count="3">
    <mergeCell ref="C15:K15"/>
    <mergeCell ref="B18:K18"/>
    <mergeCell ref="C33:K34"/>
  </mergeCells>
  <conditionalFormatting sqref="H6:H11">
    <cfRule type="expression" priority="2" aboveAverage="0" equalAverage="0" bottom="0" percent="0" rank="0" text="" dxfId="0">
      <formula>H6="OK"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H6="Must sum to 100%"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5"/>
  </cols>
  <sheetData>
    <row r="1" customFormat="false" ht="19.7" hidden="false" customHeight="false" outlineLevel="0" collapsed="false">
      <c r="A1" s="6" t="s">
        <v>21</v>
      </c>
    </row>
    <row r="2" customFormat="false" ht="15" hidden="false" customHeight="false" outlineLevel="0" collapsed="false">
      <c r="A2" s="3" t="s">
        <v>287</v>
      </c>
    </row>
    <row r="3" customFormat="false" ht="15" hidden="false" customHeight="false" outlineLevel="0" collapsed="false">
      <c r="A3" s="7" t="s">
        <v>44</v>
      </c>
    </row>
    <row r="4" customFormat="false" ht="15" hidden="false" customHeight="false" outlineLevel="0" collapsed="false">
      <c r="A4" s="3" t="s">
        <v>288</v>
      </c>
    </row>
    <row r="5" customFormat="false" ht="15" hidden="false" customHeight="false" outlineLevel="0" collapsed="false">
      <c r="A5" s="11" t="s">
        <v>289</v>
      </c>
    </row>
    <row r="6" customFormat="false" ht="15" hidden="false" customHeight="false" outlineLevel="0" collapsed="false">
      <c r="A6" s="5" t="s">
        <v>290</v>
      </c>
      <c r="B6" s="27" t="n">
        <v>0.1</v>
      </c>
    </row>
    <row r="7" customFormat="false" ht="15" hidden="false" customHeight="false" outlineLevel="0" collapsed="false">
      <c r="A7" s="5" t="s">
        <v>291</v>
      </c>
      <c r="B7" s="27" t="n">
        <v>0.21</v>
      </c>
    </row>
    <row r="8" customFormat="false" ht="15" hidden="false" customHeight="false" outlineLevel="0" collapsed="false">
      <c r="A8" s="5" t="s">
        <v>292</v>
      </c>
      <c r="B8" s="27" t="n">
        <v>0.05</v>
      </c>
    </row>
    <row r="10" customFormat="false" ht="15" hidden="false" customHeight="false" outlineLevel="0" collapsed="false">
      <c r="A10" s="8" t="s">
        <v>293</v>
      </c>
      <c r="B10" s="8" t="s">
        <v>294</v>
      </c>
      <c r="C10" s="8" t="s">
        <v>295</v>
      </c>
      <c r="D10" s="8" t="s">
        <v>296</v>
      </c>
      <c r="E10" s="8" t="s">
        <v>297</v>
      </c>
      <c r="F10" s="8" t="s">
        <v>298</v>
      </c>
      <c r="G10" s="8" t="s">
        <v>299</v>
      </c>
    </row>
    <row r="11" customFormat="false" ht="15" hidden="false" customHeight="false" outlineLevel="0" collapsed="false">
      <c r="A11" s="5" t="s">
        <v>300</v>
      </c>
      <c r="B11" s="28" t="n">
        <v>0</v>
      </c>
      <c r="C11" s="28" t="n">
        <v>32400</v>
      </c>
      <c r="D11" s="28" t="n">
        <v>64800</v>
      </c>
      <c r="E11" s="28" t="n">
        <v>97200</v>
      </c>
      <c r="F11" s="28" t="n">
        <v>108000</v>
      </c>
      <c r="G11" s="28" t="n">
        <v>108000</v>
      </c>
    </row>
    <row r="12" customFormat="false" ht="15" hidden="false" customHeight="false" outlineLevel="0" collapsed="false">
      <c r="A12" s="5" t="s">
        <v>301</v>
      </c>
      <c r="B12" s="29" t="n">
        <v>32000</v>
      </c>
      <c r="C12" s="29" t="n">
        <v>32000</v>
      </c>
      <c r="D12" s="29" t="n">
        <v>32000</v>
      </c>
      <c r="E12" s="29" t="n">
        <v>32000</v>
      </c>
      <c r="F12" s="29" t="n">
        <v>32000</v>
      </c>
      <c r="G12" s="29" t="n">
        <v>32000</v>
      </c>
    </row>
    <row r="13" customFormat="false" ht="15" hidden="false" customHeight="false" outlineLevel="0" collapsed="false">
      <c r="A13" s="5" t="s">
        <v>302</v>
      </c>
      <c r="B13" s="29" t="n">
        <v>20000</v>
      </c>
      <c r="C13" s="29" t="n">
        <v>20000</v>
      </c>
      <c r="D13" s="29" t="n">
        <v>20000</v>
      </c>
      <c r="E13" s="29" t="n">
        <v>20000</v>
      </c>
      <c r="F13" s="29" t="n">
        <v>20000</v>
      </c>
      <c r="G13" s="29" t="n">
        <v>20000</v>
      </c>
    </row>
    <row r="14" customFormat="false" ht="15" hidden="false" customHeight="false" outlineLevel="0" collapsed="false">
      <c r="A14" s="5" t="s">
        <v>303</v>
      </c>
      <c r="B14" s="29" t="n">
        <v>0</v>
      </c>
      <c r="C14" s="29" t="n">
        <v>180000000</v>
      </c>
      <c r="D14" s="29" t="n">
        <v>180000000</v>
      </c>
      <c r="E14" s="29" t="n">
        <v>180000000</v>
      </c>
      <c r="F14" s="29" t="n">
        <v>180000000</v>
      </c>
      <c r="G14" s="29" t="n">
        <v>180000000</v>
      </c>
    </row>
    <row r="15" customFormat="false" ht="15" hidden="false" customHeight="false" outlineLevel="0" collapsed="false">
      <c r="A15" s="5" t="s">
        <v>304</v>
      </c>
      <c r="B15" s="29" t="n">
        <v>2000000000</v>
      </c>
      <c r="C15" s="29" t="n">
        <v>100000000</v>
      </c>
      <c r="D15" s="29" t="n">
        <v>100000000</v>
      </c>
      <c r="E15" s="29" t="n">
        <v>50000000</v>
      </c>
      <c r="F15" s="29" t="n">
        <v>50000000</v>
      </c>
      <c r="G15" s="29" t="n">
        <v>50000000</v>
      </c>
    </row>
    <row r="16" customFormat="false" ht="15" hidden="false" customHeight="false" outlineLevel="0" collapsed="false">
      <c r="A16" s="5" t="s">
        <v>305</v>
      </c>
      <c r="B16" s="30" t="n">
        <f aca="false">B11*B12</f>
        <v>0</v>
      </c>
      <c r="C16" s="30" t="n">
        <f aca="false">C11*C12</f>
        <v>1036800000</v>
      </c>
      <c r="D16" s="30" t="n">
        <f aca="false">D11*D12</f>
        <v>2073600000</v>
      </c>
      <c r="E16" s="30" t="n">
        <f aca="false">E11*E12</f>
        <v>3110400000</v>
      </c>
      <c r="F16" s="30" t="n">
        <f aca="false">F11*F12</f>
        <v>3456000000</v>
      </c>
      <c r="G16" s="30" t="n">
        <f aca="false">G11*G12</f>
        <v>3456000000</v>
      </c>
    </row>
    <row r="17" customFormat="false" ht="15" hidden="false" customHeight="false" outlineLevel="0" collapsed="false">
      <c r="A17" s="5" t="s">
        <v>306</v>
      </c>
      <c r="B17" s="30" t="n">
        <f aca="false">B11*(B12-B13)</f>
        <v>0</v>
      </c>
      <c r="C17" s="30" t="n">
        <f aca="false">C11*(C12-C13)</f>
        <v>388800000</v>
      </c>
      <c r="D17" s="30" t="n">
        <f aca="false">D11*(D12-D13)</f>
        <v>777600000</v>
      </c>
      <c r="E17" s="30" t="n">
        <f aca="false">E11*(E12-E13)</f>
        <v>1166400000</v>
      </c>
      <c r="F17" s="30" t="n">
        <f aca="false">F11*(F12-F13)</f>
        <v>1296000000</v>
      </c>
      <c r="G17" s="30" t="n">
        <f aca="false">G11*(G12-G13)</f>
        <v>1296000000</v>
      </c>
    </row>
    <row r="18" customFormat="false" ht="15" hidden="false" customHeight="false" outlineLevel="0" collapsed="false">
      <c r="A18" s="5" t="s">
        <v>307</v>
      </c>
      <c r="B18" s="30" t="n">
        <f aca="false">B17-B14</f>
        <v>0</v>
      </c>
      <c r="C18" s="30" t="n">
        <f aca="false">C17-C14</f>
        <v>208800000</v>
      </c>
      <c r="D18" s="30" t="n">
        <f aca="false">D17-D14</f>
        <v>597600000</v>
      </c>
      <c r="E18" s="30" t="n">
        <f aca="false">E17-E14</f>
        <v>986400000</v>
      </c>
      <c r="F18" s="30" t="n">
        <f aca="false">F17-F14</f>
        <v>1116000000</v>
      </c>
      <c r="G18" s="30" t="n">
        <f aca="false">G17-G14</f>
        <v>1116000000</v>
      </c>
    </row>
    <row r="19" customFormat="false" ht="15" hidden="false" customHeight="false" outlineLevel="0" collapsed="false">
      <c r="A19" s="5" t="s">
        <v>308</v>
      </c>
      <c r="B19" s="30" t="n">
        <f aca="false">MAX(0,B18)*$B$7</f>
        <v>0</v>
      </c>
      <c r="C19" s="30" t="n">
        <f aca="false">MAX(0,C18)*$B$7</f>
        <v>43848000</v>
      </c>
      <c r="D19" s="30" t="n">
        <f aca="false">MAX(0,D18)*$B$7</f>
        <v>125496000</v>
      </c>
      <c r="E19" s="30" t="n">
        <f aca="false">MAX(0,E18)*$B$7</f>
        <v>207144000</v>
      </c>
      <c r="F19" s="30" t="n">
        <f aca="false">MAX(0,F18)*$B$7</f>
        <v>234360000</v>
      </c>
      <c r="G19" s="30" t="n">
        <f aca="false">MAX(0,G18)*$B$7</f>
        <v>234360000</v>
      </c>
    </row>
    <row r="20" customFormat="false" ht="15" hidden="false" customHeight="false" outlineLevel="0" collapsed="false">
      <c r="A20" s="5" t="s">
        <v>309</v>
      </c>
      <c r="B20" s="30" t="n">
        <f aca="false">B16*$B$8</f>
        <v>0</v>
      </c>
      <c r="C20" s="30" t="n">
        <f aca="false">C16*$B$8</f>
        <v>51840000</v>
      </c>
      <c r="D20" s="30" t="n">
        <f aca="false">D16*$B$8</f>
        <v>103680000</v>
      </c>
      <c r="E20" s="30" t="n">
        <f aca="false">E16*$B$8</f>
        <v>155520000</v>
      </c>
      <c r="F20" s="30" t="n">
        <f aca="false">F16*$B$8</f>
        <v>172800000</v>
      </c>
      <c r="G20" s="30" t="n">
        <f aca="false">G16*$B$8</f>
        <v>172800000</v>
      </c>
    </row>
    <row r="21" customFormat="false" ht="15" hidden="false" customHeight="false" outlineLevel="0" collapsed="false">
      <c r="A21" s="5" t="s">
        <v>310</v>
      </c>
      <c r="B21" s="30" t="n">
        <f aca="false">B20</f>
        <v>0</v>
      </c>
      <c r="C21" s="30" t="n">
        <f aca="false">C20-B20</f>
        <v>51840000</v>
      </c>
      <c r="D21" s="30" t="n">
        <f aca="false">D20-C20</f>
        <v>51840000</v>
      </c>
      <c r="E21" s="30" t="n">
        <f aca="false">E20-D20</f>
        <v>51840000</v>
      </c>
      <c r="F21" s="30" t="n">
        <f aca="false">F20-E20</f>
        <v>17280000</v>
      </c>
      <c r="G21" s="30" t="n">
        <f aca="false">G20-F20</f>
        <v>0</v>
      </c>
    </row>
    <row r="22" customFormat="false" ht="15" hidden="false" customHeight="false" outlineLevel="0" collapsed="false">
      <c r="A22" s="11" t="s">
        <v>311</v>
      </c>
      <c r="B22" s="31" t="n">
        <f aca="false">B18-B19-B21-B15</f>
        <v>-2000000000</v>
      </c>
      <c r="C22" s="31" t="n">
        <f aca="false">C18-C19-C21-C15</f>
        <v>13112000</v>
      </c>
      <c r="D22" s="31" t="n">
        <f aca="false">D18-D19-D21-D15</f>
        <v>320264000</v>
      </c>
      <c r="E22" s="31" t="n">
        <f aca="false">E18-E19-E21-E15</f>
        <v>677416000</v>
      </c>
      <c r="F22" s="31" t="n">
        <f aca="false">F18-F19-F21-F15</f>
        <v>814360000</v>
      </c>
      <c r="G22" s="31" t="n">
        <f aca="false">G18-G19-G21-G15+G20</f>
        <v>1004440000</v>
      </c>
    </row>
    <row r="23" customFormat="false" ht="15" hidden="false" customHeight="false" outlineLevel="0" collapsed="false">
      <c r="A23" s="5" t="s">
        <v>312</v>
      </c>
      <c r="B23" s="30" t="n">
        <f aca="false">B22</f>
        <v>-2000000000</v>
      </c>
      <c r="C23" s="30" t="n">
        <f aca="false">B23+C22</f>
        <v>-1986888000</v>
      </c>
      <c r="D23" s="30" t="n">
        <f aca="false">C23+D22</f>
        <v>-1666624000</v>
      </c>
      <c r="E23" s="30" t="n">
        <f aca="false">D23+E22</f>
        <v>-989208000</v>
      </c>
      <c r="F23" s="30" t="n">
        <f aca="false">E23+F22</f>
        <v>-174848000</v>
      </c>
      <c r="G23" s="30" t="n">
        <f aca="false">F23+G22</f>
        <v>829592000</v>
      </c>
    </row>
    <row r="25" customFormat="false" ht="15" hidden="false" customHeight="false" outlineLevel="0" collapsed="false">
      <c r="A25" s="11" t="s">
        <v>313</v>
      </c>
      <c r="B25" s="31" t="n">
        <f aca="false">IF(COUNT(B11:G11)=0,"",B22+NPV($B$6,C22:G22))</f>
        <v>-34549289.8522835</v>
      </c>
    </row>
    <row r="26" customFormat="false" ht="15" hidden="false" customHeight="false" outlineLevel="0" collapsed="false">
      <c r="A26" s="11" t="s">
        <v>314</v>
      </c>
      <c r="B26" s="24" t="n">
        <f aca="false">IFERROR(IRR(B22:G22),"n/a")</f>
        <v>0.0949319301494521</v>
      </c>
    </row>
    <row r="27" customFormat="false" ht="15" hidden="false" customHeight="false" outlineLevel="0" collapsed="false">
      <c r="A27" s="11" t="s">
        <v>315</v>
      </c>
      <c r="B27" s="20" t="str">
        <f aca="false">IF(ISNUMBER(B26),IF(B26&gt;=$B$6,"Yes","No"),"")</f>
        <v>No</v>
      </c>
    </row>
    <row r="29" customFormat="false" ht="35.05" hidden="false" customHeight="false" outlineLevel="0" collapsed="false">
      <c r="A29" s="5" t="s">
        <v>316</v>
      </c>
    </row>
  </sheetData>
  <conditionalFormatting sqref="B27">
    <cfRule type="expression" priority="2" aboveAverage="0" equalAverage="0" bottom="0" percent="0" rank="0" text="" dxfId="0">
      <formula>B27="Yes"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B27="No"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U10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1"/>
    <col collapsed="false" customWidth="true" hidden="false" outlineLevel="0" max="7" min="5" style="0" width="12"/>
    <col collapsed="false" customWidth="true" hidden="false" outlineLevel="0" max="10" min="8" style="0" width="15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19.7" hidden="false" customHeight="false" outlineLevel="0" collapsed="false">
      <c r="A1" s="6" t="s">
        <v>317</v>
      </c>
    </row>
    <row r="2" customFormat="false" ht="15" hidden="false" customHeight="false" outlineLevel="0" collapsed="false">
      <c r="A2" s="3" t="s">
        <v>318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319</v>
      </c>
      <c r="B5" s="8" t="s">
        <v>320</v>
      </c>
      <c r="C5" s="8" t="s">
        <v>321</v>
      </c>
      <c r="D5" s="8" t="s">
        <v>322</v>
      </c>
      <c r="E5" s="8" t="s">
        <v>323</v>
      </c>
      <c r="F5" s="8" t="s">
        <v>324</v>
      </c>
      <c r="G5" s="8" t="s">
        <v>325</v>
      </c>
    </row>
    <row r="6" customFormat="false" ht="15" hidden="false" customHeight="false" outlineLevel="0" collapsed="false">
      <c r="A6" s="5" t="s">
        <v>301</v>
      </c>
      <c r="B6" s="27" t="n">
        <v>-0.08</v>
      </c>
      <c r="C6" s="27" t="n">
        <v>0</v>
      </c>
      <c r="D6" s="27" t="n">
        <v>0.04</v>
      </c>
      <c r="E6" s="23" t="n">
        <f aca="false">IF(B6="",F6,B6)</f>
        <v>-0.08</v>
      </c>
      <c r="F6" s="23" t="n">
        <f aca="false">IF(C6="",0,C6)</f>
        <v>0</v>
      </c>
      <c r="G6" s="23" t="n">
        <f aca="false">IF(D6="",F6,D6)</f>
        <v>0.04</v>
      </c>
    </row>
    <row r="7" customFormat="false" ht="15" hidden="false" customHeight="false" outlineLevel="0" collapsed="false">
      <c r="A7" s="5" t="s">
        <v>300</v>
      </c>
      <c r="B7" s="27" t="n">
        <v>-0.2</v>
      </c>
      <c r="C7" s="27" t="n">
        <v>0</v>
      </c>
      <c r="D7" s="27" t="n">
        <v>0.15</v>
      </c>
      <c r="E7" s="23" t="n">
        <f aca="false">IF(B7="",F7,B7)</f>
        <v>-0.2</v>
      </c>
      <c r="F7" s="23" t="n">
        <f aca="false">IF(C7="",0,C7)</f>
        <v>0</v>
      </c>
      <c r="G7" s="23" t="n">
        <f aca="false">IF(D7="",F7,D7)</f>
        <v>0.15</v>
      </c>
    </row>
    <row r="8" customFormat="false" ht="15" hidden="false" customHeight="false" outlineLevel="0" collapsed="false">
      <c r="A8" s="5" t="s">
        <v>302</v>
      </c>
      <c r="B8" s="27" t="n">
        <v>-0.05</v>
      </c>
      <c r="C8" s="27" t="n">
        <v>0</v>
      </c>
      <c r="D8" s="27" t="n">
        <v>0.08</v>
      </c>
      <c r="E8" s="23" t="n">
        <f aca="false">IF(B8="",F8,B8)</f>
        <v>-0.05</v>
      </c>
      <c r="F8" s="23" t="n">
        <f aca="false">IF(C8="",0,C8)</f>
        <v>0</v>
      </c>
      <c r="G8" s="23" t="n">
        <f aca="false">IF(D8="",F8,D8)</f>
        <v>0.08</v>
      </c>
    </row>
    <row r="9" customFormat="false" ht="15" hidden="false" customHeight="false" outlineLevel="0" collapsed="false">
      <c r="A9" s="5" t="s">
        <v>303</v>
      </c>
      <c r="B9" s="27" t="n">
        <v>-0.05</v>
      </c>
      <c r="C9" s="27" t="n">
        <v>0</v>
      </c>
      <c r="D9" s="27" t="n">
        <v>0.1</v>
      </c>
      <c r="E9" s="23" t="n">
        <f aca="false">IF(B9="",F9,B9)</f>
        <v>-0.05</v>
      </c>
      <c r="F9" s="23" t="n">
        <f aca="false">IF(C9="",0,C9)</f>
        <v>0</v>
      </c>
      <c r="G9" s="23" t="n">
        <f aca="false">IF(D9="",F9,D9)</f>
        <v>0.1</v>
      </c>
    </row>
    <row r="10" customFormat="false" ht="15" hidden="false" customHeight="false" outlineLevel="0" collapsed="false">
      <c r="A10" s="5" t="s">
        <v>304</v>
      </c>
      <c r="B10" s="27" t="n">
        <v>-0.05</v>
      </c>
      <c r="C10" s="27" t="n">
        <v>0</v>
      </c>
      <c r="D10" s="27" t="n">
        <v>0.2</v>
      </c>
      <c r="E10" s="23" t="n">
        <f aca="false">IF(B10="",F10,B10)</f>
        <v>-0.05</v>
      </c>
      <c r="F10" s="23" t="n">
        <f aca="false">IF(C10="",0,C10)</f>
        <v>0</v>
      </c>
      <c r="G10" s="23" t="n">
        <f aca="false">IF(D10="",F10,D10)</f>
        <v>0.2</v>
      </c>
    </row>
    <row r="11" customFormat="false" ht="15" hidden="false" customHeight="false" outlineLevel="0" collapsed="false">
      <c r="A11" s="5" t="s">
        <v>326</v>
      </c>
      <c r="B11" s="27" t="n">
        <v>0.09</v>
      </c>
      <c r="C11" s="27" t="n">
        <v>0.1</v>
      </c>
      <c r="D11" s="27" t="n">
        <v>0.12</v>
      </c>
      <c r="E11" s="23" t="n">
        <f aca="false">IF(B11="",F11,B11)</f>
        <v>0.09</v>
      </c>
      <c r="F11" s="23" t="n">
        <f aca="false">IF(C11="",'Business Case'!$B$6,C11)</f>
        <v>0.1</v>
      </c>
      <c r="G11" s="23" t="n">
        <f aca="false">IF(D11="",F11,D11)</f>
        <v>0.12</v>
      </c>
    </row>
    <row r="12" customFormat="false" ht="15" hidden="false" customHeight="false" outlineLevel="0" collapsed="false">
      <c r="A12" s="5" t="s">
        <v>327</v>
      </c>
      <c r="B12" s="14" t="str">
        <f aca="false">IF(SUMPRODUCT((E6:E11&gt;F6:F11)+(F6:F11&gt;G6:G11))=0,"OK","Need low &lt;= likely &lt;= high")</f>
        <v>OK</v>
      </c>
      <c r="C12" s="14"/>
      <c r="D12" s="14"/>
    </row>
    <row r="14" customFormat="false" ht="35.05" hidden="false" customHeight="false" outlineLevel="0" collapsed="false">
      <c r="A14" s="11" t="s">
        <v>328</v>
      </c>
    </row>
    <row r="15" customFormat="false" ht="15" hidden="false" customHeight="false" outlineLevel="0" collapsed="false">
      <c r="A15" s="8" t="s">
        <v>265</v>
      </c>
      <c r="B15" s="8" t="s">
        <v>329</v>
      </c>
      <c r="C15" s="8" t="s">
        <v>330</v>
      </c>
      <c r="D15" s="8" t="s">
        <v>331</v>
      </c>
      <c r="E15" s="8" t="s">
        <v>332</v>
      </c>
      <c r="F15" s="8" t="s">
        <v>333</v>
      </c>
      <c r="G15" s="8" t="s">
        <v>334</v>
      </c>
      <c r="H15" s="8" t="s">
        <v>335</v>
      </c>
      <c r="I15" s="8" t="s">
        <v>336</v>
      </c>
      <c r="J15" s="8" t="s">
        <v>337</v>
      </c>
      <c r="K15" s="8" t="s">
        <v>338</v>
      </c>
      <c r="L15" s="8" t="s">
        <v>339</v>
      </c>
      <c r="M15" s="8" t="s">
        <v>340</v>
      </c>
      <c r="N15" s="8" t="s">
        <v>313</v>
      </c>
    </row>
    <row r="16" customFormat="false" ht="15" hidden="false" customHeight="false" outlineLevel="0" collapsed="false">
      <c r="A16" s="5" t="s">
        <v>341</v>
      </c>
      <c r="B16" s="25" t="n">
        <f aca="false">1</f>
        <v>1</v>
      </c>
      <c r="C16" s="25" t="n">
        <f aca="false">1</f>
        <v>1</v>
      </c>
      <c r="D16" s="25" t="n">
        <f aca="false">1</f>
        <v>1</v>
      </c>
      <c r="E16" s="25" t="n">
        <f aca="false">1</f>
        <v>1</v>
      </c>
      <c r="F16" s="25" t="n">
        <f aca="false">1</f>
        <v>1</v>
      </c>
      <c r="G16" s="23" t="n">
        <f aca="false">'Business Case'!$B$6</f>
        <v>0.1</v>
      </c>
      <c r="H16" s="30" t="n">
        <f aca="false">(('Business Case'!B11*$C16*'Business Case'!B12*$B16)-'Business Case'!B11*$C16*'Business Case'!B13*$D16-'Business Case'!B14*$E16)-MAX(0,(('Business Case'!B11*$C16*'Business Case'!B12*$B16)-'Business Case'!B11*$C16*'Business Case'!B13*$D16-'Business Case'!B14*$E16))*'Business Case'!$B$7-'Business Case'!$B$8*('Business Case'!B11*$C16*'Business Case'!B12*$B16)-'Business Case'!B15*$F16</f>
        <v>-2000000000</v>
      </c>
      <c r="I16" s="30" t="n">
        <f aca="false">(('Business Case'!C11*$C16*'Business Case'!C12*$B16)-'Business Case'!C11*$C16*'Business Case'!C13*$D16-'Business Case'!C14*$E16)-MAX(0,(('Business Case'!C11*$C16*'Business Case'!C12*$B16)-'Business Case'!C11*$C16*'Business Case'!C13*$D16-'Business Case'!C14*$E16))*'Business Case'!$B$7-'Business Case'!$B$8*(('Business Case'!C11*$C16*'Business Case'!C12*$B16)-('Business Case'!B11*$C16*'Business Case'!B12*$B16))-'Business Case'!C15*$F16</f>
        <v>13112000</v>
      </c>
      <c r="J16" s="30" t="n">
        <f aca="false">(('Business Case'!D11*$C16*'Business Case'!D12*$B16)-'Business Case'!D11*$C16*'Business Case'!D13*$D16-'Business Case'!D14*$E16)-MAX(0,(('Business Case'!D11*$C16*'Business Case'!D12*$B16)-'Business Case'!D11*$C16*'Business Case'!D13*$D16-'Business Case'!D14*$E16))*'Business Case'!$B$7-'Business Case'!$B$8*(('Business Case'!D11*$C16*'Business Case'!D12*$B16)-('Business Case'!C11*$C16*'Business Case'!C12*$B16))-'Business Case'!D15*$F16</f>
        <v>320264000</v>
      </c>
      <c r="K16" s="30" t="n">
        <f aca="false">(('Business Case'!E11*$C16*'Business Case'!E12*$B16)-'Business Case'!E11*$C16*'Business Case'!E13*$D16-'Business Case'!E14*$E16)-MAX(0,(('Business Case'!E11*$C16*'Business Case'!E12*$B16)-'Business Case'!E11*$C16*'Business Case'!E13*$D16-'Business Case'!E14*$E16))*'Business Case'!$B$7-'Business Case'!$B$8*(('Business Case'!E11*$C16*'Business Case'!E12*$B16)-('Business Case'!D11*$C16*'Business Case'!D12*$B16))-'Business Case'!E15*$F16</f>
        <v>677416000</v>
      </c>
      <c r="L16" s="30" t="n">
        <f aca="false">(('Business Case'!F11*$C16*'Business Case'!F12*$B16)-'Business Case'!F11*$C16*'Business Case'!F13*$D16-'Business Case'!F14*$E16)-MAX(0,(('Business Case'!F11*$C16*'Business Case'!F12*$B16)-'Business Case'!F11*$C16*'Business Case'!F13*$D16-'Business Case'!F14*$E16))*'Business Case'!$B$7-'Business Case'!$B$8*(('Business Case'!F11*$C16*'Business Case'!F12*$B16)-('Business Case'!E11*$C16*'Business Case'!E12*$B16))-'Business Case'!F15*$F16</f>
        <v>814360000</v>
      </c>
      <c r="M16" s="30" t="n">
        <f aca="false">(('Business Case'!G11*$C16*'Business Case'!G12*$B16)-'Business Case'!G11*$C16*'Business Case'!G13*$D16-'Business Case'!G14*$E16)-MAX(0,(('Business Case'!G11*$C16*'Business Case'!G12*$B16)-'Business Case'!G11*$C16*'Business Case'!G13*$D16-'Business Case'!G14*$E16))*'Business Case'!$B$7-'Business Case'!$B$8*(('Business Case'!G11*$C16*'Business Case'!G12*$B16)-('Business Case'!F11*$C16*'Business Case'!F12*$B16))-'Business Case'!G15*$F16+'Business Case'!$B$8*('Business Case'!G11*$C16*'Business Case'!G12*$B16)</f>
        <v>1004440000</v>
      </c>
      <c r="N16" s="31" t="n">
        <f aca="false">IF(COUNT('Business Case'!B11:G11)=0,"",H16+NPV(G16,I16:M16))</f>
        <v>-34549289.8522835</v>
      </c>
    </row>
    <row r="17" customFormat="false" ht="15" hidden="false" customHeight="false" outlineLevel="0" collapsed="false">
      <c r="A17" s="5" t="s">
        <v>342</v>
      </c>
      <c r="B17" s="25" t="n">
        <f aca="false">1+E6</f>
        <v>0.92</v>
      </c>
      <c r="C17" s="25" t="n">
        <f aca="false">1</f>
        <v>1</v>
      </c>
      <c r="D17" s="25" t="n">
        <f aca="false">1</f>
        <v>1</v>
      </c>
      <c r="E17" s="25" t="n">
        <f aca="false">1</f>
        <v>1</v>
      </c>
      <c r="F17" s="25" t="n">
        <f aca="false">1</f>
        <v>1</v>
      </c>
      <c r="G17" s="23" t="n">
        <f aca="false">'Business Case'!$B$6</f>
        <v>0.1</v>
      </c>
      <c r="H17" s="30" t="n">
        <f aca="false">(('Business Case'!B11*$C17*'Business Case'!B12*$B17)-'Business Case'!B11*$C17*'Business Case'!B13*$D17-'Business Case'!B14*$E17)-MAX(0,(('Business Case'!B11*$C17*'Business Case'!B12*$B17)-'Business Case'!B11*$C17*'Business Case'!B13*$D17-'Business Case'!B14*$E17))*'Business Case'!$B$7-'Business Case'!$B$8*('Business Case'!B11*$C17*'Business Case'!B12*$B17)-'Business Case'!B15*$F17</f>
        <v>-2000000000</v>
      </c>
      <c r="I17" s="30" t="n">
        <f aca="false">(('Business Case'!C11*$C17*'Business Case'!C12*$B17)-'Business Case'!C11*$C17*'Business Case'!C13*$D17-'Business Case'!C14*$E17)-MAX(0,(('Business Case'!C11*$C17*'Business Case'!C12*$B17)-'Business Case'!C11*$C17*'Business Case'!C13*$D17-'Business Case'!C14*$E17))*'Business Case'!$B$7-'Business Case'!$B$8*(('Business Case'!C11*$C17*'Business Case'!C12*$B17)-('Business Case'!B11*$C17*'Business Case'!B12*$B17))-'Business Case'!C15*$F17</f>
        <v>-48266560</v>
      </c>
      <c r="J17" s="30" t="n">
        <f aca="false">(('Business Case'!D11*$C17*'Business Case'!D12*$B17)-'Business Case'!D11*$C17*'Business Case'!D13*$D17-'Business Case'!D14*$E17)-MAX(0,(('Business Case'!D11*$C17*'Business Case'!D12*$B17)-'Business Case'!D11*$C17*'Business Case'!D13*$D17-'Business Case'!D14*$E17))*'Business Case'!$B$7-'Business Case'!$B$8*(('Business Case'!D11*$C17*'Business Case'!D12*$B17)-('Business Case'!C11*$C17*'Business Case'!C12*$B17))-'Business Case'!D15*$F17</f>
        <v>193359680</v>
      </c>
      <c r="K17" s="30" t="n">
        <f aca="false">(('Business Case'!E11*$C17*'Business Case'!E12*$B17)-'Business Case'!E11*$C17*'Business Case'!E13*$D17-'Business Case'!E14*$E17)-MAX(0,(('Business Case'!E11*$C17*'Business Case'!E12*$B17)-'Business Case'!E11*$C17*'Business Case'!E13*$D17-'Business Case'!E14*$E17))*'Business Case'!$B$7-'Business Case'!$B$8*(('Business Case'!E11*$C17*'Business Case'!E12*$B17)-('Business Case'!D11*$C17*'Business Case'!D12*$B17))-'Business Case'!E15*$F17</f>
        <v>484985920</v>
      </c>
      <c r="L17" s="30" t="n">
        <f aca="false">(('Business Case'!F11*$C17*'Business Case'!F12*$B17)-'Business Case'!F11*$C17*'Business Case'!F13*$D17-'Business Case'!F14*$E17)-MAX(0,(('Business Case'!F11*$C17*'Business Case'!F12*$B17)-'Business Case'!F11*$C17*'Business Case'!F13*$D17-'Business Case'!F14*$E17))*'Business Case'!$B$7-'Business Case'!$B$8*(('Business Case'!F11*$C17*'Business Case'!F12*$B17)-('Business Case'!E11*$C17*'Business Case'!E12*$B17))-'Business Case'!F15*$F17</f>
        <v>597323200</v>
      </c>
      <c r="M17" s="30" t="n">
        <f aca="false">(('Business Case'!G11*$C17*'Business Case'!G12*$B17)-'Business Case'!G11*$C17*'Business Case'!G13*$D17-'Business Case'!G14*$E17)-MAX(0,(('Business Case'!G11*$C17*'Business Case'!G12*$B17)-'Business Case'!G11*$C17*'Business Case'!G13*$D17-'Business Case'!G14*$E17))*'Business Case'!$B$7-'Business Case'!$B$8*(('Business Case'!G11*$C17*'Business Case'!G12*$B17)-('Business Case'!F11*$C17*'Business Case'!F12*$B17))-'Business Case'!G15*$F17+'Business Case'!$B$8*('Business Case'!G11*$C17*'Business Case'!G12*$B17)</f>
        <v>772196800</v>
      </c>
      <c r="N17" s="31" t="n">
        <f aca="false">IF(COUNT('Business Case'!B11:G11)=0,"",H17+NPV(G17,I17:M17))</f>
        <v>-632246961.034704</v>
      </c>
    </row>
    <row r="18" customFormat="false" ht="15" hidden="false" customHeight="false" outlineLevel="0" collapsed="false">
      <c r="A18" s="5" t="s">
        <v>343</v>
      </c>
      <c r="B18" s="25" t="n">
        <f aca="false">1+G6</f>
        <v>1.04</v>
      </c>
      <c r="C18" s="25" t="n">
        <f aca="false">1</f>
        <v>1</v>
      </c>
      <c r="D18" s="25" t="n">
        <f aca="false">1</f>
        <v>1</v>
      </c>
      <c r="E18" s="25" t="n">
        <f aca="false">1</f>
        <v>1</v>
      </c>
      <c r="F18" s="25" t="n">
        <f aca="false">1</f>
        <v>1</v>
      </c>
      <c r="G18" s="23" t="n">
        <f aca="false">'Business Case'!$B$6</f>
        <v>0.1</v>
      </c>
      <c r="H18" s="30" t="n">
        <f aca="false">(('Business Case'!B11*$C18*'Business Case'!B12*$B18)-'Business Case'!B11*$C18*'Business Case'!B13*$D18-'Business Case'!B14*$E18)-MAX(0,(('Business Case'!B11*$C18*'Business Case'!B12*$B18)-'Business Case'!B11*$C18*'Business Case'!B13*$D18-'Business Case'!B14*$E18))*'Business Case'!$B$7-'Business Case'!$B$8*('Business Case'!B11*$C18*'Business Case'!B12*$B18)-'Business Case'!B15*$F18</f>
        <v>-2000000000</v>
      </c>
      <c r="I18" s="30" t="n">
        <f aca="false">(('Business Case'!C11*$C18*'Business Case'!C12*$B18)-'Business Case'!C11*$C18*'Business Case'!C13*$D18-'Business Case'!C14*$E18)-MAX(0,(('Business Case'!C11*$C18*'Business Case'!C12*$B18)-'Business Case'!C11*$C18*'Business Case'!C13*$D18-'Business Case'!C14*$E18))*'Business Case'!$B$7-'Business Case'!$B$8*(('Business Case'!C11*$C18*'Business Case'!C12*$B18)-('Business Case'!B11*$C18*'Business Case'!B12*$B18))-'Business Case'!C15*$F18</f>
        <v>43801280</v>
      </c>
      <c r="J18" s="30" t="n">
        <f aca="false">(('Business Case'!D11*$C18*'Business Case'!D12*$B18)-'Business Case'!D11*$C18*'Business Case'!D13*$D18-'Business Case'!D14*$E18)-MAX(0,(('Business Case'!D11*$C18*'Business Case'!D12*$B18)-'Business Case'!D11*$C18*'Business Case'!D13*$D18-'Business Case'!D14*$E18))*'Business Case'!$B$7-'Business Case'!$B$8*(('Business Case'!D11*$C18*'Business Case'!D12*$B18)-('Business Case'!C11*$C18*'Business Case'!C12*$B18))-'Business Case'!D15*$F18</f>
        <v>383716160</v>
      </c>
      <c r="K18" s="30" t="n">
        <f aca="false">(('Business Case'!E11*$C18*'Business Case'!E12*$B18)-'Business Case'!E11*$C18*'Business Case'!E13*$D18-'Business Case'!E14*$E18)-MAX(0,(('Business Case'!E11*$C18*'Business Case'!E12*$B18)-'Business Case'!E11*$C18*'Business Case'!E13*$D18-'Business Case'!E14*$E18))*'Business Case'!$B$7-'Business Case'!$B$8*(('Business Case'!E11*$C18*'Business Case'!E12*$B18)-('Business Case'!D11*$C18*'Business Case'!D12*$B18))-'Business Case'!E15*$F18</f>
        <v>773631040</v>
      </c>
      <c r="L18" s="30" t="n">
        <f aca="false">(('Business Case'!F11*$C18*'Business Case'!F12*$B18)-'Business Case'!F11*$C18*'Business Case'!F13*$D18-'Business Case'!F14*$E18)-MAX(0,(('Business Case'!F11*$C18*'Business Case'!F12*$B18)-'Business Case'!F11*$C18*'Business Case'!F13*$D18-'Business Case'!F14*$E18))*'Business Case'!$B$7-'Business Case'!$B$8*(('Business Case'!F11*$C18*'Business Case'!F12*$B18)-('Business Case'!E11*$C18*'Business Case'!E12*$B18))-'Business Case'!F15*$F18</f>
        <v>922878400</v>
      </c>
      <c r="M18" s="30" t="n">
        <f aca="false">(('Business Case'!G11*$C18*'Business Case'!G12*$B18)-'Business Case'!G11*$C18*'Business Case'!G13*$D18-'Business Case'!G14*$E18)-MAX(0,(('Business Case'!G11*$C18*'Business Case'!G12*$B18)-'Business Case'!G11*$C18*'Business Case'!G13*$D18-'Business Case'!G14*$E18))*'Business Case'!$B$7-'Business Case'!$B$8*(('Business Case'!G11*$C18*'Business Case'!G12*$B18)-('Business Case'!F11*$C18*'Business Case'!F12*$B18))-'Business Case'!G15*$F18+'Business Case'!$B$8*('Business Case'!G11*$C18*'Business Case'!G12*$B18)</f>
        <v>1120561600</v>
      </c>
      <c r="N18" s="31" t="n">
        <f aca="false">IF(COUNT('Business Case'!B11:G11)=0,"",H18+NPV(G18,I18:M18))</f>
        <v>264299545.738927</v>
      </c>
    </row>
    <row r="19" customFormat="false" ht="15" hidden="false" customHeight="false" outlineLevel="0" collapsed="false">
      <c r="A19" s="5" t="s">
        <v>344</v>
      </c>
      <c r="B19" s="25" t="n">
        <f aca="false">1</f>
        <v>1</v>
      </c>
      <c r="C19" s="25" t="n">
        <f aca="false">1+E7</f>
        <v>0.8</v>
      </c>
      <c r="D19" s="25" t="n">
        <f aca="false">1</f>
        <v>1</v>
      </c>
      <c r="E19" s="25" t="n">
        <f aca="false">1</f>
        <v>1</v>
      </c>
      <c r="F19" s="25" t="n">
        <f aca="false">1</f>
        <v>1</v>
      </c>
      <c r="G19" s="23" t="n">
        <f aca="false">'Business Case'!$B$6</f>
        <v>0.1</v>
      </c>
      <c r="H19" s="30" t="n">
        <f aca="false">(('Business Case'!B11*$C19*'Business Case'!B12*$B19)-'Business Case'!B11*$C19*'Business Case'!B13*$D19-'Business Case'!B14*$E19)-MAX(0,(('Business Case'!B11*$C19*'Business Case'!B12*$B19)-'Business Case'!B11*$C19*'Business Case'!B13*$D19-'Business Case'!B14*$E19))*'Business Case'!$B$7-'Business Case'!$B$8*('Business Case'!B11*$C19*'Business Case'!B12*$B19)-'Business Case'!B15*$F19</f>
        <v>-2000000000</v>
      </c>
      <c r="I19" s="30" t="n">
        <f aca="false">(('Business Case'!C11*$C19*'Business Case'!C12*$B19)-'Business Case'!C11*$C19*'Business Case'!C13*$D19-'Business Case'!C14*$E19)-MAX(0,(('Business Case'!C11*$C19*'Business Case'!C12*$B19)-'Business Case'!C11*$C19*'Business Case'!C13*$D19-'Business Case'!C14*$E19))*'Business Case'!$B$7-'Business Case'!$B$8*(('Business Case'!C11*$C19*'Business Case'!C12*$B19)-('Business Case'!B11*$C19*'Business Case'!B12*$B19))-'Business Case'!C15*$F19</f>
        <v>-37950400</v>
      </c>
      <c r="J19" s="30" t="n">
        <f aca="false">(('Business Case'!D11*$C19*'Business Case'!D12*$B19)-'Business Case'!D11*$C19*'Business Case'!D13*$D19-'Business Case'!D14*$E19)-MAX(0,(('Business Case'!D11*$C19*'Business Case'!D12*$B19)-'Business Case'!D11*$C19*'Business Case'!D13*$D19-'Business Case'!D14*$E19))*'Business Case'!$B$7-'Business Case'!$B$8*(('Business Case'!D11*$C19*'Business Case'!D12*$B19)-('Business Case'!C11*$C19*'Business Case'!C12*$B19))-'Business Case'!D15*$F19</f>
        <v>207771200</v>
      </c>
      <c r="K19" s="30" t="n">
        <f aca="false">(('Business Case'!E11*$C19*'Business Case'!E12*$B19)-'Business Case'!E11*$C19*'Business Case'!E13*$D19-'Business Case'!E14*$E19)-MAX(0,(('Business Case'!E11*$C19*'Business Case'!E12*$B19)-'Business Case'!E11*$C19*'Business Case'!E13*$D19-'Business Case'!E14*$E19))*'Business Case'!$B$7-'Business Case'!$B$8*(('Business Case'!E11*$C19*'Business Case'!E12*$B19)-('Business Case'!D11*$C19*'Business Case'!D12*$B19))-'Business Case'!E15*$F19</f>
        <v>503492800</v>
      </c>
      <c r="L19" s="30" t="n">
        <f aca="false">(('Business Case'!F11*$C19*'Business Case'!F12*$B19)-'Business Case'!F11*$C19*'Business Case'!F13*$D19-'Business Case'!F14*$E19)-MAX(0,(('Business Case'!F11*$C19*'Business Case'!F12*$B19)-'Business Case'!F11*$C19*'Business Case'!F13*$D19-'Business Case'!F14*$E19))*'Business Case'!$B$7-'Business Case'!$B$8*(('Business Case'!F11*$C19*'Business Case'!F12*$B19)-('Business Case'!E11*$C19*'Business Case'!E12*$B19))-'Business Case'!F15*$F19</f>
        <v>613048000</v>
      </c>
      <c r="M19" s="30" t="n">
        <f aca="false">(('Business Case'!G11*$C19*'Business Case'!G12*$B19)-'Business Case'!G11*$C19*'Business Case'!G13*$D19-'Business Case'!G14*$E19)-MAX(0,(('Business Case'!G11*$C19*'Business Case'!G12*$B19)-'Business Case'!G11*$C19*'Business Case'!G13*$D19-'Business Case'!G14*$E19))*'Business Case'!$B$7-'Business Case'!$B$8*(('Business Case'!G11*$C19*'Business Case'!G12*$B19)-('Business Case'!F11*$C19*'Business Case'!F12*$B19))-'Business Case'!G15*$F19+'Business Case'!$B$8*('Business Case'!G11*$C19*'Business Case'!G12*$B19)</f>
        <v>765112000</v>
      </c>
      <c r="N19" s="31" t="n">
        <f aca="false">IF(COUNT('Business Case'!B11:G11)=0,"",H19+NPV(G19,I19:M19))</f>
        <v>-590712647.198714</v>
      </c>
    </row>
    <row r="20" customFormat="false" ht="15" hidden="false" customHeight="false" outlineLevel="0" collapsed="false">
      <c r="A20" s="5" t="s">
        <v>345</v>
      </c>
      <c r="B20" s="25" t="n">
        <f aca="false">1</f>
        <v>1</v>
      </c>
      <c r="C20" s="25" t="n">
        <f aca="false">1+G7</f>
        <v>1.15</v>
      </c>
      <c r="D20" s="25" t="n">
        <f aca="false">1</f>
        <v>1</v>
      </c>
      <c r="E20" s="25" t="n">
        <f aca="false">1</f>
        <v>1</v>
      </c>
      <c r="F20" s="25" t="n">
        <f aca="false">1</f>
        <v>1</v>
      </c>
      <c r="G20" s="23" t="n">
        <f aca="false">'Business Case'!$B$6</f>
        <v>0.1</v>
      </c>
      <c r="H20" s="30" t="n">
        <f aca="false">(('Business Case'!B11*$C20*'Business Case'!B12*$B20)-'Business Case'!B11*$C20*'Business Case'!B13*$D20-'Business Case'!B14*$E20)-MAX(0,(('Business Case'!B11*$C20*'Business Case'!B12*$B20)-'Business Case'!B11*$C20*'Business Case'!B13*$D20-'Business Case'!B14*$E20))*'Business Case'!$B$7-'Business Case'!$B$8*('Business Case'!B11*$C20*'Business Case'!B12*$B20)-'Business Case'!B15*$F20</f>
        <v>-2000000000</v>
      </c>
      <c r="I20" s="30" t="n">
        <f aca="false">(('Business Case'!C11*$C20*'Business Case'!C12*$B20)-'Business Case'!C11*$C20*'Business Case'!C13*$D20-'Business Case'!C14*$E20)-MAX(0,(('Business Case'!C11*$C20*'Business Case'!C12*$B20)-'Business Case'!C11*$C20*'Business Case'!C13*$D20-'Business Case'!C14*$E20))*'Business Case'!$B$7-'Business Case'!$B$8*(('Business Case'!C11*$C20*'Business Case'!C12*$B20)-('Business Case'!B11*$C20*'Business Case'!B12*$B20))-'Business Case'!C15*$F20</f>
        <v>51408800</v>
      </c>
      <c r="J20" s="30" t="n">
        <f aca="false">(('Business Case'!D11*$C20*'Business Case'!D12*$B20)-'Business Case'!D11*$C20*'Business Case'!D13*$D20-'Business Case'!D14*$E20)-MAX(0,(('Business Case'!D11*$C20*'Business Case'!D12*$B20)-'Business Case'!D11*$C20*'Business Case'!D13*$D20-'Business Case'!D14*$E20))*'Business Case'!$B$7-'Business Case'!$B$8*(('Business Case'!D11*$C20*'Business Case'!D12*$B20)-('Business Case'!C11*$C20*'Business Case'!C12*$B20))-'Business Case'!D15*$F20</f>
        <v>404633600</v>
      </c>
      <c r="K20" s="30" t="n">
        <f aca="false">(('Business Case'!E11*$C20*'Business Case'!E12*$B20)-'Business Case'!E11*$C20*'Business Case'!E13*$D20-'Business Case'!E14*$E20)-MAX(0,(('Business Case'!E11*$C20*'Business Case'!E12*$B20)-'Business Case'!E11*$C20*'Business Case'!E13*$D20-'Business Case'!E14*$E20))*'Business Case'!$B$7-'Business Case'!$B$8*(('Business Case'!E11*$C20*'Business Case'!E12*$B20)-('Business Case'!D11*$C20*'Business Case'!D12*$B20))-'Business Case'!E15*$F20</f>
        <v>807858400</v>
      </c>
      <c r="L20" s="30" t="n">
        <f aca="false">(('Business Case'!F11*$C20*'Business Case'!F12*$B20)-'Business Case'!F11*$C20*'Business Case'!F13*$D20-'Business Case'!F14*$E20)-MAX(0,(('Business Case'!F11*$C20*'Business Case'!F12*$B20)-'Business Case'!F11*$C20*'Business Case'!F13*$D20-'Business Case'!F14*$E20))*'Business Case'!$B$7-'Business Case'!$B$8*(('Business Case'!F11*$C20*'Business Case'!F12*$B20)-('Business Case'!E11*$C20*'Business Case'!E12*$B20))-'Business Case'!F15*$F20</f>
        <v>965344000</v>
      </c>
      <c r="M20" s="30" t="n">
        <f aca="false">(('Business Case'!G11*$C20*'Business Case'!G12*$B20)-'Business Case'!G11*$C20*'Business Case'!G13*$D20-'Business Case'!G14*$E20)-MAX(0,(('Business Case'!G11*$C20*'Business Case'!G12*$B20)-'Business Case'!G11*$C20*'Business Case'!G13*$D20-'Business Case'!G14*$E20))*'Business Case'!$B$7-'Business Case'!$B$8*(('Business Case'!G11*$C20*'Business Case'!G12*$B20)-('Business Case'!F11*$C20*'Business Case'!F12*$B20))-'Business Case'!G15*$F20+'Business Case'!$B$8*('Business Case'!G11*$C20*'Business Case'!G12*$B20)</f>
        <v>1183936000</v>
      </c>
      <c r="N20" s="31" t="n">
        <f aca="false">IF(COUNT('Business Case'!B11:G11)=0,"",H20+NPV(G20,I20:M20))</f>
        <v>382573228.157539</v>
      </c>
    </row>
    <row r="21" customFormat="false" ht="15" hidden="false" customHeight="false" outlineLevel="0" collapsed="false">
      <c r="A21" s="5" t="s">
        <v>346</v>
      </c>
      <c r="B21" s="25" t="n">
        <f aca="false">1</f>
        <v>1</v>
      </c>
      <c r="C21" s="25" t="n">
        <f aca="false">1</f>
        <v>1</v>
      </c>
      <c r="D21" s="25" t="n">
        <f aca="false">1+E8</f>
        <v>0.95</v>
      </c>
      <c r="E21" s="25" t="n">
        <f aca="false">1</f>
        <v>1</v>
      </c>
      <c r="F21" s="25" t="n">
        <f aca="false">1</f>
        <v>1</v>
      </c>
      <c r="G21" s="23" t="n">
        <f aca="false">'Business Case'!$B$6</f>
        <v>0.1</v>
      </c>
      <c r="H21" s="30" t="n">
        <f aca="false">(('Business Case'!B11*$C21*'Business Case'!B12*$B21)-'Business Case'!B11*$C21*'Business Case'!B13*$D21-'Business Case'!B14*$E21)-MAX(0,(('Business Case'!B11*$C21*'Business Case'!B12*$B21)-'Business Case'!B11*$C21*'Business Case'!B13*$D21-'Business Case'!B14*$E21))*'Business Case'!$B$7-'Business Case'!$B$8*('Business Case'!B11*$C21*'Business Case'!B12*$B21)-'Business Case'!B15*$F21</f>
        <v>-2000000000</v>
      </c>
      <c r="I21" s="30" t="n">
        <f aca="false">(('Business Case'!C11*$C21*'Business Case'!C12*$B21)-'Business Case'!C11*$C21*'Business Case'!C13*$D21-'Business Case'!C14*$E21)-MAX(0,(('Business Case'!C11*$C21*'Business Case'!C12*$B21)-'Business Case'!C11*$C21*'Business Case'!C13*$D21-'Business Case'!C14*$E21))*'Business Case'!$B$7-'Business Case'!$B$8*(('Business Case'!C11*$C21*'Business Case'!C12*$B21)-('Business Case'!B11*$C21*'Business Case'!B12*$B21))-'Business Case'!C15*$F21</f>
        <v>38708000</v>
      </c>
      <c r="J21" s="30" t="n">
        <f aca="false">(('Business Case'!D11*$C21*'Business Case'!D12*$B21)-'Business Case'!D11*$C21*'Business Case'!D13*$D21-'Business Case'!D14*$E21)-MAX(0,(('Business Case'!D11*$C21*'Business Case'!D12*$B21)-'Business Case'!D11*$C21*'Business Case'!D13*$D21-'Business Case'!D14*$E21))*'Business Case'!$B$7-'Business Case'!$B$8*(('Business Case'!D11*$C21*'Business Case'!D12*$B21)-('Business Case'!C11*$C21*'Business Case'!C12*$B21))-'Business Case'!D15*$F21</f>
        <v>371456000</v>
      </c>
      <c r="K21" s="30" t="n">
        <f aca="false">(('Business Case'!E11*$C21*'Business Case'!E12*$B21)-'Business Case'!E11*$C21*'Business Case'!E13*$D21-'Business Case'!E14*$E21)-MAX(0,(('Business Case'!E11*$C21*'Business Case'!E12*$B21)-'Business Case'!E11*$C21*'Business Case'!E13*$D21-'Business Case'!E14*$E21))*'Business Case'!$B$7-'Business Case'!$B$8*(('Business Case'!E11*$C21*'Business Case'!E12*$B21)-('Business Case'!D11*$C21*'Business Case'!D12*$B21))-'Business Case'!E15*$F21</f>
        <v>754204000</v>
      </c>
      <c r="L21" s="30" t="n">
        <f aca="false">(('Business Case'!F11*$C21*'Business Case'!F12*$B21)-'Business Case'!F11*$C21*'Business Case'!F13*$D21-'Business Case'!F14*$E21)-MAX(0,(('Business Case'!F11*$C21*'Business Case'!F12*$B21)-'Business Case'!F11*$C21*'Business Case'!F13*$D21-'Business Case'!F14*$E21))*'Business Case'!$B$7-'Business Case'!$B$8*(('Business Case'!F11*$C21*'Business Case'!F12*$B21)-('Business Case'!E11*$C21*'Business Case'!E12*$B21))-'Business Case'!F15*$F21</f>
        <v>899680000</v>
      </c>
      <c r="M21" s="30" t="n">
        <f aca="false">(('Business Case'!G11*$C21*'Business Case'!G12*$B21)-'Business Case'!G11*$C21*'Business Case'!G13*$D21-'Business Case'!G14*$E21)-MAX(0,(('Business Case'!G11*$C21*'Business Case'!G12*$B21)-'Business Case'!G11*$C21*'Business Case'!G13*$D21-'Business Case'!G14*$E21))*'Business Case'!$B$7-'Business Case'!$B$8*(('Business Case'!G11*$C21*'Business Case'!G12*$B21)-('Business Case'!F11*$C21*'Business Case'!F12*$B21))-'Business Case'!G15*$F21+'Business Case'!$B$8*('Business Case'!G11*$C21*'Business Case'!G12*$B21)</f>
        <v>1089760000</v>
      </c>
      <c r="N21" s="31" t="n">
        <f aca="false">IF(COUNT('Business Case'!B11:G11)=0,"",H21+NPV(G21,I21:M21))</f>
        <v>199970915.300122</v>
      </c>
    </row>
    <row r="22" customFormat="false" ht="15" hidden="false" customHeight="false" outlineLevel="0" collapsed="false">
      <c r="A22" s="5" t="s">
        <v>347</v>
      </c>
      <c r="B22" s="25" t="n">
        <f aca="false">1</f>
        <v>1</v>
      </c>
      <c r="C22" s="25" t="n">
        <f aca="false">1</f>
        <v>1</v>
      </c>
      <c r="D22" s="25" t="n">
        <f aca="false">1+G8</f>
        <v>1.08</v>
      </c>
      <c r="E22" s="25" t="n">
        <f aca="false">1</f>
        <v>1</v>
      </c>
      <c r="F22" s="25" t="n">
        <f aca="false">1</f>
        <v>1</v>
      </c>
      <c r="G22" s="23" t="n">
        <f aca="false">'Business Case'!$B$6</f>
        <v>0.1</v>
      </c>
      <c r="H22" s="30" t="n">
        <f aca="false">(('Business Case'!B11*$C22*'Business Case'!B12*$B22)-'Business Case'!B11*$C22*'Business Case'!B13*$D22-'Business Case'!B14*$E22)-MAX(0,(('Business Case'!B11*$C22*'Business Case'!B12*$B22)-'Business Case'!B11*$C22*'Business Case'!B13*$D22-'Business Case'!B14*$E22))*'Business Case'!$B$7-'Business Case'!$B$8*('Business Case'!B11*$C22*'Business Case'!B12*$B22)-'Business Case'!B15*$F22</f>
        <v>-2000000000</v>
      </c>
      <c r="I22" s="30" t="n">
        <f aca="false">(('Business Case'!C11*$C22*'Business Case'!C12*$B22)-'Business Case'!C11*$C22*'Business Case'!C13*$D22-'Business Case'!C14*$E22)-MAX(0,(('Business Case'!C11*$C22*'Business Case'!C12*$B22)-'Business Case'!C11*$C22*'Business Case'!C13*$D22-'Business Case'!C14*$E22))*'Business Case'!$B$7-'Business Case'!$B$8*(('Business Case'!C11*$C22*'Business Case'!C12*$B22)-('Business Case'!B11*$C22*'Business Case'!B12*$B22))-'Business Case'!C15*$F22</f>
        <v>-27841600</v>
      </c>
      <c r="J22" s="30" t="n">
        <f aca="false">(('Business Case'!D11*$C22*'Business Case'!D12*$B22)-'Business Case'!D11*$C22*'Business Case'!D13*$D22-'Business Case'!D14*$E22)-MAX(0,(('Business Case'!D11*$C22*'Business Case'!D12*$B22)-'Business Case'!D11*$C22*'Business Case'!D13*$D22-'Business Case'!D14*$E22))*'Business Case'!$B$7-'Business Case'!$B$8*(('Business Case'!D11*$C22*'Business Case'!D12*$B22)-('Business Case'!C11*$C22*'Business Case'!C12*$B22))-'Business Case'!D15*$F22</f>
        <v>238356800</v>
      </c>
      <c r="K22" s="30" t="n">
        <f aca="false">(('Business Case'!E11*$C22*'Business Case'!E12*$B22)-'Business Case'!E11*$C22*'Business Case'!E13*$D22-'Business Case'!E14*$E22)-MAX(0,(('Business Case'!E11*$C22*'Business Case'!E12*$B22)-'Business Case'!E11*$C22*'Business Case'!E13*$D22-'Business Case'!E14*$E22))*'Business Case'!$B$7-'Business Case'!$B$8*(('Business Case'!E11*$C22*'Business Case'!E12*$B22)-('Business Case'!D11*$C22*'Business Case'!D12*$B22))-'Business Case'!E15*$F22</f>
        <v>554555200</v>
      </c>
      <c r="L22" s="30" t="n">
        <f aca="false">(('Business Case'!F11*$C22*'Business Case'!F12*$B22)-'Business Case'!F11*$C22*'Business Case'!F13*$D22-'Business Case'!F14*$E22)-MAX(0,(('Business Case'!F11*$C22*'Business Case'!F12*$B22)-'Business Case'!F11*$C22*'Business Case'!F13*$D22-'Business Case'!F14*$E22))*'Business Case'!$B$7-'Business Case'!$B$8*(('Business Case'!F11*$C22*'Business Case'!F12*$B22)-('Business Case'!E11*$C22*'Business Case'!E12*$B22))-'Business Case'!F15*$F22</f>
        <v>677848000</v>
      </c>
      <c r="M22" s="30" t="n">
        <f aca="false">(('Business Case'!G11*$C22*'Business Case'!G12*$B22)-'Business Case'!G11*$C22*'Business Case'!G13*$D22-'Business Case'!G14*$E22)-MAX(0,(('Business Case'!G11*$C22*'Business Case'!G12*$B22)-'Business Case'!G11*$C22*'Business Case'!G13*$D22-'Business Case'!G14*$E22))*'Business Case'!$B$7-'Business Case'!$B$8*(('Business Case'!G11*$C22*'Business Case'!G12*$B22)-('Business Case'!F11*$C22*'Business Case'!F12*$B22))-'Business Case'!G15*$F22+'Business Case'!$B$8*('Business Case'!G11*$C22*'Business Case'!G12*$B22)</f>
        <v>867928000</v>
      </c>
      <c r="N22" s="31" t="n">
        <f aca="false">IF(COUNT('Business Case'!B11:G11)=0,"",H22+NPV(G22,I22:M22))</f>
        <v>-409781618.096132</v>
      </c>
    </row>
    <row r="23" customFormat="false" ht="15" hidden="false" customHeight="false" outlineLevel="0" collapsed="false">
      <c r="A23" s="5" t="s">
        <v>348</v>
      </c>
      <c r="B23" s="25" t="n">
        <f aca="false">1</f>
        <v>1</v>
      </c>
      <c r="C23" s="25" t="n">
        <f aca="false">1</f>
        <v>1</v>
      </c>
      <c r="D23" s="25" t="n">
        <f aca="false">1</f>
        <v>1</v>
      </c>
      <c r="E23" s="25" t="n">
        <f aca="false">1+E9</f>
        <v>0.95</v>
      </c>
      <c r="F23" s="25" t="n">
        <f aca="false">1</f>
        <v>1</v>
      </c>
      <c r="G23" s="23" t="n">
        <f aca="false">'Business Case'!$B$6</f>
        <v>0.1</v>
      </c>
      <c r="H23" s="30" t="n">
        <f aca="false">(('Business Case'!B11*$C23*'Business Case'!B12*$B23)-'Business Case'!B11*$C23*'Business Case'!B13*$D23-'Business Case'!B14*$E23)-MAX(0,(('Business Case'!B11*$C23*'Business Case'!B12*$B23)-'Business Case'!B11*$C23*'Business Case'!B13*$D23-'Business Case'!B14*$E23))*'Business Case'!$B$7-'Business Case'!$B$8*('Business Case'!B11*$C23*'Business Case'!B12*$B23)-'Business Case'!B15*$F23</f>
        <v>-2000000000</v>
      </c>
      <c r="I23" s="30" t="n">
        <f aca="false">(('Business Case'!C11*$C23*'Business Case'!C12*$B23)-'Business Case'!C11*$C23*'Business Case'!C13*$D23-'Business Case'!C14*$E23)-MAX(0,(('Business Case'!C11*$C23*'Business Case'!C12*$B23)-'Business Case'!C11*$C23*'Business Case'!C13*$D23-'Business Case'!C14*$E23))*'Business Case'!$B$7-'Business Case'!$B$8*(('Business Case'!C11*$C23*'Business Case'!C12*$B23)-('Business Case'!B11*$C23*'Business Case'!B12*$B23))-'Business Case'!C15*$F23</f>
        <v>20222000</v>
      </c>
      <c r="J23" s="30" t="n">
        <f aca="false">(('Business Case'!D11*$C23*'Business Case'!D12*$B23)-'Business Case'!D11*$C23*'Business Case'!D13*$D23-'Business Case'!D14*$E23)-MAX(0,(('Business Case'!D11*$C23*'Business Case'!D12*$B23)-'Business Case'!D11*$C23*'Business Case'!D13*$D23-'Business Case'!D14*$E23))*'Business Case'!$B$7-'Business Case'!$B$8*(('Business Case'!D11*$C23*'Business Case'!D12*$B23)-('Business Case'!C11*$C23*'Business Case'!C12*$B23))-'Business Case'!D15*$F23</f>
        <v>327374000</v>
      </c>
      <c r="K23" s="30" t="n">
        <f aca="false">(('Business Case'!E11*$C23*'Business Case'!E12*$B23)-'Business Case'!E11*$C23*'Business Case'!E13*$D23-'Business Case'!E14*$E23)-MAX(0,(('Business Case'!E11*$C23*'Business Case'!E12*$B23)-'Business Case'!E11*$C23*'Business Case'!E13*$D23-'Business Case'!E14*$E23))*'Business Case'!$B$7-'Business Case'!$B$8*(('Business Case'!E11*$C23*'Business Case'!E12*$B23)-('Business Case'!D11*$C23*'Business Case'!D12*$B23))-'Business Case'!E15*$F23</f>
        <v>684526000</v>
      </c>
      <c r="L23" s="30" t="n">
        <f aca="false">(('Business Case'!F11*$C23*'Business Case'!F12*$B23)-'Business Case'!F11*$C23*'Business Case'!F13*$D23-'Business Case'!F14*$E23)-MAX(0,(('Business Case'!F11*$C23*'Business Case'!F12*$B23)-'Business Case'!F11*$C23*'Business Case'!F13*$D23-'Business Case'!F14*$E23))*'Business Case'!$B$7-'Business Case'!$B$8*(('Business Case'!F11*$C23*'Business Case'!F12*$B23)-('Business Case'!E11*$C23*'Business Case'!E12*$B23))-'Business Case'!F15*$F23</f>
        <v>821470000</v>
      </c>
      <c r="M23" s="30" t="n">
        <f aca="false">(('Business Case'!G11*$C23*'Business Case'!G12*$B23)-'Business Case'!G11*$C23*'Business Case'!G13*$D23-'Business Case'!G14*$E23)-MAX(0,(('Business Case'!G11*$C23*'Business Case'!G12*$B23)-'Business Case'!G11*$C23*'Business Case'!G13*$D23-'Business Case'!G14*$E23))*'Business Case'!$B$7-'Business Case'!$B$8*(('Business Case'!G11*$C23*'Business Case'!G12*$B23)-('Business Case'!F11*$C23*'Business Case'!F12*$B23))-'Business Case'!G15*$F23+'Business Case'!$B$8*('Business Case'!G11*$C23*'Business Case'!G12*$B23)</f>
        <v>1011550000</v>
      </c>
      <c r="N23" s="31" t="n">
        <f aca="false">IF(COUNT('Business Case'!B11:G11)=0,"",H23+NPV(G23,I23:M23))</f>
        <v>-7596795.92178941</v>
      </c>
    </row>
    <row r="24" customFormat="false" ht="15" hidden="false" customHeight="false" outlineLevel="0" collapsed="false">
      <c r="A24" s="5" t="s">
        <v>349</v>
      </c>
      <c r="B24" s="25" t="n">
        <f aca="false">1</f>
        <v>1</v>
      </c>
      <c r="C24" s="25" t="n">
        <f aca="false">1</f>
        <v>1</v>
      </c>
      <c r="D24" s="25" t="n">
        <f aca="false">1</f>
        <v>1</v>
      </c>
      <c r="E24" s="25" t="n">
        <f aca="false">1+G9</f>
        <v>1.1</v>
      </c>
      <c r="F24" s="25" t="n">
        <f aca="false">1</f>
        <v>1</v>
      </c>
      <c r="G24" s="23" t="n">
        <f aca="false">'Business Case'!$B$6</f>
        <v>0.1</v>
      </c>
      <c r="H24" s="30" t="n">
        <f aca="false">(('Business Case'!B11*$C24*'Business Case'!B12*$B24)-'Business Case'!B11*$C24*'Business Case'!B13*$D24-'Business Case'!B14*$E24)-MAX(0,(('Business Case'!B11*$C24*'Business Case'!B12*$B24)-'Business Case'!B11*$C24*'Business Case'!B13*$D24-'Business Case'!B14*$E24))*'Business Case'!$B$7-'Business Case'!$B$8*('Business Case'!B11*$C24*'Business Case'!B12*$B24)-'Business Case'!B15*$F24</f>
        <v>-2000000000</v>
      </c>
      <c r="I24" s="30" t="n">
        <f aca="false">(('Business Case'!C11*$C24*'Business Case'!C12*$B24)-'Business Case'!C11*$C24*'Business Case'!C13*$D24-'Business Case'!C14*$E24)-MAX(0,(('Business Case'!C11*$C24*'Business Case'!C12*$B24)-'Business Case'!C11*$C24*'Business Case'!C13*$D24-'Business Case'!C14*$E24))*'Business Case'!$B$7-'Business Case'!$B$8*(('Business Case'!C11*$C24*'Business Case'!C12*$B24)-('Business Case'!B11*$C24*'Business Case'!B12*$B24))-'Business Case'!C15*$F24</f>
        <v>-1108000.00000003</v>
      </c>
      <c r="J24" s="30" t="n">
        <f aca="false">(('Business Case'!D11*$C24*'Business Case'!D12*$B24)-'Business Case'!D11*$C24*'Business Case'!D13*$D24-'Business Case'!D14*$E24)-MAX(0,(('Business Case'!D11*$C24*'Business Case'!D12*$B24)-'Business Case'!D11*$C24*'Business Case'!D13*$D24-'Business Case'!D14*$E24))*'Business Case'!$B$7-'Business Case'!$B$8*(('Business Case'!D11*$C24*'Business Case'!D12*$B24)-('Business Case'!C11*$C24*'Business Case'!C12*$B24))-'Business Case'!D15*$F24</f>
        <v>306044000</v>
      </c>
      <c r="K24" s="30" t="n">
        <f aca="false">(('Business Case'!E11*$C24*'Business Case'!E12*$B24)-'Business Case'!E11*$C24*'Business Case'!E13*$D24-'Business Case'!E14*$E24)-MAX(0,(('Business Case'!E11*$C24*'Business Case'!E12*$B24)-'Business Case'!E11*$C24*'Business Case'!E13*$D24-'Business Case'!E14*$E24))*'Business Case'!$B$7-'Business Case'!$B$8*(('Business Case'!E11*$C24*'Business Case'!E12*$B24)-('Business Case'!D11*$C24*'Business Case'!D12*$B24))-'Business Case'!E15*$F24</f>
        <v>663196000</v>
      </c>
      <c r="L24" s="30" t="n">
        <f aca="false">(('Business Case'!F11*$C24*'Business Case'!F12*$B24)-'Business Case'!F11*$C24*'Business Case'!F13*$D24-'Business Case'!F14*$E24)-MAX(0,(('Business Case'!F11*$C24*'Business Case'!F12*$B24)-'Business Case'!F11*$C24*'Business Case'!F13*$D24-'Business Case'!F14*$E24))*'Business Case'!$B$7-'Business Case'!$B$8*(('Business Case'!F11*$C24*'Business Case'!F12*$B24)-('Business Case'!E11*$C24*'Business Case'!E12*$B24))-'Business Case'!F15*$F24</f>
        <v>800140000</v>
      </c>
      <c r="M24" s="30" t="n">
        <f aca="false">(('Business Case'!G11*$C24*'Business Case'!G12*$B24)-'Business Case'!G11*$C24*'Business Case'!G13*$D24-'Business Case'!G14*$E24)-MAX(0,(('Business Case'!G11*$C24*'Business Case'!G12*$B24)-'Business Case'!G11*$C24*'Business Case'!G13*$D24-'Business Case'!G14*$E24))*'Business Case'!$B$7-'Business Case'!$B$8*(('Business Case'!G11*$C24*'Business Case'!G12*$B24)-('Business Case'!F11*$C24*'Business Case'!F12*$B24))-'Business Case'!G15*$F24+'Business Case'!$B$8*('Business Case'!G11*$C24*'Business Case'!G12*$B24)</f>
        <v>990220000</v>
      </c>
      <c r="N24" s="31" t="n">
        <f aca="false">IF(COUNT('Business Case'!B11:G11)=0,"",H24+NPV(G24,I24:M24))</f>
        <v>-88454277.7132716</v>
      </c>
    </row>
    <row r="25" customFormat="false" ht="15" hidden="false" customHeight="false" outlineLevel="0" collapsed="false">
      <c r="A25" s="5" t="s">
        <v>350</v>
      </c>
      <c r="B25" s="25" t="n">
        <f aca="false">1</f>
        <v>1</v>
      </c>
      <c r="C25" s="25" t="n">
        <f aca="false">1</f>
        <v>1</v>
      </c>
      <c r="D25" s="25" t="n">
        <f aca="false">1</f>
        <v>1</v>
      </c>
      <c r="E25" s="25" t="n">
        <f aca="false">1</f>
        <v>1</v>
      </c>
      <c r="F25" s="25" t="n">
        <f aca="false">1+E10</f>
        <v>0.95</v>
      </c>
      <c r="G25" s="23" t="n">
        <f aca="false">'Business Case'!$B$6</f>
        <v>0.1</v>
      </c>
      <c r="H25" s="30" t="n">
        <f aca="false">(('Business Case'!B11*$C25*'Business Case'!B12*$B25)-'Business Case'!B11*$C25*'Business Case'!B13*$D25-'Business Case'!B14*$E25)-MAX(0,(('Business Case'!B11*$C25*'Business Case'!B12*$B25)-'Business Case'!B11*$C25*'Business Case'!B13*$D25-'Business Case'!B14*$E25))*'Business Case'!$B$7-'Business Case'!$B$8*('Business Case'!B11*$C25*'Business Case'!B12*$B25)-'Business Case'!B15*$F25</f>
        <v>-1900000000</v>
      </c>
      <c r="I25" s="30" t="n">
        <f aca="false">(('Business Case'!C11*$C25*'Business Case'!C12*$B25)-'Business Case'!C11*$C25*'Business Case'!C13*$D25-'Business Case'!C14*$E25)-MAX(0,(('Business Case'!C11*$C25*'Business Case'!C12*$B25)-'Business Case'!C11*$C25*'Business Case'!C13*$D25-'Business Case'!C14*$E25))*'Business Case'!$B$7-'Business Case'!$B$8*(('Business Case'!C11*$C25*'Business Case'!C12*$B25)-('Business Case'!B11*$C25*'Business Case'!B12*$B25))-'Business Case'!C15*$F25</f>
        <v>18112000</v>
      </c>
      <c r="J25" s="30" t="n">
        <f aca="false">(('Business Case'!D11*$C25*'Business Case'!D12*$B25)-'Business Case'!D11*$C25*'Business Case'!D13*$D25-'Business Case'!D14*$E25)-MAX(0,(('Business Case'!D11*$C25*'Business Case'!D12*$B25)-'Business Case'!D11*$C25*'Business Case'!D13*$D25-'Business Case'!D14*$E25))*'Business Case'!$B$7-'Business Case'!$B$8*(('Business Case'!D11*$C25*'Business Case'!D12*$B25)-('Business Case'!C11*$C25*'Business Case'!C12*$B25))-'Business Case'!D15*$F25</f>
        <v>325264000</v>
      </c>
      <c r="K25" s="30" t="n">
        <f aca="false">(('Business Case'!E11*$C25*'Business Case'!E12*$B25)-'Business Case'!E11*$C25*'Business Case'!E13*$D25-'Business Case'!E14*$E25)-MAX(0,(('Business Case'!E11*$C25*'Business Case'!E12*$B25)-'Business Case'!E11*$C25*'Business Case'!E13*$D25-'Business Case'!E14*$E25))*'Business Case'!$B$7-'Business Case'!$B$8*(('Business Case'!E11*$C25*'Business Case'!E12*$B25)-('Business Case'!D11*$C25*'Business Case'!D12*$B25))-'Business Case'!E15*$F25</f>
        <v>679916000</v>
      </c>
      <c r="L25" s="30" t="n">
        <f aca="false">(('Business Case'!F11*$C25*'Business Case'!F12*$B25)-'Business Case'!F11*$C25*'Business Case'!F13*$D25-'Business Case'!F14*$E25)-MAX(0,(('Business Case'!F11*$C25*'Business Case'!F12*$B25)-'Business Case'!F11*$C25*'Business Case'!F13*$D25-'Business Case'!F14*$E25))*'Business Case'!$B$7-'Business Case'!$B$8*(('Business Case'!F11*$C25*'Business Case'!F12*$B25)-('Business Case'!E11*$C25*'Business Case'!E12*$B25))-'Business Case'!F15*$F25</f>
        <v>816860000</v>
      </c>
      <c r="M25" s="30" t="n">
        <f aca="false">(('Business Case'!G11*$C25*'Business Case'!G12*$B25)-'Business Case'!G11*$C25*'Business Case'!G13*$D25-'Business Case'!G14*$E25)-MAX(0,(('Business Case'!G11*$C25*'Business Case'!G12*$B25)-'Business Case'!G11*$C25*'Business Case'!G13*$D25-'Business Case'!G14*$E25))*'Business Case'!$B$7-'Business Case'!$B$8*(('Business Case'!G11*$C25*'Business Case'!G12*$B25)-('Business Case'!F11*$C25*'Business Case'!F12*$B25))-'Business Case'!G15*$F25+'Business Case'!$B$8*('Business Case'!G11*$C25*'Business Case'!G12*$B25)</f>
        <v>1006940000</v>
      </c>
      <c r="N25" s="31" t="n">
        <f aca="false">IF(COUNT('Business Case'!B11:G11)=0,"",H25+NPV(G25,I25:M25))</f>
        <v>79266520.0464444</v>
      </c>
    </row>
    <row r="26" customFormat="false" ht="15" hidden="false" customHeight="false" outlineLevel="0" collapsed="false">
      <c r="A26" s="5" t="s">
        <v>351</v>
      </c>
      <c r="B26" s="25" t="n">
        <f aca="false">1</f>
        <v>1</v>
      </c>
      <c r="C26" s="25" t="n">
        <f aca="false">1</f>
        <v>1</v>
      </c>
      <c r="D26" s="25" t="n">
        <f aca="false">1</f>
        <v>1</v>
      </c>
      <c r="E26" s="25" t="n">
        <f aca="false">1</f>
        <v>1</v>
      </c>
      <c r="F26" s="25" t="n">
        <f aca="false">1+G10</f>
        <v>1.2</v>
      </c>
      <c r="G26" s="23" t="n">
        <f aca="false">'Business Case'!$B$6</f>
        <v>0.1</v>
      </c>
      <c r="H26" s="30" t="n">
        <f aca="false">(('Business Case'!B11*$C26*'Business Case'!B12*$B26)-'Business Case'!B11*$C26*'Business Case'!B13*$D26-'Business Case'!B14*$E26)-MAX(0,(('Business Case'!B11*$C26*'Business Case'!B12*$B26)-'Business Case'!B11*$C26*'Business Case'!B13*$D26-'Business Case'!B14*$E26))*'Business Case'!$B$7-'Business Case'!$B$8*('Business Case'!B11*$C26*'Business Case'!B12*$B26)-'Business Case'!B15*$F26</f>
        <v>-2400000000</v>
      </c>
      <c r="I26" s="30" t="n">
        <f aca="false">(('Business Case'!C11*$C26*'Business Case'!C12*$B26)-'Business Case'!C11*$C26*'Business Case'!C13*$D26-'Business Case'!C14*$E26)-MAX(0,(('Business Case'!C11*$C26*'Business Case'!C12*$B26)-'Business Case'!C11*$C26*'Business Case'!C13*$D26-'Business Case'!C14*$E26))*'Business Case'!$B$7-'Business Case'!$B$8*(('Business Case'!C11*$C26*'Business Case'!C12*$B26)-('Business Case'!B11*$C26*'Business Case'!B12*$B26))-'Business Case'!C15*$F26</f>
        <v>-6888000</v>
      </c>
      <c r="J26" s="30" t="n">
        <f aca="false">(('Business Case'!D11*$C26*'Business Case'!D12*$B26)-'Business Case'!D11*$C26*'Business Case'!D13*$D26-'Business Case'!D14*$E26)-MAX(0,(('Business Case'!D11*$C26*'Business Case'!D12*$B26)-'Business Case'!D11*$C26*'Business Case'!D13*$D26-'Business Case'!D14*$E26))*'Business Case'!$B$7-'Business Case'!$B$8*(('Business Case'!D11*$C26*'Business Case'!D12*$B26)-('Business Case'!C11*$C26*'Business Case'!C12*$B26))-'Business Case'!D15*$F26</f>
        <v>300264000</v>
      </c>
      <c r="K26" s="30" t="n">
        <f aca="false">(('Business Case'!E11*$C26*'Business Case'!E12*$B26)-'Business Case'!E11*$C26*'Business Case'!E13*$D26-'Business Case'!E14*$E26)-MAX(0,(('Business Case'!E11*$C26*'Business Case'!E12*$B26)-'Business Case'!E11*$C26*'Business Case'!E13*$D26-'Business Case'!E14*$E26))*'Business Case'!$B$7-'Business Case'!$B$8*(('Business Case'!E11*$C26*'Business Case'!E12*$B26)-('Business Case'!D11*$C26*'Business Case'!D12*$B26))-'Business Case'!E15*$F26</f>
        <v>667416000</v>
      </c>
      <c r="L26" s="30" t="n">
        <f aca="false">(('Business Case'!F11*$C26*'Business Case'!F12*$B26)-'Business Case'!F11*$C26*'Business Case'!F13*$D26-'Business Case'!F14*$E26)-MAX(0,(('Business Case'!F11*$C26*'Business Case'!F12*$B26)-'Business Case'!F11*$C26*'Business Case'!F13*$D26-'Business Case'!F14*$E26))*'Business Case'!$B$7-'Business Case'!$B$8*(('Business Case'!F11*$C26*'Business Case'!F12*$B26)-('Business Case'!E11*$C26*'Business Case'!E12*$B26))-'Business Case'!F15*$F26</f>
        <v>804360000</v>
      </c>
      <c r="M26" s="30" t="n">
        <f aca="false">(('Business Case'!G11*$C26*'Business Case'!G12*$B26)-'Business Case'!G11*$C26*'Business Case'!G13*$D26-'Business Case'!G14*$E26)-MAX(0,(('Business Case'!G11*$C26*'Business Case'!G12*$B26)-'Business Case'!G11*$C26*'Business Case'!G13*$D26-'Business Case'!G14*$E26))*'Business Case'!$B$7-'Business Case'!$B$8*(('Business Case'!G11*$C26*'Business Case'!G12*$B26)-('Business Case'!F11*$C26*'Business Case'!F12*$B26))-'Business Case'!G15*$F26+'Business Case'!$B$8*('Business Case'!G11*$C26*'Business Case'!G12*$B26)</f>
        <v>994440000</v>
      </c>
      <c r="N26" s="31" t="n">
        <f aca="false">IF(COUNT('Business Case'!B11:G11)=0,"",H26+NPV(G26,I26:M26))</f>
        <v>-489812529.447194</v>
      </c>
    </row>
    <row r="27" customFormat="false" ht="15" hidden="false" customHeight="false" outlineLevel="0" collapsed="false">
      <c r="A27" s="5" t="s">
        <v>352</v>
      </c>
      <c r="B27" s="25" t="n">
        <f aca="false">1</f>
        <v>1</v>
      </c>
      <c r="C27" s="25" t="n">
        <f aca="false">1</f>
        <v>1</v>
      </c>
      <c r="D27" s="25" t="n">
        <f aca="false">1</f>
        <v>1</v>
      </c>
      <c r="E27" s="25" t="n">
        <f aca="false">1</f>
        <v>1</v>
      </c>
      <c r="F27" s="25" t="n">
        <f aca="false">1</f>
        <v>1</v>
      </c>
      <c r="G27" s="23" t="n">
        <f aca="false">E11</f>
        <v>0.09</v>
      </c>
      <c r="H27" s="30" t="n">
        <f aca="false">(('Business Case'!B11*$C27*'Business Case'!B12*$B27)-'Business Case'!B11*$C27*'Business Case'!B13*$D27-'Business Case'!B14*$E27)-MAX(0,(('Business Case'!B11*$C27*'Business Case'!B12*$B27)-'Business Case'!B11*$C27*'Business Case'!B13*$D27-'Business Case'!B14*$E27))*'Business Case'!$B$7-'Business Case'!$B$8*('Business Case'!B11*$C27*'Business Case'!B12*$B27)-'Business Case'!B15*$F27</f>
        <v>-2000000000</v>
      </c>
      <c r="I27" s="30" t="n">
        <f aca="false">(('Business Case'!C11*$C27*'Business Case'!C12*$B27)-'Business Case'!C11*$C27*'Business Case'!C13*$D27-'Business Case'!C14*$E27)-MAX(0,(('Business Case'!C11*$C27*'Business Case'!C12*$B27)-'Business Case'!C11*$C27*'Business Case'!C13*$D27-'Business Case'!C14*$E27))*'Business Case'!$B$7-'Business Case'!$B$8*(('Business Case'!C11*$C27*'Business Case'!C12*$B27)-('Business Case'!B11*$C27*'Business Case'!B12*$B27))-'Business Case'!C15*$F27</f>
        <v>13112000</v>
      </c>
      <c r="J27" s="30" t="n">
        <f aca="false">(('Business Case'!D11*$C27*'Business Case'!D12*$B27)-'Business Case'!D11*$C27*'Business Case'!D13*$D27-'Business Case'!D14*$E27)-MAX(0,(('Business Case'!D11*$C27*'Business Case'!D12*$B27)-'Business Case'!D11*$C27*'Business Case'!D13*$D27-'Business Case'!D14*$E27))*'Business Case'!$B$7-'Business Case'!$B$8*(('Business Case'!D11*$C27*'Business Case'!D12*$B27)-('Business Case'!C11*$C27*'Business Case'!C12*$B27))-'Business Case'!D15*$F27</f>
        <v>320264000</v>
      </c>
      <c r="K27" s="30" t="n">
        <f aca="false">(('Business Case'!E11*$C27*'Business Case'!E12*$B27)-'Business Case'!E11*$C27*'Business Case'!E13*$D27-'Business Case'!E14*$E27)-MAX(0,(('Business Case'!E11*$C27*'Business Case'!E12*$B27)-'Business Case'!E11*$C27*'Business Case'!E13*$D27-'Business Case'!E14*$E27))*'Business Case'!$B$7-'Business Case'!$B$8*(('Business Case'!E11*$C27*'Business Case'!E12*$B27)-('Business Case'!D11*$C27*'Business Case'!D12*$B27))-'Business Case'!E15*$F27</f>
        <v>677416000</v>
      </c>
      <c r="L27" s="30" t="n">
        <f aca="false">(('Business Case'!F11*$C27*'Business Case'!F12*$B27)-'Business Case'!F11*$C27*'Business Case'!F13*$D27-'Business Case'!F14*$E27)-MAX(0,(('Business Case'!F11*$C27*'Business Case'!F12*$B27)-'Business Case'!F11*$C27*'Business Case'!F13*$D27-'Business Case'!F14*$E27))*'Business Case'!$B$7-'Business Case'!$B$8*(('Business Case'!F11*$C27*'Business Case'!F12*$B27)-('Business Case'!E11*$C27*'Business Case'!E12*$B27))-'Business Case'!F15*$F27</f>
        <v>814360000</v>
      </c>
      <c r="M27" s="30" t="n">
        <f aca="false">(('Business Case'!G11*$C27*'Business Case'!G12*$B27)-'Business Case'!G11*$C27*'Business Case'!G13*$D27-'Business Case'!G14*$E27)-MAX(0,(('Business Case'!G11*$C27*'Business Case'!G12*$B27)-'Business Case'!G11*$C27*'Business Case'!G13*$D27-'Business Case'!G14*$E27))*'Business Case'!$B$7-'Business Case'!$B$8*(('Business Case'!G11*$C27*'Business Case'!G12*$B27)-('Business Case'!F11*$C27*'Business Case'!F12*$B27))-'Business Case'!G15*$F27+'Business Case'!$B$8*('Business Case'!G11*$C27*'Business Case'!G12*$B27)</f>
        <v>1004440000</v>
      </c>
      <c r="N27" s="31" t="n">
        <f aca="false">IF(COUNT('Business Case'!B11:G11)=0,"",H27+NPV(G27,I27:M27))</f>
        <v>34408840.0272958</v>
      </c>
    </row>
    <row r="28" customFormat="false" ht="15" hidden="false" customHeight="false" outlineLevel="0" collapsed="false">
      <c r="A28" s="5" t="s">
        <v>353</v>
      </c>
      <c r="B28" s="25" t="n">
        <f aca="false">1</f>
        <v>1</v>
      </c>
      <c r="C28" s="25" t="n">
        <f aca="false">1</f>
        <v>1</v>
      </c>
      <c r="D28" s="25" t="n">
        <f aca="false">1</f>
        <v>1</v>
      </c>
      <c r="E28" s="25" t="n">
        <f aca="false">1</f>
        <v>1</v>
      </c>
      <c r="F28" s="25" t="n">
        <f aca="false">1</f>
        <v>1</v>
      </c>
      <c r="G28" s="23" t="n">
        <f aca="false">G11</f>
        <v>0.12</v>
      </c>
      <c r="H28" s="30" t="n">
        <f aca="false">(('Business Case'!B11*$C28*'Business Case'!B12*$B28)-'Business Case'!B11*$C28*'Business Case'!B13*$D28-'Business Case'!B14*$E28)-MAX(0,(('Business Case'!B11*$C28*'Business Case'!B12*$B28)-'Business Case'!B11*$C28*'Business Case'!B13*$D28-'Business Case'!B14*$E28))*'Business Case'!$B$7-'Business Case'!$B$8*('Business Case'!B11*$C28*'Business Case'!B12*$B28)-'Business Case'!B15*$F28</f>
        <v>-2000000000</v>
      </c>
      <c r="I28" s="30" t="n">
        <f aca="false">(('Business Case'!C11*$C28*'Business Case'!C12*$B28)-'Business Case'!C11*$C28*'Business Case'!C13*$D28-'Business Case'!C14*$E28)-MAX(0,(('Business Case'!C11*$C28*'Business Case'!C12*$B28)-'Business Case'!C11*$C28*'Business Case'!C13*$D28-'Business Case'!C14*$E28))*'Business Case'!$B$7-'Business Case'!$B$8*(('Business Case'!C11*$C28*'Business Case'!C12*$B28)-('Business Case'!B11*$C28*'Business Case'!B12*$B28))-'Business Case'!C15*$F28</f>
        <v>13112000</v>
      </c>
      <c r="J28" s="30" t="n">
        <f aca="false">(('Business Case'!D11*$C28*'Business Case'!D12*$B28)-'Business Case'!D11*$C28*'Business Case'!D13*$D28-'Business Case'!D14*$E28)-MAX(0,(('Business Case'!D11*$C28*'Business Case'!D12*$B28)-'Business Case'!D11*$C28*'Business Case'!D13*$D28-'Business Case'!D14*$E28))*'Business Case'!$B$7-'Business Case'!$B$8*(('Business Case'!D11*$C28*'Business Case'!D12*$B28)-('Business Case'!C11*$C28*'Business Case'!C12*$B28))-'Business Case'!D15*$F28</f>
        <v>320264000</v>
      </c>
      <c r="K28" s="30" t="n">
        <f aca="false">(('Business Case'!E11*$C28*'Business Case'!E12*$B28)-'Business Case'!E11*$C28*'Business Case'!E13*$D28-'Business Case'!E14*$E28)-MAX(0,(('Business Case'!E11*$C28*'Business Case'!E12*$B28)-'Business Case'!E11*$C28*'Business Case'!E13*$D28-'Business Case'!E14*$E28))*'Business Case'!$B$7-'Business Case'!$B$8*(('Business Case'!E11*$C28*'Business Case'!E12*$B28)-('Business Case'!D11*$C28*'Business Case'!D12*$B28))-'Business Case'!E15*$F28</f>
        <v>677416000</v>
      </c>
      <c r="L28" s="30" t="n">
        <f aca="false">(('Business Case'!F11*$C28*'Business Case'!F12*$B28)-'Business Case'!F11*$C28*'Business Case'!F13*$D28-'Business Case'!F14*$E28)-MAX(0,(('Business Case'!F11*$C28*'Business Case'!F12*$B28)-'Business Case'!F11*$C28*'Business Case'!F13*$D28-'Business Case'!F14*$E28))*'Business Case'!$B$7-'Business Case'!$B$8*(('Business Case'!F11*$C28*'Business Case'!F12*$B28)-('Business Case'!E11*$C28*'Business Case'!E12*$B28))-'Business Case'!F15*$F28</f>
        <v>814360000</v>
      </c>
      <c r="M28" s="30" t="n">
        <f aca="false">(('Business Case'!G11*$C28*'Business Case'!G12*$B28)-'Business Case'!G11*$C28*'Business Case'!G13*$D28-'Business Case'!G14*$E28)-MAX(0,(('Business Case'!G11*$C28*'Business Case'!G12*$B28)-'Business Case'!G11*$C28*'Business Case'!G13*$D28-'Business Case'!G14*$E28))*'Business Case'!$B$7-'Business Case'!$B$8*(('Business Case'!G11*$C28*'Business Case'!G12*$B28)-('Business Case'!F11*$C28*'Business Case'!F12*$B28))-'Business Case'!G15*$F28+'Business Case'!$B$8*('Business Case'!G11*$C28*'Business Case'!G12*$B28)</f>
        <v>1004440000</v>
      </c>
      <c r="N28" s="31" t="n">
        <f aca="false">IF(COUNT('Business Case'!B11:G11)=0,"",H28+NPV(G28,I28:M28))</f>
        <v>-163322295.50234</v>
      </c>
    </row>
    <row r="30" customFormat="false" ht="23.85" hidden="false" customHeight="false" outlineLevel="0" collapsed="false">
      <c r="A30" s="11" t="s">
        <v>354</v>
      </c>
    </row>
    <row r="31" customFormat="false" ht="30" hidden="false" customHeight="true" outlineLevel="0" collapsed="false">
      <c r="A31" s="8" t="s">
        <v>319</v>
      </c>
      <c r="B31" s="8" t="s">
        <v>355</v>
      </c>
      <c r="C31" s="8" t="s">
        <v>356</v>
      </c>
      <c r="D31" s="8" t="s">
        <v>357</v>
      </c>
      <c r="E31" s="8" t="s">
        <v>358</v>
      </c>
      <c r="F31" s="8" t="s">
        <v>359</v>
      </c>
      <c r="G31" s="8" t="s">
        <v>360</v>
      </c>
      <c r="H31" s="8" t="s">
        <v>361</v>
      </c>
    </row>
    <row r="32" customFormat="false" ht="23.85" hidden="false" customHeight="false" outlineLevel="0" collapsed="false">
      <c r="A32" s="14" t="str">
        <f aca="false">INDEX($A$40:$A$45,MATCH(LARGE($D$40:$D$45,1),$D$40:$D$45,0))</f>
        <v>Units</v>
      </c>
      <c r="B32" s="30" t="n">
        <f aca="false">INDEX($B$40:$B$45,MATCH(LARGE($D$40:$D$45,1),$D$40:$D$45,0))</f>
        <v>-590712647.198714</v>
      </c>
      <c r="C32" s="30" t="n">
        <f aca="false">INDEX($C$40:$C$45,MATCH(LARGE($D$40:$D$45,1),$D$40:$D$45,0))</f>
        <v>382573228.157539</v>
      </c>
      <c r="D32" s="32" t="n">
        <f aca="false">IFERROR(ABS(C32-B32),"")</f>
        <v>973285875.356253</v>
      </c>
      <c r="E32" s="30" t="n">
        <f aca="false">IFERROR(B32-$N$16,"")</f>
        <v>-556163357.34643</v>
      </c>
      <c r="F32" s="30" t="n">
        <f aca="false">IFERROR(C32-$N$16,"")</f>
        <v>417122518.009823</v>
      </c>
      <c r="G32" s="14" t="str">
        <f aca="false">IF(B32="","",IF(MIN(B32,C32)&lt;0,IF(MAX(B32,C32)&gt;0,"Yes","Below zero"),"No"))</f>
        <v>Yes</v>
      </c>
      <c r="H32" s="14" t="n">
        <f aca="false">1</f>
        <v>1</v>
      </c>
    </row>
    <row r="33" customFormat="false" ht="23.85" hidden="false" customHeight="false" outlineLevel="0" collapsed="false">
      <c r="A33" s="14" t="str">
        <f aca="false">INDEX($A$40:$A$45,MATCH(LARGE($D$40:$D$45,2),$D$40:$D$45,0))</f>
        <v>Price per unit</v>
      </c>
      <c r="B33" s="30" t="n">
        <f aca="false">INDEX($B$40:$B$45,MATCH(LARGE($D$40:$D$45,2),$D$40:$D$45,0))</f>
        <v>-632246961.034704</v>
      </c>
      <c r="C33" s="30" t="n">
        <f aca="false">INDEX($C$40:$C$45,MATCH(LARGE($D$40:$D$45,2),$D$40:$D$45,0))</f>
        <v>264299545.738927</v>
      </c>
      <c r="D33" s="32" t="n">
        <f aca="false">IFERROR(ABS(C33-B33),"")</f>
        <v>896546506.773631</v>
      </c>
      <c r="E33" s="30" t="n">
        <f aca="false">IFERROR(B33-$N$16,"")</f>
        <v>-597697671.18242</v>
      </c>
      <c r="F33" s="30" t="n">
        <f aca="false">IFERROR(C33-$N$16,"")</f>
        <v>298848835.59121</v>
      </c>
      <c r="G33" s="14" t="str">
        <f aca="false">IF(B33="","",IF(MIN(B33,C33)&lt;0,IF(MAX(B33,C33)&gt;0,"Yes","Below zero"),"No"))</f>
        <v>Yes</v>
      </c>
      <c r="H33" s="14" t="n">
        <f aca="false">2</f>
        <v>2</v>
      </c>
    </row>
    <row r="34" customFormat="false" ht="23.85" hidden="false" customHeight="false" outlineLevel="0" collapsed="false">
      <c r="A34" s="14" t="str">
        <f aca="false">INDEX($A$40:$A$45,MATCH(LARGE($D$40:$D$45,3),$D$40:$D$45,0))</f>
        <v>Variable cost per unit</v>
      </c>
      <c r="B34" s="30" t="n">
        <f aca="false">INDEX($B$40:$B$45,MATCH(LARGE($D$40:$D$45,3),$D$40:$D$45,0))</f>
        <v>199970915.300122</v>
      </c>
      <c r="C34" s="30" t="n">
        <f aca="false">INDEX($C$40:$C$45,MATCH(LARGE($D$40:$D$45,3),$D$40:$D$45,0))</f>
        <v>-409781618.096132</v>
      </c>
      <c r="D34" s="32" t="n">
        <f aca="false">IFERROR(ABS(C34-B34),"")</f>
        <v>609752533.396254</v>
      </c>
      <c r="E34" s="30" t="n">
        <f aca="false">IFERROR(B34-$N$16,"")</f>
        <v>234520205.152405</v>
      </c>
      <c r="F34" s="30" t="n">
        <f aca="false">IFERROR(C34-$N$16,"")</f>
        <v>-375232328.243848</v>
      </c>
      <c r="G34" s="14" t="str">
        <f aca="false">IF(B34="","",IF(MIN(B34,C34)&lt;0,IF(MAX(B34,C34)&gt;0,"Yes","Below zero"),"No"))</f>
        <v>Yes</v>
      </c>
      <c r="H34" s="14" t="n">
        <f aca="false">3</f>
        <v>3</v>
      </c>
    </row>
    <row r="35" customFormat="false" ht="23.85" hidden="false" customHeight="false" outlineLevel="0" collapsed="false">
      <c r="A35" s="14" t="str">
        <f aca="false">INDEX($A$40:$A$45,MATCH(LARGE($D$40:$D$45,4),$D$40:$D$45,0))</f>
        <v>Capex</v>
      </c>
      <c r="B35" s="30" t="n">
        <f aca="false">INDEX($B$40:$B$45,MATCH(LARGE($D$40:$D$45,4),$D$40:$D$45,0))</f>
        <v>79266520.0464444</v>
      </c>
      <c r="C35" s="30" t="n">
        <f aca="false">INDEX($C$40:$C$45,MATCH(LARGE($D$40:$D$45,4),$D$40:$D$45,0))</f>
        <v>-489812529.447194</v>
      </c>
      <c r="D35" s="32" t="n">
        <f aca="false">IFERROR(ABS(C35-B35),"")</f>
        <v>569079049.493639</v>
      </c>
      <c r="E35" s="30" t="n">
        <f aca="false">IFERROR(B35-$N$16,"")</f>
        <v>113815809.898728</v>
      </c>
      <c r="F35" s="30" t="n">
        <f aca="false">IFERROR(C35-$N$16,"")</f>
        <v>-455263239.594911</v>
      </c>
      <c r="G35" s="14" t="str">
        <f aca="false">IF(B35="","",IF(MIN(B35,C35)&lt;0,IF(MAX(B35,C35)&gt;0,"Yes","Below zero"),"No"))</f>
        <v>Yes</v>
      </c>
      <c r="H35" s="14" t="n">
        <f aca="false">4</f>
        <v>4</v>
      </c>
    </row>
    <row r="36" customFormat="false" ht="23.85" hidden="false" customHeight="false" outlineLevel="0" collapsed="false">
      <c r="A36" s="14" t="str">
        <f aca="false">INDEX($A$40:$A$45,MATCH(LARGE($D$40:$D$45,5),$D$40:$D$45,0))</f>
        <v>Discount rate (absolute)</v>
      </c>
      <c r="B36" s="30" t="n">
        <f aca="false">INDEX($B$40:$B$45,MATCH(LARGE($D$40:$D$45,5),$D$40:$D$45,0))</f>
        <v>34408840.0272958</v>
      </c>
      <c r="C36" s="30" t="n">
        <f aca="false">INDEX($C$40:$C$45,MATCH(LARGE($D$40:$D$45,5),$D$40:$D$45,0))</f>
        <v>-163322295.50234</v>
      </c>
      <c r="D36" s="32" t="n">
        <f aca="false">IFERROR(ABS(C36-B36),"")</f>
        <v>197731135.529635</v>
      </c>
      <c r="E36" s="30" t="n">
        <f aca="false">IFERROR(B36-$N$16,"")</f>
        <v>68958129.8795793</v>
      </c>
      <c r="F36" s="30" t="n">
        <f aca="false">IFERROR(C36-$N$16,"")</f>
        <v>-128773005.650056</v>
      </c>
      <c r="G36" s="14" t="str">
        <f aca="false">IF(B36="","",IF(MIN(B36,C36)&lt;0,IF(MAX(B36,C36)&gt;0,"Yes","Below zero"),"No"))</f>
        <v>Yes</v>
      </c>
      <c r="H36" s="14" t="n">
        <f aca="false">5</f>
        <v>5</v>
      </c>
    </row>
    <row r="37" customFormat="false" ht="23.85" hidden="false" customHeight="false" outlineLevel="0" collapsed="false">
      <c r="A37" s="14" t="str">
        <f aca="false">INDEX($A$40:$A$45,MATCH(LARGE($D$40:$D$45,6),$D$40:$D$45,0))</f>
        <v>Fixed costs</v>
      </c>
      <c r="B37" s="30" t="n">
        <f aca="false">INDEX($B$40:$B$45,MATCH(LARGE($D$40:$D$45,6),$D$40:$D$45,0))</f>
        <v>-7596795.92178941</v>
      </c>
      <c r="C37" s="30" t="n">
        <f aca="false">INDEX($C$40:$C$45,MATCH(LARGE($D$40:$D$45,6),$D$40:$D$45,0))</f>
        <v>-88454277.7132716</v>
      </c>
      <c r="D37" s="32" t="n">
        <f aca="false">IFERROR(ABS(C37-B37),"")</f>
        <v>80857481.7914822</v>
      </c>
      <c r="E37" s="30" t="n">
        <f aca="false">IFERROR(B37-$N$16,"")</f>
        <v>26952493.9304941</v>
      </c>
      <c r="F37" s="30" t="n">
        <f aca="false">IFERROR(C37-$N$16,"")</f>
        <v>-53904987.8609881</v>
      </c>
      <c r="G37" s="14" t="str">
        <f aca="false">IF(B37="","",IF(MIN(B37,C37)&lt;0,IF(MAX(B37,C37)&gt;0,"Yes","Below zero"),"No"))</f>
        <v>Below zero</v>
      </c>
      <c r="H37" s="14" t="n">
        <f aca="false">6</f>
        <v>6</v>
      </c>
    </row>
    <row r="39" customFormat="false" ht="15" hidden="false" customHeight="false" outlineLevel="0" collapsed="false">
      <c r="A39" s="5" t="s">
        <v>362</v>
      </c>
    </row>
    <row r="40" customFormat="false" ht="23.85" hidden="false" customHeight="false" outlineLevel="0" collapsed="false">
      <c r="A40" s="5" t="s">
        <v>301</v>
      </c>
      <c r="B40" s="30" t="n">
        <f aca="false">N17</f>
        <v>-632246961.034704</v>
      </c>
      <c r="C40" s="30" t="n">
        <f aca="false">N18</f>
        <v>264299545.738927</v>
      </c>
      <c r="D40" s="33" t="n">
        <f aca="false">IFERROR(ABS(C40-B40)+ROW()/1000000000,0)</f>
        <v>896546506.773631</v>
      </c>
    </row>
    <row r="41" customFormat="false" ht="23.85" hidden="false" customHeight="false" outlineLevel="0" collapsed="false">
      <c r="A41" s="5" t="s">
        <v>300</v>
      </c>
      <c r="B41" s="30" t="n">
        <f aca="false">N19</f>
        <v>-590712647.198714</v>
      </c>
      <c r="C41" s="30" t="n">
        <f aca="false">N20</f>
        <v>382573228.157539</v>
      </c>
      <c r="D41" s="33" t="n">
        <f aca="false">IFERROR(ABS(C41-B41)+ROW()/1000000000,0)</f>
        <v>973285875.356253</v>
      </c>
    </row>
    <row r="42" customFormat="false" ht="23.85" hidden="false" customHeight="false" outlineLevel="0" collapsed="false">
      <c r="A42" s="5" t="s">
        <v>302</v>
      </c>
      <c r="B42" s="30" t="n">
        <f aca="false">N21</f>
        <v>199970915.300122</v>
      </c>
      <c r="C42" s="30" t="n">
        <f aca="false">N22</f>
        <v>-409781618.096132</v>
      </c>
      <c r="D42" s="33" t="n">
        <f aca="false">IFERROR(ABS(C42-B42)+ROW()/1000000000,0)</f>
        <v>609752533.396254</v>
      </c>
    </row>
    <row r="43" customFormat="false" ht="23.85" hidden="false" customHeight="false" outlineLevel="0" collapsed="false">
      <c r="A43" s="5" t="s">
        <v>303</v>
      </c>
      <c r="B43" s="30" t="n">
        <f aca="false">N23</f>
        <v>-7596795.92178941</v>
      </c>
      <c r="C43" s="30" t="n">
        <f aca="false">N24</f>
        <v>-88454277.7132716</v>
      </c>
      <c r="D43" s="33" t="n">
        <f aca="false">IFERROR(ABS(C43-B43)+ROW()/1000000000,0)</f>
        <v>80857481.7914823</v>
      </c>
    </row>
    <row r="44" customFormat="false" ht="23.85" hidden="false" customHeight="false" outlineLevel="0" collapsed="false">
      <c r="A44" s="5" t="s">
        <v>304</v>
      </c>
      <c r="B44" s="30" t="n">
        <f aca="false">N25</f>
        <v>79266520.0464444</v>
      </c>
      <c r="C44" s="30" t="n">
        <f aca="false">N26</f>
        <v>-489812529.447194</v>
      </c>
      <c r="D44" s="33" t="n">
        <f aca="false">IFERROR(ABS(C44-B44)+ROW()/1000000000,0)</f>
        <v>569079049.493639</v>
      </c>
    </row>
    <row r="45" customFormat="false" ht="23.85" hidden="false" customHeight="false" outlineLevel="0" collapsed="false">
      <c r="A45" s="5" t="s">
        <v>326</v>
      </c>
      <c r="B45" s="30" t="n">
        <f aca="false">N27</f>
        <v>34408840.0272958</v>
      </c>
      <c r="C45" s="30" t="n">
        <f aca="false">N28</f>
        <v>-163322295.50234</v>
      </c>
      <c r="D45" s="33" t="n">
        <f aca="false">IFERROR(ABS(C45-B45)+ROW()/1000000000,0)</f>
        <v>197731135.529636</v>
      </c>
    </row>
    <row r="48" customFormat="false" ht="15" hidden="false" customHeight="true" outlineLevel="0" collapsed="false">
      <c r="A48" s="34" t="s">
        <v>363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</row>
    <row r="49" customFormat="false" ht="23.85" hidden="false" customHeight="false" outlineLevel="0" collapsed="false">
      <c r="A49" s="5" t="s">
        <v>364</v>
      </c>
      <c r="B49" s="30" t="n">
        <f aca="false">IFERROR(AVERAGE($N$81:$N$1080),"")</f>
        <v>-380250525.054055</v>
      </c>
    </row>
    <row r="50" customFormat="false" ht="23.85" hidden="false" customHeight="false" outlineLevel="0" collapsed="false">
      <c r="A50" s="11" t="s">
        <v>365</v>
      </c>
      <c r="B50" s="31" t="n">
        <f aca="false">IFERROR(MEDIAN($N$81:$N$1080),"")</f>
        <v>-388180289.106498</v>
      </c>
    </row>
    <row r="51" customFormat="false" ht="23.85" hidden="false" customHeight="false" outlineLevel="0" collapsed="false">
      <c r="A51" s="5" t="s">
        <v>366</v>
      </c>
      <c r="B51" s="30" t="n">
        <f aca="false">IFERROR(PERCENTILE($N$81:$N$1080,0.1),"")</f>
        <v>-773438400.165498</v>
      </c>
    </row>
    <row r="52" customFormat="false" ht="15" hidden="false" customHeight="false" outlineLevel="0" collapsed="false">
      <c r="A52" s="5" t="s">
        <v>367</v>
      </c>
      <c r="B52" s="30" t="n">
        <f aca="false">IFERROR(PERCENTILE($N$81:$N$1080,0.9),"")</f>
        <v>23459282.227906</v>
      </c>
    </row>
    <row r="53" customFormat="false" ht="23.85" hidden="false" customHeight="false" outlineLevel="0" collapsed="false">
      <c r="A53" s="5" t="s">
        <v>368</v>
      </c>
      <c r="B53" s="30" t="n">
        <f aca="false">IFERROR(STDEV($N$81:$N$1080),"")</f>
        <v>305836023.596029</v>
      </c>
    </row>
    <row r="54" customFormat="false" ht="15" hidden="false" customHeight="false" outlineLevel="0" collapsed="false">
      <c r="A54" s="11" t="s">
        <v>369</v>
      </c>
      <c r="B54" s="24" t="n">
        <f aca="false">IFERROR(COUNTIF($N$81:$N$1080,"&lt;0")/COUNT($N$81:$N$1080),"")</f>
        <v>0.886</v>
      </c>
    </row>
    <row r="55" customFormat="false" ht="23.85" hidden="false" customHeight="false" outlineLevel="0" collapsed="false">
      <c r="A55" s="5" t="s">
        <v>370</v>
      </c>
      <c r="B55" s="30" t="n">
        <f aca="false">IFERROR(N16,"")</f>
        <v>-34549289.8522835</v>
      </c>
    </row>
    <row r="56" customFormat="false" ht="30" hidden="false" customHeight="true" outlineLevel="0" collapsed="false">
      <c r="A56" s="21" t="s">
        <v>371</v>
      </c>
      <c r="B56" s="21"/>
      <c r="C56" s="21"/>
      <c r="D56" s="21"/>
      <c r="E56" s="21"/>
      <c r="F56" s="21"/>
      <c r="G56" s="21"/>
      <c r="H56" s="21"/>
    </row>
    <row r="58" customFormat="false" ht="30" hidden="false" customHeight="true" outlineLevel="0" collapsed="false">
      <c r="A58" s="8" t="s">
        <v>372</v>
      </c>
      <c r="B58" s="8" t="s">
        <v>373</v>
      </c>
      <c r="C58" s="8" t="s">
        <v>374</v>
      </c>
    </row>
    <row r="59" customFormat="false" ht="15" hidden="false" customHeight="false" outlineLevel="0" collapsed="false">
      <c r="A59" s="35" t="n">
        <f aca="false">MIN($N$81:$N$1080)+(MAX($N$81:$N$1080)-MIN($N$81:$N$1080))*0/20</f>
        <v>-1293256635.61162</v>
      </c>
      <c r="B59" s="35" t="n">
        <f aca="false">MIN($N$81:$N$1080)+(MAX($N$81:$N$1080)-MIN($N$81:$N$1080))*1/20</f>
        <v>-1200906631.35198</v>
      </c>
      <c r="C59" s="10" t="n">
        <f aca="false">COUNTIFS($N$81:$N$1080,"&gt;="&amp;A59,$N$81:$N$1080,"&lt;"&amp;B59)</f>
        <v>4</v>
      </c>
    </row>
    <row r="60" customFormat="false" ht="15" hidden="false" customHeight="false" outlineLevel="0" collapsed="false">
      <c r="A60" s="35" t="n">
        <f aca="false">MIN($N$81:$N$1080)+(MAX($N$81:$N$1080)-MIN($N$81:$N$1080))*1/20</f>
        <v>-1200906631.35198</v>
      </c>
      <c r="B60" s="35" t="n">
        <f aca="false">MIN($N$81:$N$1080)+(MAX($N$81:$N$1080)-MIN($N$81:$N$1080))*2/20</f>
        <v>-1108556627.09234</v>
      </c>
      <c r="C60" s="10" t="n">
        <f aca="false">COUNTIFS($N$81:$N$1080,"&gt;="&amp;A60,$N$81:$N$1080,"&lt;"&amp;B60)</f>
        <v>3</v>
      </c>
    </row>
    <row r="61" customFormat="false" ht="15" hidden="false" customHeight="false" outlineLevel="0" collapsed="false">
      <c r="A61" s="35" t="n">
        <f aca="false">MIN($N$81:$N$1080)+(MAX($N$81:$N$1080)-MIN($N$81:$N$1080))*2/20</f>
        <v>-1108556627.09234</v>
      </c>
      <c r="B61" s="35" t="n">
        <f aca="false">MIN($N$81:$N$1080)+(MAX($N$81:$N$1080)-MIN($N$81:$N$1080))*3/20</f>
        <v>-1016206622.8327</v>
      </c>
      <c r="C61" s="10" t="n">
        <f aca="false">COUNTIFS($N$81:$N$1080,"&gt;="&amp;A61,$N$81:$N$1080,"&lt;"&amp;B61)</f>
        <v>10</v>
      </c>
    </row>
    <row r="62" customFormat="false" ht="15" hidden="false" customHeight="false" outlineLevel="0" collapsed="false">
      <c r="A62" s="35" t="n">
        <f aca="false">MIN($N$81:$N$1080)+(MAX($N$81:$N$1080)-MIN($N$81:$N$1080))*3/20</f>
        <v>-1016206622.8327</v>
      </c>
      <c r="B62" s="35" t="n">
        <f aca="false">MIN($N$81:$N$1080)+(MAX($N$81:$N$1080)-MIN($N$81:$N$1080))*4/20</f>
        <v>-923856618.573055</v>
      </c>
      <c r="C62" s="10" t="n">
        <f aca="false">COUNTIFS($N$81:$N$1080,"&gt;="&amp;A62,$N$81:$N$1080,"&lt;"&amp;B62)</f>
        <v>21</v>
      </c>
    </row>
    <row r="63" customFormat="false" ht="15" hidden="false" customHeight="false" outlineLevel="0" collapsed="false">
      <c r="A63" s="35" t="n">
        <f aca="false">MIN($N$81:$N$1080)+(MAX($N$81:$N$1080)-MIN($N$81:$N$1080))*4/20</f>
        <v>-923856618.573055</v>
      </c>
      <c r="B63" s="35" t="n">
        <f aca="false">MIN($N$81:$N$1080)+(MAX($N$81:$N$1080)-MIN($N$81:$N$1080))*5/20</f>
        <v>-831506614.313415</v>
      </c>
      <c r="C63" s="10" t="n">
        <f aca="false">COUNTIFS($N$81:$N$1080,"&gt;="&amp;A63,$N$81:$N$1080,"&lt;"&amp;B63)</f>
        <v>29</v>
      </c>
    </row>
    <row r="64" customFormat="false" ht="15" hidden="false" customHeight="false" outlineLevel="0" collapsed="false">
      <c r="A64" s="35" t="n">
        <f aca="false">MIN($N$81:$N$1080)+(MAX($N$81:$N$1080)-MIN($N$81:$N$1080))*5/20</f>
        <v>-831506614.313415</v>
      </c>
      <c r="B64" s="35" t="n">
        <f aca="false">MIN($N$81:$N$1080)+(MAX($N$81:$N$1080)-MIN($N$81:$N$1080))*6/20</f>
        <v>-739156610.053774</v>
      </c>
      <c r="C64" s="10" t="n">
        <f aca="false">COUNTIFS($N$81:$N$1080,"&gt;="&amp;A64,$N$81:$N$1080,"&lt;"&amp;B64)</f>
        <v>52</v>
      </c>
    </row>
    <row r="65" customFormat="false" ht="15" hidden="false" customHeight="false" outlineLevel="0" collapsed="false">
      <c r="A65" s="35" t="n">
        <f aca="false">MIN($N$81:$N$1080)+(MAX($N$81:$N$1080)-MIN($N$81:$N$1080))*6/20</f>
        <v>-739156610.053774</v>
      </c>
      <c r="B65" s="35" t="n">
        <f aca="false">MIN($N$81:$N$1080)+(MAX($N$81:$N$1080)-MIN($N$81:$N$1080))*7/20</f>
        <v>-646806605.794134</v>
      </c>
      <c r="C65" s="10" t="n">
        <f aca="false">COUNTIFS($N$81:$N$1080,"&gt;="&amp;A65,$N$81:$N$1080,"&lt;"&amp;B65)</f>
        <v>84</v>
      </c>
    </row>
    <row r="66" customFormat="false" ht="15" hidden="false" customHeight="false" outlineLevel="0" collapsed="false">
      <c r="A66" s="35" t="n">
        <f aca="false">MIN($N$81:$N$1080)+(MAX($N$81:$N$1080)-MIN($N$81:$N$1080))*7/20</f>
        <v>-646806605.794134</v>
      </c>
      <c r="B66" s="35" t="n">
        <f aca="false">MIN($N$81:$N$1080)+(MAX($N$81:$N$1080)-MIN($N$81:$N$1080))*8/20</f>
        <v>-554456601.534494</v>
      </c>
      <c r="C66" s="10" t="n">
        <f aca="false">COUNTIFS($N$81:$N$1080,"&gt;="&amp;A66,$N$81:$N$1080,"&lt;"&amp;B66)</f>
        <v>97</v>
      </c>
    </row>
    <row r="67" customFormat="false" ht="15" hidden="false" customHeight="false" outlineLevel="0" collapsed="false">
      <c r="A67" s="35" t="n">
        <f aca="false">MIN($N$81:$N$1080)+(MAX($N$81:$N$1080)-MIN($N$81:$N$1080))*8/20</f>
        <v>-554456601.534494</v>
      </c>
      <c r="B67" s="35" t="n">
        <f aca="false">MIN($N$81:$N$1080)+(MAX($N$81:$N$1080)-MIN($N$81:$N$1080))*9/20</f>
        <v>-462106597.274854</v>
      </c>
      <c r="C67" s="10" t="n">
        <f aca="false">COUNTIFS($N$81:$N$1080,"&gt;="&amp;A67,$N$81:$N$1080,"&lt;"&amp;B67)</f>
        <v>100</v>
      </c>
    </row>
    <row r="68" customFormat="false" ht="15" hidden="false" customHeight="false" outlineLevel="0" collapsed="false">
      <c r="A68" s="35" t="n">
        <f aca="false">MIN($N$81:$N$1080)+(MAX($N$81:$N$1080)-MIN($N$81:$N$1080))*9/20</f>
        <v>-462106597.274854</v>
      </c>
      <c r="B68" s="35" t="n">
        <f aca="false">MIN($N$81:$N$1080)+(MAX($N$81:$N$1080)-MIN($N$81:$N$1080))*10/20</f>
        <v>-369756593.015213</v>
      </c>
      <c r="C68" s="10" t="n">
        <f aca="false">COUNTIFS($N$81:$N$1080,"&gt;="&amp;A68,$N$81:$N$1080,"&lt;"&amp;B68)</f>
        <v>121</v>
      </c>
    </row>
    <row r="69" customFormat="false" ht="15" hidden="false" customHeight="false" outlineLevel="0" collapsed="false">
      <c r="A69" s="35" t="n">
        <f aca="false">MIN($N$81:$N$1080)+(MAX($N$81:$N$1080)-MIN($N$81:$N$1080))*10/20</f>
        <v>-369756593.015213</v>
      </c>
      <c r="B69" s="35" t="n">
        <f aca="false">MIN($N$81:$N$1080)+(MAX($N$81:$N$1080)-MIN($N$81:$N$1080))*11/20</f>
        <v>-277406588.755573</v>
      </c>
      <c r="C69" s="10" t="n">
        <f aca="false">COUNTIFS($N$81:$N$1080,"&gt;="&amp;A69,$N$81:$N$1080,"&lt;"&amp;B69)</f>
        <v>94</v>
      </c>
    </row>
    <row r="70" customFormat="false" ht="15" hidden="false" customHeight="false" outlineLevel="0" collapsed="false">
      <c r="A70" s="35" t="n">
        <f aca="false">MIN($N$81:$N$1080)+(MAX($N$81:$N$1080)-MIN($N$81:$N$1080))*11/20</f>
        <v>-277406588.755573</v>
      </c>
      <c r="B70" s="35" t="n">
        <f aca="false">MIN($N$81:$N$1080)+(MAX($N$81:$N$1080)-MIN($N$81:$N$1080))*12/20</f>
        <v>-185056584.495933</v>
      </c>
      <c r="C70" s="10" t="n">
        <f aca="false">COUNTIFS($N$81:$N$1080,"&gt;="&amp;A70,$N$81:$N$1080,"&lt;"&amp;B70)</f>
        <v>116</v>
      </c>
    </row>
    <row r="71" customFormat="false" ht="15" hidden="false" customHeight="false" outlineLevel="0" collapsed="false">
      <c r="A71" s="35" t="n">
        <f aca="false">MIN($N$81:$N$1080)+(MAX($N$81:$N$1080)-MIN($N$81:$N$1080))*12/20</f>
        <v>-185056584.495933</v>
      </c>
      <c r="B71" s="35" t="n">
        <f aca="false">MIN($N$81:$N$1080)+(MAX($N$81:$N$1080)-MIN($N$81:$N$1080))*13/20</f>
        <v>-92706580.2362928</v>
      </c>
      <c r="C71" s="10" t="n">
        <f aca="false">COUNTIFS($N$81:$N$1080,"&gt;="&amp;A71,$N$81:$N$1080,"&lt;"&amp;B71)</f>
        <v>90</v>
      </c>
    </row>
    <row r="72" customFormat="false" ht="15" hidden="false" customHeight="false" outlineLevel="0" collapsed="false">
      <c r="A72" s="35" t="n">
        <f aca="false">MIN($N$81:$N$1080)+(MAX($N$81:$N$1080)-MIN($N$81:$N$1080))*13/20</f>
        <v>-92706580.2362928</v>
      </c>
      <c r="B72" s="35" t="n">
        <f aca="false">MIN($N$81:$N$1080)+(MAX($N$81:$N$1080)-MIN($N$81:$N$1080))*14/20</f>
        <v>-356575.976652384</v>
      </c>
      <c r="C72" s="10" t="n">
        <f aca="false">COUNTIFS($N$81:$N$1080,"&gt;="&amp;A72,$N$81:$N$1080,"&lt;"&amp;B72)</f>
        <v>65</v>
      </c>
    </row>
    <row r="73" customFormat="false" ht="15" hidden="false" customHeight="false" outlineLevel="0" collapsed="false">
      <c r="A73" s="35" t="n">
        <f aca="false">MIN($N$81:$N$1080)+(MAX($N$81:$N$1080)-MIN($N$81:$N$1080))*14/20</f>
        <v>-356575.976652384</v>
      </c>
      <c r="B73" s="35" t="n">
        <f aca="false">MIN($N$81:$N$1080)+(MAX($N$81:$N$1080)-MIN($N$81:$N$1080))*15/20</f>
        <v>91993428.2829876</v>
      </c>
      <c r="C73" s="10" t="n">
        <f aca="false">COUNTIFS($N$81:$N$1080,"&gt;="&amp;A73,$N$81:$N$1080,"&lt;"&amp;B73)</f>
        <v>55</v>
      </c>
    </row>
    <row r="74" customFormat="false" ht="15" hidden="false" customHeight="false" outlineLevel="0" collapsed="false">
      <c r="A74" s="35" t="n">
        <f aca="false">MIN($N$81:$N$1080)+(MAX($N$81:$N$1080)-MIN($N$81:$N$1080))*15/20</f>
        <v>91993428.2829876</v>
      </c>
      <c r="B74" s="35" t="n">
        <f aca="false">MIN($N$81:$N$1080)+(MAX($N$81:$N$1080)-MIN($N$81:$N$1080))*16/20</f>
        <v>184343432.542628</v>
      </c>
      <c r="C74" s="10" t="n">
        <f aca="false">COUNTIFS($N$81:$N$1080,"&gt;="&amp;A74,$N$81:$N$1080,"&lt;"&amp;B74)</f>
        <v>23</v>
      </c>
    </row>
    <row r="75" customFormat="false" ht="15" hidden="false" customHeight="false" outlineLevel="0" collapsed="false">
      <c r="A75" s="35" t="n">
        <f aca="false">MIN($N$81:$N$1080)+(MAX($N$81:$N$1080)-MIN($N$81:$N$1080))*16/20</f>
        <v>184343432.542628</v>
      </c>
      <c r="B75" s="35" t="n">
        <f aca="false">MIN($N$81:$N$1080)+(MAX($N$81:$N$1080)-MIN($N$81:$N$1080))*17/20</f>
        <v>276693436.802268</v>
      </c>
      <c r="C75" s="10" t="n">
        <f aca="false">COUNTIFS($N$81:$N$1080,"&gt;="&amp;A75,$N$81:$N$1080,"&lt;"&amp;B75)</f>
        <v>25</v>
      </c>
    </row>
    <row r="76" customFormat="false" ht="15" hidden="false" customHeight="false" outlineLevel="0" collapsed="false">
      <c r="A76" s="35" t="n">
        <f aca="false">MIN($N$81:$N$1080)+(MAX($N$81:$N$1080)-MIN($N$81:$N$1080))*17/20</f>
        <v>276693436.802268</v>
      </c>
      <c r="B76" s="35" t="n">
        <f aca="false">MIN($N$81:$N$1080)+(MAX($N$81:$N$1080)-MIN($N$81:$N$1080))*18/20</f>
        <v>369043441.061909</v>
      </c>
      <c r="C76" s="10" t="n">
        <f aca="false">COUNTIFS($N$81:$N$1080,"&gt;="&amp;A76,$N$81:$N$1080,"&lt;"&amp;B76)</f>
        <v>6</v>
      </c>
    </row>
    <row r="77" customFormat="false" ht="15" hidden="false" customHeight="false" outlineLevel="0" collapsed="false">
      <c r="A77" s="35" t="n">
        <f aca="false">MIN($N$81:$N$1080)+(MAX($N$81:$N$1080)-MIN($N$81:$N$1080))*18/20</f>
        <v>369043441.061909</v>
      </c>
      <c r="B77" s="35" t="n">
        <f aca="false">MIN($N$81:$N$1080)+(MAX($N$81:$N$1080)-MIN($N$81:$N$1080))*19/20</f>
        <v>461393445.321548</v>
      </c>
      <c r="C77" s="10" t="n">
        <f aca="false">COUNTIFS($N$81:$N$1080,"&gt;="&amp;A77,$N$81:$N$1080,"&lt;"&amp;B77)</f>
        <v>3</v>
      </c>
    </row>
    <row r="78" customFormat="false" ht="15" hidden="false" customHeight="false" outlineLevel="0" collapsed="false">
      <c r="A78" s="35" t="n">
        <f aca="false">MIN($N$81:$N$1080)+(MAX($N$81:$N$1080)-MIN($N$81:$N$1080))*19/20</f>
        <v>461393445.321548</v>
      </c>
      <c r="B78" s="35" t="n">
        <f aca="false">MIN($N$81:$N$1080)+(MAX($N$81:$N$1080)-MIN($N$81:$N$1080))*20/20</f>
        <v>553743449.581189</v>
      </c>
      <c r="C78" s="10" t="n">
        <f aca="false">COUNTIFS($N$81:$N$1080,"&gt;="&amp;A78,$N$81:$N$1080,"&lt;="&amp;B78)</f>
        <v>2</v>
      </c>
    </row>
    <row r="80" customFormat="false" ht="23.85" hidden="false" customHeight="false" outlineLevel="0" collapsed="false">
      <c r="A80" s="8" t="s">
        <v>375</v>
      </c>
      <c r="B80" s="8" t="s">
        <v>329</v>
      </c>
      <c r="C80" s="8" t="s">
        <v>330</v>
      </c>
      <c r="D80" s="8" t="s">
        <v>331</v>
      </c>
      <c r="E80" s="8" t="s">
        <v>332</v>
      </c>
      <c r="F80" s="8" t="s">
        <v>333</v>
      </c>
      <c r="G80" s="8" t="s">
        <v>334</v>
      </c>
      <c r="H80" s="8" t="s">
        <v>335</v>
      </c>
      <c r="I80" s="8" t="s">
        <v>336</v>
      </c>
      <c r="J80" s="8" t="s">
        <v>337</v>
      </c>
      <c r="K80" s="8" t="s">
        <v>338</v>
      </c>
      <c r="L80" s="8" t="s">
        <v>339</v>
      </c>
      <c r="M80" s="8" t="s">
        <v>340</v>
      </c>
      <c r="N80" s="8" t="s">
        <v>313</v>
      </c>
      <c r="P80" s="8" t="s">
        <v>376</v>
      </c>
      <c r="Q80" s="8" t="s">
        <v>377</v>
      </c>
      <c r="R80" s="8" t="s">
        <v>378</v>
      </c>
      <c r="S80" s="8" t="s">
        <v>379</v>
      </c>
      <c r="T80" s="8" t="s">
        <v>380</v>
      </c>
      <c r="U80" s="8" t="s">
        <v>381</v>
      </c>
    </row>
    <row r="81" customFormat="false" ht="15" hidden="false" customHeight="false" outlineLevel="0" collapsed="false">
      <c r="A81" s="36" t="n">
        <v>1</v>
      </c>
      <c r="B81" s="37" t="n">
        <f aca="false">1+IF($G$6=$E$6,$F$6,IF(P81&lt;($F$6-$E$6)/($G$6-$E$6),$E$6+SQRT(P81*($G$6-$E$6)*($F$6-$E$6)),$G$6-SQRT((1-P81)*($G$6-$E$6)*($G$6-$F$6))))</f>
        <v>1.02365127169943</v>
      </c>
      <c r="C81" s="37" t="n">
        <f aca="false">1+IF($G$7=$E$7,$F$7,IF(Q81&lt;($F$7-$E$7)/($G$7-$E$7),$E$7+SQRT(Q81*($G$7-$E$7)*($F$7-$E$7)),$G$7-SQRT((1-Q81)*($G$7-$E$7)*($G$7-$F$7))))</f>
        <v>0.97273784256034</v>
      </c>
      <c r="D81" s="37" t="n">
        <f aca="false">1+IF($G$8=$E$8,$F$8,IF(R81&lt;($F$8-$E$8)/($G$8-$E$8),$E$8+SQRT(R81*($G$8-$E$8)*($F$8-$E$8)),$G$8-SQRT((1-R81)*($G$8-$E$8)*($G$8-$F$8))))</f>
        <v>1.01115310785002</v>
      </c>
      <c r="E81" s="37" t="n">
        <f aca="false">1+IF($G$9=$E$9,$F$9,IF(S81&lt;($F$9-$E$9)/($G$9-$E$9),$E$9+SQRT(S81*($G$9-$E$9)*($F$9-$E$9)),$G$9-SQRT((1-S81)*($G$9-$E$9)*($G$9-$F$9))))</f>
        <v>1.05326082867491</v>
      </c>
      <c r="F81" s="37" t="n">
        <f aca="false">1+IF($G$10=$E$10,$F$10,IF(T81&lt;($F$10-$E$10)/($G$10-$E$10),$E$10+SQRT(T81*($G$10-$E$10)*($F$10-$E$10)),$G$10-SQRT((1-T81)*($G$10-$E$10)*($G$10-$F$10))))</f>
        <v>0.966594291914223</v>
      </c>
      <c r="G81" s="38" t="n">
        <f aca="false">IF($G$11=$E$11,$F$11,IF(U81&lt;($F$11-$E$11)/($G$11-$E$11),$E$11+SQRT(U81*($G$11-$E$11)*($F$11-$E$11)),$G$11-SQRT((1-U81)*($G$11-$E$11)*($G$11-$F$11))))</f>
        <v>0.100358274455229</v>
      </c>
      <c r="H81" s="39" t="n">
        <f aca="false">(('Business Case'!B11*$C81*'Business Case'!B12*$B81)-'Business Case'!B11*$C81*'Business Case'!B13*$D81-'Business Case'!B14*$E81)-MAX(0,(('Business Case'!B11*$C81*'Business Case'!B12*$B81)-'Business Case'!B11*$C81*'Business Case'!B13*$D81-'Business Case'!B14*$E81))*'Business Case'!$B$7-'Business Case'!$B$8*('Business Case'!B11*$C81*'Business Case'!B12*$B81)-'Business Case'!B15*$F81</f>
        <v>-1933188583.82845</v>
      </c>
      <c r="I81" s="39" t="n">
        <f aca="false">(('Business Case'!C11*$C81*'Business Case'!C12*$B81)-'Business Case'!C11*$C81*'Business Case'!C13*$D81-'Business Case'!C14*$E81)-MAX(0,(('Business Case'!C11*$C81*'Business Case'!C12*$B81)-'Business Case'!C11*$C81*'Business Case'!C13*$D81-'Business Case'!C14*$E81))*'Business Case'!$B$7-'Business Case'!$B$8*(('Business Case'!C11*$C81*'Business Case'!C12*$B81)-('Business Case'!B11*$C81*'Business Case'!B12*$B81))-'Business Case'!C15*$F81</f>
        <v>14015992.3591618</v>
      </c>
      <c r="J81" s="39" t="n">
        <f aca="false">(('Business Case'!D11*$C81*'Business Case'!D12*$B81)-'Business Case'!D11*$C81*'Business Case'!D13*$D81-'Business Case'!D14*$E81)-MAX(0,(('Business Case'!D11*$C81*'Business Case'!D12*$B81)-'Business Case'!D11*$C81*'Business Case'!D13*$D81-'Business Case'!D14*$E81))*'Business Case'!$B$7-'Business Case'!$B$8*(('Business Case'!D11*$C81*'Business Case'!D12*$B81)-('Business Case'!C11*$C81*'Business Case'!C12*$B81))-'Business Case'!D15*$F81</f>
        <v>326084489.792074</v>
      </c>
      <c r="K81" s="39" t="n">
        <f aca="false">(('Business Case'!E11*$C81*'Business Case'!E12*$B81)-'Business Case'!E11*$C81*'Business Case'!E13*$D81-'Business Case'!E14*$E81)-MAX(0,(('Business Case'!E11*$C81*'Business Case'!E12*$B81)-'Business Case'!E11*$C81*'Business Case'!E13*$D81-'Business Case'!E14*$E81))*'Business Case'!$B$7-'Business Case'!$B$8*(('Business Case'!E11*$C81*'Business Case'!E12*$B81)-('Business Case'!D11*$C81*'Business Case'!D12*$B81))-'Business Case'!E15*$F81</f>
        <v>686482701.820696</v>
      </c>
      <c r="L81" s="39" t="n">
        <f aca="false">(('Business Case'!F11*$C81*'Business Case'!F12*$B81)-'Business Case'!F11*$C81*'Business Case'!F13*$D81-'Business Case'!F14*$E81)-MAX(0,(('Business Case'!F11*$C81*'Business Case'!F12*$B81)-'Business Case'!F11*$C81*'Business Case'!F13*$D81-'Business Case'!F14*$E81))*'Business Case'!$B$7-'Business Case'!$B$8*(('Business Case'!F11*$C81*'Business Case'!F12*$B81)-('Business Case'!E11*$C81*'Business Case'!E12*$B81))-'Business Case'!F15*$F81</f>
        <v>824918458.328172</v>
      </c>
      <c r="M81" s="39" t="n">
        <f aca="false">(('Business Case'!G11*$C81*'Business Case'!G12*$B81)-'Business Case'!G11*$C81*'Business Case'!G13*$D81-'Business Case'!G14*$E81)-MAX(0,(('Business Case'!G11*$C81*'Business Case'!G12*$B81)-'Business Case'!G11*$C81*'Business Case'!G13*$D81-'Business Case'!G14*$E81))*'Business Case'!$B$7-'Business Case'!$B$8*(('Business Case'!G11*$C81*'Business Case'!G12*$B81)-('Business Case'!F11*$C81*'Business Case'!F12*$B81))-'Business Case'!G15*$F81+'Business Case'!$B$8*('Business Case'!G11*$C81*'Business Case'!G12*$B81)</f>
        <v>1014189540.49228</v>
      </c>
      <c r="N81" s="39" t="n">
        <f aca="false">IF(COUNT('Business Case'!B11:G11)=0,"",H81+NPV(G81,I81:M81))</f>
        <v>55530251.2682576</v>
      </c>
      <c r="P81" s="40" t="n">
        <f aca="true">RAND()</f>
        <v>0.944316475615472</v>
      </c>
      <c r="Q81" s="40" t="n">
        <f aca="true">RAND()</f>
        <v>0.426262317891441</v>
      </c>
      <c r="R81" s="40" t="n">
        <f aca="true">RAND()</f>
        <v>0.544240907816296</v>
      </c>
      <c r="S81" s="40" t="n">
        <f aca="true">RAND()</f>
        <v>0.85436332425623</v>
      </c>
      <c r="T81" s="40" t="n">
        <f aca="true">RAND()</f>
        <v>0.022029641930755</v>
      </c>
      <c r="U81" s="40" t="n">
        <f aca="true">RAND()</f>
        <v>0.357004362706488</v>
      </c>
    </row>
    <row r="82" customFormat="false" ht="15" hidden="false" customHeight="false" outlineLevel="0" collapsed="false">
      <c r="A82" s="36" t="n">
        <v>2</v>
      </c>
      <c r="B82" s="37" t="n">
        <f aca="false">1+IF($G$6=$E$6,$F$6,IF(P82&lt;($F$6-$E$6)/($G$6-$E$6),$E$6+SQRT(P82*($G$6-$E$6)*($F$6-$E$6)),$G$6-SQRT((1-P82)*($G$6-$E$6)*($G$6-$F$6))))</f>
        <v>0.937942953855823</v>
      </c>
      <c r="C82" s="37" t="n">
        <f aca="false">1+IF($G$7=$E$7,$F$7,IF(Q82&lt;($F$7-$E$7)/($G$7-$E$7),$E$7+SQRT(Q82*($G$7-$E$7)*($F$7-$E$7)),$G$7-SQRT((1-Q82)*($G$7-$E$7)*($G$7-$F$7))))</f>
        <v>0.957866141283184</v>
      </c>
      <c r="D82" s="37" t="n">
        <f aca="false">1+IF($G$8=$E$8,$F$8,IF(R82&lt;($F$8-$E$8)/($G$8-$E$8),$E$8+SQRT(R82*($G$8-$E$8)*($F$8-$E$8)),$G$8-SQRT((1-R82)*($G$8-$E$8)*($G$8-$F$8))))</f>
        <v>1.00875222320602</v>
      </c>
      <c r="E82" s="37" t="n">
        <f aca="false">1+IF($G$9=$E$9,$F$9,IF(S82&lt;($F$9-$E$9)/($G$9-$E$9),$E$9+SQRT(S82*($G$9-$E$9)*($F$9-$E$9)),$G$9-SQRT((1-S82)*($G$9-$E$9)*($G$9-$F$9))))</f>
        <v>0.988760859242376</v>
      </c>
      <c r="F82" s="37" t="n">
        <f aca="false">1+IF($G$10=$E$10,$F$10,IF(T82&lt;($F$10-$E$10)/($G$10-$E$10),$E$10+SQRT(T82*($G$10-$E$10)*($F$10-$E$10)),$G$10-SQRT((1-T82)*($G$10-$E$10)*($G$10-$F$10))))</f>
        <v>1.06939727980045</v>
      </c>
      <c r="G82" s="38" t="n">
        <f aca="false">IF($G$11=$E$11,$F$11,IF(U82&lt;($F$11-$E$11)/($G$11-$E$11),$E$11+SQRT(U82*($G$11-$E$11)*($F$11-$E$11)),$G$11-SQRT((1-U82)*($G$11-$E$11)*($G$11-$F$11))))</f>
        <v>0.0983272128065602</v>
      </c>
      <c r="H82" s="39" t="n">
        <f aca="false">(('Business Case'!B11*$C82*'Business Case'!B12*$B82)-'Business Case'!B11*$C82*'Business Case'!B13*$D82-'Business Case'!B14*$E82)-MAX(0,(('Business Case'!B11*$C82*'Business Case'!B12*$B82)-'Business Case'!B11*$C82*'Business Case'!B13*$D82-'Business Case'!B14*$E82))*'Business Case'!$B$7-'Business Case'!$B$8*('Business Case'!B11*$C82*'Business Case'!B12*$B82)-'Business Case'!B15*$F82</f>
        <v>-2138794559.60089</v>
      </c>
      <c r="I82" s="39" t="n">
        <f aca="false">(('Business Case'!C11*$C82*'Business Case'!C12*$B82)-'Business Case'!C11*$C82*'Business Case'!C13*$D82-'Business Case'!C14*$E82)-MAX(0,(('Business Case'!C11*$C82*'Business Case'!C12*$B82)-'Business Case'!C11*$C82*'Business Case'!C13*$D82-'Business Case'!C14*$E82))*'Business Case'!$B$7-'Business Case'!$B$8*(('Business Case'!C11*$C82*'Business Case'!C12*$B82)-('Business Case'!B11*$C82*'Business Case'!B12*$B82))-'Business Case'!C15*$F82</f>
        <v>-52884529.8160171</v>
      </c>
      <c r="J82" s="39" t="n">
        <f aca="false">(('Business Case'!D11*$C82*'Business Case'!D12*$B82)-'Business Case'!D11*$C82*'Business Case'!D13*$D82-'Business Case'!D14*$E82)-MAX(0,(('Business Case'!D11*$C82*'Business Case'!D12*$B82)-'Business Case'!D11*$C82*'Business Case'!D13*$D82-'Business Case'!D14*$E82))*'Business Case'!$B$7-'Business Case'!$B$8*(('Business Case'!D11*$C82*'Business Case'!D12*$B82)-('Business Case'!C11*$C82*'Business Case'!C12*$B82))-'Business Case'!D15*$F82</f>
        <v>188346752.218193</v>
      </c>
      <c r="K82" s="39" t="n">
        <f aca="false">(('Business Case'!E11*$C82*'Business Case'!E12*$B82)-'Business Case'!E11*$C82*'Business Case'!E13*$D82-'Business Case'!E14*$E82)-MAX(0,(('Business Case'!E11*$C82*'Business Case'!E12*$B82)-'Business Case'!E11*$C82*'Business Case'!E13*$D82-'Business Case'!E14*$E82))*'Business Case'!$B$7-'Business Case'!$B$8*(('Business Case'!E11*$C82*'Business Case'!E12*$B82)-('Business Case'!D11*$C82*'Business Case'!D12*$B82))-'Business Case'!E15*$F82</f>
        <v>483047898.242425</v>
      </c>
      <c r="L82" s="39" t="n">
        <f aca="false">(('Business Case'!F11*$C82*'Business Case'!F12*$B82)-'Business Case'!F11*$C82*'Business Case'!F13*$D82-'Business Case'!F14*$E82)-MAX(0,(('Business Case'!F11*$C82*'Business Case'!F12*$B82)-'Business Case'!F11*$C82*'Business Case'!F13*$D82-'Business Case'!F14*$E82))*'Business Case'!$B$7-'Business Case'!$B$8*(('Business Case'!F11*$C82*'Business Case'!F12*$B82)-('Business Case'!E11*$C82*'Business Case'!E12*$B82))-'Business Case'!F15*$F82</f>
        <v>594507852.044438</v>
      </c>
      <c r="M82" s="39" t="n">
        <f aca="false">(('Business Case'!G11*$C82*'Business Case'!G12*$B82)-'Business Case'!G11*$C82*'Business Case'!G13*$D82-'Business Case'!G14*$E82)-MAX(0,(('Business Case'!G11*$C82*'Business Case'!G12*$B82)-'Business Case'!G11*$C82*'Business Case'!G13*$D82-'Business Case'!G14*$E82))*'Business Case'!$B$7-'Business Case'!$B$8*(('Business Case'!G11*$C82*'Business Case'!G12*$B82)-('Business Case'!F11*$C82*'Business Case'!F12*$B82))-'Business Case'!G15*$F82+'Business Case'!$B$8*('Business Case'!G11*$C82*'Business Case'!G12*$B82)</f>
        <v>765280247.559464</v>
      </c>
      <c r="N82" s="39" t="n">
        <f aca="false">IF(COUNT('Business Case'!B11:G11)=0,"",H82+NPV(G82,I82:M82))</f>
        <v>-778885170.362375</v>
      </c>
      <c r="P82" s="40" t="n">
        <f aca="true">RAND()</f>
        <v>0.0335364159450184</v>
      </c>
      <c r="Q82" s="40" t="n">
        <f aca="true">RAND()</f>
        <v>0.356024550909176</v>
      </c>
      <c r="R82" s="40" t="n">
        <f aca="true">RAND()</f>
        <v>0.511899452107203</v>
      </c>
      <c r="S82" s="40" t="n">
        <f aca="true">RAND()</f>
        <v>0.200320561227638</v>
      </c>
      <c r="T82" s="40" t="n">
        <f aca="true">RAND()</f>
        <v>0.658858589529545</v>
      </c>
      <c r="U82" s="40" t="n">
        <f aca="true">RAND()</f>
        <v>0.2311415770858</v>
      </c>
    </row>
    <row r="83" customFormat="false" ht="15" hidden="false" customHeight="false" outlineLevel="0" collapsed="false">
      <c r="A83" s="36" t="n">
        <v>3</v>
      </c>
      <c r="B83" s="37" t="n">
        <f aca="false">1+IF($G$6=$E$6,$F$6,IF(P83&lt;($F$6-$E$6)/($G$6-$E$6),$E$6+SQRT(P83*($G$6-$E$6)*($F$6-$E$6)),$G$6-SQRT((1-P83)*($G$6-$E$6)*($G$6-$F$6))))</f>
        <v>0.997962001337872</v>
      </c>
      <c r="C83" s="37" t="n">
        <f aca="false">1+IF($G$7=$E$7,$F$7,IF(Q83&lt;($F$7-$E$7)/($G$7-$E$7),$E$7+SQRT(Q83*($G$7-$E$7)*($F$7-$E$7)),$G$7-SQRT((1-Q83)*($G$7-$E$7)*($G$7-$F$7))))</f>
        <v>0.998327403344795</v>
      </c>
      <c r="D83" s="37" t="n">
        <f aca="false">1+IF($G$8=$E$8,$F$8,IF(R83&lt;($F$8-$E$8)/($G$8-$E$8),$E$8+SQRT(R83*($G$8-$E$8)*($F$8-$E$8)),$G$8-SQRT((1-R83)*($G$8-$E$8)*($G$8-$F$8))))</f>
        <v>1.01903125604181</v>
      </c>
      <c r="E83" s="37" t="n">
        <f aca="false">1+IF($G$9=$E$9,$F$9,IF(S83&lt;($F$9-$E$9)/($G$9-$E$9),$E$9+SQRT(S83*($G$9-$E$9)*($F$9-$E$9)),$G$9-SQRT((1-S83)*($G$9-$E$9)*($G$9-$F$9))))</f>
        <v>1.06045623593193</v>
      </c>
      <c r="F83" s="37" t="n">
        <f aca="false">1+IF($G$10=$E$10,$F$10,IF(T83&lt;($F$10-$E$10)/($G$10-$E$10),$E$10+SQRT(T83*($G$10-$E$10)*($F$10-$E$10)),$G$10-SQRT((1-T83)*($G$10-$E$10)*($G$10-$F$10))))</f>
        <v>0.974640826167052</v>
      </c>
      <c r="G83" s="38" t="n">
        <f aca="false">IF($G$11=$E$11,$F$11,IF(U83&lt;($F$11-$E$11)/($G$11-$E$11),$E$11+SQRT(U83*($G$11-$E$11)*($F$11-$E$11)),$G$11-SQRT((1-U83)*($G$11-$E$11)*($G$11-$F$11))))</f>
        <v>0.105004352024901</v>
      </c>
      <c r="H83" s="39" t="n">
        <f aca="false">(('Business Case'!B11*$C83*'Business Case'!B12*$B83)-'Business Case'!B11*$C83*'Business Case'!B13*$D83-'Business Case'!B14*$E83)-MAX(0,(('Business Case'!B11*$C83*'Business Case'!B12*$B83)-'Business Case'!B11*$C83*'Business Case'!B13*$D83-'Business Case'!B14*$E83))*'Business Case'!$B$7-'Business Case'!$B$8*('Business Case'!B11*$C83*'Business Case'!B12*$B83)-'Business Case'!B15*$F83</f>
        <v>-1949281652.3341</v>
      </c>
      <c r="I83" s="39" t="n">
        <f aca="false">(('Business Case'!C11*$C83*'Business Case'!C12*$B83)-'Business Case'!C11*$C83*'Business Case'!C13*$D83-'Business Case'!C14*$E83)-MAX(0,(('Business Case'!C11*$C83*'Business Case'!C12*$B83)-'Business Case'!C11*$C83*'Business Case'!C13*$D83-'Business Case'!C14*$E83))*'Business Case'!$B$7-'Business Case'!$B$8*(('Business Case'!C11*$C83*'Business Case'!C12*$B83)-('Business Case'!B11*$C83*'Business Case'!B12*$B83))-'Business Case'!C15*$F83</f>
        <v>-4663181.2035884</v>
      </c>
      <c r="J83" s="39" t="n">
        <f aca="false">(('Business Case'!D11*$C83*'Business Case'!D12*$B83)-'Business Case'!D11*$C83*'Business Case'!D13*$D83-'Business Case'!D14*$E83)-MAX(0,(('Business Case'!D11*$C83*'Business Case'!D12*$B83)-'Business Case'!D11*$C83*'Business Case'!D13*$D83-'Business Case'!D14*$E83))*'Business Case'!$B$7-'Business Case'!$B$8*(('Business Case'!D11*$C83*'Business Case'!D12*$B83)-('Business Case'!C11*$C83*'Business Case'!C12*$B83))-'Business Case'!D15*$F83</f>
        <v>290582416.407385</v>
      </c>
      <c r="K83" s="39" t="n">
        <f aca="false">(('Business Case'!E11*$C83*'Business Case'!E12*$B83)-'Business Case'!E11*$C83*'Business Case'!E13*$D83-'Business Case'!E14*$E83)-MAX(0,(('Business Case'!E11*$C83*'Business Case'!E12*$B83)-'Business Case'!E11*$C83*'Business Case'!E13*$D83-'Business Case'!E14*$E83))*'Business Case'!$B$7-'Business Case'!$B$8*(('Business Case'!E11*$C83*'Business Case'!E12*$B83)-('Business Case'!D11*$C83*'Business Case'!D12*$B83))-'Business Case'!E15*$F83</f>
        <v>634560055.326712</v>
      </c>
      <c r="L83" s="39" t="n">
        <f aca="false">(('Business Case'!F11*$C83*'Business Case'!F12*$B83)-'Business Case'!F11*$C83*'Business Case'!F13*$D83-'Business Case'!F14*$E83)-MAX(0,(('Business Case'!F11*$C83*'Business Case'!F12*$B83)-'Business Case'!F11*$C83*'Business Case'!F13*$D83-'Business Case'!F14*$E83))*'Business Case'!$B$7-'Business Case'!$B$8*(('Business Case'!F11*$C83*'Business Case'!F12*$B83)-('Business Case'!E11*$C83*'Business Case'!E12*$B83))-'Business Case'!F15*$F83</f>
        <v>767407134.162594</v>
      </c>
      <c r="M83" s="39" t="n">
        <f aca="false">(('Business Case'!G11*$C83*'Business Case'!G12*$B83)-'Business Case'!G11*$C83*'Business Case'!G13*$D83-'Business Case'!G14*$E83)-MAX(0,(('Business Case'!G11*$C83*'Business Case'!G12*$B83)-'Business Case'!G11*$C83*'Business Case'!G13*$D83-'Business Case'!G14*$E83))*'Business Case'!$B$7-'Business Case'!$B$8*(('Business Case'!G11*$C83*'Business Case'!G12*$B83)-('Business Case'!F11*$C83*'Business Case'!F12*$B83))-'Business Case'!G15*$F83+'Business Case'!$B$8*('Business Case'!G11*$C83*'Business Case'!G12*$B83)</f>
        <v>956782472.139827</v>
      </c>
      <c r="N83" s="39" t="n">
        <f aca="false">IF(COUNT('Business Case'!B11:G11)=0,"",H83+NPV(G83,I83:M83))</f>
        <v>-149740918.997593</v>
      </c>
      <c r="P83" s="40" t="n">
        <f aca="true">RAND()</f>
        <v>0.633132672146489</v>
      </c>
      <c r="Q83" s="40" t="n">
        <f aca="true">RAND()</f>
        <v>0.561910841678413</v>
      </c>
      <c r="R83" s="40" t="n">
        <f aca="true">RAND()</f>
        <v>0.642578101938549</v>
      </c>
      <c r="S83" s="40" t="n">
        <f aca="true">RAND()</f>
        <v>0.895752714888604</v>
      </c>
      <c r="T83" s="40" t="n">
        <f aca="true">RAND()</f>
        <v>0.048573625135588</v>
      </c>
      <c r="U83" s="40" t="n">
        <f aca="true">RAND()</f>
        <v>0.62521756967817</v>
      </c>
    </row>
    <row r="84" customFormat="false" ht="15" hidden="false" customHeight="false" outlineLevel="0" collapsed="false">
      <c r="A84" s="36" t="n">
        <v>4</v>
      </c>
      <c r="B84" s="37" t="n">
        <f aca="false">1+IF($G$6=$E$6,$F$6,IF(P84&lt;($F$6-$E$6)/($G$6-$E$6),$E$6+SQRT(P84*($G$6-$E$6)*($F$6-$E$6)),$G$6-SQRT((1-P84)*($G$6-$E$6)*($G$6-$F$6))))</f>
        <v>0.998777940634952</v>
      </c>
      <c r="C84" s="37" t="n">
        <f aca="false">1+IF($G$7=$E$7,$F$7,IF(Q84&lt;($F$7-$E$7)/($G$7-$E$7),$E$7+SQRT(Q84*($G$7-$E$7)*($F$7-$E$7)),$G$7-SQRT((1-Q84)*($G$7-$E$7)*($G$7-$F$7))))</f>
        <v>0.925710392829548</v>
      </c>
      <c r="D84" s="37" t="n">
        <f aca="false">1+IF($G$8=$E$8,$F$8,IF(R84&lt;($F$8-$E$8)/($G$8-$E$8),$E$8+SQRT(R84*($G$8-$E$8)*($F$8-$E$8)),$G$8-SQRT((1-R84)*($G$8-$E$8)*($G$8-$F$8))))</f>
        <v>1.05589382691698</v>
      </c>
      <c r="E84" s="37" t="n">
        <f aca="false">1+IF($G$9=$E$9,$F$9,IF(S84&lt;($F$9-$E$9)/($G$9-$E$9),$E$9+SQRT(S84*($G$9-$E$9)*($F$9-$E$9)),$G$9-SQRT((1-S84)*($G$9-$E$9)*($G$9-$F$9))))</f>
        <v>0.974766832761231</v>
      </c>
      <c r="F84" s="37" t="n">
        <f aca="false">1+IF($G$10=$E$10,$F$10,IF(T84&lt;($F$10-$E$10)/($G$10-$E$10),$E$10+SQRT(T84*($G$10-$E$10)*($F$10-$E$10)),$G$10-SQRT((1-T84)*($G$10-$E$10)*($G$10-$F$10))))</f>
        <v>1.003717447765</v>
      </c>
      <c r="G84" s="38" t="n">
        <f aca="false">IF($G$11=$E$11,$F$11,IF(U84&lt;($F$11-$E$11)/($G$11-$E$11),$E$11+SQRT(U84*($G$11-$E$11)*($F$11-$E$11)),$G$11-SQRT((1-U84)*($G$11-$E$11)*($G$11-$F$11))))</f>
        <v>0.099136925898869</v>
      </c>
      <c r="H84" s="39" t="n">
        <f aca="false">(('Business Case'!B11*$C84*'Business Case'!B12*$B84)-'Business Case'!B11*$C84*'Business Case'!B13*$D84-'Business Case'!B14*$E84)-MAX(0,(('Business Case'!B11*$C84*'Business Case'!B12*$B84)-'Business Case'!B11*$C84*'Business Case'!B13*$D84-'Business Case'!B14*$E84))*'Business Case'!$B$7-'Business Case'!$B$8*('Business Case'!B11*$C84*'Business Case'!B12*$B84)-'Business Case'!B15*$F84</f>
        <v>-2007434895.53</v>
      </c>
      <c r="I84" s="39" t="n">
        <f aca="false">(('Business Case'!C11*$C84*'Business Case'!C12*$B84)-'Business Case'!C11*$C84*'Business Case'!C13*$D84-'Business Case'!C14*$E84)-MAX(0,(('Business Case'!C11*$C84*'Business Case'!C12*$B84)-'Business Case'!C11*$C84*'Business Case'!C13*$D84-'Business Case'!C14*$E84))*'Business Case'!$B$7-'Business Case'!$B$8*(('Business Case'!C11*$C84*'Business Case'!C12*$B84)-('Business Case'!B11*$C84*'Business Case'!B12*$B84))-'Business Case'!C15*$F84</f>
        <v>-29994072.343472</v>
      </c>
      <c r="J84" s="39" t="n">
        <f aca="false">(('Business Case'!D11*$C84*'Business Case'!D12*$B84)-'Business Case'!D11*$C84*'Business Case'!D13*$D84-'Business Case'!D14*$E84)-MAX(0,(('Business Case'!D11*$C84*'Business Case'!D12*$B84)-'Business Case'!D11*$C84*'Business Case'!D13*$D84-'Business Case'!D14*$E84))*'Business Case'!$B$7-'Business Case'!$B$8*(('Business Case'!D11*$C84*'Business Case'!D12*$B84)-('Business Case'!C11*$C84*'Business Case'!C12*$B84))-'Business Case'!D15*$F84</f>
        <v>226925625.277322</v>
      </c>
      <c r="K84" s="39" t="n">
        <f aca="false">(('Business Case'!E11*$C84*'Business Case'!E12*$B84)-'Business Case'!E11*$C84*'Business Case'!E13*$D84-'Business Case'!E14*$E84)-MAX(0,(('Business Case'!E11*$C84*'Business Case'!E12*$B84)-'Business Case'!E11*$C84*'Business Case'!E13*$D84-'Business Case'!E14*$E84))*'Business Case'!$B$7-'Business Case'!$B$8*(('Business Case'!E11*$C84*'Business Case'!E12*$B84)-('Business Case'!D11*$C84*'Business Case'!D12*$B84))-'Business Case'!E15*$F84</f>
        <v>534031195.286366</v>
      </c>
      <c r="L84" s="39" t="n">
        <f aca="false">(('Business Case'!F11*$C84*'Business Case'!F12*$B84)-'Business Case'!F11*$C84*'Business Case'!F13*$D84-'Business Case'!F14*$E84)-MAX(0,(('Business Case'!F11*$C84*'Business Case'!F12*$B84)-'Business Case'!F11*$C84*'Business Case'!F13*$D84-'Business Case'!F14*$E84))*'Business Case'!$B$7-'Business Case'!$B$8*(('Business Case'!F11*$C84*'Business Case'!F12*$B84)-('Business Case'!E11*$C84*'Business Case'!E12*$B84))-'Business Case'!F15*$F84</f>
        <v>651624548.87271</v>
      </c>
      <c r="M84" s="39" t="n">
        <f aca="false">(('Business Case'!G11*$C84*'Business Case'!G12*$B84)-'Business Case'!G11*$C84*'Business Case'!G13*$D84-'Business Case'!G14*$E84)-MAX(0,(('Business Case'!G11*$C84*'Business Case'!G12*$B84)-'Business Case'!G11*$C84*'Business Case'!G13*$D84-'Business Case'!G14*$E84))*'Business Case'!$B$7-'Business Case'!$B$8*(('Business Case'!G11*$C84*'Business Case'!G12*$B84)-('Business Case'!F11*$C84*'Business Case'!F12*$B84))-'Business Case'!G15*$F84+'Business Case'!$B$8*('Business Case'!G11*$C84*'Business Case'!G12*$B84)</f>
        <v>827368547.959479</v>
      </c>
      <c r="N84" s="39" t="n">
        <f aca="false">IF(COUNT('Business Case'!B11:G11)=0,"",H84+NPV(G84,I84:M84))</f>
        <v>-482496889.585172</v>
      </c>
      <c r="P84" s="40" t="n">
        <f aca="true">RAND()</f>
        <v>0.646454576112923</v>
      </c>
      <c r="Q84" s="40" t="n">
        <f aca="true">RAND()</f>
        <v>0.225758612362276</v>
      </c>
      <c r="R84" s="40" t="n">
        <f aca="true">RAND()</f>
        <v>0.94412427108574</v>
      </c>
      <c r="S84" s="40" t="n">
        <f aca="true">RAND()</f>
        <v>0.0817861340030359</v>
      </c>
      <c r="T84" s="40" t="n">
        <f aca="true">RAND()</f>
        <v>0.229463193762302</v>
      </c>
      <c r="U84" s="40" t="n">
        <f aca="true">RAND()</f>
        <v>0.278278049604741</v>
      </c>
    </row>
    <row r="85" customFormat="false" ht="15" hidden="false" customHeight="false" outlineLevel="0" collapsed="false">
      <c r="A85" s="36" t="n">
        <v>5</v>
      </c>
      <c r="B85" s="37" t="n">
        <f aca="false">1+IF($G$6=$E$6,$F$6,IF(P85&lt;($F$6-$E$6)/($G$6-$E$6),$E$6+SQRT(P85*($G$6-$E$6)*($F$6-$E$6)),$G$6-SQRT((1-P85)*($G$6-$E$6)*($G$6-$F$6))))</f>
        <v>0.986715556905819</v>
      </c>
      <c r="C85" s="37" t="n">
        <f aca="false">1+IF($G$7=$E$7,$F$7,IF(Q85&lt;($F$7-$E$7)/($G$7-$E$7),$E$7+SQRT(Q85*($G$7-$E$7)*($F$7-$E$7)),$G$7-SQRT((1-Q85)*($G$7-$E$7)*($G$7-$F$7))))</f>
        <v>1.10580901433321</v>
      </c>
      <c r="D85" s="37" t="n">
        <f aca="false">1+IF($G$8=$E$8,$F$8,IF(R85&lt;($F$8-$E$8)/($G$8-$E$8),$E$8+SQRT(R85*($G$8-$E$8)*($F$8-$E$8)),$G$8-SQRT((1-R85)*($G$8-$E$8)*($G$8-$F$8))))</f>
        <v>1.02139143918386</v>
      </c>
      <c r="E85" s="37" t="n">
        <f aca="false">1+IF($G$9=$E$9,$F$9,IF(S85&lt;($F$9-$E$9)/($G$9-$E$9),$E$9+SQRT(S85*($G$9-$E$9)*($F$9-$E$9)),$G$9-SQRT((1-S85)*($G$9-$E$9)*($G$9-$F$9))))</f>
        <v>1.01336515138199</v>
      </c>
      <c r="F85" s="37" t="n">
        <f aca="false">1+IF($G$10=$E$10,$F$10,IF(T85&lt;($F$10-$E$10)/($G$10-$E$10),$E$10+SQRT(T85*($G$10-$E$10)*($F$10-$E$10)),$G$10-SQRT((1-T85)*($G$10-$E$10)*($G$10-$F$10))))</f>
        <v>1.08470996423751</v>
      </c>
      <c r="G85" s="38" t="n">
        <f aca="false">IF($G$11=$E$11,$F$11,IF(U85&lt;($F$11-$E$11)/($G$11-$E$11),$E$11+SQRT(U85*($G$11-$E$11)*($F$11-$E$11)),$G$11-SQRT((1-U85)*($G$11-$E$11)*($G$11-$F$11))))</f>
        <v>0.109868849719164</v>
      </c>
      <c r="H85" s="39" t="n">
        <f aca="false">(('Business Case'!B11*$C85*'Business Case'!B12*$B85)-'Business Case'!B11*$C85*'Business Case'!B13*$D85-'Business Case'!B14*$E85)-MAX(0,(('Business Case'!B11*$C85*'Business Case'!B12*$B85)-'Business Case'!B11*$C85*'Business Case'!B13*$D85-'Business Case'!B14*$E85))*'Business Case'!$B$7-'Business Case'!$B$8*('Business Case'!B11*$C85*'Business Case'!B12*$B85)-'Business Case'!B15*$F85</f>
        <v>-2169419928.47502</v>
      </c>
      <c r="I85" s="39" t="n">
        <f aca="false">(('Business Case'!C11*$C85*'Business Case'!C12*$B85)-'Business Case'!C11*$C85*'Business Case'!C13*$D85-'Business Case'!C14*$E85)-MAX(0,(('Business Case'!C11*$C85*'Business Case'!C12*$B85)-'Business Case'!C11*$C85*'Business Case'!C13*$D85-'Business Case'!C14*$E85))*'Business Case'!$B$7-'Business Case'!$B$8*(('Business Case'!C11*$C85*'Business Case'!C12*$B85)-('Business Case'!B11*$C85*'Business Case'!B12*$B85))-'Business Case'!C15*$F85</f>
        <v>6374719.45611583</v>
      </c>
      <c r="J85" s="39" t="n">
        <f aca="false">(('Business Case'!D11*$C85*'Business Case'!D12*$B85)-'Business Case'!D11*$C85*'Business Case'!D13*$D85-'Business Case'!D14*$E85)-MAX(0,(('Business Case'!D11*$C85*'Business Case'!D12*$B85)-'Business Case'!D11*$C85*'Business Case'!D13*$D85-'Business Case'!D14*$E85))*'Business Case'!$B$7-'Business Case'!$B$8*(('Business Case'!D11*$C85*'Business Case'!D12*$B85)-('Business Case'!C11*$C85*'Business Case'!C12*$B85))-'Business Case'!D15*$F85</f>
        <v>321884566.614598</v>
      </c>
      <c r="K85" s="39" t="n">
        <f aca="false">(('Business Case'!E11*$C85*'Business Case'!E12*$B85)-'Business Case'!E11*$C85*'Business Case'!E13*$D85-'Business Case'!E14*$E85)-MAX(0,(('Business Case'!E11*$C85*'Business Case'!E12*$B85)-'Business Case'!E11*$C85*'Business Case'!E13*$D85-'Business Case'!E14*$E85))*'Business Case'!$B$7-'Business Case'!$B$8*(('Business Case'!E11*$C85*'Business Case'!E12*$B85)-('Business Case'!D11*$C85*'Business Case'!D12*$B85))-'Business Case'!E15*$F85</f>
        <v>691629911.984956</v>
      </c>
      <c r="L85" s="39" t="n">
        <f aca="false">(('Business Case'!F11*$C85*'Business Case'!F12*$B85)-'Business Case'!F11*$C85*'Business Case'!F13*$D85-'Business Case'!F14*$E85)-MAX(0,(('Business Case'!F11*$C85*'Business Case'!F12*$B85)-'Business Case'!F11*$C85*'Business Case'!F13*$D85-'Business Case'!F14*$E85))*'Business Case'!$B$7-'Business Case'!$B$8*(('Business Case'!F11*$C85*'Business Case'!F12*$B85)-('Business Case'!E11*$C85*'Business Case'!E12*$B85))-'Business Case'!F15*$F85</f>
        <v>834508932.205848</v>
      </c>
      <c r="M85" s="39" t="n">
        <f aca="false">(('Business Case'!G11*$C85*'Business Case'!G12*$B85)-'Business Case'!G11*$C85*'Business Case'!G13*$D85-'Business Case'!G14*$E85)-MAX(0,(('Business Case'!G11*$C85*'Business Case'!G12*$B85)-'Business Case'!G11*$C85*'Business Case'!G13*$D85-'Business Case'!G14*$E85))*'Business Case'!$B$7-'Business Case'!$B$8*(('Business Case'!G11*$C85*'Business Case'!G12*$B85)-('Business Case'!F11*$C85*'Business Case'!F12*$B85))-'Business Case'!G15*$F85+'Business Case'!$B$8*('Business Case'!G11*$C85*'Business Case'!G12*$B85)</f>
        <v>1041908823.6302</v>
      </c>
      <c r="N85" s="39" t="n">
        <f aca="false">IF(COUNT('Business Case'!B11:G11)=0,"",H85+NPV(G85,I85:M85))</f>
        <v>-227808298.604006</v>
      </c>
      <c r="P85" s="40" t="n">
        <f aca="true">RAND()</f>
        <v>0.463642243047248</v>
      </c>
      <c r="Q85" s="40" t="n">
        <f aca="true">RAND()</f>
        <v>0.962802986396138</v>
      </c>
      <c r="R85" s="40" t="n">
        <f aca="true">RAND()</f>
        <v>0.669715057602014</v>
      </c>
      <c r="S85" s="40" t="n">
        <f aca="true">RAND()</f>
        <v>0.499626866995666</v>
      </c>
      <c r="T85" s="40" t="n">
        <f aca="true">RAND()</f>
        <v>0.734164153077679</v>
      </c>
      <c r="U85" s="40" t="n">
        <f aca="true">RAND()</f>
        <v>0.828932989978524</v>
      </c>
    </row>
    <row r="86" customFormat="false" ht="15" hidden="false" customHeight="false" outlineLevel="0" collapsed="false">
      <c r="A86" s="36" t="n">
        <v>6</v>
      </c>
      <c r="B86" s="37" t="n">
        <f aca="false">1+IF($G$6=$E$6,$F$6,IF(P86&lt;($F$6-$E$6)/($G$6-$E$6),$E$6+SQRT(P86*($G$6-$E$6)*($F$6-$E$6)),$G$6-SQRT((1-P86)*($G$6-$E$6)*($G$6-$F$6))))</f>
        <v>0.942778023961275</v>
      </c>
      <c r="C86" s="37" t="n">
        <f aca="false">1+IF($G$7=$E$7,$F$7,IF(Q86&lt;($F$7-$E$7)/($G$7-$E$7),$E$7+SQRT(Q86*($G$7-$E$7)*($F$7-$E$7)),$G$7-SQRT((1-Q86)*($G$7-$E$7)*($G$7-$F$7))))</f>
        <v>1.0549048004633</v>
      </c>
      <c r="D86" s="37" t="n">
        <f aca="false">1+IF($G$8=$E$8,$F$8,IF(R86&lt;($F$8-$E$8)/($G$8-$E$8),$E$8+SQRT(R86*($G$8-$E$8)*($F$8-$E$8)),$G$8-SQRT((1-R86)*($G$8-$E$8)*($G$8-$F$8))))</f>
        <v>1.00574473940911</v>
      </c>
      <c r="E86" s="37" t="n">
        <f aca="false">1+IF($G$9=$E$9,$F$9,IF(S86&lt;($F$9-$E$9)/($G$9-$E$9),$E$9+SQRT(S86*($G$9-$E$9)*($F$9-$E$9)),$G$9-SQRT((1-S86)*($G$9-$E$9)*($G$9-$F$9))))</f>
        <v>1.04080782372353</v>
      </c>
      <c r="F86" s="37" t="n">
        <f aca="false">1+IF($G$10=$E$10,$F$10,IF(T86&lt;($F$10-$E$10)/($G$10-$E$10),$E$10+SQRT(T86*($G$10-$E$10)*($F$10-$E$10)),$G$10-SQRT((1-T86)*($G$10-$E$10)*($G$10-$F$10))))</f>
        <v>1.01248391695786</v>
      </c>
      <c r="G86" s="38" t="n">
        <f aca="false">IF($G$11=$E$11,$F$11,IF(U86&lt;($F$11-$E$11)/($G$11-$E$11),$E$11+SQRT(U86*($G$11-$E$11)*($F$11-$E$11)),$G$11-SQRT((1-U86)*($G$11-$E$11)*($G$11-$F$11))))</f>
        <v>0.103283939569648</v>
      </c>
      <c r="H86" s="39" t="n">
        <f aca="false">(('Business Case'!B11*$C86*'Business Case'!B12*$B86)-'Business Case'!B11*$C86*'Business Case'!B13*$D86-'Business Case'!B14*$E86)-MAX(0,(('Business Case'!B11*$C86*'Business Case'!B12*$B86)-'Business Case'!B11*$C86*'Business Case'!B13*$D86-'Business Case'!B14*$E86))*'Business Case'!$B$7-'Business Case'!$B$8*('Business Case'!B11*$C86*'Business Case'!B12*$B86)-'Business Case'!B15*$F86</f>
        <v>-2024967833.91572</v>
      </c>
      <c r="I86" s="39" t="n">
        <f aca="false">(('Business Case'!C11*$C86*'Business Case'!C12*$B86)-'Business Case'!C11*$C86*'Business Case'!C13*$D86-'Business Case'!C14*$E86)-MAX(0,(('Business Case'!C11*$C86*'Business Case'!C12*$B86)-'Business Case'!C11*$C86*'Business Case'!C13*$D86-'Business Case'!C14*$E86))*'Business Case'!$B$7-'Business Case'!$B$8*(('Business Case'!C11*$C86*'Business Case'!C12*$B86)-('Business Case'!B11*$C86*'Business Case'!B12*$B86))-'Business Case'!C15*$F86</f>
        <v>-29336714.260462</v>
      </c>
      <c r="J86" s="39" t="n">
        <f aca="false">(('Business Case'!D11*$C86*'Business Case'!D12*$B86)-'Business Case'!D11*$C86*'Business Case'!D13*$D86-'Business Case'!D14*$E86)-MAX(0,(('Business Case'!D11*$C86*'Business Case'!D12*$B86)-'Business Case'!D11*$C86*'Business Case'!D13*$D86-'Business Case'!D14*$E86))*'Business Case'!$B$7-'Business Case'!$B$8*(('Business Case'!D11*$C86*'Business Case'!D12*$B86)-('Business Case'!C11*$C86*'Business Case'!C12*$B86))-'Business Case'!D15*$F86</f>
        <v>242134844.427127</v>
      </c>
      <c r="K86" s="39" t="n">
        <f aca="false">(('Business Case'!E11*$C86*'Business Case'!E12*$B86)-'Business Case'!E11*$C86*'Business Case'!E13*$D86-'Business Case'!E14*$E86)-MAX(0,(('Business Case'!E11*$C86*'Business Case'!E12*$B86)-'Business Case'!E11*$C86*'Business Case'!E13*$D86-'Business Case'!E14*$E86))*'Business Case'!$B$7-'Business Case'!$B$8*(('Business Case'!E11*$C86*'Business Case'!E12*$B86)-('Business Case'!D11*$C86*'Business Case'!D12*$B86))-'Business Case'!E15*$F86</f>
        <v>564230598.962608</v>
      </c>
      <c r="L86" s="39" t="n">
        <f aca="false">(('Business Case'!F11*$C86*'Business Case'!F12*$B86)-'Business Case'!F11*$C86*'Business Case'!F13*$D86-'Business Case'!F14*$E86)-MAX(0,(('Business Case'!F11*$C86*'Business Case'!F12*$B86)-'Business Case'!F11*$C86*'Business Case'!F13*$D86-'Business Case'!F14*$E86))*'Business Case'!$B$7-'Business Case'!$B$8*(('Business Case'!F11*$C86*'Business Case'!F12*$B86)-('Business Case'!E11*$C86*'Business Case'!E12*$B86))-'Business Case'!F15*$F86</f>
        <v>689092457.67099</v>
      </c>
      <c r="M86" s="39" t="n">
        <f aca="false">(('Business Case'!G11*$C86*'Business Case'!G12*$B86)-'Business Case'!G11*$C86*'Business Case'!G13*$D86-'Business Case'!G14*$E86)-MAX(0,(('Business Case'!G11*$C86*'Business Case'!G12*$B86)-'Business Case'!G11*$C86*'Business Case'!G13*$D86-'Business Case'!G14*$E86))*'Business Case'!$B$7-'Business Case'!$B$8*(('Business Case'!G11*$C86*'Business Case'!G12*$B86)-('Business Case'!F11*$C86*'Business Case'!F12*$B86))-'Business Case'!G15*$F86+'Business Case'!$B$8*('Business Case'!G11*$C86*'Business Case'!G12*$B86)</f>
        <v>878134822.973181</v>
      </c>
      <c r="N86" s="39" t="n">
        <f aca="false">IF(COUNT('Business Case'!B11:G11)=0,"",H86+NPV(G86,I86:M86))</f>
        <v>-430228819.485046</v>
      </c>
      <c r="P86" s="40" t="n">
        <f aca="true">RAND()</f>
        <v>0.0540456641229584</v>
      </c>
      <c r="Q86" s="40" t="n">
        <f aca="true">RAND()</f>
        <v>0.827750533810963</v>
      </c>
      <c r="R86" s="40" t="n">
        <f aca="true">RAND()</f>
        <v>0.469822718709561</v>
      </c>
      <c r="S86" s="40" t="n">
        <f aca="true">RAND()</f>
        <v>0.766419084510322</v>
      </c>
      <c r="T86" s="40" t="n">
        <f aca="true">RAND()</f>
        <v>0.296754372010654</v>
      </c>
      <c r="U86" s="40" t="n">
        <f aca="true">RAND()</f>
        <v>0.534288872814727</v>
      </c>
    </row>
    <row r="87" customFormat="false" ht="15" hidden="false" customHeight="false" outlineLevel="0" collapsed="false">
      <c r="A87" s="36" t="n">
        <v>7</v>
      </c>
      <c r="B87" s="37" t="n">
        <f aca="false">1+IF($G$6=$E$6,$F$6,IF(P87&lt;($F$6-$E$6)/($G$6-$E$6),$E$6+SQRT(P87*($G$6-$E$6)*($F$6-$E$6)),$G$6-SQRT((1-P87)*($G$6-$E$6)*($G$6-$F$6))))</f>
        <v>1.01932181748795</v>
      </c>
      <c r="C87" s="37" t="n">
        <f aca="false">1+IF($G$7=$E$7,$F$7,IF(Q87&lt;($F$7-$E$7)/($G$7-$E$7),$E$7+SQRT(Q87*($G$7-$E$7)*($F$7-$E$7)),$G$7-SQRT((1-Q87)*($G$7-$E$7)*($G$7-$F$7))))</f>
        <v>0.923100157860603</v>
      </c>
      <c r="D87" s="37" t="n">
        <f aca="false">1+IF($G$8=$E$8,$F$8,IF(R87&lt;($F$8-$E$8)/($G$8-$E$8),$E$8+SQRT(R87*($G$8-$E$8)*($F$8-$E$8)),$G$8-SQRT((1-R87)*($G$8-$E$8)*($G$8-$F$8))))</f>
        <v>1.04579494236948</v>
      </c>
      <c r="E87" s="37" t="n">
        <f aca="false">1+IF($G$9=$E$9,$F$9,IF(S87&lt;($F$9-$E$9)/($G$9-$E$9),$E$9+SQRT(S87*($G$9-$E$9)*($F$9-$E$9)),$G$9-SQRT((1-S87)*($G$9-$E$9)*($G$9-$F$9))))</f>
        <v>0.967840630655117</v>
      </c>
      <c r="F87" s="37" t="n">
        <f aca="false">1+IF($G$10=$E$10,$F$10,IF(T87&lt;($F$10-$E$10)/($G$10-$E$10),$E$10+SQRT(T87*($G$10-$E$10)*($F$10-$E$10)),$G$10-SQRT((1-T87)*($G$10-$E$10)*($G$10-$F$10))))</f>
        <v>0.990863526159802</v>
      </c>
      <c r="G87" s="38" t="n">
        <f aca="false">IF($G$11=$E$11,$F$11,IF(U87&lt;($F$11-$E$11)/($G$11-$E$11),$E$11+SQRT(U87*($G$11-$E$11)*($F$11-$E$11)),$G$11-SQRT((1-U87)*($G$11-$E$11)*($G$11-$F$11))))</f>
        <v>0.0937018404924262</v>
      </c>
      <c r="H87" s="39" t="n">
        <f aca="false">(('Business Case'!B11*$C87*'Business Case'!B12*$B87)-'Business Case'!B11*$C87*'Business Case'!B13*$D87-'Business Case'!B14*$E87)-MAX(0,(('Business Case'!B11*$C87*'Business Case'!B12*$B87)-'Business Case'!B11*$C87*'Business Case'!B13*$D87-'Business Case'!B14*$E87))*'Business Case'!$B$7-'Business Case'!$B$8*('Business Case'!B11*$C87*'Business Case'!B12*$B87)-'Business Case'!B15*$F87</f>
        <v>-1981727052.3196</v>
      </c>
      <c r="I87" s="39" t="n">
        <f aca="false">(('Business Case'!C11*$C87*'Business Case'!C12*$B87)-'Business Case'!C11*$C87*'Business Case'!C13*$D87-'Business Case'!C14*$E87)-MAX(0,(('Business Case'!C11*$C87*'Business Case'!C12*$B87)-'Business Case'!C11*$C87*'Business Case'!C13*$D87-'Business Case'!C14*$E87))*'Business Case'!$B$7-'Business Case'!$B$8*(('Business Case'!C11*$C87*'Business Case'!C12*$B87)-('Business Case'!B11*$C87*'Business Case'!B12*$B87))-'Business Case'!C15*$F87</f>
        <v>-8990970.9507665</v>
      </c>
      <c r="J87" s="39" t="n">
        <f aca="false">(('Business Case'!D11*$C87*'Business Case'!D12*$B87)-'Business Case'!D11*$C87*'Business Case'!D13*$D87-'Business Case'!D14*$E87)-MAX(0,(('Business Case'!D11*$C87*'Business Case'!D12*$B87)-'Business Case'!D11*$C87*'Business Case'!D13*$D87-'Business Case'!D14*$E87))*'Business Case'!$B$7-'Business Case'!$B$8*(('Business Case'!D11*$C87*'Business Case'!D12*$B87)-('Business Case'!C11*$C87*'Business Case'!C12*$B87))-'Business Case'!D15*$F87</f>
        <v>267509477.405666</v>
      </c>
      <c r="K87" s="39" t="n">
        <f aca="false">(('Business Case'!E11*$C87*'Business Case'!E12*$B87)-'Business Case'!E11*$C87*'Business Case'!E13*$D87-'Business Case'!E14*$E87)-MAX(0,(('Business Case'!E11*$C87*'Business Case'!E12*$B87)-'Business Case'!E11*$C87*'Business Case'!E13*$D87-'Business Case'!E14*$E87))*'Business Case'!$B$7-'Business Case'!$B$8*(('Business Case'!E11*$C87*'Business Case'!E12*$B87)-('Business Case'!D11*$C87*'Business Case'!D12*$B87))-'Business Case'!E15*$F87</f>
        <v>593553102.070088</v>
      </c>
      <c r="L87" s="39" t="n">
        <f aca="false">(('Business Case'!F11*$C87*'Business Case'!F12*$B87)-'Business Case'!F11*$C87*'Business Case'!F13*$D87-'Business Case'!F14*$E87)-MAX(0,(('Business Case'!F11*$C87*'Business Case'!F12*$B87)-'Business Case'!F11*$C87*'Business Case'!F13*$D87-'Business Case'!F14*$E87))*'Business Case'!$B$7-'Business Case'!$B$8*(('Business Case'!F11*$C87*'Business Case'!F12*$B87)-('Business Case'!E11*$C87*'Business Case'!E12*$B87))-'Business Case'!F15*$F87</f>
        <v>718238670.863606</v>
      </c>
      <c r="M87" s="39" t="n">
        <f aca="false">(('Business Case'!G11*$C87*'Business Case'!G12*$B87)-'Business Case'!G11*$C87*'Business Case'!G13*$D87-'Business Case'!G14*$E87)-MAX(0,(('Business Case'!G11*$C87*'Business Case'!G12*$B87)-'Business Case'!G11*$C87*'Business Case'!G13*$D87-'Business Case'!G14*$E87))*'Business Case'!$B$7-'Business Case'!$B$8*(('Business Case'!G11*$C87*'Business Case'!G12*$B87)-('Business Case'!F11*$C87*'Business Case'!F12*$B87))-'Business Case'!G15*$F87+'Business Case'!$B$8*('Business Case'!G11*$C87*'Business Case'!G12*$B87)</f>
        <v>897091810.574495</v>
      </c>
      <c r="N87" s="39" t="n">
        <f aca="false">IF(COUNT('Business Case'!B11:G11)=0,"",H87+NPV(G87,I87:M87))</f>
        <v>-237406229.375764</v>
      </c>
      <c r="P87" s="40" t="n">
        <f aca="true">RAND()</f>
        <v>0.91091932666636</v>
      </c>
      <c r="Q87" s="40" t="n">
        <f aca="true">RAND()</f>
        <v>0.216480698075792</v>
      </c>
      <c r="R87" s="40" t="n">
        <f aca="true">RAND()</f>
        <v>0.887501349278183</v>
      </c>
      <c r="S87" s="40" t="n">
        <f aca="true">RAND()</f>
        <v>0.0424384136229726</v>
      </c>
      <c r="T87" s="40" t="n">
        <f aca="true">RAND()</f>
        <v>0.133586221617026</v>
      </c>
      <c r="U87" s="40" t="n">
        <f aca="true">RAND()</f>
        <v>0.045678743437888</v>
      </c>
    </row>
    <row r="88" customFormat="false" ht="15" hidden="false" customHeight="false" outlineLevel="0" collapsed="false">
      <c r="A88" s="36" t="n">
        <v>8</v>
      </c>
      <c r="B88" s="37" t="n">
        <f aca="false">1+IF($G$6=$E$6,$F$6,IF(P88&lt;($F$6-$E$6)/($G$6-$E$6),$E$6+SQRT(P88*($G$6-$E$6)*($F$6-$E$6)),$G$6-SQRT((1-P88)*($G$6-$E$6)*($G$6-$F$6))))</f>
        <v>0.99235413830141</v>
      </c>
      <c r="C88" s="37" t="n">
        <f aca="false">1+IF($G$7=$E$7,$F$7,IF(Q88&lt;($F$7-$E$7)/($G$7-$E$7),$E$7+SQRT(Q88*($G$7-$E$7)*($F$7-$E$7)),$G$7-SQRT((1-Q88)*($G$7-$E$7)*($G$7-$F$7))))</f>
        <v>0.896100190506039</v>
      </c>
      <c r="D88" s="37" t="n">
        <f aca="false">1+IF($G$8=$E$8,$F$8,IF(R88&lt;($F$8-$E$8)/($G$8-$E$8),$E$8+SQRT(R88*($G$8-$E$8)*($F$8-$E$8)),$G$8-SQRT((1-R88)*($G$8-$E$8)*($G$8-$F$8))))</f>
        <v>0.966541020896067</v>
      </c>
      <c r="E88" s="37" t="n">
        <f aca="false">1+IF($G$9=$E$9,$F$9,IF(S88&lt;($F$9-$E$9)/($G$9-$E$9),$E$9+SQRT(S88*($G$9-$E$9)*($F$9-$E$9)),$G$9-SQRT((1-S88)*($G$9-$E$9)*($G$9-$F$9))))</f>
        <v>1.02680731823925</v>
      </c>
      <c r="F88" s="37" t="n">
        <f aca="false">1+IF($G$10=$E$10,$F$10,IF(T88&lt;($F$10-$E$10)/($G$10-$E$10),$E$10+SQRT(T88*($G$10-$E$10)*($F$10-$E$10)),$G$10-SQRT((1-T88)*($G$10-$E$10)*($G$10-$F$10))))</f>
        <v>1.06548986874604</v>
      </c>
      <c r="G88" s="38" t="n">
        <f aca="false">IF($G$11=$E$11,$F$11,IF(U88&lt;($F$11-$E$11)/($G$11-$E$11),$E$11+SQRT(U88*($G$11-$E$11)*($F$11-$E$11)),$G$11-SQRT((1-U88)*($G$11-$E$11)*($G$11-$F$11))))</f>
        <v>0.0998375640930766</v>
      </c>
      <c r="H88" s="39" t="n">
        <f aca="false">(('Business Case'!B11*$C88*'Business Case'!B12*$B88)-'Business Case'!B11*$C88*'Business Case'!B13*$D88-'Business Case'!B14*$E88)-MAX(0,(('Business Case'!B11*$C88*'Business Case'!B12*$B88)-'Business Case'!B11*$C88*'Business Case'!B13*$D88-'Business Case'!B14*$E88))*'Business Case'!$B$7-'Business Case'!$B$8*('Business Case'!B11*$C88*'Business Case'!B12*$B88)-'Business Case'!B15*$F88</f>
        <v>-2130979737.49207</v>
      </c>
      <c r="I88" s="39" t="n">
        <f aca="false">(('Business Case'!C11*$C88*'Business Case'!C12*$B88)-'Business Case'!C11*$C88*'Business Case'!C13*$D88-'Business Case'!C14*$E88)-MAX(0,(('Business Case'!C11*$C88*'Business Case'!C12*$B88)-'Business Case'!C11*$C88*'Business Case'!C13*$D88-'Business Case'!C14*$E88))*'Business Case'!$B$7-'Business Case'!$B$8*(('Business Case'!C11*$C88*'Business Case'!C12*$B88)-('Business Case'!B11*$C88*'Business Case'!B12*$B88))-'Business Case'!C15*$F88</f>
        <v>-13683822.2722956</v>
      </c>
      <c r="J88" s="39" t="n">
        <f aca="false">(('Business Case'!D11*$C88*'Business Case'!D12*$B88)-'Business Case'!D11*$C88*'Business Case'!D13*$D88-'Business Case'!D14*$E88)-MAX(0,(('Business Case'!D11*$C88*'Business Case'!D12*$B88)-'Business Case'!D11*$C88*'Business Case'!D13*$D88-'Business Case'!D14*$E88))*'Business Case'!$B$7-'Business Case'!$B$8*(('Business Case'!D11*$C88*'Business Case'!D12*$B88)-('Business Case'!C11*$C88*'Business Case'!C12*$B88))-'Business Case'!D15*$F88</f>
        <v>271291997.270282</v>
      </c>
      <c r="K88" s="39" t="n">
        <f aca="false">(('Business Case'!E11*$C88*'Business Case'!E12*$B88)-'Business Case'!E11*$C88*'Business Case'!E13*$D88-'Business Case'!E14*$E88)-MAX(0,(('Business Case'!E11*$C88*'Business Case'!E12*$B88)-'Business Case'!E11*$C88*'Business Case'!E13*$D88-'Business Case'!E14*$E88))*'Business Case'!$B$7-'Business Case'!$B$8*(('Business Case'!E11*$C88*'Business Case'!E12*$B88)-('Business Case'!D11*$C88*'Business Case'!D12*$B88))-'Business Case'!E15*$F88</f>
        <v>609542310.250162</v>
      </c>
      <c r="L88" s="39" t="n">
        <f aca="false">(('Business Case'!F11*$C88*'Business Case'!F12*$B88)-'Business Case'!F11*$C88*'Business Case'!F13*$D88-'Business Case'!F14*$E88)-MAX(0,(('Business Case'!F11*$C88*'Business Case'!F12*$B88)-'Business Case'!F11*$C88*'Business Case'!F13*$D88-'Business Case'!F14*$E88))*'Business Case'!$B$7-'Business Case'!$B$8*(('Business Case'!F11*$C88*'Business Case'!F12*$B88)-('Business Case'!E11*$C88*'Business Case'!E12*$B88))-'Business Case'!F15*$F88</f>
        <v>735266686.288788</v>
      </c>
      <c r="M88" s="39" t="n">
        <f aca="false">(('Business Case'!G11*$C88*'Business Case'!G12*$B88)-'Business Case'!G11*$C88*'Business Case'!G13*$D88-'Business Case'!G14*$E88)-MAX(0,(('Business Case'!G11*$C88*'Business Case'!G12*$B88)-'Business Case'!G11*$C88*'Business Case'!G13*$D88-'Business Case'!G14*$E88))*'Business Case'!$B$7-'Business Case'!$B$8*(('Business Case'!G11*$C88*'Business Case'!G12*$B88)-('Business Case'!F11*$C88*'Business Case'!F12*$B88))-'Business Case'!G15*$F88+'Business Case'!$B$8*('Business Case'!G11*$C88*'Business Case'!G12*$B88)</f>
        <v>904295085.339835</v>
      </c>
      <c r="N88" s="39" t="n">
        <f aca="false">IF(COUNT('Business Case'!B11:G11)=0,"",H88+NPV(G88,I88:M88))</f>
        <v>-396581173.277408</v>
      </c>
      <c r="P88" s="40" t="n">
        <f aca="true">RAND()</f>
        <v>0.545325138472878</v>
      </c>
      <c r="Q88" s="40" t="n">
        <f aca="true">RAND()</f>
        <v>0.131932094504244</v>
      </c>
      <c r="R88" s="40" t="n">
        <f aca="true">RAND()</f>
        <v>0.0420931341975557</v>
      </c>
      <c r="S88" s="40" t="n">
        <f aca="true">RAND()</f>
        <v>0.642855422444607</v>
      </c>
      <c r="T88" s="40" t="n">
        <f aca="true">RAND()</f>
        <v>0.638140491800822</v>
      </c>
      <c r="U88" s="40" t="n">
        <f aca="true">RAND()</f>
        <v>0.322592224284636</v>
      </c>
    </row>
    <row r="89" customFormat="false" ht="15" hidden="false" customHeight="false" outlineLevel="0" collapsed="false">
      <c r="A89" s="36" t="n">
        <v>9</v>
      </c>
      <c r="B89" s="37" t="n">
        <f aca="false">1+IF($G$6=$E$6,$F$6,IF(P89&lt;($F$6-$E$6)/($G$6-$E$6),$E$6+SQRT(P89*($G$6-$E$6)*($F$6-$E$6)),$G$6-SQRT((1-P89)*($G$6-$E$6)*($G$6-$F$6))))</f>
        <v>0.953817027734304</v>
      </c>
      <c r="C89" s="37" t="n">
        <f aca="false">1+IF($G$7=$E$7,$F$7,IF(Q89&lt;($F$7-$E$7)/($G$7-$E$7),$E$7+SQRT(Q89*($G$7-$E$7)*($F$7-$E$7)),$G$7-SQRT((1-Q89)*($G$7-$E$7)*($G$7-$F$7))))</f>
        <v>0.936687207309772</v>
      </c>
      <c r="D89" s="37" t="n">
        <f aca="false">1+IF($G$8=$E$8,$F$8,IF(R89&lt;($F$8-$E$8)/($G$8-$E$8),$E$8+SQRT(R89*($G$8-$E$8)*($F$8-$E$8)),$G$8-SQRT((1-R89)*($G$8-$E$8)*($G$8-$F$8))))</f>
        <v>1.05947459152143</v>
      </c>
      <c r="E89" s="37" t="n">
        <f aca="false">1+IF($G$9=$E$9,$F$9,IF(S89&lt;($F$9-$E$9)/($G$9-$E$9),$E$9+SQRT(S89*($G$9-$E$9)*($F$9-$E$9)),$G$9-SQRT((1-S89)*($G$9-$E$9)*($G$9-$F$9))))</f>
        <v>1.00329419239915</v>
      </c>
      <c r="F89" s="37" t="n">
        <f aca="false">1+IF($G$10=$E$10,$F$10,IF(T89&lt;($F$10-$E$10)/($G$10-$E$10),$E$10+SQRT(T89*($G$10-$E$10)*($F$10-$E$10)),$G$10-SQRT((1-T89)*($G$10-$E$10)*($G$10-$F$10))))</f>
        <v>1.07902969825936</v>
      </c>
      <c r="G89" s="38" t="n">
        <f aca="false">IF($G$11=$E$11,$F$11,IF(U89&lt;($F$11-$E$11)/($G$11-$E$11),$E$11+SQRT(U89*($G$11-$E$11)*($F$11-$E$11)),$G$11-SQRT((1-U89)*($G$11-$E$11)*($G$11-$F$11))))</f>
        <v>0.101130627798942</v>
      </c>
      <c r="H89" s="39" t="n">
        <f aca="false">(('Business Case'!B11*$C89*'Business Case'!B12*$B89)-'Business Case'!B11*$C89*'Business Case'!B13*$D89-'Business Case'!B14*$E89)-MAX(0,(('Business Case'!B11*$C89*'Business Case'!B12*$B89)-'Business Case'!B11*$C89*'Business Case'!B13*$D89-'Business Case'!B14*$E89))*'Business Case'!$B$7-'Business Case'!$B$8*('Business Case'!B11*$C89*'Business Case'!B12*$B89)-'Business Case'!B15*$F89</f>
        <v>-2158059396.51873</v>
      </c>
      <c r="I89" s="39" t="n">
        <f aca="false">(('Business Case'!C11*$C89*'Business Case'!C12*$B89)-'Business Case'!C11*$C89*'Business Case'!C13*$D89-'Business Case'!C14*$E89)-MAX(0,(('Business Case'!C11*$C89*'Business Case'!C12*$B89)-'Business Case'!C11*$C89*'Business Case'!C13*$D89-'Business Case'!C14*$E89))*'Business Case'!$B$7-'Business Case'!$B$8*(('Business Case'!C11*$C89*'Business Case'!C12*$B89)-('Business Case'!B11*$C89*'Business Case'!B12*$B89))-'Business Case'!C15*$F89</f>
        <v>-73132205.1366487</v>
      </c>
      <c r="J89" s="39" t="n">
        <f aca="false">(('Business Case'!D11*$C89*'Business Case'!D12*$B89)-'Business Case'!D11*$C89*'Business Case'!D13*$D89-'Business Case'!D14*$E89)-MAX(0,(('Business Case'!D11*$C89*'Business Case'!D12*$B89)-'Business Case'!D11*$C89*'Business Case'!D13*$D89-'Business Case'!D14*$E89))*'Business Case'!$B$7-'Business Case'!$B$8*(('Business Case'!D11*$C89*'Business Case'!D12*$B89)-('Business Case'!C11*$C89*'Business Case'!C12*$B89))-'Business Case'!D15*$F89</f>
        <v>150622312.014153</v>
      </c>
      <c r="K89" s="39" t="n">
        <f aca="false">(('Business Case'!E11*$C89*'Business Case'!E12*$B89)-'Business Case'!E11*$C89*'Business Case'!E13*$D89-'Business Case'!E14*$E89)-MAX(0,(('Business Case'!E11*$C89*'Business Case'!E12*$B89)-'Business Case'!E11*$C89*'Business Case'!E13*$D89-'Business Case'!E14*$E89))*'Business Case'!$B$7-'Business Case'!$B$8*(('Business Case'!E11*$C89*'Business Case'!E12*$B89)-('Business Case'!D11*$C89*'Business Case'!D12*$B89))-'Business Case'!E15*$F89</f>
        <v>428328314.077922</v>
      </c>
      <c r="L89" s="39" t="n">
        <f aca="false">(('Business Case'!F11*$C89*'Business Case'!F12*$B89)-'Business Case'!F11*$C89*'Business Case'!F13*$D89-'Business Case'!F14*$E89)-MAX(0,(('Business Case'!F11*$C89*'Business Case'!F12*$B89)-'Business Case'!F11*$C89*'Business Case'!F13*$D89-'Business Case'!F14*$E89))*'Business Case'!$B$7-'Business Case'!$B$8*(('Business Case'!F11*$C89*'Business Case'!F12*$B89)-('Business Case'!E11*$C89*'Business Case'!E12*$B89))-'Business Case'!F15*$F89</f>
        <v>533790031.996426</v>
      </c>
      <c r="M89" s="39" t="n">
        <f aca="false">(('Business Case'!G11*$C89*'Business Case'!G12*$B89)-'Business Case'!G11*$C89*'Business Case'!G13*$D89-'Business Case'!G14*$E89)-MAX(0,(('Business Case'!G11*$C89*'Business Case'!G12*$B89)-'Business Case'!G11*$C89*'Business Case'!G13*$D89-'Business Case'!G14*$E89))*'Business Case'!$B$7-'Business Case'!$B$8*(('Business Case'!G11*$C89*'Business Case'!G12*$B89)-('Business Case'!F11*$C89*'Business Case'!F12*$B89))-'Business Case'!G15*$F89+'Business Case'!$B$8*('Business Case'!G11*$C89*'Business Case'!G12*$B89)</f>
        <v>703612865.771726</v>
      </c>
      <c r="N89" s="39" t="n">
        <f aca="false">IF(COUNT('Business Case'!B11:G11)=0,"",H89+NPV(G89,I89:M89))</f>
        <v>-981689531.766657</v>
      </c>
      <c r="P89" s="40" t="n">
        <f aca="true">RAND()</f>
        <v>0.1191241004982</v>
      </c>
      <c r="Q89" s="40" t="n">
        <f aca="true">RAND()</f>
        <v>0.266905609173495</v>
      </c>
      <c r="R89" s="40" t="n">
        <f aca="true">RAND()</f>
        <v>0.959491116037304</v>
      </c>
      <c r="S89" s="40" t="n">
        <f aca="true">RAND()</f>
        <v>0.376532451751145</v>
      </c>
      <c r="T89" s="40" t="n">
        <f aca="true">RAND()</f>
        <v>0.707323721935586</v>
      </c>
      <c r="U89" s="40" t="n">
        <f aca="true">RAND()</f>
        <v>0.406577987896586</v>
      </c>
    </row>
    <row r="90" customFormat="false" ht="15" hidden="false" customHeight="false" outlineLevel="0" collapsed="false">
      <c r="A90" s="36" t="n">
        <v>10</v>
      </c>
      <c r="B90" s="37" t="n">
        <f aca="false">1+IF($G$6=$E$6,$F$6,IF(P90&lt;($F$6-$E$6)/($G$6-$E$6),$E$6+SQRT(P90*($G$6-$E$6)*($F$6-$E$6)),$G$6-SQRT((1-P90)*($G$6-$E$6)*($G$6-$F$6))))</f>
        <v>0.996573462375987</v>
      </c>
      <c r="C90" s="37" t="n">
        <f aca="false">1+IF($G$7=$E$7,$F$7,IF(Q90&lt;($F$7-$E$7)/($G$7-$E$7),$E$7+SQRT(Q90*($G$7-$E$7)*($F$7-$E$7)),$G$7-SQRT((1-Q90)*($G$7-$E$7)*($G$7-$F$7))))</f>
        <v>0.999000846971575</v>
      </c>
      <c r="D90" s="37" t="n">
        <f aca="false">1+IF($G$8=$E$8,$F$8,IF(R90&lt;($F$8-$E$8)/($G$8-$E$8),$E$8+SQRT(R90*($G$8-$E$8)*($F$8-$E$8)),$G$8-SQRT((1-R90)*($G$8-$E$8)*($G$8-$F$8))))</f>
        <v>1.02341566417487</v>
      </c>
      <c r="E90" s="37" t="n">
        <f aca="false">1+IF($G$9=$E$9,$F$9,IF(S90&lt;($F$9-$E$9)/($G$9-$E$9),$E$9+SQRT(S90*($G$9-$E$9)*($F$9-$E$9)),$G$9-SQRT((1-S90)*($G$9-$E$9)*($G$9-$F$9))))</f>
        <v>0.983159974740337</v>
      </c>
      <c r="F90" s="37" t="n">
        <f aca="false">1+IF($G$10=$E$10,$F$10,IF(T90&lt;($F$10-$E$10)/($G$10-$E$10),$E$10+SQRT(T90*($G$10-$E$10)*($F$10-$E$10)),$G$10-SQRT((1-T90)*($G$10-$E$10)*($G$10-$F$10))))</f>
        <v>1.04084935023772</v>
      </c>
      <c r="G90" s="38" t="n">
        <f aca="false">IF($G$11=$E$11,$F$11,IF(U90&lt;($F$11-$E$11)/($G$11-$E$11),$E$11+SQRT(U90*($G$11-$E$11)*($F$11-$E$11)),$G$11-SQRT((1-U90)*($G$11-$E$11)*($G$11-$F$11))))</f>
        <v>0.0968741474689062</v>
      </c>
      <c r="H90" s="39" t="n">
        <f aca="false">(('Business Case'!B11*$C90*'Business Case'!B12*$B90)-'Business Case'!B11*$C90*'Business Case'!B13*$D90-'Business Case'!B14*$E90)-MAX(0,(('Business Case'!B11*$C90*'Business Case'!B12*$B90)-'Business Case'!B11*$C90*'Business Case'!B13*$D90-'Business Case'!B14*$E90))*'Business Case'!$B$7-'Business Case'!$B$8*('Business Case'!B11*$C90*'Business Case'!B12*$B90)-'Business Case'!B15*$F90</f>
        <v>-2081698700.47543</v>
      </c>
      <c r="I90" s="39" t="n">
        <f aca="false">(('Business Case'!C11*$C90*'Business Case'!C12*$B90)-'Business Case'!C11*$C90*'Business Case'!C13*$D90-'Business Case'!C14*$E90)-MAX(0,(('Business Case'!C11*$C90*'Business Case'!C12*$B90)-'Business Case'!C11*$C90*'Business Case'!C13*$D90-'Business Case'!C14*$E90))*'Business Case'!$B$7-'Business Case'!$B$8*(('Business Case'!C11*$C90*'Business Case'!C12*$B90)-('Business Case'!B11*$C90*'Business Case'!B12*$B90))-'Business Case'!C15*$F90</f>
        <v>-3434671.79171526</v>
      </c>
      <c r="J90" s="39" t="n">
        <f aca="false">(('Business Case'!D11*$C90*'Business Case'!D12*$B90)-'Business Case'!D11*$C90*'Business Case'!D13*$D90-'Business Case'!D14*$E90)-MAX(0,(('Business Case'!D11*$C90*'Business Case'!D12*$B90)-'Business Case'!D11*$C90*'Business Case'!D13*$D90-'Business Case'!D14*$E90))*'Business Case'!$B$7-'Business Case'!$B$8*(('Business Case'!D11*$C90*'Business Case'!D12*$B90)-('Business Case'!C11*$C90*'Business Case'!C12*$B90))-'Business Case'!D15*$F90</f>
        <v>288631689.526256</v>
      </c>
      <c r="K90" s="39" t="n">
        <f aca="false">(('Business Case'!E11*$C90*'Business Case'!E12*$B90)-'Business Case'!E11*$C90*'Business Case'!E13*$D90-'Business Case'!E14*$E90)-MAX(0,(('Business Case'!E11*$C90*'Business Case'!E12*$B90)-'Business Case'!E11*$C90*'Business Case'!E13*$D90-'Business Case'!E14*$E90))*'Business Case'!$B$7-'Business Case'!$B$8*(('Business Case'!E11*$C90*'Business Case'!E12*$B90)-('Business Case'!D11*$C90*'Business Case'!D12*$B90))-'Business Case'!E15*$F90</f>
        <v>632740518.356113</v>
      </c>
      <c r="L90" s="39" t="n">
        <f aca="false">(('Business Case'!F11*$C90*'Business Case'!F12*$B90)-'Business Case'!F11*$C90*'Business Case'!F13*$D90-'Business Case'!F14*$E90)-MAX(0,(('Business Case'!F11*$C90*'Business Case'!F12*$B90)-'Business Case'!F11*$C90*'Business Case'!F13*$D90-'Business Case'!F14*$E90))*'Business Case'!$B$7-'Business Case'!$B$8*(('Business Case'!F11*$C90*'Business Case'!F12*$B90)-('Business Case'!E11*$C90*'Business Case'!E12*$B90))-'Business Case'!F15*$F90</f>
        <v>764503138.580663</v>
      </c>
      <c r="M90" s="39" t="n">
        <f aca="false">(('Business Case'!G11*$C90*'Business Case'!G12*$B90)-'Business Case'!G11*$C90*'Business Case'!G13*$D90-'Business Case'!G14*$E90)-MAX(0,(('Business Case'!G11*$C90*'Business Case'!G12*$B90)-'Business Case'!G11*$C90*'Business Case'!G13*$D90-'Business Case'!G14*$E90))*'Business Case'!$B$7-'Business Case'!$B$8*(('Business Case'!G11*$C90*'Business Case'!G12*$B90)-('Business Case'!F11*$C90*'Business Case'!F12*$B90))-'Business Case'!G15*$F90+'Business Case'!$B$8*('Business Case'!G11*$C90*'Business Case'!G12*$B90)</f>
        <v>953742554.066073</v>
      </c>
      <c r="N90" s="39" t="n">
        <f aca="false">IF(COUNT('Business Case'!B11:G11)=0,"",H90+NPV(G90,I90:M90))</f>
        <v>-236637605.357455</v>
      </c>
      <c r="P90" s="40" t="n">
        <f aca="true">RAND()</f>
        <v>0.610780743775699</v>
      </c>
      <c r="Q90" s="40" t="n">
        <f aca="true">RAND()</f>
        <v>0.5657333870772</v>
      </c>
      <c r="R90" s="40" t="n">
        <f aca="true">RAND()</f>
        <v>0.692135859541211</v>
      </c>
      <c r="S90" s="40" t="n">
        <f aca="true">RAND()</f>
        <v>0.14661118997064</v>
      </c>
      <c r="T90" s="40" t="n">
        <f aca="true">RAND()</f>
        <v>0.493421413604849</v>
      </c>
      <c r="U90" s="40" t="n">
        <f aca="true">RAND()</f>
        <v>0.15751301141423</v>
      </c>
    </row>
    <row r="91" customFormat="false" ht="15" hidden="false" customHeight="false" outlineLevel="0" collapsed="false">
      <c r="A91" s="36" t="n">
        <v>11</v>
      </c>
      <c r="B91" s="37" t="n">
        <f aca="false">1+IF($G$6=$E$6,$F$6,IF(P91&lt;($F$6-$E$6)/($G$6-$E$6),$E$6+SQRT(P91*($G$6-$E$6)*($F$6-$E$6)),$G$6-SQRT((1-P91)*($G$6-$E$6)*($G$6-$F$6))))</f>
        <v>1.00660256949634</v>
      </c>
      <c r="C91" s="37" t="n">
        <f aca="false">1+IF($G$7=$E$7,$F$7,IF(Q91&lt;($F$7-$E$7)/($G$7-$E$7),$E$7+SQRT(Q91*($G$7-$E$7)*($F$7-$E$7)),$G$7-SQRT((1-Q91)*($G$7-$E$7)*($G$7-$F$7))))</f>
        <v>0.986324253409476</v>
      </c>
      <c r="D91" s="37" t="n">
        <f aca="false">1+IF($G$8=$E$8,$F$8,IF(R91&lt;($F$8-$E$8)/($G$8-$E$8),$E$8+SQRT(R91*($G$8-$E$8)*($F$8-$E$8)),$G$8-SQRT((1-R91)*($G$8-$E$8)*($G$8-$F$8))))</f>
        <v>1.0424129416362</v>
      </c>
      <c r="E91" s="37" t="n">
        <f aca="false">1+IF($G$9=$E$9,$F$9,IF(S91&lt;($F$9-$E$9)/($G$9-$E$9),$E$9+SQRT(S91*($G$9-$E$9)*($F$9-$E$9)),$G$9-SQRT((1-S91)*($G$9-$E$9)*($G$9-$F$9))))</f>
        <v>0.983098237002234</v>
      </c>
      <c r="F91" s="37" t="n">
        <f aca="false">1+IF($G$10=$E$10,$F$10,IF(T91&lt;($F$10-$E$10)/($G$10-$E$10),$E$10+SQRT(T91*($G$10-$E$10)*($F$10-$E$10)),$G$10-SQRT((1-T91)*($G$10-$E$10)*($G$10-$F$10))))</f>
        <v>1.13946776798896</v>
      </c>
      <c r="G91" s="38" t="n">
        <f aca="false">IF($G$11=$E$11,$F$11,IF(U91&lt;($F$11-$E$11)/($G$11-$E$11),$E$11+SQRT(U91*($G$11-$E$11)*($F$11-$E$11)),$G$11-SQRT((1-U91)*($G$11-$E$11)*($G$11-$F$11))))</f>
        <v>0.114147997327868</v>
      </c>
      <c r="H91" s="39" t="n">
        <f aca="false">(('Business Case'!B11*$C91*'Business Case'!B12*$B91)-'Business Case'!B11*$C91*'Business Case'!B13*$D91-'Business Case'!B14*$E91)-MAX(0,(('Business Case'!B11*$C91*'Business Case'!B12*$B91)-'Business Case'!B11*$C91*'Business Case'!B13*$D91-'Business Case'!B14*$E91))*'Business Case'!$B$7-'Business Case'!$B$8*('Business Case'!B11*$C91*'Business Case'!B12*$B91)-'Business Case'!B15*$F91</f>
        <v>-2278935535.97793</v>
      </c>
      <c r="I91" s="39" t="n">
        <f aca="false">(('Business Case'!C11*$C91*'Business Case'!C12*$B91)-'Business Case'!C11*$C91*'Business Case'!C13*$D91-'Business Case'!C14*$E91)-MAX(0,(('Business Case'!C11*$C91*'Business Case'!C12*$B91)-'Business Case'!C11*$C91*'Business Case'!C13*$D91-'Business Case'!C14*$E91))*'Business Case'!$B$7-'Business Case'!$B$8*(('Business Case'!C11*$C91*'Business Case'!C12*$B91)-('Business Case'!B11*$C91*'Business Case'!B12*$B91))-'Business Case'!C15*$F91</f>
        <v>-18341607.7993796</v>
      </c>
      <c r="J91" s="39" t="n">
        <f aca="false">(('Business Case'!D11*$C91*'Business Case'!D12*$B91)-'Business Case'!D11*$C91*'Business Case'!D13*$D91-'Business Case'!D14*$E91)-MAX(0,(('Business Case'!D11*$C91*'Business Case'!D12*$B91)-'Business Case'!D11*$C91*'Business Case'!D13*$D91-'Business Case'!D14*$E91))*'Business Case'!$B$7-'Business Case'!$B$8*(('Business Case'!D11*$C91*'Business Case'!D12*$B91)-('Business Case'!C11*$C91*'Business Case'!C12*$B91))-'Business Case'!D15*$F91</f>
        <v>268528776.105005</v>
      </c>
      <c r="K91" s="39" t="n">
        <f aca="false">(('Business Case'!E11*$C91*'Business Case'!E12*$B91)-'Business Case'!E11*$C91*'Business Case'!E13*$D91-'Business Case'!E14*$E91)-MAX(0,(('Business Case'!E11*$C91*'Business Case'!E12*$B91)-'Business Case'!E11*$C91*'Business Case'!E13*$D91-'Business Case'!E14*$E91))*'Business Case'!$B$7-'Business Case'!$B$8*(('Business Case'!E11*$C91*'Business Case'!E12*$B91)-('Business Case'!D11*$C91*'Business Case'!D12*$B91))-'Business Case'!E15*$F91</f>
        <v>612372548.408837</v>
      </c>
      <c r="L91" s="39" t="n">
        <f aca="false">(('Business Case'!F11*$C91*'Business Case'!F12*$B91)-'Business Case'!F11*$C91*'Business Case'!F13*$D91-'Business Case'!F14*$E91)-MAX(0,(('Business Case'!F11*$C91*'Business Case'!F12*$B91)-'Business Case'!F11*$C91*'Business Case'!F13*$D91-'Business Case'!F14*$E91))*'Business Case'!$B$7-'Business Case'!$B$8*(('Business Case'!F11*$C91*'Business Case'!F12*$B91)-('Business Case'!E11*$C91*'Business Case'!E12*$B91))-'Business Case'!F15*$F91</f>
        <v>742308440.112399</v>
      </c>
      <c r="M91" s="39" t="n">
        <f aca="false">(('Business Case'!G11*$C91*'Business Case'!G12*$B91)-'Business Case'!G11*$C91*'Business Case'!G13*$D91-'Business Case'!G14*$E91)-MAX(0,(('Business Case'!G11*$C91*'Business Case'!G12*$B91)-'Business Case'!G11*$C91*'Business Case'!G13*$D91-'Business Case'!G14*$E91))*'Business Case'!$B$7-'Business Case'!$B$8*(('Business Case'!G11*$C91*'Business Case'!G12*$B91)-('Business Case'!F11*$C91*'Business Case'!F12*$B91))-'Business Case'!G15*$F91+'Business Case'!$B$8*('Business Case'!G11*$C91*'Business Case'!G12*$B91)</f>
        <v>931026807.323948</v>
      </c>
      <c r="N91" s="39" t="n">
        <f aca="false">IF(COUNT('Business Case'!B11:G11)=0,"",H91+NPV(G91,I91:M91))</f>
        <v>-612244398.33328</v>
      </c>
      <c r="P91" s="40" t="n">
        <f aca="true">RAND()</f>
        <v>0.767627424115239</v>
      </c>
      <c r="Q91" s="40" t="n">
        <f aca="true">RAND()</f>
        <v>0.495953248694268</v>
      </c>
      <c r="R91" s="40" t="n">
        <f aca="true">RAND()</f>
        <v>0.864155100341945</v>
      </c>
      <c r="S91" s="40" t="n">
        <f aca="true">RAND()</f>
        <v>0.146065772354142</v>
      </c>
      <c r="T91" s="40" t="n">
        <f aca="true">RAND()</f>
        <v>0.926716977755241</v>
      </c>
      <c r="U91" s="40" t="n">
        <f aca="true">RAND()</f>
        <v>0.942923441208936</v>
      </c>
    </row>
    <row r="92" customFormat="false" ht="15" hidden="false" customHeight="false" outlineLevel="0" collapsed="false">
      <c r="A92" s="36" t="n">
        <v>12</v>
      </c>
      <c r="B92" s="37" t="n">
        <f aca="false">1+IF($G$6=$E$6,$F$6,IF(P92&lt;($F$6-$E$6)/($G$6-$E$6),$E$6+SQRT(P92*($G$6-$E$6)*($F$6-$E$6)),$G$6-SQRT((1-P92)*($G$6-$E$6)*($G$6-$F$6))))</f>
        <v>0.987169284833647</v>
      </c>
      <c r="C92" s="37" t="n">
        <f aca="false">1+IF($G$7=$E$7,$F$7,IF(Q92&lt;($F$7-$E$7)/($G$7-$E$7),$E$7+SQRT(Q92*($G$7-$E$7)*($F$7-$E$7)),$G$7-SQRT((1-Q92)*($G$7-$E$7)*($G$7-$F$7))))</f>
        <v>0.931122305671141</v>
      </c>
      <c r="D92" s="37" t="n">
        <f aca="false">1+IF($G$8=$E$8,$F$8,IF(R92&lt;($F$8-$E$8)/($G$8-$E$8),$E$8+SQRT(R92*($G$8-$E$8)*($F$8-$E$8)),$G$8-SQRT((1-R92)*($G$8-$E$8)*($G$8-$F$8))))</f>
        <v>1.00592863188284</v>
      </c>
      <c r="E92" s="37" t="n">
        <f aca="false">1+IF($G$9=$E$9,$F$9,IF(S92&lt;($F$9-$E$9)/($G$9-$E$9),$E$9+SQRT(S92*($G$9-$E$9)*($F$9-$E$9)),$G$9-SQRT((1-S92)*($G$9-$E$9)*($G$9-$F$9))))</f>
        <v>0.976728665837678</v>
      </c>
      <c r="F92" s="37" t="n">
        <f aca="false">1+IF($G$10=$E$10,$F$10,IF(T92&lt;($F$10-$E$10)/($G$10-$E$10),$E$10+SQRT(T92*($G$10-$E$10)*($F$10-$E$10)),$G$10-SQRT((1-T92)*($G$10-$E$10)*($G$10-$F$10))))</f>
        <v>1.06841358652244</v>
      </c>
      <c r="G92" s="38" t="n">
        <f aca="false">IF($G$11=$E$11,$F$11,IF(U92&lt;($F$11-$E$11)/($G$11-$E$11),$E$11+SQRT(U92*($G$11-$E$11)*($F$11-$E$11)),$G$11-SQRT((1-U92)*($G$11-$E$11)*($G$11-$F$11))))</f>
        <v>0.107852735773948</v>
      </c>
      <c r="H92" s="39" t="n">
        <f aca="false">(('Business Case'!B11*$C92*'Business Case'!B12*$B92)-'Business Case'!B11*$C92*'Business Case'!B13*$D92-'Business Case'!B14*$E92)-MAX(0,(('Business Case'!B11*$C92*'Business Case'!B12*$B92)-'Business Case'!B11*$C92*'Business Case'!B13*$D92-'Business Case'!B14*$E92))*'Business Case'!$B$7-'Business Case'!$B$8*('Business Case'!B11*$C92*'Business Case'!B12*$B92)-'Business Case'!B15*$F92</f>
        <v>-2136827173.04488</v>
      </c>
      <c r="I92" s="39" t="n">
        <f aca="false">(('Business Case'!C11*$C92*'Business Case'!C12*$B92)-'Business Case'!C11*$C92*'Business Case'!C13*$D92-'Business Case'!C14*$E92)-MAX(0,(('Business Case'!C11*$C92*'Business Case'!C12*$B92)-'Business Case'!C11*$C92*'Business Case'!C13*$D92-'Business Case'!C14*$E92))*'Business Case'!$B$7-'Business Case'!$B$8*(('Business Case'!C11*$C92*'Business Case'!C12*$B92)-('Business Case'!B11*$C92*'Business Case'!B12*$B92))-'Business Case'!C15*$F92</f>
        <v>-19997513.1963552</v>
      </c>
      <c r="J92" s="39" t="n">
        <f aca="false">(('Business Case'!D11*$C92*'Business Case'!D12*$B92)-'Business Case'!D11*$C92*'Business Case'!D13*$D92-'Business Case'!D14*$E92)-MAX(0,(('Business Case'!D11*$C92*'Business Case'!D12*$B92)-'Business Case'!D11*$C92*'Business Case'!D13*$D92-'Business Case'!D14*$E92))*'Business Case'!$B$7-'Business Case'!$B$8*(('Business Case'!D11*$C92*'Business Case'!D12*$B92)-('Business Case'!C11*$C92*'Business Case'!C12*$B92))-'Business Case'!D15*$F92</f>
        <v>253387198.197424</v>
      </c>
      <c r="K92" s="39" t="n">
        <f aca="false">(('Business Case'!E11*$C92*'Business Case'!E12*$B92)-'Business Case'!E11*$C92*'Business Case'!E13*$D92-'Business Case'!E14*$E92)-MAX(0,(('Business Case'!E11*$C92*'Business Case'!E12*$B92)-'Business Case'!E11*$C92*'Business Case'!E13*$D92-'Business Case'!E14*$E92))*'Business Case'!$B$7-'Business Case'!$B$8*(('Business Case'!E11*$C92*'Business Case'!E12*$B92)-('Business Case'!D11*$C92*'Business Case'!D12*$B92))-'Business Case'!E15*$F92</f>
        <v>580192588.917326</v>
      </c>
      <c r="L92" s="39" t="n">
        <f aca="false">(('Business Case'!F11*$C92*'Business Case'!F12*$B92)-'Business Case'!F11*$C92*'Business Case'!F13*$D92-'Business Case'!F14*$E92)-MAX(0,(('Business Case'!F11*$C92*'Business Case'!F12*$B92)-'Business Case'!F11*$C92*'Business Case'!F13*$D92-'Business Case'!F14*$E92))*'Business Case'!$B$7-'Business Case'!$B$8*(('Business Case'!F11*$C92*'Business Case'!F12*$B92)-('Business Case'!E11*$C92*'Business Case'!E12*$B92))-'Business Case'!F15*$F92</f>
        <v>703087525.819101</v>
      </c>
      <c r="M92" s="39" t="n">
        <f aca="false">(('Business Case'!G11*$C92*'Business Case'!G12*$B92)-'Business Case'!G11*$C92*'Business Case'!G13*$D92-'Business Case'!G14*$E92)-MAX(0,(('Business Case'!G11*$C92*'Business Case'!G12*$B92)-'Business Case'!G11*$C92*'Business Case'!G13*$D92-'Business Case'!G14*$E92))*'Business Case'!$B$7-'Business Case'!$B$8*(('Business Case'!G11*$C92*'Business Case'!G12*$B92)-('Business Case'!F11*$C92*'Business Case'!F12*$B92))-'Business Case'!G15*$F92+'Business Case'!$B$8*('Business Case'!G11*$C92*'Business Case'!G12*$B92)</f>
        <v>877804374.556935</v>
      </c>
      <c r="N92" s="39" t="n">
        <f aca="false">IF(COUNT('Business Case'!B11:G11)=0,"",H92+NPV(G92,I92:M92))</f>
        <v>-528972874.702849</v>
      </c>
      <c r="P92" s="40" t="n">
        <f aca="true">RAND()</f>
        <v>0.469970085944127</v>
      </c>
      <c r="Q92" s="40" t="n">
        <f aca="true">RAND()</f>
        <v>0.245615129207372</v>
      </c>
      <c r="R92" s="40" t="n">
        <f aca="true">RAND()</f>
        <v>0.472445425505001</v>
      </c>
      <c r="S92" s="40" t="n">
        <f aca="true">RAND()</f>
        <v>0.0952562103283031</v>
      </c>
      <c r="T92" s="40" t="n">
        <f aca="true">RAND()</f>
        <v>0.653700315762264</v>
      </c>
      <c r="U92" s="40" t="n">
        <f aca="true">RAND()</f>
        <v>0.754073286370811</v>
      </c>
    </row>
    <row r="93" customFormat="false" ht="15" hidden="false" customHeight="false" outlineLevel="0" collapsed="false">
      <c r="A93" s="36" t="n">
        <v>13</v>
      </c>
      <c r="B93" s="37" t="n">
        <f aca="false">1+IF($G$6=$E$6,$F$6,IF(P93&lt;($F$6-$E$6)/($G$6-$E$6),$E$6+SQRT(P93*($G$6-$E$6)*($F$6-$E$6)),$G$6-SQRT((1-P93)*($G$6-$E$6)*($G$6-$F$6))))</f>
        <v>0.971564769879214</v>
      </c>
      <c r="C93" s="37" t="n">
        <f aca="false">1+IF($G$7=$E$7,$F$7,IF(Q93&lt;($F$7-$E$7)/($G$7-$E$7),$E$7+SQRT(Q93*($G$7-$E$7)*($F$7-$E$7)),$G$7-SQRT((1-Q93)*($G$7-$E$7)*($G$7-$F$7))))</f>
        <v>0.942838378600903</v>
      </c>
      <c r="D93" s="37" t="n">
        <f aca="false">1+IF($G$8=$E$8,$F$8,IF(R93&lt;($F$8-$E$8)/($G$8-$E$8),$E$8+SQRT(R93*($G$8-$E$8)*($F$8-$E$8)),$G$8-SQRT((1-R93)*($G$8-$E$8)*($G$8-$F$8))))</f>
        <v>0.987918797298017</v>
      </c>
      <c r="E93" s="37" t="n">
        <f aca="false">1+IF($G$9=$E$9,$F$9,IF(S93&lt;($F$9-$E$9)/($G$9-$E$9),$E$9+SQRT(S93*($G$9-$E$9)*($F$9-$E$9)),$G$9-SQRT((1-S93)*($G$9-$E$9)*($G$9-$F$9))))</f>
        <v>1.00383830359881</v>
      </c>
      <c r="F93" s="37" t="n">
        <f aca="false">1+IF($G$10=$E$10,$F$10,IF(T93&lt;($F$10-$E$10)/($G$10-$E$10),$E$10+SQRT(T93*($G$10-$E$10)*($F$10-$E$10)),$G$10-SQRT((1-T93)*($G$10-$E$10)*($G$10-$F$10))))</f>
        <v>1.02267055286287</v>
      </c>
      <c r="G93" s="38" t="n">
        <f aca="false">IF($G$11=$E$11,$F$11,IF(U93&lt;($F$11-$E$11)/($G$11-$E$11),$E$11+SQRT(U93*($G$11-$E$11)*($F$11-$E$11)),$G$11-SQRT((1-U93)*($G$11-$E$11)*($G$11-$F$11))))</f>
        <v>0.101434201231558</v>
      </c>
      <c r="H93" s="39" t="n">
        <f aca="false">(('Business Case'!B11*$C93*'Business Case'!B12*$B93)-'Business Case'!B11*$C93*'Business Case'!B13*$D93-'Business Case'!B14*$E93)-MAX(0,(('Business Case'!B11*$C93*'Business Case'!B12*$B93)-'Business Case'!B11*$C93*'Business Case'!B13*$D93-'Business Case'!B14*$E93))*'Business Case'!$B$7-'Business Case'!$B$8*('Business Case'!B11*$C93*'Business Case'!B12*$B93)-'Business Case'!B15*$F93</f>
        <v>-2045341105.72574</v>
      </c>
      <c r="I93" s="39" t="n">
        <f aca="false">(('Business Case'!C11*$C93*'Business Case'!C12*$B93)-'Business Case'!C11*$C93*'Business Case'!C13*$D93-'Business Case'!C14*$E93)-MAX(0,(('Business Case'!C11*$C93*'Business Case'!C12*$B93)-'Business Case'!C11*$C93*'Business Case'!C13*$D93-'Business Case'!C14*$E93))*'Business Case'!$B$7-'Business Case'!$B$8*(('Business Case'!C11*$C93*'Business Case'!C12*$B93)-('Business Case'!B11*$C93*'Business Case'!B12*$B93))-'Business Case'!C15*$F93</f>
        <v>-19033179.5708811</v>
      </c>
      <c r="J93" s="39" t="n">
        <f aca="false">(('Business Case'!D11*$C93*'Business Case'!D12*$B93)-'Business Case'!D11*$C93*'Business Case'!D13*$D93-'Business Case'!D14*$E93)-MAX(0,(('Business Case'!D11*$C93*'Business Case'!D12*$B93)-'Business Case'!D11*$C93*'Business Case'!D13*$D93-'Business Case'!D14*$E93))*'Business Case'!$B$7-'Business Case'!$B$8*(('Business Case'!D11*$C93*'Business Case'!D12*$B93)-('Business Case'!C11*$C93*'Business Case'!C12*$B93))-'Business Case'!D15*$F93</f>
        <v>254433423.069512</v>
      </c>
      <c r="K93" s="39" t="n">
        <f aca="false">(('Business Case'!E11*$C93*'Business Case'!E12*$B93)-'Business Case'!E11*$C93*'Business Case'!E13*$D93-'Business Case'!E14*$E93)-MAX(0,(('Business Case'!E11*$C93*'Business Case'!E12*$B93)-'Business Case'!E11*$C93*'Business Case'!E13*$D93-'Business Case'!E14*$E93))*'Business Case'!$B$7-'Business Case'!$B$8*(('Business Case'!E11*$C93*'Business Case'!E12*$B93)-('Business Case'!D11*$C93*'Business Case'!D12*$B93))-'Business Case'!E15*$F93</f>
        <v>579033553.353049</v>
      </c>
      <c r="L93" s="39" t="n">
        <f aca="false">(('Business Case'!F11*$C93*'Business Case'!F12*$B93)-'Business Case'!F11*$C93*'Business Case'!F13*$D93-'Business Case'!F14*$E93)-MAX(0,(('Business Case'!F11*$C93*'Business Case'!F12*$B93)-'Business Case'!F11*$C93*'Business Case'!F13*$D93-'Business Case'!F14*$E93))*'Business Case'!$B$7-'Business Case'!$B$8*(('Business Case'!F11*$C93*'Business Case'!F12*$B93)-('Business Case'!E11*$C93*'Business Case'!E12*$B93))-'Business Case'!F15*$F93</f>
        <v>701847034.335338</v>
      </c>
      <c r="M93" s="39" t="n">
        <f aca="false">(('Business Case'!G11*$C93*'Business Case'!G12*$B93)-'Business Case'!G11*$C93*'Business Case'!G13*$D93-'Business Case'!G14*$E93)-MAX(0,(('Business Case'!G11*$C93*'Business Case'!G12*$B93)-'Business Case'!G11*$C93*'Business Case'!G13*$D93-'Business Case'!G14*$E93))*'Business Case'!$B$7-'Business Case'!$B$8*(('Business Case'!G11*$C93*'Business Case'!G12*$B93)-('Business Case'!F11*$C93*'Business Case'!F12*$B93))-'Business Case'!G15*$F93+'Business Case'!$B$8*('Business Case'!G11*$C93*'Business Case'!G12*$B93)</f>
        <v>875965741.563874</v>
      </c>
      <c r="N93" s="39" t="n">
        <f aca="false">IF(COUNT('Business Case'!B11:G11)=0,"",H93+NPV(G93,I93:M93))</f>
        <v>-402300978.847976</v>
      </c>
      <c r="P93" s="40" t="n">
        <f aca="true">RAND()</f>
        <v>0.276971405489192</v>
      </c>
      <c r="Q93" s="40" t="n">
        <f aca="true">RAND()</f>
        <v>0.291468605733357</v>
      </c>
      <c r="R93" s="40" t="n">
        <f aca="true">RAND()</f>
        <v>0.221205413619712</v>
      </c>
      <c r="S93" s="40" t="n">
        <f aca="true">RAND()</f>
        <v>0.383528543016334</v>
      </c>
      <c r="T93" s="40" t="n">
        <f aca="true">RAND()</f>
        <v>0.371085343560793</v>
      </c>
      <c r="U93" s="40" t="n">
        <f aca="true">RAND()</f>
        <v>0.425518526816224</v>
      </c>
    </row>
    <row r="94" customFormat="false" ht="15" hidden="false" customHeight="false" outlineLevel="0" collapsed="false">
      <c r="A94" s="36" t="n">
        <v>14</v>
      </c>
      <c r="B94" s="37" t="n">
        <f aca="false">1+IF($G$6=$E$6,$F$6,IF(P94&lt;($F$6-$E$6)/($G$6-$E$6),$E$6+SQRT(P94*($G$6-$E$6)*($F$6-$E$6)),$G$6-SQRT((1-P94)*($G$6-$E$6)*($G$6-$F$6))))</f>
        <v>0.984321120202095</v>
      </c>
      <c r="C94" s="37" t="n">
        <f aca="false">1+IF($G$7=$E$7,$F$7,IF(Q94&lt;($F$7-$E$7)/($G$7-$E$7),$E$7+SQRT(Q94*($G$7-$E$7)*($F$7-$E$7)),$G$7-SQRT((1-Q94)*($G$7-$E$7)*($G$7-$F$7))))</f>
        <v>0.884306842674724</v>
      </c>
      <c r="D94" s="37" t="n">
        <f aca="false">1+IF($G$8=$E$8,$F$8,IF(R94&lt;($F$8-$E$8)/($G$8-$E$8),$E$8+SQRT(R94*($G$8-$E$8)*($F$8-$E$8)),$G$8-SQRT((1-R94)*($G$8-$E$8)*($G$8-$F$8))))</f>
        <v>1.06405254569285</v>
      </c>
      <c r="E94" s="37" t="n">
        <f aca="false">1+IF($G$9=$E$9,$F$9,IF(S94&lt;($F$9-$E$9)/($G$9-$E$9),$E$9+SQRT(S94*($G$9-$E$9)*($F$9-$E$9)),$G$9-SQRT((1-S94)*($G$9-$E$9)*($G$9-$F$9))))</f>
        <v>1.04504690343453</v>
      </c>
      <c r="F94" s="37" t="n">
        <f aca="false">1+IF($G$10=$E$10,$F$10,IF(T94&lt;($F$10-$E$10)/($G$10-$E$10),$E$10+SQRT(T94*($G$10-$E$10)*($F$10-$E$10)),$G$10-SQRT((1-T94)*($G$10-$E$10)*($G$10-$F$10))))</f>
        <v>1.10198101649885</v>
      </c>
      <c r="G94" s="38" t="n">
        <f aca="false">IF($G$11=$E$11,$F$11,IF(U94&lt;($F$11-$E$11)/($G$11-$E$11),$E$11+SQRT(U94*($G$11-$E$11)*($F$11-$E$11)),$G$11-SQRT((1-U94)*($G$11-$E$11)*($G$11-$F$11))))</f>
        <v>0.101150414821599</v>
      </c>
      <c r="H94" s="39" t="n">
        <f aca="false">(('Business Case'!B11*$C94*'Business Case'!B12*$B94)-'Business Case'!B11*$C94*'Business Case'!B13*$D94-'Business Case'!B14*$E94)-MAX(0,(('Business Case'!B11*$C94*'Business Case'!B12*$B94)-'Business Case'!B11*$C94*'Business Case'!B13*$D94-'Business Case'!B14*$E94))*'Business Case'!$B$7-'Business Case'!$B$8*('Business Case'!B11*$C94*'Business Case'!B12*$B94)-'Business Case'!B15*$F94</f>
        <v>-2203962032.9977</v>
      </c>
      <c r="I94" s="39" t="n">
        <f aca="false">(('Business Case'!C11*$C94*'Business Case'!C12*$B94)-'Business Case'!C11*$C94*'Business Case'!C13*$D94-'Business Case'!C14*$E94)-MAX(0,(('Business Case'!C11*$C94*'Business Case'!C12*$B94)-'Business Case'!C11*$C94*'Business Case'!C13*$D94-'Business Case'!C14*$E94))*'Business Case'!$B$7-'Business Case'!$B$8*(('Business Case'!C11*$C94*'Business Case'!C12*$B94)-('Business Case'!B11*$C94*'Business Case'!B12*$B94))-'Business Case'!C15*$F94</f>
        <v>-72663474.9858273</v>
      </c>
      <c r="J94" s="39" t="n">
        <f aca="false">(('Business Case'!D11*$C94*'Business Case'!D12*$B94)-'Business Case'!D11*$C94*'Business Case'!D13*$D94-'Business Case'!D14*$E94)-MAX(0,(('Business Case'!D11*$C94*'Business Case'!D12*$B94)-'Business Case'!D11*$C94*'Business Case'!D13*$D94-'Business Case'!D14*$E94))*'Business Case'!$B$7-'Business Case'!$B$8*(('Business Case'!D11*$C94*'Business Case'!D12*$B94)-('Business Case'!C11*$C94*'Business Case'!C12*$B94))-'Business Case'!D15*$F94</f>
        <v>158600529.545469</v>
      </c>
      <c r="K94" s="39" t="n">
        <f aca="false">(('Business Case'!E11*$C94*'Business Case'!E12*$B94)-'Business Case'!E11*$C94*'Business Case'!E13*$D94-'Business Case'!E14*$E94)-MAX(0,(('Business Case'!E11*$C94*'Business Case'!E12*$B94)-'Business Case'!E11*$C94*'Business Case'!E13*$D94-'Business Case'!E14*$E94))*'Business Case'!$B$7-'Business Case'!$B$8*(('Business Case'!E11*$C94*'Business Case'!E12*$B94)-('Business Case'!D11*$C94*'Business Case'!D12*$B94))-'Business Case'!E15*$F94</f>
        <v>444963584.901709</v>
      </c>
      <c r="L94" s="39" t="n">
        <f aca="false">(('Business Case'!F11*$C94*'Business Case'!F12*$B94)-'Business Case'!F11*$C94*'Business Case'!F13*$D94-'Business Case'!F14*$E94)-MAX(0,(('Business Case'!F11*$C94*'Business Case'!F12*$B94)-'Business Case'!F11*$C94*'Business Case'!F13*$D94-'Business Case'!F14*$E94))*'Business Case'!$B$7-'Business Case'!$B$8*(('Business Case'!F11*$C94*'Business Case'!F12*$B94)-('Business Case'!E11*$C94*'Business Case'!E12*$B94))-'Business Case'!F15*$F94</f>
        <v>552134058.544706</v>
      </c>
      <c r="M94" s="39" t="n">
        <f aca="false">(('Business Case'!G11*$C94*'Business Case'!G12*$B94)-'Business Case'!G11*$C94*'Business Case'!G13*$D94-'Business Case'!G14*$E94)-MAX(0,(('Business Case'!G11*$C94*'Business Case'!G12*$B94)-'Business Case'!G11*$C94*'Business Case'!G13*$D94-'Business Case'!G14*$E94))*'Business Case'!$B$7-'Business Case'!$B$8*(('Business Case'!G11*$C94*'Business Case'!G12*$B94)-('Business Case'!F11*$C94*'Business Case'!F12*$B94))-'Business Case'!G15*$F94+'Business Case'!$B$8*('Business Case'!G11*$C94*'Business Case'!G12*$B94)</f>
        <v>717587655.273818</v>
      </c>
      <c r="N94" s="39" t="n">
        <f aca="false">IF(COUNT('Business Case'!B11:G11)=0,"",H94+NPV(G94,I94:M94))</f>
        <v>-987104264.68468</v>
      </c>
      <c r="P94" s="40" t="n">
        <f aca="true">RAND()</f>
        <v>0.430959010838792</v>
      </c>
      <c r="Q94" s="40" t="n">
        <f aca="true">RAND()</f>
        <v>0.101537767454008</v>
      </c>
      <c r="R94" s="40" t="n">
        <f aca="true">RAND()</f>
        <v>0.975546028953964</v>
      </c>
      <c r="S94" s="40" t="n">
        <f aca="true">RAND()</f>
        <v>0.798677145191079</v>
      </c>
      <c r="T94" s="40" t="n">
        <f aca="true">RAND()</f>
        <v>0.80784557746803</v>
      </c>
      <c r="U94" s="40" t="n">
        <f aca="true">RAND()</f>
        <v>0.407821897670356</v>
      </c>
    </row>
    <row r="95" customFormat="false" ht="15" hidden="false" customHeight="false" outlineLevel="0" collapsed="false">
      <c r="A95" s="36" t="n">
        <v>15</v>
      </c>
      <c r="B95" s="37" t="n">
        <f aca="false">1+IF($G$6=$E$6,$F$6,IF(P95&lt;($F$6-$E$6)/($G$6-$E$6),$E$6+SQRT(P95*($G$6-$E$6)*($F$6-$E$6)),$G$6-SQRT((1-P95)*($G$6-$E$6)*($G$6-$F$6))))</f>
        <v>0.952592667198517</v>
      </c>
      <c r="C95" s="37" t="n">
        <f aca="false">1+IF($G$7=$E$7,$F$7,IF(Q95&lt;($F$7-$E$7)/($G$7-$E$7),$E$7+SQRT(Q95*($G$7-$E$7)*($F$7-$E$7)),$G$7-SQRT((1-Q95)*($G$7-$E$7)*($G$7-$F$7))))</f>
        <v>1.0354647058649</v>
      </c>
      <c r="D95" s="37" t="n">
        <f aca="false">1+IF($G$8=$E$8,$F$8,IF(R95&lt;($F$8-$E$8)/($G$8-$E$8),$E$8+SQRT(R95*($G$8-$E$8)*($F$8-$E$8)),$G$8-SQRT((1-R95)*($G$8-$E$8)*($G$8-$F$8))))</f>
        <v>0.987639773307219</v>
      </c>
      <c r="E95" s="37" t="n">
        <f aca="false">1+IF($G$9=$E$9,$F$9,IF(S95&lt;($F$9-$E$9)/($G$9-$E$9),$E$9+SQRT(S95*($G$9-$E$9)*($F$9-$E$9)),$G$9-SQRT((1-S95)*($G$9-$E$9)*($G$9-$F$9))))</f>
        <v>1.00733295128228</v>
      </c>
      <c r="F95" s="37" t="n">
        <f aca="false">1+IF($G$10=$E$10,$F$10,IF(T95&lt;($F$10-$E$10)/($G$10-$E$10),$E$10+SQRT(T95*($G$10-$E$10)*($F$10-$E$10)),$G$10-SQRT((1-T95)*($G$10-$E$10)*($G$10-$F$10))))</f>
        <v>0.995943072245834</v>
      </c>
      <c r="G95" s="38" t="n">
        <f aca="false">IF($G$11=$E$11,$F$11,IF(U95&lt;($F$11-$E$11)/($G$11-$E$11),$E$11+SQRT(U95*($G$11-$E$11)*($F$11-$E$11)),$G$11-SQRT((1-U95)*($G$11-$E$11)*($G$11-$F$11))))</f>
        <v>0.106537453288179</v>
      </c>
      <c r="H95" s="39" t="n">
        <f aca="false">(('Business Case'!B11*$C95*'Business Case'!B12*$B95)-'Business Case'!B11*$C95*'Business Case'!B13*$D95-'Business Case'!B14*$E95)-MAX(0,(('Business Case'!B11*$C95*'Business Case'!B12*$B95)-'Business Case'!B11*$C95*'Business Case'!B13*$D95-'Business Case'!B14*$E95))*'Business Case'!$B$7-'Business Case'!$B$8*('Business Case'!B11*$C95*'Business Case'!B12*$B95)-'Business Case'!B15*$F95</f>
        <v>-1991886144.49167</v>
      </c>
      <c r="I95" s="39" t="n">
        <f aca="false">(('Business Case'!C11*$C95*'Business Case'!C12*$B95)-'Business Case'!C11*$C95*'Business Case'!C13*$D95-'Business Case'!C14*$E95)-MAX(0,(('Business Case'!C11*$C95*'Business Case'!C12*$B95)-'Business Case'!C11*$C95*'Business Case'!C13*$D95-'Business Case'!C14*$E95))*'Business Case'!$B$7-'Business Case'!$B$8*(('Business Case'!C11*$C95*'Business Case'!C12*$B95)-('Business Case'!B11*$C95*'Business Case'!B12*$B95))-'Business Case'!C15*$F95</f>
        <v>-9580999.64375278</v>
      </c>
      <c r="J95" s="39" t="n">
        <f aca="false">(('Business Case'!D11*$C95*'Business Case'!D12*$B95)-'Business Case'!D11*$C95*'Business Case'!D13*$D95-'Business Case'!D14*$E95)-MAX(0,(('Business Case'!D11*$C95*'Business Case'!D12*$B95)-'Business Case'!D11*$C95*'Business Case'!D13*$D95-'Business Case'!D14*$E95))*'Business Case'!$B$7-'Business Case'!$B$8*(('Business Case'!D11*$C95*'Business Case'!D12*$B95)-('Business Case'!C11*$C95*'Business Case'!C12*$B95))-'Business Case'!D15*$F95</f>
        <v>274808789.905054</v>
      </c>
      <c r="K95" s="39" t="n">
        <f aca="false">(('Business Case'!E11*$C95*'Business Case'!E12*$B95)-'Business Case'!E11*$C95*'Business Case'!E13*$D95-'Business Case'!E14*$E95)-MAX(0,(('Business Case'!E11*$C95*'Business Case'!E12*$B95)-'Business Case'!E11*$C95*'Business Case'!E13*$D95-'Business Case'!E14*$E95))*'Business Case'!$B$7-'Business Case'!$B$8*(('Business Case'!E11*$C95*'Business Case'!E12*$B95)-('Business Case'!D11*$C95*'Business Case'!D12*$B95))-'Business Case'!E15*$F95</f>
        <v>608995733.066153</v>
      </c>
      <c r="L95" s="39" t="n">
        <f aca="false">(('Business Case'!F11*$C95*'Business Case'!F12*$B95)-'Business Case'!F11*$C95*'Business Case'!F13*$D95-'Business Case'!F14*$E95)-MAX(0,(('Business Case'!F11*$C95*'Business Case'!F12*$B95)-'Business Case'!F11*$C95*'Business Case'!F13*$D95-'Business Case'!F14*$E95))*'Business Case'!$B$7-'Business Case'!$B$8*(('Business Case'!F11*$C95*'Business Case'!F12*$B95)-('Business Case'!E11*$C95*'Business Case'!E12*$B95))-'Business Case'!F15*$F95</f>
        <v>737881487.112846</v>
      </c>
      <c r="M95" s="39" t="n">
        <f aca="false">(('Business Case'!G11*$C95*'Business Case'!G12*$B95)-'Business Case'!G11*$C95*'Business Case'!G13*$D95-'Business Case'!G14*$E95)-MAX(0,(('Business Case'!G11*$C95*'Business Case'!G12*$B95)-'Business Case'!G11*$C95*'Business Case'!G13*$D95-'Business Case'!G14*$E95))*'Business Case'!$B$7-'Business Case'!$B$8*(('Business Case'!G11*$C95*'Business Case'!G12*$B95)-('Business Case'!F11*$C95*'Business Case'!F12*$B95))-'Business Case'!G15*$F95+'Business Case'!$B$8*('Business Case'!G11*$C95*'Business Case'!G12*$B95)</f>
        <v>925371853.530178</v>
      </c>
      <c r="N95" s="39" t="n">
        <f aca="false">IF(COUNT('Business Case'!B11:G11)=0,"",H95+NPV(G95,I95:M95))</f>
        <v>-276632773.945489</v>
      </c>
      <c r="P95" s="40" t="n">
        <f aca="true">RAND()</f>
        <v>0.110654370324302</v>
      </c>
      <c r="Q95" s="40" t="n">
        <f aca="true">RAND()</f>
        <v>0.750126978997824</v>
      </c>
      <c r="R95" s="40" t="n">
        <f aca="true">RAND()</f>
        <v>0.217961928402903</v>
      </c>
      <c r="S95" s="40" t="n">
        <f aca="true">RAND()</f>
        <v>0.427521205463168</v>
      </c>
      <c r="T95" s="40" t="n">
        <f aca="true">RAND()</f>
        <v>0.168861270990874</v>
      </c>
      <c r="U95" s="40" t="n">
        <f aca="true">RAND()</f>
        <v>0.697933060053376</v>
      </c>
    </row>
    <row r="96" customFormat="false" ht="15" hidden="false" customHeight="false" outlineLevel="0" collapsed="false">
      <c r="A96" s="36" t="n">
        <v>16</v>
      </c>
      <c r="B96" s="37" t="n">
        <f aca="false">1+IF($G$6=$E$6,$F$6,IF(P96&lt;($F$6-$E$6)/($G$6-$E$6),$E$6+SQRT(P96*($G$6-$E$6)*($F$6-$E$6)),$G$6-SQRT((1-P96)*($G$6-$E$6)*($G$6-$F$6))))</f>
        <v>0.970874881331592</v>
      </c>
      <c r="C96" s="37" t="n">
        <f aca="false">1+IF($G$7=$E$7,$F$7,IF(Q96&lt;($F$7-$E$7)/($G$7-$E$7),$E$7+SQRT(Q96*($G$7-$E$7)*($F$7-$E$7)),$G$7-SQRT((1-Q96)*($G$7-$E$7)*($G$7-$F$7))))</f>
        <v>0.908145336068712</v>
      </c>
      <c r="D96" s="37" t="n">
        <f aca="false">1+IF($G$8=$E$8,$F$8,IF(R96&lt;($F$8-$E$8)/($G$8-$E$8),$E$8+SQRT(R96*($G$8-$E$8)*($F$8-$E$8)),$G$8-SQRT((1-R96)*($G$8-$E$8)*($G$8-$F$8))))</f>
        <v>1.00958278012872</v>
      </c>
      <c r="E96" s="37" t="n">
        <f aca="false">1+IF($G$9=$E$9,$F$9,IF(S96&lt;($F$9-$E$9)/($G$9-$E$9),$E$9+SQRT(S96*($G$9-$E$9)*($F$9-$E$9)),$G$9-SQRT((1-S96)*($G$9-$E$9)*($G$9-$F$9))))</f>
        <v>1.02568515828287</v>
      </c>
      <c r="F96" s="37" t="n">
        <f aca="false">1+IF($G$10=$E$10,$F$10,IF(T96&lt;($F$10-$E$10)/($G$10-$E$10),$E$10+SQRT(T96*($G$10-$E$10)*($F$10-$E$10)),$G$10-SQRT((1-T96)*($G$10-$E$10)*($G$10-$F$10))))</f>
        <v>1.16187428002478</v>
      </c>
      <c r="G96" s="38" t="n">
        <f aca="false">IF($G$11=$E$11,$F$11,IF(U96&lt;($F$11-$E$11)/($G$11-$E$11),$E$11+SQRT(U96*($G$11-$E$11)*($F$11-$E$11)),$G$11-SQRT((1-U96)*($G$11-$E$11)*($G$11-$F$11))))</f>
        <v>0.0974089623236589</v>
      </c>
      <c r="H96" s="39" t="n">
        <f aca="false">(('Business Case'!B11*$C96*'Business Case'!B12*$B96)-'Business Case'!B11*$C96*'Business Case'!B13*$D96-'Business Case'!B14*$E96)-MAX(0,(('Business Case'!B11*$C96*'Business Case'!B12*$B96)-'Business Case'!B11*$C96*'Business Case'!B13*$D96-'Business Case'!B14*$E96))*'Business Case'!$B$7-'Business Case'!$B$8*('Business Case'!B11*$C96*'Business Case'!B12*$B96)-'Business Case'!B15*$F96</f>
        <v>-2323748560.04957</v>
      </c>
      <c r="I96" s="39" t="n">
        <f aca="false">(('Business Case'!C11*$C96*'Business Case'!C12*$B96)-'Business Case'!C11*$C96*'Business Case'!C13*$D96-'Business Case'!C14*$E96)-MAX(0,(('Business Case'!C11*$C96*'Business Case'!C12*$B96)-'Business Case'!C11*$C96*'Business Case'!C13*$D96-'Business Case'!C14*$E96))*'Business Case'!$B$7-'Business Case'!$B$8*(('Business Case'!C11*$C96*'Business Case'!C12*$B96)-('Business Case'!B11*$C96*'Business Case'!B12*$B96))-'Business Case'!C15*$F96</f>
        <v>-54927632.6540512</v>
      </c>
      <c r="J96" s="39" t="n">
        <f aca="false">(('Business Case'!D11*$C96*'Business Case'!D12*$B96)-'Business Case'!D11*$C96*'Business Case'!D13*$D96-'Business Case'!D14*$E96)-MAX(0,(('Business Case'!D11*$C96*'Business Case'!D12*$B96)-'Business Case'!D11*$C96*'Business Case'!D13*$D96-'Business Case'!D14*$E96))*'Business Case'!$B$7-'Business Case'!$B$8*(('Business Case'!D11*$C96*'Business Case'!D12*$B96)-('Business Case'!C11*$C96*'Business Case'!C12*$B96))-'Business Case'!D15*$F96</f>
        <v>197891686.683091</v>
      </c>
      <c r="K96" s="39" t="n">
        <f aca="false">(('Business Case'!E11*$C96*'Business Case'!E12*$B96)-'Business Case'!E11*$C96*'Business Case'!E13*$D96-'Business Case'!E14*$E96)-MAX(0,(('Business Case'!E11*$C96*'Business Case'!E12*$B96)-'Business Case'!E11*$C96*'Business Case'!E13*$D96-'Business Case'!E14*$E96))*'Business Case'!$B$7-'Business Case'!$B$8*(('Business Case'!E11*$C96*'Business Case'!E12*$B96)-('Business Case'!D11*$C96*'Business Case'!D12*$B96))-'Business Case'!E15*$F96</f>
        <v>508804720.021472</v>
      </c>
      <c r="L96" s="39" t="n">
        <f aca="false">(('Business Case'!F11*$C96*'Business Case'!F12*$B96)-'Business Case'!F11*$C96*'Business Case'!F13*$D96-'Business Case'!F14*$E96)-MAX(0,(('Business Case'!F11*$C96*'Business Case'!F12*$B96)-'Business Case'!F11*$C96*'Business Case'!F13*$D96-'Business Case'!F14*$E96))*'Business Case'!$B$7-'Business Case'!$B$8*(('Business Case'!F11*$C96*'Business Case'!F12*$B96)-('Business Case'!E11*$C96*'Business Case'!E12*$B96))-'Business Case'!F15*$F96</f>
        <v>623549222.78778</v>
      </c>
      <c r="M96" s="39" t="n">
        <f aca="false">(('Business Case'!G11*$C96*'Business Case'!G12*$B96)-'Business Case'!G11*$C96*'Business Case'!G13*$D96-'Business Case'!G14*$E96)-MAX(0,(('Business Case'!G11*$C96*'Business Case'!G12*$B96)-'Business Case'!G11*$C96*'Business Case'!G13*$D96-'Business Case'!G14*$E96))*'Business Case'!$B$7-'Business Case'!$B$8*(('Business Case'!G11*$C96*'Business Case'!G12*$B96)-('Business Case'!F11*$C96*'Business Case'!F12*$B96))-'Business Case'!G15*$F96+'Business Case'!$B$8*('Business Case'!G11*$C96*'Business Case'!G12*$B96)</f>
        <v>791141902.551046</v>
      </c>
      <c r="N96" s="39" t="n">
        <f aca="false">IF(COUNT('Business Case'!B11:G11)=0,"",H96+NPV(G96,I96:M96))</f>
        <v>-897501523.457299</v>
      </c>
      <c r="P96" s="40" t="n">
        <f aca="true">RAND()</f>
        <v>0.269609744844122</v>
      </c>
      <c r="Q96" s="40" t="n">
        <f aca="true">RAND()</f>
        <v>0.167077338763067</v>
      </c>
      <c r="R96" s="40" t="n">
        <f aca="true">RAND()</f>
        <v>0.523212994769209</v>
      </c>
      <c r="S96" s="40" t="n">
        <f aca="true">RAND()</f>
        <v>0.631820286703902</v>
      </c>
      <c r="T96" s="40" t="n">
        <f aca="true">RAND()</f>
        <v>0.970928589527427</v>
      </c>
      <c r="U96" s="40" t="n">
        <f aca="true">RAND()</f>
        <v>0.182975742377988</v>
      </c>
    </row>
    <row r="97" customFormat="false" ht="15" hidden="false" customHeight="false" outlineLevel="0" collapsed="false">
      <c r="A97" s="36" t="n">
        <v>17</v>
      </c>
      <c r="B97" s="37" t="n">
        <f aca="false">1+IF($G$6=$E$6,$F$6,IF(P97&lt;($F$6-$E$6)/($G$6-$E$6),$E$6+SQRT(P97*($G$6-$E$6)*($F$6-$E$6)),$G$6-SQRT((1-P97)*($G$6-$E$6)*($G$6-$F$6))))</f>
        <v>0.989398241983897</v>
      </c>
      <c r="C97" s="37" t="n">
        <f aca="false">1+IF($G$7=$E$7,$F$7,IF(Q97&lt;($F$7-$E$7)/($G$7-$E$7),$E$7+SQRT(Q97*($G$7-$E$7)*($F$7-$E$7)),$G$7-SQRT((1-Q97)*($G$7-$E$7)*($G$7-$F$7))))</f>
        <v>0.953515724169983</v>
      </c>
      <c r="D97" s="37" t="n">
        <f aca="false">1+IF($G$8=$E$8,$F$8,IF(R97&lt;($F$8-$E$8)/($G$8-$E$8),$E$8+SQRT(R97*($G$8-$E$8)*($F$8-$E$8)),$G$8-SQRT((1-R97)*($G$8-$E$8)*($G$8-$F$8))))</f>
        <v>1.01606363734777</v>
      </c>
      <c r="E97" s="37" t="n">
        <f aca="false">1+IF($G$9=$E$9,$F$9,IF(S97&lt;($F$9-$E$9)/($G$9-$E$9),$E$9+SQRT(S97*($G$9-$E$9)*($F$9-$E$9)),$G$9-SQRT((1-S97)*($G$9-$E$9)*($G$9-$F$9))))</f>
        <v>1.03475175368871</v>
      </c>
      <c r="F97" s="37" t="n">
        <f aca="false">1+IF($G$10=$E$10,$F$10,IF(T97&lt;($F$10-$E$10)/($G$10-$E$10),$E$10+SQRT(T97*($G$10-$E$10)*($F$10-$E$10)),$G$10-SQRT((1-T97)*($G$10-$E$10)*($G$10-$F$10))))</f>
        <v>1.0956696447545</v>
      </c>
      <c r="G97" s="38" t="n">
        <f aca="false">IF($G$11=$E$11,$F$11,IF(U97&lt;($F$11-$E$11)/($G$11-$E$11),$E$11+SQRT(U97*($G$11-$E$11)*($F$11-$E$11)),$G$11-SQRT((1-U97)*($G$11-$E$11)*($G$11-$F$11))))</f>
        <v>0.106498795193741</v>
      </c>
      <c r="H97" s="39" t="n">
        <f aca="false">(('Business Case'!B11*$C97*'Business Case'!B12*$B97)-'Business Case'!B11*$C97*'Business Case'!B13*$D97-'Business Case'!B14*$E97)-MAX(0,(('Business Case'!B11*$C97*'Business Case'!B12*$B97)-'Business Case'!B11*$C97*'Business Case'!B13*$D97-'Business Case'!B14*$E97))*'Business Case'!$B$7-'Business Case'!$B$8*('Business Case'!B11*$C97*'Business Case'!B12*$B97)-'Business Case'!B15*$F97</f>
        <v>-2191339289.509</v>
      </c>
      <c r="I97" s="39" t="n">
        <f aca="false">(('Business Case'!C11*$C97*'Business Case'!C12*$B97)-'Business Case'!C11*$C97*'Business Case'!C13*$D97-'Business Case'!C14*$E97)-MAX(0,(('Business Case'!C11*$C97*'Business Case'!C12*$B97)-'Business Case'!C11*$C97*'Business Case'!C13*$D97-'Business Case'!C14*$E97))*'Business Case'!$B$7-'Business Case'!$B$8*(('Business Case'!C11*$C97*'Business Case'!C12*$B97)-('Business Case'!B11*$C97*'Business Case'!B12*$B97))-'Business Case'!C15*$F97</f>
        <v>-28861605.0294943</v>
      </c>
      <c r="J97" s="39" t="n">
        <f aca="false">(('Business Case'!D11*$C97*'Business Case'!D12*$B97)-'Business Case'!D11*$C97*'Business Case'!D13*$D97-'Business Case'!D14*$E97)-MAX(0,(('Business Case'!D11*$C97*'Business Case'!D12*$B97)-'Business Case'!D11*$C97*'Business Case'!D13*$D97-'Business Case'!D14*$E97))*'Business Case'!$B$7-'Business Case'!$B$8*(('Business Case'!D11*$C97*'Business Case'!D12*$B97)-('Business Case'!C11*$C97*'Business Case'!C12*$B97))-'Business Case'!D15*$F97</f>
        <v>247891661.328289</v>
      </c>
      <c r="K97" s="39" t="n">
        <f aca="false">(('Business Case'!E11*$C97*'Business Case'!E12*$B97)-'Business Case'!E11*$C97*'Business Case'!E13*$D97-'Business Case'!E14*$E97)-MAX(0,(('Business Case'!E11*$C97*'Business Case'!E12*$B97)-'Business Case'!E11*$C97*'Business Case'!E13*$D97-'Business Case'!E14*$E97))*'Business Case'!$B$7-'Business Case'!$B$8*(('Business Case'!E11*$C97*'Business Case'!E12*$B97)-('Business Case'!D11*$C97*'Business Case'!D12*$B97))-'Business Case'!E15*$F97</f>
        <v>579428409.923797</v>
      </c>
      <c r="L97" s="39" t="n">
        <f aca="false">(('Business Case'!F11*$C97*'Business Case'!F12*$B97)-'Business Case'!F11*$C97*'Business Case'!F13*$D97-'Business Case'!F14*$E97)-MAX(0,(('Business Case'!F11*$C97*'Business Case'!F12*$B97)-'Business Case'!F11*$C97*'Business Case'!F13*$D97-'Business Case'!F14*$E97))*'Business Case'!$B$7-'Business Case'!$B$8*(('Business Case'!F11*$C97*'Business Case'!F12*$B97)-('Business Case'!E11*$C97*'Business Case'!E12*$B97))-'Business Case'!F15*$F97</f>
        <v>704283637.067921</v>
      </c>
      <c r="M97" s="39" t="n">
        <f aca="false">(('Business Case'!G11*$C97*'Business Case'!G12*$B97)-'Business Case'!G11*$C97*'Business Case'!G13*$D97-'Business Case'!G14*$E97)-MAX(0,(('Business Case'!G11*$C97*'Business Case'!G12*$B97)-'Business Case'!G11*$C97*'Business Case'!G13*$D97-'Business Case'!G14*$E97))*'Business Case'!$B$7-'Business Case'!$B$8*(('Business Case'!G11*$C97*'Business Case'!G12*$B97)-('Business Case'!F11*$C97*'Business Case'!F12*$B97))-'Business Case'!G15*$F97+'Business Case'!$B$8*('Business Case'!G11*$C97*'Business Case'!G12*$B97)</f>
        <v>883606398.037996</v>
      </c>
      <c r="N97" s="39" t="n">
        <f aca="false">IF(COUNT('Business Case'!B11:G11)=0,"",H97+NPV(G97,I97:M97))</f>
        <v>-584686125.270716</v>
      </c>
      <c r="P97" s="40" t="n">
        <f aca="true">RAND()</f>
        <v>0.501678749005788</v>
      </c>
      <c r="Q97" s="40" t="n">
        <f aca="true">RAND()</f>
        <v>0.336672536677632</v>
      </c>
      <c r="R97" s="40" t="n">
        <f aca="true">RAND()</f>
        <v>0.606936685654109</v>
      </c>
      <c r="S97" s="40" t="n">
        <f aca="true">RAND()</f>
        <v>0.716177756886772</v>
      </c>
      <c r="T97" s="40" t="n">
        <f aca="true">RAND()</f>
        <v>0.782303539486947</v>
      </c>
      <c r="U97" s="40" t="n">
        <f aca="true">RAND()</f>
        <v>0.696195781299101</v>
      </c>
    </row>
    <row r="98" customFormat="false" ht="15" hidden="false" customHeight="false" outlineLevel="0" collapsed="false">
      <c r="A98" s="36" t="n">
        <v>18</v>
      </c>
      <c r="B98" s="37" t="n">
        <f aca="false">1+IF($G$6=$E$6,$F$6,IF(P98&lt;($F$6-$E$6)/($G$6-$E$6),$E$6+SQRT(P98*($G$6-$E$6)*($F$6-$E$6)),$G$6-SQRT((1-P98)*($G$6-$E$6)*($G$6-$F$6))))</f>
        <v>1.02408956500973</v>
      </c>
      <c r="C98" s="37" t="n">
        <f aca="false">1+IF($G$7=$E$7,$F$7,IF(Q98&lt;($F$7-$E$7)/($G$7-$E$7),$E$7+SQRT(Q98*($G$7-$E$7)*($F$7-$E$7)),$G$7-SQRT((1-Q98)*($G$7-$E$7)*($G$7-$F$7))))</f>
        <v>0.913141028109377</v>
      </c>
      <c r="D98" s="37" t="n">
        <f aca="false">1+IF($G$8=$E$8,$F$8,IF(R98&lt;($F$8-$E$8)/($G$8-$E$8),$E$8+SQRT(R98*($G$8-$E$8)*($F$8-$E$8)),$G$8-SQRT((1-R98)*($G$8-$E$8)*($G$8-$F$8))))</f>
        <v>0.971588386279865</v>
      </c>
      <c r="E98" s="37" t="n">
        <f aca="false">1+IF($G$9=$E$9,$F$9,IF(S98&lt;($F$9-$E$9)/($G$9-$E$9),$E$9+SQRT(S98*($G$9-$E$9)*($F$9-$E$9)),$G$9-SQRT((1-S98)*($G$9-$E$9)*($G$9-$F$9))))</f>
        <v>1.06567511145905</v>
      </c>
      <c r="F98" s="37" t="n">
        <f aca="false">1+IF($G$10=$E$10,$F$10,IF(T98&lt;($F$10-$E$10)/($G$10-$E$10),$E$10+SQRT(T98*($G$10-$E$10)*($F$10-$E$10)),$G$10-SQRT((1-T98)*($G$10-$E$10)*($G$10-$F$10))))</f>
        <v>0.986429995299934</v>
      </c>
      <c r="G98" s="38" t="n">
        <f aca="false">IF($G$11=$E$11,$F$11,IF(U98&lt;($F$11-$E$11)/($G$11-$E$11),$E$11+SQRT(U98*($G$11-$E$11)*($F$11-$E$11)),$G$11-SQRT((1-U98)*($G$11-$E$11)*($G$11-$F$11))))</f>
        <v>0.108987403177278</v>
      </c>
      <c r="H98" s="39" t="n">
        <f aca="false">(('Business Case'!B11*$C98*'Business Case'!B12*$B98)-'Business Case'!B11*$C98*'Business Case'!B13*$D98-'Business Case'!B14*$E98)-MAX(0,(('Business Case'!B11*$C98*'Business Case'!B12*$B98)-'Business Case'!B11*$C98*'Business Case'!B13*$D98-'Business Case'!B14*$E98))*'Business Case'!$B$7-'Business Case'!$B$8*('Business Case'!B11*$C98*'Business Case'!B12*$B98)-'Business Case'!B15*$F98</f>
        <v>-1972859990.59987</v>
      </c>
      <c r="I98" s="39" t="n">
        <f aca="false">(('Business Case'!C11*$C98*'Business Case'!C12*$B98)-'Business Case'!C11*$C98*'Business Case'!C13*$D98-'Business Case'!C14*$E98)-MAX(0,(('Business Case'!C11*$C98*'Business Case'!C12*$B98)-'Business Case'!C11*$C98*'Business Case'!C13*$D98-'Business Case'!C14*$E98))*'Business Case'!$B$7-'Business Case'!$B$8*(('Business Case'!C11*$C98*'Business Case'!C12*$B98)-('Business Case'!B11*$C98*'Business Case'!B12*$B98))-'Business Case'!C15*$F98</f>
        <v>13111949.9436155</v>
      </c>
      <c r="J98" s="39" t="n">
        <f aca="false">(('Business Case'!D11*$C98*'Business Case'!D12*$B98)-'Business Case'!D11*$C98*'Business Case'!D13*$D98-'Business Case'!D14*$E98)-MAX(0,(('Business Case'!D11*$C98*'Business Case'!D12*$B98)-'Business Case'!D11*$C98*'Business Case'!D13*$D98-'Business Case'!D14*$E98))*'Business Case'!$B$7-'Business Case'!$B$8*(('Business Case'!D11*$C98*'Business Case'!D12*$B98)-('Business Case'!C11*$C98*'Business Case'!C12*$B98))-'Business Case'!D15*$F98</f>
        <v>324883464.46497</v>
      </c>
      <c r="K98" s="39" t="n">
        <f aca="false">(('Business Case'!E11*$C98*'Business Case'!E12*$B98)-'Business Case'!E11*$C98*'Business Case'!E13*$D98-'Business Case'!E14*$E98)-MAX(0,(('Business Case'!E11*$C98*'Business Case'!E12*$B98)-'Business Case'!E11*$C98*'Business Case'!E13*$D98-'Business Case'!E14*$E98))*'Business Case'!$B$7-'Business Case'!$B$8*(('Business Case'!E11*$C98*'Business Case'!E12*$B98)-('Business Case'!D11*$C98*'Business Case'!D12*$B98))-'Business Case'!E15*$F98</f>
        <v>685976478.751321</v>
      </c>
      <c r="L98" s="39" t="n">
        <f aca="false">(('Business Case'!F11*$C98*'Business Case'!F12*$B98)-'Business Case'!F11*$C98*'Business Case'!F13*$D98-'Business Case'!F14*$E98)-MAX(0,(('Business Case'!F11*$C98*'Business Case'!F12*$B98)-'Business Case'!F11*$C98*'Business Case'!F13*$D98-'Business Case'!F14*$E98))*'Business Case'!$B$7-'Business Case'!$B$8*(('Business Case'!F11*$C98*'Business Case'!F12*$B98)-('Business Case'!E11*$C98*'Business Case'!E12*$B98))-'Business Case'!F15*$F98</f>
        <v>822218693.057285</v>
      </c>
      <c r="M98" s="39" t="n">
        <f aca="false">(('Business Case'!G11*$C98*'Business Case'!G12*$B98)-'Business Case'!G11*$C98*'Business Case'!G13*$D98-'Business Case'!G14*$E98)-MAX(0,(('Business Case'!G11*$C98*'Business Case'!G12*$B98)-'Business Case'!G11*$C98*'Business Case'!G13*$D98-'Business Case'!G14*$E98))*'Business Case'!$B$7-'Business Case'!$B$8*(('Business Case'!G11*$C98*'Business Case'!G12*$B98)-('Business Case'!F11*$C98*'Business Case'!F12*$B98))-'Business Case'!G15*$F98+'Business Case'!$B$8*('Business Case'!G11*$C98*'Business Case'!G12*$B98)</f>
        <v>999969761.78427</v>
      </c>
      <c r="N98" s="39" t="n">
        <f aca="false">IF(COUNT('Business Case'!B11:G11)=0,"",H98+NPV(G98,I98:M98))</f>
        <v>-54167473.0381091</v>
      </c>
      <c r="P98" s="40" t="n">
        <f aca="true">RAND()</f>
        <v>0.947262095504243</v>
      </c>
      <c r="Q98" s="40" t="n">
        <f aca="true">RAND()</f>
        <v>0.182869889166382</v>
      </c>
      <c r="R98" s="40" t="n">
        <f aca="true">RAND()</f>
        <v>0.0717012957182553</v>
      </c>
      <c r="S98" s="40" t="n">
        <f aca="true">RAND()</f>
        <v>0.921453468443426</v>
      </c>
      <c r="T98" s="40" t="n">
        <f aca="true">RAND()</f>
        <v>0.106171564604259</v>
      </c>
      <c r="U98" s="40" t="n">
        <f aca="true">RAND()</f>
        <v>0.797871185366965</v>
      </c>
    </row>
    <row r="99" customFormat="false" ht="15" hidden="false" customHeight="false" outlineLevel="0" collapsed="false">
      <c r="A99" s="36" t="n">
        <v>19</v>
      </c>
      <c r="B99" s="37" t="n">
        <f aca="false">1+IF($G$6=$E$6,$F$6,IF(P99&lt;($F$6-$E$6)/($G$6-$E$6),$E$6+SQRT(P99*($G$6-$E$6)*($F$6-$E$6)),$G$6-SQRT((1-P99)*($G$6-$E$6)*($G$6-$F$6))))</f>
        <v>0.974280476355282</v>
      </c>
      <c r="C99" s="37" t="n">
        <f aca="false">1+IF($G$7=$E$7,$F$7,IF(Q99&lt;($F$7-$E$7)/($G$7-$E$7),$E$7+SQRT(Q99*($G$7-$E$7)*($F$7-$E$7)),$G$7-SQRT((1-Q99)*($G$7-$E$7)*($G$7-$F$7))))</f>
        <v>0.949512996365066</v>
      </c>
      <c r="D99" s="37" t="n">
        <f aca="false">1+IF($G$8=$E$8,$F$8,IF(R99&lt;($F$8-$E$8)/($G$8-$E$8),$E$8+SQRT(R99*($G$8-$E$8)*($F$8-$E$8)),$G$8-SQRT((1-R99)*($G$8-$E$8)*($G$8-$F$8))))</f>
        <v>1.01208053509444</v>
      </c>
      <c r="E99" s="37" t="n">
        <f aca="false">1+IF($G$9=$E$9,$F$9,IF(S99&lt;($F$9-$E$9)/($G$9-$E$9),$E$9+SQRT(S99*($G$9-$E$9)*($F$9-$E$9)),$G$9-SQRT((1-S99)*($G$9-$E$9)*($G$9-$F$9))))</f>
        <v>1.05066975692305</v>
      </c>
      <c r="F99" s="37" t="n">
        <f aca="false">1+IF($G$10=$E$10,$F$10,IF(T99&lt;($F$10-$E$10)/($G$10-$E$10),$E$10+SQRT(T99*($G$10-$E$10)*($F$10-$E$10)),$G$10-SQRT((1-T99)*($G$10-$E$10)*($G$10-$F$10))))</f>
        <v>1.04872353381129</v>
      </c>
      <c r="G99" s="38" t="n">
        <f aca="false">IF($G$11=$E$11,$F$11,IF(U99&lt;($F$11-$E$11)/($G$11-$E$11),$E$11+SQRT(U99*($G$11-$E$11)*($F$11-$E$11)),$G$11-SQRT((1-U99)*($G$11-$E$11)*($G$11-$F$11))))</f>
        <v>0.101182542534301</v>
      </c>
      <c r="H99" s="39" t="n">
        <f aca="false">(('Business Case'!B11*$C99*'Business Case'!B12*$B99)-'Business Case'!B11*$C99*'Business Case'!B13*$D99-'Business Case'!B14*$E99)-MAX(0,(('Business Case'!B11*$C99*'Business Case'!B12*$B99)-'Business Case'!B11*$C99*'Business Case'!B13*$D99-'Business Case'!B14*$E99))*'Business Case'!$B$7-'Business Case'!$B$8*('Business Case'!B11*$C99*'Business Case'!B12*$B99)-'Business Case'!B15*$F99</f>
        <v>-2097447067.62258</v>
      </c>
      <c r="I99" s="39" t="n">
        <f aca="false">(('Business Case'!C11*$C99*'Business Case'!C12*$B99)-'Business Case'!C11*$C99*'Business Case'!C13*$D99-'Business Case'!C14*$E99)-MAX(0,(('Business Case'!C11*$C99*'Business Case'!C12*$B99)-'Business Case'!C11*$C99*'Business Case'!C13*$D99-'Business Case'!C14*$E99))*'Business Case'!$B$7-'Business Case'!$B$8*(('Business Case'!C11*$C99*'Business Case'!C12*$B99)-('Business Case'!B11*$C99*'Business Case'!B12*$B99))-'Business Case'!C15*$F99</f>
        <v>-36464162.5973001</v>
      </c>
      <c r="J99" s="39" t="n">
        <f aca="false">(('Business Case'!D11*$C99*'Business Case'!D12*$B99)-'Business Case'!D11*$C99*'Business Case'!D13*$D99-'Business Case'!D14*$E99)-MAX(0,(('Business Case'!D11*$C99*'Business Case'!D12*$B99)-'Business Case'!D11*$C99*'Business Case'!D13*$D99-'Business Case'!D14*$E99))*'Business Case'!$B$7-'Business Case'!$B$8*(('Business Case'!D11*$C99*'Business Case'!D12*$B99)-('Business Case'!C11*$C99*'Business Case'!C12*$B99))-'Business Case'!D15*$F99</f>
        <v>229306035.574094</v>
      </c>
      <c r="K99" s="39" t="n">
        <f aca="false">(('Business Case'!E11*$C99*'Business Case'!E12*$B99)-'Business Case'!E11*$C99*'Business Case'!E13*$D99-'Business Case'!E14*$E99)-MAX(0,(('Business Case'!E11*$C99*'Business Case'!E12*$B99)-'Business Case'!E11*$C99*'Business Case'!E13*$D99-'Business Case'!E14*$E99))*'Business Case'!$B$7-'Business Case'!$B$8*(('Business Case'!E11*$C99*'Business Case'!E12*$B99)-('Business Case'!D11*$C99*'Business Case'!D12*$B99))-'Business Case'!E15*$F99</f>
        <v>547512410.436052</v>
      </c>
      <c r="L99" s="39" t="n">
        <f aca="false">(('Business Case'!F11*$C99*'Business Case'!F12*$B99)-'Business Case'!F11*$C99*'Business Case'!F13*$D99-'Business Case'!F14*$E99)-MAX(0,(('Business Case'!F11*$C99*'Business Case'!F12*$B99)-'Business Case'!F11*$C99*'Business Case'!F13*$D99-'Business Case'!F14*$E99))*'Business Case'!$B$7-'Business Case'!$B$8*(('Business Case'!F11*$C99*'Business Case'!F12*$B99)-('Business Case'!E11*$C99*'Business Case'!E12*$B99))-'Business Case'!F15*$F99</f>
        <v>668073655.128588</v>
      </c>
      <c r="M99" s="39" t="n">
        <f aca="false">(('Business Case'!G11*$C99*'Business Case'!G12*$B99)-'Business Case'!G11*$C99*'Business Case'!G13*$D99-'Business Case'!G14*$E99)-MAX(0,(('Business Case'!G11*$C99*'Business Case'!G12*$B99)-'Business Case'!G11*$C99*'Business Case'!G13*$D99-'Business Case'!G14*$E99))*'Business Case'!$B$7-'Business Case'!$B$8*(('Business Case'!G11*$C99*'Business Case'!G12*$B99)-('Business Case'!F11*$C99*'Business Case'!F12*$B99))-'Business Case'!G15*$F99+'Business Case'!$B$8*('Business Case'!G11*$C99*'Business Case'!G12*$B99)</f>
        <v>843915137.623317</v>
      </c>
      <c r="N99" s="39" t="n">
        <f aca="false">IF(COUNT('Business Case'!B11:G11)=0,"",H99+NPV(G99,I99:M99))</f>
        <v>-555884310.275743</v>
      </c>
      <c r="P99" s="40" t="n">
        <f aca="true">RAND()</f>
        <v>0.306913553474615</v>
      </c>
      <c r="Q99" s="40" t="n">
        <f aca="true">RAND()</f>
        <v>0.319344801172288</v>
      </c>
      <c r="R99" s="40" t="n">
        <f aca="true">RAND()</f>
        <v>0.556437142975292</v>
      </c>
      <c r="S99" s="40" t="n">
        <f aca="true">RAND()</f>
        <v>0.837768474531239</v>
      </c>
      <c r="T99" s="40" t="n">
        <f aca="true">RAND()</f>
        <v>0.542308615549115</v>
      </c>
      <c r="U99" s="40" t="n">
        <f aca="true">RAND()</f>
        <v>0.409838824211014</v>
      </c>
    </row>
    <row r="100" customFormat="false" ht="15" hidden="false" customHeight="false" outlineLevel="0" collapsed="false">
      <c r="A100" s="36" t="n">
        <v>20</v>
      </c>
      <c r="B100" s="37" t="n">
        <f aca="false">1+IF($G$6=$E$6,$F$6,IF(P100&lt;($F$6-$E$6)/($G$6-$E$6),$E$6+SQRT(P100*($G$6-$E$6)*($F$6-$E$6)),$G$6-SQRT((1-P100)*($G$6-$E$6)*($G$6-$F$6))))</f>
        <v>1.00198076185574</v>
      </c>
      <c r="C100" s="37" t="n">
        <f aca="false">1+IF($G$7=$E$7,$F$7,IF(Q100&lt;($F$7-$E$7)/($G$7-$E$7),$E$7+SQRT(Q100*($G$7-$E$7)*($F$7-$E$7)),$G$7-SQRT((1-Q100)*($G$7-$E$7)*($G$7-$F$7))))</f>
        <v>0.961290399870569</v>
      </c>
      <c r="D100" s="37" t="n">
        <f aca="false">1+IF($G$8=$E$8,$F$8,IF(R100&lt;($F$8-$E$8)/($G$8-$E$8),$E$8+SQRT(R100*($G$8-$E$8)*($F$8-$E$8)),$G$8-SQRT((1-R100)*($G$8-$E$8)*($G$8-$F$8))))</f>
        <v>1.04887181635409</v>
      </c>
      <c r="E100" s="37" t="n">
        <f aca="false">1+IF($G$9=$E$9,$F$9,IF(S100&lt;($F$9-$E$9)/($G$9-$E$9),$E$9+SQRT(S100*($G$9-$E$9)*($F$9-$E$9)),$G$9-SQRT((1-S100)*($G$9-$E$9)*($G$9-$F$9))))</f>
        <v>1.02864238608003</v>
      </c>
      <c r="F100" s="37" t="n">
        <f aca="false">1+IF($G$10=$E$10,$F$10,IF(T100&lt;($F$10-$E$10)/($G$10-$E$10),$E$10+SQRT(T100*($G$10-$E$10)*($F$10-$E$10)),$G$10-SQRT((1-T100)*($G$10-$E$10)*($G$10-$F$10))))</f>
        <v>0.998702245568919</v>
      </c>
      <c r="G100" s="38" t="n">
        <f aca="false">IF($G$11=$E$11,$F$11,IF(U100&lt;($F$11-$E$11)/($G$11-$E$11),$E$11+SQRT(U100*($G$11-$E$11)*($F$11-$E$11)),$G$11-SQRT((1-U100)*($G$11-$E$11)*($G$11-$F$11))))</f>
        <v>0.0977734547579178</v>
      </c>
      <c r="H100" s="39" t="n">
        <f aca="false">(('Business Case'!B11*$C100*'Business Case'!B12*$B100)-'Business Case'!B11*$C100*'Business Case'!B13*$D100-'Business Case'!B14*$E100)-MAX(0,(('Business Case'!B11*$C100*'Business Case'!B12*$B100)-'Business Case'!B11*$C100*'Business Case'!B13*$D100-'Business Case'!B14*$E100))*'Business Case'!$B$7-'Business Case'!$B$8*('Business Case'!B11*$C100*'Business Case'!B12*$B100)-'Business Case'!B15*$F100</f>
        <v>-1997404491.13784</v>
      </c>
      <c r="I100" s="39" t="n">
        <f aca="false">(('Business Case'!C11*$C100*'Business Case'!C12*$B100)-'Business Case'!C11*$C100*'Business Case'!C13*$D100-'Business Case'!C14*$E100)-MAX(0,(('Business Case'!C11*$C100*'Business Case'!C12*$B100)-'Business Case'!C11*$C100*'Business Case'!C13*$D100-'Business Case'!C14*$E100))*'Business Case'!$B$7-'Business Case'!$B$8*(('Business Case'!C11*$C100*'Business Case'!C12*$B100)-('Business Case'!B11*$C100*'Business Case'!B12*$B100))-'Business Case'!C15*$F100</f>
        <v>-23303326.1718366</v>
      </c>
      <c r="J100" s="39" t="n">
        <f aca="false">(('Business Case'!D11*$C100*'Business Case'!D12*$B100)-'Business Case'!D11*$C100*'Business Case'!D13*$D100-'Business Case'!D14*$E100)-MAX(0,(('Business Case'!D11*$C100*'Business Case'!D12*$B100)-'Business Case'!D11*$C100*'Business Case'!D13*$D100-'Business Case'!D14*$E100))*'Business Case'!$B$7-'Business Case'!$B$8*(('Business Case'!D11*$C100*'Business Case'!D12*$B100)-('Business Case'!C11*$C100*'Business Case'!C12*$B100))-'Business Case'!D15*$F100</f>
        <v>249468521.731642</v>
      </c>
      <c r="K100" s="39" t="n">
        <f aca="false">(('Business Case'!E11*$C100*'Business Case'!E12*$B100)-'Business Case'!E11*$C100*'Business Case'!E13*$D100-'Business Case'!E14*$E100)-MAX(0,(('Business Case'!E11*$C100*'Business Case'!E12*$B100)-'Business Case'!E11*$C100*'Business Case'!E13*$D100-'Business Case'!E14*$E100))*'Business Case'!$B$7-'Business Case'!$B$8*(('Business Case'!E11*$C100*'Business Case'!E12*$B100)-('Business Case'!D11*$C100*'Business Case'!D12*$B100))-'Business Case'!E15*$F100</f>
        <v>572175481.913567</v>
      </c>
      <c r="L100" s="39" t="n">
        <f aca="false">(('Business Case'!F11*$C100*'Business Case'!F12*$B100)-'Business Case'!F11*$C100*'Business Case'!F13*$D100-'Business Case'!F14*$E100)-MAX(0,(('Business Case'!F11*$C100*'Business Case'!F12*$B100)-'Business Case'!F11*$C100*'Business Case'!F13*$D100-'Business Case'!F14*$E100))*'Business Case'!$B$7-'Business Case'!$B$8*(('Business Case'!F11*$C100*'Business Case'!F12*$B100)-('Business Case'!E11*$C100*'Business Case'!E12*$B100))-'Business Case'!F15*$F100</f>
        <v>696387432.693288</v>
      </c>
      <c r="M100" s="39" t="n">
        <f aca="false">(('Business Case'!G11*$C100*'Business Case'!G12*$B100)-'Business Case'!G11*$C100*'Business Case'!G13*$D100-'Business Case'!G14*$E100)-MAX(0,(('Business Case'!G11*$C100*'Business Case'!G12*$B100)-'Business Case'!G11*$C100*'Business Case'!G13*$D100-'Business Case'!G14*$E100))*'Business Case'!$B$7-'Business Case'!$B$8*(('Business Case'!G11*$C100*'Business Case'!G12*$B100)-('Business Case'!F11*$C100*'Business Case'!F12*$B100))-'Business Case'!G15*$F100+'Business Case'!$B$8*('Business Case'!G11*$C100*'Business Case'!G12*$B100)</f>
        <v>879471440.825381</v>
      </c>
      <c r="N100" s="39" t="n">
        <f aca="false">IF(COUNT('Business Case'!B11:G11)=0,"",H100+NPV(G100,I100:M100))</f>
        <v>-347962242.374901</v>
      </c>
      <c r="P100" s="40" t="n">
        <f aca="true">RAND()</f>
        <v>0.698861985610403</v>
      </c>
      <c r="Q100" s="40" t="n">
        <f aca="true">RAND()</f>
        <v>0.371637044148685</v>
      </c>
      <c r="R100" s="40" t="n">
        <f aca="true">RAND()</f>
        <v>0.906830402202564</v>
      </c>
      <c r="S100" s="40" t="n">
        <f aca="true">RAND()</f>
        <v>0.660539395709867</v>
      </c>
      <c r="T100" s="40" t="n">
        <f aca="true">RAND()</f>
        <v>0.189752697876423</v>
      </c>
      <c r="U100" s="40" t="n">
        <f aca="true">RAND()</f>
        <v>0.201421996244647</v>
      </c>
    </row>
    <row r="101" customFormat="false" ht="15" hidden="false" customHeight="false" outlineLevel="0" collapsed="false">
      <c r="A101" s="36" t="n">
        <v>21</v>
      </c>
      <c r="B101" s="37" t="n">
        <f aca="false">1+IF($G$6=$E$6,$F$6,IF(P101&lt;($F$6-$E$6)/($G$6-$E$6),$E$6+SQRT(P101*($G$6-$E$6)*($F$6-$E$6)),$G$6-SQRT((1-P101)*($G$6-$E$6)*($G$6-$F$6))))</f>
        <v>0.974857503082662</v>
      </c>
      <c r="C101" s="37" t="n">
        <f aca="false">1+IF($G$7=$E$7,$F$7,IF(Q101&lt;($F$7-$E$7)/($G$7-$E$7),$E$7+SQRT(Q101*($G$7-$E$7)*($F$7-$E$7)),$G$7-SQRT((1-Q101)*($G$7-$E$7)*($G$7-$F$7))))</f>
        <v>0.916209941769543</v>
      </c>
      <c r="D101" s="37" t="n">
        <f aca="false">1+IF($G$8=$E$8,$F$8,IF(R101&lt;($F$8-$E$8)/($G$8-$E$8),$E$8+SQRT(R101*($G$8-$E$8)*($F$8-$E$8)),$G$8-SQRT((1-R101)*($G$8-$E$8)*($G$8-$F$8))))</f>
        <v>1.00851427751248</v>
      </c>
      <c r="E101" s="37" t="n">
        <f aca="false">1+IF($G$9=$E$9,$F$9,IF(S101&lt;($F$9-$E$9)/($G$9-$E$9),$E$9+SQRT(S101*($G$9-$E$9)*($F$9-$E$9)),$G$9-SQRT((1-S101)*($G$9-$E$9)*($G$9-$F$9))))</f>
        <v>1.05207411521806</v>
      </c>
      <c r="F101" s="37" t="n">
        <f aca="false">1+IF($G$10=$E$10,$F$10,IF(T101&lt;($F$10-$E$10)/($G$10-$E$10),$E$10+SQRT(T101*($G$10-$E$10)*($F$10-$E$10)),$G$10-SQRT((1-T101)*($G$10-$E$10)*($G$10-$F$10))))</f>
        <v>1.02952440112041</v>
      </c>
      <c r="G101" s="38" t="n">
        <f aca="false">IF($G$11=$E$11,$F$11,IF(U101&lt;($F$11-$E$11)/($G$11-$E$11),$E$11+SQRT(U101*($G$11-$E$11)*($F$11-$E$11)),$G$11-SQRT((1-U101)*($G$11-$E$11)*($G$11-$F$11))))</f>
        <v>0.0977133701647625</v>
      </c>
      <c r="H101" s="39" t="n">
        <f aca="false">(('Business Case'!B11*$C101*'Business Case'!B12*$B101)-'Business Case'!B11*$C101*'Business Case'!B13*$D101-'Business Case'!B14*$E101)-MAX(0,(('Business Case'!B11*$C101*'Business Case'!B12*$B101)-'Business Case'!B11*$C101*'Business Case'!B13*$D101-'Business Case'!B14*$E101))*'Business Case'!$B$7-'Business Case'!$B$8*('Business Case'!B11*$C101*'Business Case'!B12*$B101)-'Business Case'!B15*$F101</f>
        <v>-2059048802.24082</v>
      </c>
      <c r="I101" s="39" t="n">
        <f aca="false">(('Business Case'!C11*$C101*'Business Case'!C12*$B101)-'Business Case'!C11*$C101*'Business Case'!C13*$D101-'Business Case'!C14*$E101)-MAX(0,(('Business Case'!C11*$C101*'Business Case'!C12*$B101)-'Business Case'!C11*$C101*'Business Case'!C13*$D101-'Business Case'!C14*$E101))*'Business Case'!$B$7-'Business Case'!$B$8*(('Business Case'!C11*$C101*'Business Case'!C12*$B101)-('Business Case'!B11*$C101*'Business Case'!B12*$B101))-'Business Case'!C15*$F101</f>
        <v>-40305213.0442948</v>
      </c>
      <c r="J101" s="39" t="n">
        <f aca="false">(('Business Case'!D11*$C101*'Business Case'!D12*$B101)-'Business Case'!D11*$C101*'Business Case'!D13*$D101-'Business Case'!D14*$E101)-MAX(0,(('Business Case'!D11*$C101*'Business Case'!D12*$B101)-'Business Case'!D11*$C101*'Business Case'!D13*$D101-'Business Case'!D14*$E101))*'Business Case'!$B$7-'Business Case'!$B$8*(('Business Case'!D11*$C101*'Business Case'!D12*$B101)-('Business Case'!C11*$C101*'Business Case'!C12*$B101))-'Business Case'!D15*$F101</f>
        <v>218249100.424593</v>
      </c>
      <c r="K101" s="39" t="n">
        <f aca="false">(('Business Case'!E11*$C101*'Business Case'!E12*$B101)-'Business Case'!E11*$C101*'Business Case'!E13*$D101-'Business Case'!E14*$E101)-MAX(0,(('Business Case'!E11*$C101*'Business Case'!E12*$B101)-'Business Case'!E11*$C101*'Business Case'!E13*$D101-'Business Case'!E14*$E101))*'Business Case'!$B$7-'Business Case'!$B$8*(('Business Case'!E11*$C101*'Business Case'!E12*$B101)-('Business Case'!D11*$C101*'Business Case'!D12*$B101))-'Business Case'!E15*$F101</f>
        <v>528279633.949501</v>
      </c>
      <c r="L101" s="39" t="n">
        <f aca="false">(('Business Case'!F11*$C101*'Business Case'!F12*$B101)-'Business Case'!F11*$C101*'Business Case'!F13*$D101-'Business Case'!F14*$E101)-MAX(0,(('Business Case'!F11*$C101*'Business Case'!F12*$B101)-'Business Case'!F11*$C101*'Business Case'!F13*$D101-'Business Case'!F14*$E101))*'Business Case'!$B$7-'Business Case'!$B$8*(('Business Case'!F11*$C101*'Business Case'!F12*$B101)-('Business Case'!E11*$C101*'Business Case'!E12*$B101))-'Business Case'!F15*$F101</f>
        <v>645332503.250552</v>
      </c>
      <c r="M101" s="39" t="n">
        <f aca="false">(('Business Case'!G11*$C101*'Business Case'!G12*$B101)-'Business Case'!G11*$C101*'Business Case'!G13*$D101-'Business Case'!G14*$E101)-MAX(0,(('Business Case'!G11*$C101*'Business Case'!G12*$B101)-'Business Case'!G11*$C101*'Business Case'!G13*$D101-'Business Case'!G14*$E101))*'Business Case'!$B$7-'Business Case'!$B$8*(('Business Case'!G11*$C101*'Business Case'!G12*$B101)-('Business Case'!F11*$C101*'Business Case'!F12*$B101))-'Business Case'!G15*$F101+'Business Case'!$B$8*('Business Case'!G11*$C101*'Business Case'!G12*$B101)</f>
        <v>815107043.046707</v>
      </c>
      <c r="N101" s="39" t="n">
        <f aca="false">IF(COUNT('Business Case'!B11:G11)=0,"",H101+NPV(G101,I101:M101))</f>
        <v>-559387297.372914</v>
      </c>
      <c r="P101" s="40" t="n">
        <f aca="true">RAND()</f>
        <v>0.313473504631698</v>
      </c>
      <c r="Q101" s="40" t="n">
        <f aca="true">RAND()</f>
        <v>0.192925008086867</v>
      </c>
      <c r="R101" s="40" t="n">
        <f aca="true">RAND()</f>
        <v>0.508633796195902</v>
      </c>
      <c r="S101" s="40" t="n">
        <f aca="true">RAND()</f>
        <v>0.846873971191213</v>
      </c>
      <c r="T101" s="40" t="n">
        <f aca="true">RAND()</f>
        <v>0.418761403732912</v>
      </c>
      <c r="U101" s="40" t="n">
        <f aca="true">RAND()</f>
        <v>0.19832026432883</v>
      </c>
    </row>
    <row r="102" customFormat="false" ht="15" hidden="false" customHeight="false" outlineLevel="0" collapsed="false">
      <c r="A102" s="36" t="n">
        <v>22</v>
      </c>
      <c r="B102" s="37" t="n">
        <f aca="false">1+IF($G$6=$E$6,$F$6,IF(P102&lt;($F$6-$E$6)/($G$6-$E$6),$E$6+SQRT(P102*($G$6-$E$6)*($F$6-$E$6)),$G$6-SQRT((1-P102)*($G$6-$E$6)*($G$6-$F$6))))</f>
        <v>0.994109642686585</v>
      </c>
      <c r="C102" s="37" t="n">
        <f aca="false">1+IF($G$7=$E$7,$F$7,IF(Q102&lt;($F$7-$E$7)/($G$7-$E$7),$E$7+SQRT(Q102*($G$7-$E$7)*($F$7-$E$7)),$G$7-SQRT((1-Q102)*($G$7-$E$7)*($G$7-$F$7))))</f>
        <v>0.931060135251609</v>
      </c>
      <c r="D102" s="37" t="n">
        <f aca="false">1+IF($G$8=$E$8,$F$8,IF(R102&lt;($F$8-$E$8)/($G$8-$E$8),$E$8+SQRT(R102*($G$8-$E$8)*($F$8-$E$8)),$G$8-SQRT((1-R102)*($G$8-$E$8)*($G$8-$F$8))))</f>
        <v>1.01952049514144</v>
      </c>
      <c r="E102" s="37" t="n">
        <f aca="false">1+IF($G$9=$E$9,$F$9,IF(S102&lt;($F$9-$E$9)/($G$9-$E$9),$E$9+SQRT(S102*($G$9-$E$9)*($F$9-$E$9)),$G$9-SQRT((1-S102)*($G$9-$E$9)*($G$9-$F$9))))</f>
        <v>1.06127826539588</v>
      </c>
      <c r="F102" s="37" t="n">
        <f aca="false">1+IF($G$10=$E$10,$F$10,IF(T102&lt;($F$10-$E$10)/($G$10-$E$10),$E$10+SQRT(T102*($G$10-$E$10)*($F$10-$E$10)),$G$10-SQRT((1-T102)*($G$10-$E$10)*($G$10-$F$10))))</f>
        <v>1.10454062662671</v>
      </c>
      <c r="G102" s="38" t="n">
        <f aca="false">IF($G$11=$E$11,$F$11,IF(U102&lt;($F$11-$E$11)/($G$11-$E$11),$E$11+SQRT(U102*($G$11-$E$11)*($F$11-$E$11)),$G$11-SQRT((1-U102)*($G$11-$E$11)*($G$11-$F$11))))</f>
        <v>0.102575137041308</v>
      </c>
      <c r="H102" s="39" t="n">
        <f aca="false">(('Business Case'!B11*$C102*'Business Case'!B12*$B102)-'Business Case'!B11*$C102*'Business Case'!B13*$D102-'Business Case'!B14*$E102)-MAX(0,(('Business Case'!B11*$C102*'Business Case'!B12*$B102)-'Business Case'!B11*$C102*'Business Case'!B13*$D102-'Business Case'!B14*$E102))*'Business Case'!$B$7-'Business Case'!$B$8*('Business Case'!B11*$C102*'Business Case'!B12*$B102)-'Business Case'!B15*$F102</f>
        <v>-2209081253.25341</v>
      </c>
      <c r="I102" s="39" t="n">
        <f aca="false">(('Business Case'!C11*$C102*'Business Case'!C12*$B102)-'Business Case'!C11*$C102*'Business Case'!C13*$D102-'Business Case'!C14*$E102)-MAX(0,(('Business Case'!C11*$C102*'Business Case'!C12*$B102)-'Business Case'!C11*$C102*'Business Case'!C13*$D102-'Business Case'!C14*$E102))*'Business Case'!$B$7-'Business Case'!$B$8*(('Business Case'!C11*$C102*'Business Case'!C12*$B102)-('Business Case'!B11*$C102*'Business Case'!B12*$B102))-'Business Case'!C15*$F102</f>
        <v>-37168739.9684873</v>
      </c>
      <c r="J102" s="39" t="n">
        <f aca="false">(('Business Case'!D11*$C102*'Business Case'!D12*$B102)-'Business Case'!D11*$C102*'Business Case'!D13*$D102-'Business Case'!D14*$E102)-MAX(0,(('Business Case'!D11*$C102*'Business Case'!D12*$B102)-'Business Case'!D11*$C102*'Business Case'!D13*$D102-'Business Case'!D14*$E102))*'Business Case'!$B$7-'Business Case'!$B$8*(('Business Case'!D11*$C102*'Business Case'!D12*$B102)-('Business Case'!C11*$C102*'Business Case'!C12*$B102))-'Business Case'!D15*$F102</f>
        <v>235012204.563135</v>
      </c>
      <c r="K102" s="39" t="n">
        <f aca="false">(('Business Case'!E11*$C102*'Business Case'!E12*$B102)-'Business Case'!E11*$C102*'Business Case'!E13*$D102-'Business Case'!E14*$E102)-MAX(0,(('Business Case'!E11*$C102*'Business Case'!E12*$B102)-'Business Case'!E11*$C102*'Business Case'!E13*$D102-'Business Case'!E14*$E102))*'Business Case'!$B$7-'Business Case'!$B$8*(('Business Case'!E11*$C102*'Business Case'!E12*$B102)-('Business Case'!D11*$C102*'Business Case'!D12*$B102))-'Business Case'!E15*$F102</f>
        <v>562420180.426093</v>
      </c>
      <c r="L102" s="39" t="n">
        <f aca="false">(('Business Case'!F11*$C102*'Business Case'!F12*$B102)-'Business Case'!F11*$C102*'Business Case'!F13*$D102-'Business Case'!F14*$E102)-MAX(0,(('Business Case'!F11*$C102*'Business Case'!F12*$B102)-'Business Case'!F11*$C102*'Business Case'!F13*$D102-'Business Case'!F14*$E102))*'Business Case'!$B$7-'Business Case'!$B$8*(('Business Case'!F11*$C102*'Business Case'!F12*$B102)-('Business Case'!E11*$C102*'Business Case'!E12*$B102))-'Business Case'!F15*$F102</f>
        <v>685135063.602063</v>
      </c>
      <c r="M102" s="39" t="n">
        <f aca="false">(('Business Case'!G11*$C102*'Business Case'!G12*$B102)-'Business Case'!G11*$C102*'Business Case'!G13*$D102-'Business Case'!G14*$E102)-MAX(0,(('Business Case'!G11*$C102*'Business Case'!G12*$B102)-'Business Case'!G11*$C102*'Business Case'!G13*$D102-'Business Case'!G14*$E102))*'Business Case'!$B$7-'Business Case'!$B$8*(('Business Case'!G11*$C102*'Business Case'!G12*$B102)-('Business Case'!F11*$C102*'Business Case'!F12*$B102))-'Business Case'!G15*$F102+'Business Case'!$B$8*('Business Case'!G11*$C102*'Business Case'!G12*$B102)</f>
        <v>861068522.761926</v>
      </c>
      <c r="N102" s="39" t="n">
        <f aca="false">IF(COUNT('Business Case'!B11:G11)=0,"",H102+NPV(G102,I102:M102))</f>
        <v>-637831254.59111</v>
      </c>
      <c r="P102" s="40" t="n">
        <f aca="true">RAND()</f>
        <v>0.572108243659722</v>
      </c>
      <c r="Q102" s="40" t="n">
        <f aca="true">RAND()</f>
        <v>0.245382272173859</v>
      </c>
      <c r="R102" s="40" t="n">
        <f aca="true">RAND()</f>
        <v>0.648291297313844</v>
      </c>
      <c r="S102" s="40" t="n">
        <f aca="true">RAND()</f>
        <v>0.900041817949877</v>
      </c>
      <c r="T102" s="40" t="n">
        <f aca="true">RAND()</f>
        <v>0.817750160703564</v>
      </c>
      <c r="U102" s="40" t="n">
        <f aca="true">RAND()</f>
        <v>0.493956918117977</v>
      </c>
    </row>
    <row r="103" customFormat="false" ht="15" hidden="false" customHeight="false" outlineLevel="0" collapsed="false">
      <c r="A103" s="36" t="n">
        <v>23</v>
      </c>
      <c r="B103" s="37" t="n">
        <f aca="false">1+IF($G$6=$E$6,$F$6,IF(P103&lt;($F$6-$E$6)/($G$6-$E$6),$E$6+SQRT(P103*($G$6-$E$6)*($F$6-$E$6)),$G$6-SQRT((1-P103)*($G$6-$E$6)*($G$6-$F$6))))</f>
        <v>0.954816990762062</v>
      </c>
      <c r="C103" s="37" t="n">
        <f aca="false">1+IF($G$7=$E$7,$F$7,IF(Q103&lt;($F$7-$E$7)/($G$7-$E$7),$E$7+SQRT(Q103*($G$7-$E$7)*($F$7-$E$7)),$G$7-SQRT((1-Q103)*($G$7-$E$7)*($G$7-$F$7))))</f>
        <v>1.07512228101395</v>
      </c>
      <c r="D103" s="37" t="n">
        <f aca="false">1+IF($G$8=$E$8,$F$8,IF(R103&lt;($F$8-$E$8)/($G$8-$E$8),$E$8+SQRT(R103*($G$8-$E$8)*($F$8-$E$8)),$G$8-SQRT((1-R103)*($G$8-$E$8)*($G$8-$F$8))))</f>
        <v>0.978752502015127</v>
      </c>
      <c r="E103" s="37" t="n">
        <f aca="false">1+IF($G$9=$E$9,$F$9,IF(S103&lt;($F$9-$E$9)/($G$9-$E$9),$E$9+SQRT(S103*($G$9-$E$9)*($F$9-$E$9)),$G$9-SQRT((1-S103)*($G$9-$E$9)*($G$9-$F$9))))</f>
        <v>1.040915789266</v>
      </c>
      <c r="F103" s="37" t="n">
        <f aca="false">1+IF($G$10=$E$10,$F$10,IF(T103&lt;($F$10-$E$10)/($G$10-$E$10),$E$10+SQRT(T103*($G$10-$E$10)*($F$10-$E$10)),$G$10-SQRT((1-T103)*($G$10-$E$10)*($G$10-$F$10))))</f>
        <v>1.04122157548139</v>
      </c>
      <c r="G103" s="38" t="n">
        <f aca="false">IF($G$11=$E$11,$F$11,IF(U103&lt;($F$11-$E$11)/($G$11-$E$11),$E$11+SQRT(U103*($G$11-$E$11)*($F$11-$E$11)),$G$11-SQRT((1-U103)*($G$11-$E$11)*($G$11-$F$11))))</f>
        <v>0.102929958751702</v>
      </c>
      <c r="H103" s="39" t="n">
        <f aca="false">(('Business Case'!B11*$C103*'Business Case'!B12*$B103)-'Business Case'!B11*$C103*'Business Case'!B13*$D103-'Business Case'!B14*$E103)-MAX(0,(('Business Case'!B11*$C103*'Business Case'!B12*$B103)-'Business Case'!B11*$C103*'Business Case'!B13*$D103-'Business Case'!B14*$E103))*'Business Case'!$B$7-'Business Case'!$B$8*('Business Case'!B11*$C103*'Business Case'!B12*$B103)-'Business Case'!B15*$F103</f>
        <v>-2082443150.96277</v>
      </c>
      <c r="I103" s="39" t="n">
        <f aca="false">(('Business Case'!C11*$C103*'Business Case'!C12*$B103)-'Business Case'!C11*$C103*'Business Case'!C13*$D103-'Business Case'!C14*$E103)-MAX(0,(('Business Case'!C11*$C103*'Business Case'!C12*$B103)-'Business Case'!C11*$C103*'Business Case'!C13*$D103-'Business Case'!C14*$E103))*'Business Case'!$B$7-'Business Case'!$B$8*(('Business Case'!C11*$C103*'Business Case'!C12*$B103)-('Business Case'!B11*$C103*'Business Case'!B12*$B103))-'Business Case'!C15*$F103</f>
        <v>-3224665.62231965</v>
      </c>
      <c r="J103" s="39" t="n">
        <f aca="false">(('Business Case'!D11*$C103*'Business Case'!D12*$B103)-'Business Case'!D11*$C103*'Business Case'!D13*$D103-'Business Case'!D14*$E103)-MAX(0,(('Business Case'!D11*$C103*'Business Case'!D12*$B103)-'Business Case'!D11*$C103*'Business Case'!D13*$D103-'Business Case'!D14*$E103))*'Business Case'!$B$7-'Business Case'!$B$8*(('Business Case'!D11*$C103*'Business Case'!D12*$B103)-('Business Case'!C11*$C103*'Business Case'!C12*$B103))-'Business Case'!D15*$F103</f>
        <v>298907145.428823</v>
      </c>
      <c r="K103" s="39" t="n">
        <f aca="false">(('Business Case'!E11*$C103*'Business Case'!E12*$B103)-'Business Case'!E11*$C103*'Business Case'!E13*$D103-'Business Case'!E14*$E103)-MAX(0,(('Business Case'!E11*$C103*'Business Case'!E12*$B103)-'Business Case'!E11*$C103*'Business Case'!E13*$D103-'Business Case'!E14*$E103))*'Business Case'!$B$7-'Business Case'!$B$8*(('Business Case'!E11*$C103*'Business Case'!E12*$B103)-('Business Case'!D11*$C103*'Business Case'!D12*$B103))-'Business Case'!E15*$F103</f>
        <v>653100035.254034</v>
      </c>
      <c r="L103" s="39" t="n">
        <f aca="false">(('Business Case'!F11*$C103*'Business Case'!F12*$B103)-'Business Case'!F11*$C103*'Business Case'!F13*$D103-'Business Case'!F14*$E103)-MAX(0,(('Business Case'!F11*$C103*'Business Case'!F12*$B103)-'Business Case'!F11*$C103*'Business Case'!F13*$D103-'Business Case'!F14*$E103))*'Business Case'!$B$7-'Business Case'!$B$8*(('Business Case'!F11*$C103*'Business Case'!F12*$B103)-('Business Case'!E11*$C103*'Business Case'!E12*$B103))-'Business Case'!F15*$F103</f>
        <v>789288034.865546</v>
      </c>
      <c r="M103" s="39" t="n">
        <f aca="false">(('Business Case'!G11*$C103*'Business Case'!G12*$B103)-'Business Case'!G11*$C103*'Business Case'!G13*$D103-'Business Case'!G14*$E103)-MAX(0,(('Business Case'!G11*$C103*'Business Case'!G12*$B103)-'Business Case'!G11*$C103*'Business Case'!G13*$D103-'Business Case'!G14*$E103))*'Business Case'!$B$7-'Business Case'!$B$8*(('Business Case'!G11*$C103*'Business Case'!G12*$B103)-('Business Case'!F11*$C103*'Business Case'!F12*$B103))-'Business Case'!G15*$F103+'Business Case'!$B$8*('Business Case'!G11*$C103*'Business Case'!G12*$B103)</f>
        <v>984413712.468438</v>
      </c>
      <c r="N103" s="39" t="n">
        <f aca="false">IF(COUNT('Business Case'!B11:G11)=0,"",H103+NPV(G103,I103:M103))</f>
        <v>-216307113.219998</v>
      </c>
      <c r="P103" s="40" t="n">
        <f aca="true">RAND()</f>
        <v>0.126273213096404</v>
      </c>
      <c r="Q103" s="40" t="n">
        <f aca="true">RAND()</f>
        <v>0.893206232370399</v>
      </c>
      <c r="R103" s="40" t="n">
        <f aca="true">RAND()</f>
        <v>0.127185595712286</v>
      </c>
      <c r="S103" s="40" t="n">
        <f aca="true">RAND()</f>
        <v>0.76727040279604</v>
      </c>
      <c r="T103" s="40" t="n">
        <f aca="true">RAND()</f>
        <v>0.495788238147734</v>
      </c>
      <c r="U103" s="40" t="n">
        <f aca="true">RAND()</f>
        <v>0.51435615296902</v>
      </c>
    </row>
    <row r="104" customFormat="false" ht="15" hidden="false" customHeight="false" outlineLevel="0" collapsed="false">
      <c r="A104" s="36" t="n">
        <v>24</v>
      </c>
      <c r="B104" s="37" t="n">
        <f aca="false">1+IF($G$6=$E$6,$F$6,IF(P104&lt;($F$6-$E$6)/($G$6-$E$6),$E$6+SQRT(P104*($G$6-$E$6)*($F$6-$E$6)),$G$6-SQRT((1-P104)*($G$6-$E$6)*($G$6-$F$6))))</f>
        <v>1.00407797196262</v>
      </c>
      <c r="C104" s="37" t="n">
        <f aca="false">1+IF($G$7=$E$7,$F$7,IF(Q104&lt;($F$7-$E$7)/($G$7-$E$7),$E$7+SQRT(Q104*($G$7-$E$7)*($F$7-$E$7)),$G$7-SQRT((1-Q104)*($G$7-$E$7)*($G$7-$F$7))))</f>
        <v>0.907181279225737</v>
      </c>
      <c r="D104" s="37" t="n">
        <f aca="false">1+IF($G$8=$E$8,$F$8,IF(R104&lt;($F$8-$E$8)/($G$8-$E$8),$E$8+SQRT(R104*($G$8-$E$8)*($F$8-$E$8)),$G$8-SQRT((1-R104)*($G$8-$E$8)*($G$8-$F$8))))</f>
        <v>1.04250070526442</v>
      </c>
      <c r="E104" s="37" t="n">
        <f aca="false">1+IF($G$9=$E$9,$F$9,IF(S104&lt;($F$9-$E$9)/($G$9-$E$9),$E$9+SQRT(S104*($G$9-$E$9)*($F$9-$E$9)),$G$9-SQRT((1-S104)*($G$9-$E$9)*($G$9-$F$9))))</f>
        <v>1.0000260251432</v>
      </c>
      <c r="F104" s="37" t="n">
        <f aca="false">1+IF($G$10=$E$10,$F$10,IF(T104&lt;($F$10-$E$10)/($G$10-$E$10),$E$10+SQRT(T104*($G$10-$E$10)*($F$10-$E$10)),$G$10-SQRT((1-T104)*($G$10-$E$10)*($G$10-$F$10))))</f>
        <v>1.05942356903831</v>
      </c>
      <c r="G104" s="38" t="n">
        <f aca="false">IF($G$11=$E$11,$F$11,IF(U104&lt;($F$11-$E$11)/($G$11-$E$11),$E$11+SQRT(U104*($G$11-$E$11)*($F$11-$E$11)),$G$11-SQRT((1-U104)*($G$11-$E$11)*($G$11-$F$11))))</f>
        <v>0.0955321731101354</v>
      </c>
      <c r="H104" s="39" t="n">
        <f aca="false">(('Business Case'!B11*$C104*'Business Case'!B12*$B104)-'Business Case'!B11*$C104*'Business Case'!B13*$D104-'Business Case'!B14*$E104)-MAX(0,(('Business Case'!B11*$C104*'Business Case'!B12*$B104)-'Business Case'!B11*$C104*'Business Case'!B13*$D104-'Business Case'!B14*$E104))*'Business Case'!$B$7-'Business Case'!$B$8*('Business Case'!B11*$C104*'Business Case'!B12*$B104)-'Business Case'!B15*$F104</f>
        <v>-2118847138.07662</v>
      </c>
      <c r="I104" s="39" t="n">
        <f aca="false">(('Business Case'!C11*$C104*'Business Case'!C12*$B104)-'Business Case'!C11*$C104*'Business Case'!C13*$D104-'Business Case'!C14*$E104)-MAX(0,(('Business Case'!C11*$C104*'Business Case'!C12*$B104)-'Business Case'!C11*$C104*'Business Case'!C13*$D104-'Business Case'!C14*$E104))*'Business Case'!$B$7-'Business Case'!$B$8*(('Business Case'!C11*$C104*'Business Case'!C12*$B104)-('Business Case'!B11*$C104*'Business Case'!B12*$B104))-'Business Case'!C15*$F104</f>
        <v>-33430954.7069836</v>
      </c>
      <c r="J104" s="39" t="n">
        <f aca="false">(('Business Case'!D11*$C104*'Business Case'!D12*$B104)-'Business Case'!D11*$C104*'Business Case'!D13*$D104-'Business Case'!D14*$E104)-MAX(0,(('Business Case'!D11*$C104*'Business Case'!D12*$B104)-'Business Case'!D11*$C104*'Business Case'!D13*$D104-'Business Case'!D14*$E104))*'Business Case'!$B$7-'Business Case'!$B$8*(('Business Case'!D11*$C104*'Business Case'!D12*$B104)-('Business Case'!C11*$C104*'Business Case'!C12*$B104))-'Business Case'!D15*$F104</f>
        <v>228504205.777446</v>
      </c>
      <c r="K104" s="39" t="n">
        <f aca="false">(('Business Case'!E11*$C104*'Business Case'!E12*$B104)-'Business Case'!E11*$C104*'Business Case'!E13*$D104-'Business Case'!E14*$E104)-MAX(0,(('Business Case'!E11*$C104*'Business Case'!E12*$B104)-'Business Case'!E11*$C104*'Business Case'!E13*$D104-'Business Case'!E14*$E104))*'Business Case'!$B$7-'Business Case'!$B$8*(('Business Case'!E11*$C104*'Business Case'!E12*$B104)-('Business Case'!D11*$C104*'Business Case'!D12*$B104))-'Business Case'!E15*$F104</f>
        <v>543410544.713792</v>
      </c>
      <c r="L104" s="39" t="n">
        <f aca="false">(('Business Case'!F11*$C104*'Business Case'!F12*$B104)-'Business Case'!F11*$C104*'Business Case'!F13*$D104-'Business Case'!F14*$E104)-MAX(0,(('Business Case'!F11*$C104*'Business Case'!F12*$B104)-'Business Case'!F11*$C104*'Business Case'!F13*$D104-'Business Case'!F14*$E104))*'Business Case'!$B$7-'Business Case'!$B$8*(('Business Case'!F11*$C104*'Business Case'!F12*$B104)-('Business Case'!E11*$C104*'Business Case'!E12*$B104))-'Business Case'!F15*$F104</f>
        <v>662202303.216748</v>
      </c>
      <c r="M104" s="39" t="n">
        <f aca="false">(('Business Case'!G11*$C104*'Business Case'!G12*$B104)-'Business Case'!G11*$C104*'Business Case'!G13*$D104-'Business Case'!G14*$E104)-MAX(0,(('Business Case'!G11*$C104*'Business Case'!G12*$B104)-'Business Case'!G11*$C104*'Business Case'!G13*$D104-'Business Case'!G14*$E104))*'Business Case'!$B$7-'Business Case'!$B$8*(('Business Case'!G11*$C104*'Business Case'!G12*$B104)-('Business Case'!F11*$C104*'Business Case'!F12*$B104))-'Business Case'!G15*$F104+'Business Case'!$B$8*('Business Case'!G11*$C104*'Business Case'!G12*$B104)</f>
        <v>835342514.094885</v>
      </c>
      <c r="N104" s="39" t="n">
        <f aca="false">IF(COUNT('Business Case'!B11:G11)=0,"",H104+NPV(G104,I104:M104))</f>
        <v>-556623425.653868</v>
      </c>
      <c r="P104" s="40" t="n">
        <f aca="true">RAND()</f>
        <v>0.731168312850382</v>
      </c>
      <c r="Q104" s="40" t="n">
        <f aca="true">RAND()</f>
        <v>0.16411180880665</v>
      </c>
      <c r="R104" s="40" t="n">
        <f aca="true">RAND()</f>
        <v>0.864788739839845</v>
      </c>
      <c r="S104" s="40" t="n">
        <f aca="true">RAND()</f>
        <v>0.333680290088813</v>
      </c>
      <c r="T104" s="40" t="n">
        <f aca="true">RAND()</f>
        <v>0.604765341161476</v>
      </c>
      <c r="U104" s="40" t="n">
        <f aca="true">RAND()</f>
        <v>0.102016464401683</v>
      </c>
    </row>
    <row r="105" customFormat="false" ht="15" hidden="false" customHeight="false" outlineLevel="0" collapsed="false">
      <c r="A105" s="36" t="n">
        <v>25</v>
      </c>
      <c r="B105" s="37" t="n">
        <f aca="false">1+IF($G$6=$E$6,$F$6,IF(P105&lt;($F$6-$E$6)/($G$6-$E$6),$E$6+SQRT(P105*($G$6-$E$6)*($F$6-$E$6)),$G$6-SQRT((1-P105)*($G$6-$E$6)*($G$6-$F$6))))</f>
        <v>0.984019490619932</v>
      </c>
      <c r="C105" s="37" t="n">
        <f aca="false">1+IF($G$7=$E$7,$F$7,IF(Q105&lt;($F$7-$E$7)/($G$7-$E$7),$E$7+SQRT(Q105*($G$7-$E$7)*($F$7-$E$7)),$G$7-SQRT((1-Q105)*($G$7-$E$7)*($G$7-$F$7))))</f>
        <v>1.09074306475834</v>
      </c>
      <c r="D105" s="37" t="n">
        <f aca="false">1+IF($G$8=$E$8,$F$8,IF(R105&lt;($F$8-$E$8)/($G$8-$E$8),$E$8+SQRT(R105*($G$8-$E$8)*($F$8-$E$8)),$G$8-SQRT((1-R105)*($G$8-$E$8)*($G$8-$F$8))))</f>
        <v>0.980836101028641</v>
      </c>
      <c r="E105" s="37" t="n">
        <f aca="false">1+IF($G$9=$E$9,$F$9,IF(S105&lt;($F$9-$E$9)/($G$9-$E$9),$E$9+SQRT(S105*($G$9-$E$9)*($F$9-$E$9)),$G$9-SQRT((1-S105)*($G$9-$E$9)*($G$9-$F$9))))</f>
        <v>0.97115067305285</v>
      </c>
      <c r="F105" s="37" t="n">
        <f aca="false">1+IF($G$10=$E$10,$F$10,IF(T105&lt;($F$10-$E$10)/($G$10-$E$10),$E$10+SQRT(T105*($G$10-$E$10)*($F$10-$E$10)),$G$10-SQRT((1-T105)*($G$10-$E$10)*($G$10-$F$10))))</f>
        <v>1.11486610579541</v>
      </c>
      <c r="G105" s="38" t="n">
        <f aca="false">IF($G$11=$E$11,$F$11,IF(U105&lt;($F$11-$E$11)/($G$11-$E$11),$E$11+SQRT(U105*($G$11-$E$11)*($F$11-$E$11)),$G$11-SQRT((1-U105)*($G$11-$E$11)*($G$11-$F$11))))</f>
        <v>0.0942826532377449</v>
      </c>
      <c r="H105" s="39" t="n">
        <f aca="false">(('Business Case'!B11*$C105*'Business Case'!B12*$B105)-'Business Case'!B11*$C105*'Business Case'!B13*$D105-'Business Case'!B14*$E105)-MAX(0,(('Business Case'!B11*$C105*'Business Case'!B12*$B105)-'Business Case'!B11*$C105*'Business Case'!B13*$D105-'Business Case'!B14*$E105))*'Business Case'!$B$7-'Business Case'!$B$8*('Business Case'!B11*$C105*'Business Case'!B12*$B105)-'Business Case'!B15*$F105</f>
        <v>-2229732211.59082</v>
      </c>
      <c r="I105" s="39" t="n">
        <f aca="false">(('Business Case'!C11*$C105*'Business Case'!C12*$B105)-'Business Case'!C11*$C105*'Business Case'!C13*$D105-'Business Case'!C14*$E105)-MAX(0,(('Business Case'!C11*$C105*'Business Case'!C12*$B105)-'Business Case'!C11*$C105*'Business Case'!C13*$D105-'Business Case'!C14*$E105))*'Business Case'!$B$7-'Business Case'!$B$8*(('Business Case'!C11*$C105*'Business Case'!C12*$B105)-('Business Case'!B11*$C105*'Business Case'!B12*$B105))-'Business Case'!C15*$F105</f>
        <v>26222827.5123239</v>
      </c>
      <c r="J105" s="39" t="n">
        <f aca="false">(('Business Case'!D11*$C105*'Business Case'!D12*$B105)-'Business Case'!D11*$C105*'Business Case'!D13*$D105-'Business Case'!D14*$E105)-MAX(0,(('Business Case'!D11*$C105*'Business Case'!D12*$B105)-'Business Case'!D11*$C105*'Business Case'!D13*$D105-'Business Case'!D14*$E105))*'Business Case'!$B$7-'Business Case'!$B$8*(('Business Case'!D11*$C105*'Business Case'!D12*$B105)-('Business Case'!C11*$C105*'Business Case'!C12*$B105))-'Business Case'!D15*$F105</f>
        <v>357670407.941705</v>
      </c>
      <c r="K105" s="39" t="n">
        <f aca="false">(('Business Case'!E11*$C105*'Business Case'!E12*$B105)-'Business Case'!E11*$C105*'Business Case'!E13*$D105-'Business Case'!E14*$E105)-MAX(0,(('Business Case'!E11*$C105*'Business Case'!E12*$B105)-'Business Case'!E11*$C105*'Business Case'!E13*$D105-'Business Case'!E14*$E105))*'Business Case'!$B$7-'Business Case'!$B$8*(('Business Case'!E11*$C105*'Business Case'!E12*$B105)-('Business Case'!D11*$C105*'Business Case'!D12*$B105))-'Business Case'!E15*$F105</f>
        <v>744861293.660856</v>
      </c>
      <c r="L105" s="39" t="n">
        <f aca="false">(('Business Case'!F11*$C105*'Business Case'!F12*$B105)-'Business Case'!F11*$C105*'Business Case'!F13*$D105-'Business Case'!F14*$E105)-MAX(0,(('Business Case'!F11*$C105*'Business Case'!F12*$B105)-'Business Case'!F11*$C105*'Business Case'!F13*$D105-'Business Case'!F14*$E105))*'Business Case'!$B$7-'Business Case'!$B$8*(('Business Case'!F11*$C105*'Business Case'!F12*$B105)-('Business Case'!E11*$C105*'Business Case'!E12*$B105))-'Business Case'!F15*$F105</f>
        <v>892437498.223583</v>
      </c>
      <c r="M105" s="39" t="n">
        <f aca="false">(('Business Case'!G11*$C105*'Business Case'!G12*$B105)-'Business Case'!G11*$C105*'Business Case'!G13*$D105-'Business Case'!G14*$E105)-MAX(0,(('Business Case'!G11*$C105*'Business Case'!G12*$B105)-'Business Case'!G11*$C105*'Business Case'!G13*$D105-'Business Case'!G14*$E105))*'Business Case'!$B$7-'Business Case'!$B$8*(('Business Case'!G11*$C105*'Business Case'!G12*$B105)-('Business Case'!F11*$C105*'Business Case'!F12*$B105))-'Business Case'!G15*$F105+'Business Case'!$B$8*('Business Case'!G11*$C105*'Business Case'!G12*$B105)</f>
        <v>1096452725.86472</v>
      </c>
      <c r="N105" s="39" t="n">
        <f aca="false">IF(COUNT('Business Case'!B11:G11)=0,"",H105+NPV(G105,I105:M105))</f>
        <v>-17464616.5932479</v>
      </c>
      <c r="P105" s="40" t="n">
        <f aca="true">RAND()</f>
        <v>0.426926581170367</v>
      </c>
      <c r="Q105" s="40" t="n">
        <f aca="true">RAND()</f>
        <v>0.933116488109814</v>
      </c>
      <c r="R105" s="40" t="n">
        <f aca="true">RAND()</f>
        <v>0.146286942561315</v>
      </c>
      <c r="S105" s="40" t="n">
        <f aca="true">RAND()</f>
        <v>0.0596467960784716</v>
      </c>
      <c r="T105" s="40" t="n">
        <f aca="true">RAND()</f>
        <v>0.855044401151236</v>
      </c>
      <c r="U105" s="40" t="n">
        <f aca="true">RAND()</f>
        <v>0.0611370625158906</v>
      </c>
    </row>
    <row r="106" customFormat="false" ht="15" hidden="false" customHeight="false" outlineLevel="0" collapsed="false">
      <c r="A106" s="36" t="n">
        <v>26</v>
      </c>
      <c r="B106" s="37" t="n">
        <f aca="false">1+IF($G$6=$E$6,$F$6,IF(P106&lt;($F$6-$E$6)/($G$6-$E$6),$E$6+SQRT(P106*($G$6-$E$6)*($F$6-$E$6)),$G$6-SQRT((1-P106)*($G$6-$E$6)*($G$6-$F$6))))</f>
        <v>1.00893738874757</v>
      </c>
      <c r="C106" s="37" t="n">
        <f aca="false">1+IF($G$7=$E$7,$F$7,IF(Q106&lt;($F$7-$E$7)/($G$7-$E$7),$E$7+SQRT(Q106*($G$7-$E$7)*($F$7-$E$7)),$G$7-SQRT((1-Q106)*($G$7-$E$7)*($G$7-$F$7))))</f>
        <v>0.951012506014298</v>
      </c>
      <c r="D106" s="37" t="n">
        <f aca="false">1+IF($G$8=$E$8,$F$8,IF(R106&lt;($F$8-$E$8)/($G$8-$E$8),$E$8+SQRT(R106*($G$8-$E$8)*($F$8-$E$8)),$G$8-SQRT((1-R106)*($G$8-$E$8)*($G$8-$F$8))))</f>
        <v>1.00645106972628</v>
      </c>
      <c r="E106" s="37" t="n">
        <f aca="false">1+IF($G$9=$E$9,$F$9,IF(S106&lt;($F$9-$E$9)/($G$9-$E$9),$E$9+SQRT(S106*($G$9-$E$9)*($F$9-$E$9)),$G$9-SQRT((1-S106)*($G$9-$E$9)*($G$9-$F$9))))</f>
        <v>0.97841887047162</v>
      </c>
      <c r="F106" s="37" t="n">
        <f aca="false">1+IF($G$10=$E$10,$F$10,IF(T106&lt;($F$10-$E$10)/($G$10-$E$10),$E$10+SQRT(T106*($G$10-$E$10)*($F$10-$E$10)),$G$10-SQRT((1-T106)*($G$10-$E$10)*($G$10-$F$10))))</f>
        <v>0.963517812828433</v>
      </c>
      <c r="G106" s="38" t="n">
        <f aca="false">IF($G$11=$E$11,$F$11,IF(U106&lt;($F$11-$E$11)/($G$11-$E$11),$E$11+SQRT(U106*($G$11-$E$11)*($F$11-$E$11)),$G$11-SQRT((1-U106)*($G$11-$E$11)*($G$11-$F$11))))</f>
        <v>0.101875475365341</v>
      </c>
      <c r="H106" s="39" t="n">
        <f aca="false">(('Business Case'!B11*$C106*'Business Case'!B12*$B106)-'Business Case'!B11*$C106*'Business Case'!B13*$D106-'Business Case'!B14*$E106)-MAX(0,(('Business Case'!B11*$C106*'Business Case'!B12*$B106)-'Business Case'!B11*$C106*'Business Case'!B13*$D106-'Business Case'!B14*$E106))*'Business Case'!$B$7-'Business Case'!$B$8*('Business Case'!B11*$C106*'Business Case'!B12*$B106)-'Business Case'!B15*$F106</f>
        <v>-1927035625.65687</v>
      </c>
      <c r="I106" s="39" t="n">
        <f aca="false">(('Business Case'!C11*$C106*'Business Case'!C12*$B106)-'Business Case'!C11*$C106*'Business Case'!C13*$D106-'Business Case'!C14*$E106)-MAX(0,(('Business Case'!C11*$C106*'Business Case'!C12*$B106)-'Business Case'!C11*$C106*'Business Case'!C13*$D106-'Business Case'!C14*$E106))*'Business Case'!$B$7-'Business Case'!$B$8*(('Business Case'!C11*$C106*'Business Case'!C12*$B106)-('Business Case'!B11*$C106*'Business Case'!B12*$B106))-'Business Case'!C15*$F106</f>
        <v>10702447.422594</v>
      </c>
      <c r="J106" s="39" t="n">
        <f aca="false">(('Business Case'!D11*$C106*'Business Case'!D12*$B106)-'Business Case'!D11*$C106*'Business Case'!D13*$D106-'Business Case'!D14*$E106)-MAX(0,(('Business Case'!D11*$C106*'Business Case'!D12*$B106)-'Business Case'!D11*$C106*'Business Case'!D13*$D106-'Business Case'!D14*$E106))*'Business Case'!$B$7-'Business Case'!$B$8*(('Business Case'!D11*$C106*'Business Case'!D12*$B106)-('Business Case'!C11*$C106*'Business Case'!C12*$B106))-'Business Case'!D15*$F106</f>
        <v>306628945.450364</v>
      </c>
      <c r="K106" s="39" t="n">
        <f aca="false">(('Business Case'!E11*$C106*'Business Case'!E12*$B106)-'Business Case'!E11*$C106*'Business Case'!E13*$D106-'Business Case'!E14*$E106)-MAX(0,(('Business Case'!E11*$C106*'Business Case'!E12*$B106)-'Business Case'!E11*$C106*'Business Case'!E13*$D106-'Business Case'!E14*$E106))*'Business Case'!$B$7-'Business Case'!$B$8*(('Business Case'!E11*$C106*'Business Case'!E12*$B106)-('Business Case'!D11*$C106*'Business Case'!D12*$B106))-'Business Case'!E15*$F106</f>
        <v>650731334.119557</v>
      </c>
      <c r="L106" s="39" t="n">
        <f aca="false">(('Business Case'!F11*$C106*'Business Case'!F12*$B106)-'Business Case'!F11*$C106*'Business Case'!F13*$D106-'Business Case'!F14*$E106)-MAX(0,(('Business Case'!F11*$C106*'Business Case'!F12*$B106)-'Business Case'!F11*$C106*'Business Case'!F13*$D106-'Business Case'!F14*$E106))*'Business Case'!$B$7-'Business Case'!$B$8*(('Business Case'!F11*$C106*'Business Case'!F12*$B106)-('Business Case'!E11*$C106*'Business Case'!E12*$B106))-'Business Case'!F15*$F106</f>
        <v>782534237.422992</v>
      </c>
      <c r="M106" s="39" t="n">
        <f aca="false">(('Business Case'!G11*$C106*'Business Case'!G12*$B106)-'Business Case'!G11*$C106*'Business Case'!G13*$D106-'Business Case'!G14*$E106)-MAX(0,(('Business Case'!G11*$C106*'Business Case'!G12*$B106)-'Business Case'!G11*$C106*'Business Case'!G13*$D106-'Business Case'!G14*$E106))*'Business Case'!$B$7-'Business Case'!$B$8*(('Business Case'!G11*$C106*'Business Case'!G12*$B106)-('Business Case'!F11*$C106*'Business Case'!F12*$B106))-'Business Case'!G15*$F106+'Business Case'!$B$8*('Business Case'!G11*$C106*'Business Case'!G12*$B106)</f>
        <v>964918292.540977</v>
      </c>
      <c r="N106" s="39" t="n">
        <f aca="false">IF(COUNT('Business Case'!B11:G11)=0,"",H106+NPV(G106,I106:M106))</f>
        <v>-53451822.8857214</v>
      </c>
      <c r="P106" s="40" t="n">
        <f aca="true">RAND()</f>
        <v>0.7989821212876</v>
      </c>
      <c r="Q106" s="40" t="n">
        <f aca="true">RAND()</f>
        <v>0.32578252818169</v>
      </c>
      <c r="R106" s="40" t="n">
        <f aca="true">RAND()</f>
        <v>0.479861043806892</v>
      </c>
      <c r="S106" s="40" t="n">
        <f aca="true">RAND()</f>
        <v>0.107684293184364</v>
      </c>
      <c r="T106" s="40" t="n">
        <f aca="true">RAND()</f>
        <v>0.0146185010931635</v>
      </c>
      <c r="U106" s="40" t="n">
        <f aca="true">RAND()</f>
        <v>0.452502677946036</v>
      </c>
    </row>
    <row r="107" customFormat="false" ht="15" hidden="false" customHeight="false" outlineLevel="0" collapsed="false">
      <c r="A107" s="36" t="n">
        <v>27</v>
      </c>
      <c r="B107" s="37" t="n">
        <f aca="false">1+IF($G$6=$E$6,$F$6,IF(P107&lt;($F$6-$E$6)/($G$6-$E$6),$E$6+SQRT(P107*($G$6-$E$6)*($F$6-$E$6)),$G$6-SQRT((1-P107)*($G$6-$E$6)*($G$6-$F$6))))</f>
        <v>0.978913761497963</v>
      </c>
      <c r="C107" s="37" t="n">
        <f aca="false">1+IF($G$7=$E$7,$F$7,IF(Q107&lt;($F$7-$E$7)/($G$7-$E$7),$E$7+SQRT(Q107*($G$7-$E$7)*($F$7-$E$7)),$G$7-SQRT((1-Q107)*($G$7-$E$7)*($G$7-$F$7))))</f>
        <v>0.984923504377537</v>
      </c>
      <c r="D107" s="37" t="n">
        <f aca="false">1+IF($G$8=$E$8,$F$8,IF(R107&lt;($F$8-$E$8)/($G$8-$E$8),$E$8+SQRT(R107*($G$8-$E$8)*($F$8-$E$8)),$G$8-SQRT((1-R107)*($G$8-$E$8)*($G$8-$F$8))))</f>
        <v>0.984795423139014</v>
      </c>
      <c r="E107" s="37" t="n">
        <f aca="false">1+IF($G$9=$E$9,$F$9,IF(S107&lt;($F$9-$E$9)/($G$9-$E$9),$E$9+SQRT(S107*($G$9-$E$9)*($F$9-$E$9)),$G$9-SQRT((1-S107)*($G$9-$E$9)*($G$9-$F$9))))</f>
        <v>1.01495376937781</v>
      </c>
      <c r="F107" s="37" t="n">
        <f aca="false">1+IF($G$10=$E$10,$F$10,IF(T107&lt;($F$10-$E$10)/($G$10-$E$10),$E$10+SQRT(T107*($G$10-$E$10)*($F$10-$E$10)),$G$10-SQRT((1-T107)*($G$10-$E$10)*($G$10-$F$10))))</f>
        <v>1.12993194640694</v>
      </c>
      <c r="G107" s="38" t="n">
        <f aca="false">IF($G$11=$E$11,$F$11,IF(U107&lt;($F$11-$E$11)/($G$11-$E$11),$E$11+SQRT(U107*($G$11-$E$11)*($F$11-$E$11)),$G$11-SQRT((1-U107)*($G$11-$E$11)*($G$11-$F$11))))</f>
        <v>0.101517938423762</v>
      </c>
      <c r="H107" s="39" t="n">
        <f aca="false">(('Business Case'!B11*$C107*'Business Case'!B12*$B107)-'Business Case'!B11*$C107*'Business Case'!B13*$D107-'Business Case'!B14*$E107)-MAX(0,(('Business Case'!B11*$C107*'Business Case'!B12*$B107)-'Business Case'!B11*$C107*'Business Case'!B13*$D107-'Business Case'!B14*$E107))*'Business Case'!$B$7-'Business Case'!$B$8*('Business Case'!B11*$C107*'Business Case'!B12*$B107)-'Business Case'!B15*$F107</f>
        <v>-2259863892.81389</v>
      </c>
      <c r="I107" s="39" t="n">
        <f aca="false">(('Business Case'!C11*$C107*'Business Case'!C12*$B107)-'Business Case'!C11*$C107*'Business Case'!C13*$D107-'Business Case'!C14*$E107)-MAX(0,(('Business Case'!C11*$C107*'Business Case'!C12*$B107)-'Business Case'!C11*$C107*'Business Case'!C13*$D107-'Business Case'!C14*$E107))*'Business Case'!$B$7-'Business Case'!$B$8*(('Business Case'!C11*$C107*'Business Case'!C12*$B107)-('Business Case'!B11*$C107*'Business Case'!B12*$B107))-'Business Case'!C15*$F107</f>
        <v>-14124781.0557598</v>
      </c>
      <c r="J107" s="39" t="n">
        <f aca="false">(('Business Case'!D11*$C107*'Business Case'!D12*$B107)-'Business Case'!D11*$C107*'Business Case'!D13*$D107-'Business Case'!D14*$E107)-MAX(0,(('Business Case'!D11*$C107*'Business Case'!D12*$B107)-'Business Case'!D11*$C107*'Business Case'!D13*$D107-'Business Case'!D14*$E107))*'Business Case'!$B$7-'Business Case'!$B$8*(('Business Case'!D11*$C107*'Business Case'!D12*$B107)-('Business Case'!C11*$C107*'Business Case'!C12*$B107))-'Business Case'!D15*$F107</f>
        <v>279051862.67492</v>
      </c>
      <c r="K107" s="39" t="n">
        <f aca="false">(('Business Case'!E11*$C107*'Business Case'!E12*$B107)-'Business Case'!E11*$C107*'Business Case'!E13*$D107-'Business Case'!E14*$E107)-MAX(0,(('Business Case'!E11*$C107*'Business Case'!E12*$B107)-'Business Case'!E11*$C107*'Business Case'!E13*$D107-'Business Case'!E14*$E107))*'Business Case'!$B$7-'Business Case'!$B$8*(('Business Case'!E11*$C107*'Business Case'!E12*$B107)-('Business Case'!D11*$C107*'Business Case'!D12*$B107))-'Business Case'!E15*$F107</f>
        <v>628725103.725948</v>
      </c>
      <c r="L107" s="39" t="n">
        <f aca="false">(('Business Case'!F11*$C107*'Business Case'!F12*$B107)-'Business Case'!F11*$C107*'Business Case'!F13*$D107-'Business Case'!F14*$E107)-MAX(0,(('Business Case'!F11*$C107*'Business Case'!F12*$B107)-'Business Case'!F11*$C107*'Business Case'!F13*$D107-'Business Case'!F14*$E107))*'Business Case'!$B$7-'Business Case'!$B$8*(('Business Case'!F11*$C107*'Business Case'!F12*$B107)-('Business Case'!E11*$C107*'Business Case'!E12*$B107))-'Business Case'!F15*$F107</f>
        <v>759771854.396322</v>
      </c>
      <c r="M107" s="39" t="n">
        <f aca="false">(('Business Case'!G11*$C107*'Business Case'!G12*$B107)-'Business Case'!G11*$C107*'Business Case'!G13*$D107-'Business Case'!G14*$E107)-MAX(0,(('Business Case'!G11*$C107*'Business Case'!G12*$B107)-'Business Case'!G11*$C107*'Business Case'!G13*$D107-'Business Case'!G14*$E107))*'Business Case'!$B$7-'Business Case'!$B$8*(('Business Case'!G11*$C107*'Business Case'!G12*$B107)-('Business Case'!F11*$C107*'Business Case'!F12*$B107))-'Business Case'!G15*$F107+'Business Case'!$B$8*('Business Case'!G11*$C107*'Business Case'!G12*$B107)</f>
        <v>943038469.577133</v>
      </c>
      <c r="N107" s="39" t="n">
        <f aca="false">IF(COUNT('Business Case'!B11:G11)=0,"",H107+NPV(G107,I107:M107))</f>
        <v>-474671312.658993</v>
      </c>
      <c r="P107" s="40" t="n">
        <f aca="true">RAND()</f>
        <v>0.361544926441552</v>
      </c>
      <c r="Q107" s="40" t="n">
        <f aca="true">RAND()</f>
        <v>0.488524321018127</v>
      </c>
      <c r="R107" s="40" t="n">
        <f aca="true">RAND()</f>
        <v>0.186264841757386</v>
      </c>
      <c r="S107" s="40" t="n">
        <f aca="true">RAND()</f>
        <v>0.517809243797133</v>
      </c>
      <c r="T107" s="40" t="n">
        <f aca="true">RAND()</f>
        <v>0.901809357313614</v>
      </c>
      <c r="U107" s="40" t="n">
        <f aca="true">RAND()</f>
        <v>0.430688999820234</v>
      </c>
    </row>
    <row r="108" customFormat="false" ht="15" hidden="false" customHeight="false" outlineLevel="0" collapsed="false">
      <c r="A108" s="36" t="n">
        <v>28</v>
      </c>
      <c r="B108" s="37" t="n">
        <f aca="false">1+IF($G$6=$E$6,$F$6,IF(P108&lt;($F$6-$E$6)/($G$6-$E$6),$E$6+SQRT(P108*($G$6-$E$6)*($F$6-$E$6)),$G$6-SQRT((1-P108)*($G$6-$E$6)*($G$6-$F$6))))</f>
        <v>0.994467489463578</v>
      </c>
      <c r="C108" s="37" t="n">
        <f aca="false">1+IF($G$7=$E$7,$F$7,IF(Q108&lt;($F$7-$E$7)/($G$7-$E$7),$E$7+SQRT(Q108*($G$7-$E$7)*($F$7-$E$7)),$G$7-SQRT((1-Q108)*($G$7-$E$7)*($G$7-$F$7))))</f>
        <v>0.937492658923092</v>
      </c>
      <c r="D108" s="37" t="n">
        <f aca="false">1+IF($G$8=$E$8,$F$8,IF(R108&lt;($F$8-$E$8)/($G$8-$E$8),$E$8+SQRT(R108*($G$8-$E$8)*($F$8-$E$8)),$G$8-SQRT((1-R108)*($G$8-$E$8)*($G$8-$F$8))))</f>
        <v>0.990792962984383</v>
      </c>
      <c r="E108" s="37" t="n">
        <f aca="false">1+IF($G$9=$E$9,$F$9,IF(S108&lt;($F$9-$E$9)/($G$9-$E$9),$E$9+SQRT(S108*($G$9-$E$9)*($F$9-$E$9)),$G$9-SQRT((1-S108)*($G$9-$E$9)*($G$9-$F$9))))</f>
        <v>0.997774551583115</v>
      </c>
      <c r="F108" s="37" t="n">
        <f aca="false">1+IF($G$10=$E$10,$F$10,IF(T108&lt;($F$10-$E$10)/($G$10-$E$10),$E$10+SQRT(T108*($G$10-$E$10)*($F$10-$E$10)),$G$10-SQRT((1-T108)*($G$10-$E$10)*($G$10-$F$10))))</f>
        <v>1.08482783078663</v>
      </c>
      <c r="G108" s="38" t="n">
        <f aca="false">IF($G$11=$E$11,$F$11,IF(U108&lt;($F$11-$E$11)/($G$11-$E$11),$E$11+SQRT(U108*($G$11-$E$11)*($F$11-$E$11)),$G$11-SQRT((1-U108)*($G$11-$E$11)*($G$11-$F$11))))</f>
        <v>0.0969661880568977</v>
      </c>
      <c r="H108" s="39" t="n">
        <f aca="false">(('Business Case'!B11*$C108*'Business Case'!B12*$B108)-'Business Case'!B11*$C108*'Business Case'!B13*$D108-'Business Case'!B14*$E108)-MAX(0,(('Business Case'!B11*$C108*'Business Case'!B12*$B108)-'Business Case'!B11*$C108*'Business Case'!B13*$D108-'Business Case'!B14*$E108))*'Business Case'!$B$7-'Business Case'!$B$8*('Business Case'!B11*$C108*'Business Case'!B12*$B108)-'Business Case'!B15*$F108</f>
        <v>-2169655661.57327</v>
      </c>
      <c r="I108" s="39" t="n">
        <f aca="false">(('Business Case'!C11*$C108*'Business Case'!C12*$B108)-'Business Case'!C11*$C108*'Business Case'!C13*$D108-'Business Case'!C14*$E108)-MAX(0,(('Business Case'!C11*$C108*'Business Case'!C12*$B108)-'Business Case'!C11*$C108*'Business Case'!C13*$D108-'Business Case'!C14*$E108))*'Business Case'!$B$7-'Business Case'!$B$8*(('Business Case'!C11*$C108*'Business Case'!C12*$B108)-('Business Case'!B11*$C108*'Business Case'!B12*$B108))-'Business Case'!C15*$F108</f>
        <v>-10573938.9573685</v>
      </c>
      <c r="J108" s="39" t="n">
        <f aca="false">(('Business Case'!D11*$C108*'Business Case'!D12*$B108)-'Business Case'!D11*$C108*'Business Case'!D13*$D108-'Business Case'!D14*$E108)-MAX(0,(('Business Case'!D11*$C108*'Business Case'!D12*$B108)-'Business Case'!D11*$C108*'Business Case'!D13*$D108-'Business Case'!D14*$E108))*'Business Case'!$B$7-'Business Case'!$B$8*(('Business Case'!D11*$C108*'Business Case'!D12*$B108)-('Business Case'!C11*$C108*'Business Case'!C12*$B108))-'Business Case'!D15*$F108</f>
        <v>277549187.931008</v>
      </c>
      <c r="K108" s="39" t="n">
        <f aca="false">(('Business Case'!E11*$C108*'Business Case'!E12*$B108)-'Business Case'!E11*$C108*'Business Case'!E13*$D108-'Business Case'!E14*$E108)-MAX(0,(('Business Case'!E11*$C108*'Business Case'!E12*$B108)-'Business Case'!E11*$C108*'Business Case'!E13*$D108-'Business Case'!E14*$E108))*'Business Case'!$B$7-'Business Case'!$B$8*(('Business Case'!E11*$C108*'Business Case'!E12*$B108)-('Business Case'!D11*$C108*'Business Case'!D12*$B108))-'Business Case'!E15*$F108</f>
        <v>619913706.358717</v>
      </c>
      <c r="L108" s="39" t="n">
        <f aca="false">(('Business Case'!F11*$C108*'Business Case'!F12*$B108)-'Business Case'!F11*$C108*'Business Case'!F13*$D108-'Business Case'!F14*$E108)-MAX(0,(('Business Case'!F11*$C108*'Business Case'!F12*$B108)-'Business Case'!F11*$C108*'Business Case'!F13*$D108-'Business Case'!F14*$E108))*'Business Case'!$B$7-'Business Case'!$B$8*(('Business Case'!F11*$C108*'Business Case'!F12*$B108)-('Business Case'!E11*$C108*'Business Case'!E12*$B108))-'Business Case'!F15*$F108</f>
        <v>748175243.009485</v>
      </c>
      <c r="M108" s="39" t="n">
        <f aca="false">(('Business Case'!G11*$C108*'Business Case'!G12*$B108)-'Business Case'!G11*$C108*'Business Case'!G13*$D108-'Business Case'!G14*$E108)-MAX(0,(('Business Case'!G11*$C108*'Business Case'!G12*$B108)-'Business Case'!G11*$C108*'Business Case'!G13*$D108-'Business Case'!G14*$E108))*'Business Case'!$B$7-'Business Case'!$B$8*(('Business Case'!G11*$C108*'Business Case'!G12*$B108)-('Business Case'!F11*$C108*'Business Case'!F12*$B108))-'Business Case'!G15*$F108+'Business Case'!$B$8*('Business Case'!G11*$C108*'Business Case'!G12*$B108)</f>
        <v>925387961.960016</v>
      </c>
      <c r="N108" s="39" t="n">
        <f aca="false">IF(COUNT('Business Case'!B11:G11)=0,"",H108+NPV(G108,I108:M108))</f>
        <v>-379746433.970307</v>
      </c>
      <c r="P108" s="40" t="n">
        <f aca="true">RAND()</f>
        <v>0.577646561146684</v>
      </c>
      <c r="Q108" s="40" t="n">
        <f aca="true">RAND()</f>
        <v>0.270060446539168</v>
      </c>
      <c r="R108" s="40" t="n">
        <f aca="true">RAND()</f>
        <v>0.256010127545419</v>
      </c>
      <c r="S108" s="40" t="n">
        <f aca="true">RAND()</f>
        <v>0.304321037195696</v>
      </c>
      <c r="T108" s="40" t="n">
        <f aca="true">RAND()</f>
        <v>0.734707428773753</v>
      </c>
      <c r="U108" s="40" t="n">
        <f aca="true">RAND()</f>
        <v>0.161759253480214</v>
      </c>
    </row>
    <row r="109" customFormat="false" ht="15" hidden="false" customHeight="false" outlineLevel="0" collapsed="false">
      <c r="A109" s="36" t="n">
        <v>29</v>
      </c>
      <c r="B109" s="37" t="n">
        <f aca="false">1+IF($G$6=$E$6,$F$6,IF(P109&lt;($F$6-$E$6)/($G$6-$E$6),$E$6+SQRT(P109*($G$6-$E$6)*($F$6-$E$6)),$G$6-SQRT((1-P109)*($G$6-$E$6)*($G$6-$F$6))))</f>
        <v>0.984821205901843</v>
      </c>
      <c r="C109" s="37" t="n">
        <f aca="false">1+IF($G$7=$E$7,$F$7,IF(Q109&lt;($F$7-$E$7)/($G$7-$E$7),$E$7+SQRT(Q109*($G$7-$E$7)*($F$7-$E$7)),$G$7-SQRT((1-Q109)*($G$7-$E$7)*($G$7-$F$7))))</f>
        <v>1.10036489489103</v>
      </c>
      <c r="D109" s="37" t="n">
        <f aca="false">1+IF($G$8=$E$8,$F$8,IF(R109&lt;($F$8-$E$8)/($G$8-$E$8),$E$8+SQRT(R109*($G$8-$E$8)*($F$8-$E$8)),$G$8-SQRT((1-R109)*($G$8-$E$8)*($G$8-$F$8))))</f>
        <v>1.04970026517412</v>
      </c>
      <c r="E109" s="37" t="n">
        <f aca="false">1+IF($G$9=$E$9,$F$9,IF(S109&lt;($F$9-$E$9)/($G$9-$E$9),$E$9+SQRT(S109*($G$9-$E$9)*($F$9-$E$9)),$G$9-SQRT((1-S109)*($G$9-$E$9)*($G$9-$F$9))))</f>
        <v>1.04255601406489</v>
      </c>
      <c r="F109" s="37" t="n">
        <f aca="false">1+IF($G$10=$E$10,$F$10,IF(T109&lt;($F$10-$E$10)/($G$10-$E$10),$E$10+SQRT(T109*($G$10-$E$10)*($F$10-$E$10)),$G$10-SQRT((1-T109)*($G$10-$E$10)*($G$10-$F$10))))</f>
        <v>1.0606044955057</v>
      </c>
      <c r="G109" s="38" t="n">
        <f aca="false">IF($G$11=$E$11,$F$11,IF(U109&lt;($F$11-$E$11)/($G$11-$E$11),$E$11+SQRT(U109*($G$11-$E$11)*($F$11-$E$11)),$G$11-SQRT((1-U109)*($G$11-$E$11)*($G$11-$F$11))))</f>
        <v>0.110689197762091</v>
      </c>
      <c r="H109" s="39" t="n">
        <f aca="false">(('Business Case'!B11*$C109*'Business Case'!B12*$B109)-'Business Case'!B11*$C109*'Business Case'!B13*$D109-'Business Case'!B14*$E109)-MAX(0,(('Business Case'!B11*$C109*'Business Case'!B12*$B109)-'Business Case'!B11*$C109*'Business Case'!B13*$D109-'Business Case'!B14*$E109))*'Business Case'!$B$7-'Business Case'!$B$8*('Business Case'!B11*$C109*'Business Case'!B12*$B109)-'Business Case'!B15*$F109</f>
        <v>-2121208991.0114</v>
      </c>
      <c r="I109" s="39" t="n">
        <f aca="false">(('Business Case'!C11*$C109*'Business Case'!C12*$B109)-'Business Case'!C11*$C109*'Business Case'!C13*$D109-'Business Case'!C14*$E109)-MAX(0,(('Business Case'!C11*$C109*'Business Case'!C12*$B109)-'Business Case'!C11*$C109*'Business Case'!C13*$D109-'Business Case'!C14*$E109))*'Business Case'!$B$7-'Business Case'!$B$8*(('Business Case'!C11*$C109*'Business Case'!C12*$B109)-('Business Case'!B11*$C109*'Business Case'!B12*$B109))-'Business Case'!C15*$F109</f>
        <v>-14186123.9384206</v>
      </c>
      <c r="J109" s="39" t="n">
        <f aca="false">(('Business Case'!D11*$C109*'Business Case'!D12*$B109)-'Business Case'!D11*$C109*'Business Case'!D13*$D109-'Business Case'!D14*$E109)-MAX(0,(('Business Case'!D11*$C109*'Business Case'!D12*$B109)-'Business Case'!D11*$C109*'Business Case'!D13*$D109-'Business Case'!D14*$E109))*'Business Case'!$B$7-'Business Case'!$B$8*(('Business Case'!D11*$C109*'Business Case'!D12*$B109)-('Business Case'!C11*$C109*'Business Case'!C12*$B109))-'Business Case'!D15*$F109</f>
        <v>282116740.34589</v>
      </c>
      <c r="K109" s="39" t="n">
        <f aca="false">(('Business Case'!E11*$C109*'Business Case'!E12*$B109)-'Business Case'!E11*$C109*'Business Case'!E13*$D109-'Business Case'!E14*$E109)-MAX(0,(('Business Case'!E11*$C109*'Business Case'!E12*$B109)-'Business Case'!E11*$C109*'Business Case'!E13*$D109-'Business Case'!E14*$E109))*'Business Case'!$B$7-'Business Case'!$B$8*(('Business Case'!E11*$C109*'Business Case'!E12*$B109)-('Business Case'!D11*$C109*'Business Case'!D12*$B109))-'Business Case'!E15*$F109</f>
        <v>631449829.405486</v>
      </c>
      <c r="L109" s="39" t="n">
        <f aca="false">(('Business Case'!F11*$C109*'Business Case'!F12*$B109)-'Business Case'!F11*$C109*'Business Case'!F13*$D109-'Business Case'!F14*$E109)-MAX(0,(('Business Case'!F11*$C109*'Business Case'!F12*$B109)-'Business Case'!F11*$C109*'Business Case'!F13*$D109-'Business Case'!F14*$E109))*'Business Case'!$B$7-'Business Case'!$B$8*(('Business Case'!F11*$C109*'Business Case'!F12*$B109)-('Business Case'!E11*$C109*'Business Case'!E12*$B109))-'Business Case'!F15*$F109</f>
        <v>767668833.148346</v>
      </c>
      <c r="M109" s="39" t="n">
        <f aca="false">(('Business Case'!G11*$C109*'Business Case'!G12*$B109)-'Business Case'!G11*$C109*'Business Case'!G13*$D109-'Business Case'!G14*$E109)-MAX(0,(('Business Case'!G11*$C109*'Business Case'!G12*$B109)-'Business Case'!G11*$C109*'Business Case'!G13*$D109-'Business Case'!G14*$E109))*'Business Case'!$B$7-'Business Case'!$B$8*(('Business Case'!G11*$C109*'Business Case'!G12*$B109)-('Business Case'!F11*$C109*'Business Case'!F12*$B109))-'Business Case'!G15*$F109+'Business Case'!$B$8*('Business Case'!G11*$C109*'Business Case'!G12*$B109)</f>
        <v>973651435.879505</v>
      </c>
      <c r="N109" s="39" t="n">
        <f aca="false">IF(COUNT('Business Case'!B11:G11)=0,"",H109+NPV(G109,I109:M109))</f>
        <v>-363983922.606641</v>
      </c>
      <c r="P109" s="40" t="n">
        <f aca="true">RAND()</f>
        <v>0.437686326517622</v>
      </c>
      <c r="Q109" s="40" t="n">
        <f aca="true">RAND()</f>
        <v>0.953073454110885</v>
      </c>
      <c r="R109" s="40" t="n">
        <f aca="true">RAND()</f>
        <v>0.911723660527038</v>
      </c>
      <c r="S109" s="40" t="n">
        <f aca="true">RAND()</f>
        <v>0.780012565325775</v>
      </c>
      <c r="T109" s="40" t="n">
        <f aca="true">RAND()</f>
        <v>0.611377866535602</v>
      </c>
      <c r="U109" s="40" t="n">
        <f aca="true">RAND()</f>
        <v>0.855514936144255</v>
      </c>
    </row>
    <row r="110" customFormat="false" ht="15" hidden="false" customHeight="false" outlineLevel="0" collapsed="false">
      <c r="A110" s="36" t="n">
        <v>30</v>
      </c>
      <c r="B110" s="37" t="n">
        <f aca="false">1+IF($G$6=$E$6,$F$6,IF(P110&lt;($F$6-$E$6)/($G$6-$E$6),$E$6+SQRT(P110*($G$6-$E$6)*($F$6-$E$6)),$G$6-SQRT((1-P110)*($G$6-$E$6)*($G$6-$F$6))))</f>
        <v>0.953519683218491</v>
      </c>
      <c r="C110" s="37" t="n">
        <f aca="false">1+IF($G$7=$E$7,$F$7,IF(Q110&lt;($F$7-$E$7)/($G$7-$E$7),$E$7+SQRT(Q110*($G$7-$E$7)*($F$7-$E$7)),$G$7-SQRT((1-Q110)*($G$7-$E$7)*($G$7-$F$7))))</f>
        <v>0.808460894396882</v>
      </c>
      <c r="D110" s="37" t="n">
        <f aca="false">1+IF($G$8=$E$8,$F$8,IF(R110&lt;($F$8-$E$8)/($G$8-$E$8),$E$8+SQRT(R110*($G$8-$E$8)*($F$8-$E$8)),$G$8-SQRT((1-R110)*($G$8-$E$8)*($G$8-$F$8))))</f>
        <v>1.02479049423454</v>
      </c>
      <c r="E110" s="37" t="n">
        <f aca="false">1+IF($G$9=$E$9,$F$9,IF(S110&lt;($F$9-$E$9)/($G$9-$E$9),$E$9+SQRT(S110*($G$9-$E$9)*($F$9-$E$9)),$G$9-SQRT((1-S110)*($G$9-$E$9)*($G$9-$F$9))))</f>
        <v>1.05352802168507</v>
      </c>
      <c r="F110" s="37" t="n">
        <f aca="false">1+IF($G$10=$E$10,$F$10,IF(T110&lt;($F$10-$E$10)/($G$10-$E$10),$E$10+SQRT(T110*($G$10-$E$10)*($F$10-$E$10)),$G$10-SQRT((1-T110)*($G$10-$E$10)*($G$10-$F$10))))</f>
        <v>1.02621203334362</v>
      </c>
      <c r="G110" s="38" t="n">
        <f aca="false">IF($G$11=$E$11,$F$11,IF(U110&lt;($F$11-$E$11)/($G$11-$E$11),$E$11+SQRT(U110*($G$11-$E$11)*($F$11-$E$11)),$G$11-SQRT((1-U110)*($G$11-$E$11)*($G$11-$F$11))))</f>
        <v>0.116957299964532</v>
      </c>
      <c r="H110" s="39" t="n">
        <f aca="false">(('Business Case'!B11*$C110*'Business Case'!B12*$B110)-'Business Case'!B11*$C110*'Business Case'!B13*$D110-'Business Case'!B14*$E110)-MAX(0,(('Business Case'!B11*$C110*'Business Case'!B12*$B110)-'Business Case'!B11*$C110*'Business Case'!B13*$D110-'Business Case'!B14*$E110))*'Business Case'!$B$7-'Business Case'!$B$8*('Business Case'!B11*$C110*'Business Case'!B12*$B110)-'Business Case'!B15*$F110</f>
        <v>-2052424066.68723</v>
      </c>
      <c r="I110" s="39" t="n">
        <f aca="false">(('Business Case'!C11*$C110*'Business Case'!C12*$B110)-'Business Case'!C11*$C110*'Business Case'!C13*$D110-'Business Case'!C14*$E110)-MAX(0,(('Business Case'!C11*$C110*'Business Case'!C12*$B110)-'Business Case'!C11*$C110*'Business Case'!C13*$D110-'Business Case'!C14*$E110))*'Business Case'!$B$7-'Business Case'!$B$8*(('Business Case'!C11*$C110*'Business Case'!C12*$B110)-('Business Case'!B11*$C110*'Business Case'!B12*$B110))-'Business Case'!C15*$F110</f>
        <v>-85113769.744675</v>
      </c>
      <c r="J110" s="39" t="n">
        <f aca="false">(('Business Case'!D11*$C110*'Business Case'!D12*$B110)-'Business Case'!D11*$C110*'Business Case'!D13*$D110-'Business Case'!D14*$E110)-MAX(0,(('Business Case'!D11*$C110*'Business Case'!D12*$B110)-'Business Case'!D11*$C110*'Business Case'!D13*$D110-'Business Case'!D14*$E110))*'Business Case'!$B$7-'Business Case'!$B$8*(('Business Case'!D11*$C110*'Business Case'!D12*$B110)-('Business Case'!C11*$C110*'Business Case'!C12*$B110))-'Business Case'!D15*$F110</f>
        <v>122167942.736314</v>
      </c>
      <c r="K110" s="39" t="n">
        <f aca="false">(('Business Case'!E11*$C110*'Business Case'!E12*$B110)-'Business Case'!E11*$C110*'Business Case'!E13*$D110-'Business Case'!E14*$E110)-MAX(0,(('Business Case'!E11*$C110*'Business Case'!E12*$B110)-'Business Case'!E11*$C110*'Business Case'!E13*$D110-'Business Case'!E14*$E110))*'Business Case'!$B$7-'Business Case'!$B$8*(('Business Case'!E11*$C110*'Business Case'!E12*$B110)-('Business Case'!D11*$C110*'Business Case'!D12*$B110))-'Business Case'!E15*$F110</f>
        <v>380760256.884483</v>
      </c>
      <c r="L110" s="39" t="n">
        <f aca="false">(('Business Case'!F11*$C110*'Business Case'!F12*$B110)-'Business Case'!F11*$C110*'Business Case'!F13*$D110-'Business Case'!F14*$E110)-MAX(0,(('Business Case'!F11*$C110*'Business Case'!F12*$B110)-'Business Case'!F11*$C110*'Business Case'!F13*$D110-'Business Case'!F14*$E110))*'Business Case'!$B$7-'Business Case'!$B$8*(('Business Case'!F11*$C110*'Business Case'!F12*$B110)-('Business Case'!E11*$C110*'Business Case'!E12*$B110))-'Business Case'!F15*$F110</f>
        <v>476495890.516603</v>
      </c>
      <c r="M110" s="39" t="n">
        <f aca="false">(('Business Case'!G11*$C110*'Business Case'!G12*$B110)-'Business Case'!G11*$C110*'Business Case'!G13*$D110-'Business Case'!G14*$E110)-MAX(0,(('Business Case'!G11*$C110*'Business Case'!G12*$B110)-'Business Case'!G11*$C110*'Business Case'!G13*$D110-'Business Case'!G14*$E110))*'Business Case'!$B$7-'Business Case'!$B$8*(('Business Case'!G11*$C110*'Business Case'!G12*$B110)-('Business Case'!F11*$C110*'Business Case'!F12*$B110))-'Business Case'!G15*$F110+'Business Case'!$B$8*('Business Case'!G11*$C110*'Business Case'!G12*$B110)</f>
        <v>623025402.611449</v>
      </c>
      <c r="N110" s="39" t="n">
        <f aca="false">IF(COUNT('Business Case'!B11:G11)=0,"",H110+NPV(G110,I110:M110))</f>
        <v>-1092966443.45546</v>
      </c>
      <c r="P110" s="40" t="n">
        <f aca="true">RAND()</f>
        <v>0.11703845448625</v>
      </c>
      <c r="Q110" s="40" t="n">
        <f aca="true">RAND()</f>
        <v>0.00102266762850262</v>
      </c>
      <c r="R110" s="40" t="n">
        <f aca="true">RAND()</f>
        <v>0.70691446857057</v>
      </c>
      <c r="S110" s="40" t="n">
        <f aca="true">RAND()</f>
        <v>0.856023682099791</v>
      </c>
      <c r="T110" s="40" t="n">
        <f aca="true">RAND()</f>
        <v>0.395954852908791</v>
      </c>
      <c r="U110" s="40" t="n">
        <f aca="true">RAND()</f>
        <v>0.984569960823608</v>
      </c>
    </row>
    <row r="111" customFormat="false" ht="15" hidden="false" customHeight="false" outlineLevel="0" collapsed="false">
      <c r="A111" s="36" t="n">
        <v>31</v>
      </c>
      <c r="B111" s="37" t="n">
        <f aca="false">1+IF($G$6=$E$6,$F$6,IF(P111&lt;($F$6-$E$6)/($G$6-$E$6),$E$6+SQRT(P111*($G$6-$E$6)*($F$6-$E$6)),$G$6-SQRT((1-P111)*($G$6-$E$6)*($G$6-$F$6))))</f>
        <v>1.00455167048401</v>
      </c>
      <c r="C111" s="37" t="n">
        <f aca="false">1+IF($G$7=$E$7,$F$7,IF(Q111&lt;($F$7-$E$7)/($G$7-$E$7),$E$7+SQRT(Q111*($G$7-$E$7)*($F$7-$E$7)),$G$7-SQRT((1-Q111)*($G$7-$E$7)*($G$7-$F$7))))</f>
        <v>1.04709740776566</v>
      </c>
      <c r="D111" s="37" t="n">
        <f aca="false">1+IF($G$8=$E$8,$F$8,IF(R111&lt;($F$8-$E$8)/($G$8-$E$8),$E$8+SQRT(R111*($G$8-$E$8)*($F$8-$E$8)),$G$8-SQRT((1-R111)*($G$8-$E$8)*($G$8-$F$8))))</f>
        <v>0.971467996726423</v>
      </c>
      <c r="E111" s="37" t="n">
        <f aca="false">1+IF($G$9=$E$9,$F$9,IF(S111&lt;($F$9-$E$9)/($G$9-$E$9),$E$9+SQRT(S111*($G$9-$E$9)*($F$9-$E$9)),$G$9-SQRT((1-S111)*($G$9-$E$9)*($G$9-$F$9))))</f>
        <v>0.9938298338493</v>
      </c>
      <c r="F111" s="37" t="n">
        <f aca="false">1+IF($G$10=$E$10,$F$10,IF(T111&lt;($F$10-$E$10)/($G$10-$E$10),$E$10+SQRT(T111*($G$10-$E$10)*($F$10-$E$10)),$G$10-SQRT((1-T111)*($G$10-$E$10)*($G$10-$F$10))))</f>
        <v>1.09924616337471</v>
      </c>
      <c r="G111" s="38" t="n">
        <f aca="false">IF($G$11=$E$11,$F$11,IF(U111&lt;($F$11-$E$11)/($G$11-$E$11),$E$11+SQRT(U111*($G$11-$E$11)*($F$11-$E$11)),$G$11-SQRT((1-U111)*($G$11-$E$11)*($G$11-$F$11))))</f>
        <v>0.100060367583194</v>
      </c>
      <c r="H111" s="39" t="n">
        <f aca="false">(('Business Case'!B11*$C111*'Business Case'!B12*$B111)-'Business Case'!B11*$C111*'Business Case'!B13*$D111-'Business Case'!B14*$E111)-MAX(0,(('Business Case'!B11*$C111*'Business Case'!B12*$B111)-'Business Case'!B11*$C111*'Business Case'!B13*$D111-'Business Case'!B14*$E111))*'Business Case'!$B$7-'Business Case'!$B$8*('Business Case'!B11*$C111*'Business Case'!B12*$B111)-'Business Case'!B15*$F111</f>
        <v>-2198492326.74941</v>
      </c>
      <c r="I111" s="39" t="n">
        <f aca="false">(('Business Case'!C11*$C111*'Business Case'!C12*$B111)-'Business Case'!C11*$C111*'Business Case'!C13*$D111-'Business Case'!C14*$E111)-MAX(0,(('Business Case'!C11*$C111*'Business Case'!C12*$B111)-'Business Case'!C11*$C111*'Business Case'!C13*$D111-'Business Case'!C14*$E111))*'Business Case'!$B$7-'Business Case'!$B$8*(('Business Case'!C11*$C111*'Business Case'!C12*$B111)-('Business Case'!B11*$C111*'Business Case'!B12*$B111))-'Business Case'!C15*$F111</f>
        <v>35039987.5863867</v>
      </c>
      <c r="J111" s="39" t="n">
        <f aca="false">(('Business Case'!D11*$C111*'Business Case'!D12*$B111)-'Business Case'!D11*$C111*'Business Case'!D13*$D111-'Business Case'!D14*$E111)-MAX(0,(('Business Case'!D11*$C111*'Business Case'!D12*$B111)-'Business Case'!D11*$C111*'Business Case'!D13*$D111-'Business Case'!D14*$E111))*'Business Case'!$B$7-'Business Case'!$B$8*(('Business Case'!D11*$C111*'Business Case'!D12*$B111)-('Business Case'!C11*$C111*'Business Case'!C12*$B111))-'Business Case'!D15*$F111</f>
        <v>375855795.138378</v>
      </c>
      <c r="K111" s="39" t="n">
        <f aca="false">(('Business Case'!E11*$C111*'Business Case'!E12*$B111)-'Business Case'!E11*$C111*'Business Case'!E13*$D111-'Business Case'!E14*$E111)-MAX(0,(('Business Case'!E11*$C111*'Business Case'!E12*$B111)-'Business Case'!E11*$C111*'Business Case'!E13*$D111-'Business Case'!E14*$E111))*'Business Case'!$B$7-'Business Case'!$B$8*(('Business Case'!E11*$C111*'Business Case'!E12*$B111)-('Business Case'!D11*$C111*'Business Case'!D12*$B111))-'Business Case'!E15*$F111</f>
        <v>771633910.859105</v>
      </c>
      <c r="L111" s="39" t="n">
        <f aca="false">(('Business Case'!F11*$C111*'Business Case'!F12*$B111)-'Business Case'!F11*$C111*'Business Case'!F13*$D111-'Business Case'!F14*$E111)-MAX(0,(('Business Case'!F11*$C111*'Business Case'!F12*$B111)-'Business Case'!F11*$C111*'Business Case'!F13*$D111-'Business Case'!F14*$E111))*'Business Case'!$B$7-'Business Case'!$B$8*(('Business Case'!F11*$C111*'Business Case'!F12*$B111)-('Business Case'!E11*$C111*'Business Case'!E12*$B111))-'Business Case'!F15*$F111</f>
        <v>921591580.879611</v>
      </c>
      <c r="M111" s="39" t="n">
        <f aca="false">(('Business Case'!G11*$C111*'Business Case'!G12*$B111)-'Business Case'!G11*$C111*'Business Case'!G13*$D111-'Business Case'!G14*$E111)-MAX(0,(('Business Case'!G11*$C111*'Business Case'!G12*$B111)-'Business Case'!G11*$C111*'Business Case'!G13*$D111-'Business Case'!G14*$E111))*'Business Case'!$B$7-'Business Case'!$B$8*(('Business Case'!G11*$C111*'Business Case'!G12*$B111)-('Business Case'!F11*$C111*'Business Case'!F12*$B111))-'Business Case'!G15*$F111+'Business Case'!$B$8*('Business Case'!G11*$C111*'Business Case'!G12*$B111)</f>
        <v>1121529785.48041</v>
      </c>
      <c r="N111" s="39" t="n">
        <f aca="false">IF(COUNT('Business Case'!B11:G11)=0,"",H111+NPV(G111,I111:M111))</f>
        <v>49107528.1009641</v>
      </c>
      <c r="P111" s="40" t="n">
        <f aca="true">RAND()</f>
        <v>0.738211653026253</v>
      </c>
      <c r="Q111" s="40" t="n">
        <f aca="true">RAND()</f>
        <v>0.798305838313377</v>
      </c>
      <c r="R111" s="40" t="n">
        <f aca="true">RAND()</f>
        <v>0.0709038282224168</v>
      </c>
      <c r="S111" s="40" t="n">
        <f aca="true">RAND()</f>
        <v>0.256140578034301</v>
      </c>
      <c r="T111" s="40" t="n">
        <f aca="true">RAND()</f>
        <v>0.796973288105671</v>
      </c>
      <c r="U111" s="40" t="n">
        <f aca="true">RAND()</f>
        <v>0.337351765137756</v>
      </c>
    </row>
    <row r="112" customFormat="false" ht="15" hidden="false" customHeight="false" outlineLevel="0" collapsed="false">
      <c r="A112" s="36" t="n">
        <v>32</v>
      </c>
      <c r="B112" s="37" t="n">
        <f aca="false">1+IF($G$6=$E$6,$F$6,IF(P112&lt;($F$6-$E$6)/($G$6-$E$6),$E$6+SQRT(P112*($G$6-$E$6)*($F$6-$E$6)),$G$6-SQRT((1-P112)*($G$6-$E$6)*($G$6-$F$6))))</f>
        <v>1.02072765695522</v>
      </c>
      <c r="C112" s="37" t="n">
        <f aca="false">1+IF($G$7=$E$7,$F$7,IF(Q112&lt;($F$7-$E$7)/($G$7-$E$7),$E$7+SQRT(Q112*($G$7-$E$7)*($F$7-$E$7)),$G$7-SQRT((1-Q112)*($G$7-$E$7)*($G$7-$F$7))))</f>
        <v>0.952264209022721</v>
      </c>
      <c r="D112" s="37" t="n">
        <f aca="false">1+IF($G$8=$E$8,$F$8,IF(R112&lt;($F$8-$E$8)/($G$8-$E$8),$E$8+SQRT(R112*($G$8-$E$8)*($F$8-$E$8)),$G$8-SQRT((1-R112)*($G$8-$E$8)*($G$8-$F$8))))</f>
        <v>1.0291877229137</v>
      </c>
      <c r="E112" s="37" t="n">
        <f aca="false">1+IF($G$9=$E$9,$F$9,IF(S112&lt;($F$9-$E$9)/($G$9-$E$9),$E$9+SQRT(S112*($G$9-$E$9)*($F$9-$E$9)),$G$9-SQRT((1-S112)*($G$9-$E$9)*($G$9-$F$9))))</f>
        <v>1.03539795145457</v>
      </c>
      <c r="F112" s="37" t="n">
        <f aca="false">1+IF($G$10=$E$10,$F$10,IF(T112&lt;($F$10-$E$10)/($G$10-$E$10),$E$10+SQRT(T112*($G$10-$E$10)*($F$10-$E$10)),$G$10-SQRT((1-T112)*($G$10-$E$10)*($G$10-$F$10))))</f>
        <v>1.00063805077756</v>
      </c>
      <c r="G112" s="38" t="n">
        <f aca="false">IF($G$11=$E$11,$F$11,IF(U112&lt;($F$11-$E$11)/($G$11-$E$11),$E$11+SQRT(U112*($G$11-$E$11)*($F$11-$E$11)),$G$11-SQRT((1-U112)*($G$11-$E$11)*($G$11-$F$11))))</f>
        <v>0.0933846310755318</v>
      </c>
      <c r="H112" s="39" t="n">
        <f aca="false">(('Business Case'!B11*$C112*'Business Case'!B12*$B112)-'Business Case'!B11*$C112*'Business Case'!B13*$D112-'Business Case'!B14*$E112)-MAX(0,(('Business Case'!B11*$C112*'Business Case'!B12*$B112)-'Business Case'!B11*$C112*'Business Case'!B13*$D112-'Business Case'!B14*$E112))*'Business Case'!$B$7-'Business Case'!$B$8*('Business Case'!B11*$C112*'Business Case'!B12*$B112)-'Business Case'!B15*$F112</f>
        <v>-2001276101.55512</v>
      </c>
      <c r="I112" s="39" t="n">
        <f aca="false">(('Business Case'!C11*$C112*'Business Case'!C12*$B112)-'Business Case'!C11*$C112*'Business Case'!C13*$D112-'Business Case'!C14*$E112)-MAX(0,(('Business Case'!C11*$C112*'Business Case'!C12*$B112)-'Business Case'!C11*$C112*'Business Case'!C13*$D112-'Business Case'!C14*$E112))*'Business Case'!$B$7-'Business Case'!$B$8*(('Business Case'!C11*$C112*'Business Case'!C12*$B112)-('Business Case'!B11*$C112*'Business Case'!B12*$B112))-'Business Case'!C15*$F112</f>
        <v>-3257652.35513903</v>
      </c>
      <c r="J112" s="39" t="n">
        <f aca="false">(('Business Case'!D11*$C112*'Business Case'!D12*$B112)-'Business Case'!D11*$C112*'Business Case'!D13*$D112-'Business Case'!D14*$E112)-MAX(0,(('Business Case'!D11*$C112*'Business Case'!D12*$B112)-'Business Case'!D11*$C112*'Business Case'!D13*$D112-'Business Case'!D14*$E112))*'Business Case'!$B$7-'Business Case'!$B$8*(('Business Case'!D11*$C112*'Business Case'!D12*$B112)-('Business Case'!C11*$C112*'Business Case'!C12*$B112))-'Business Case'!D15*$F112</f>
        <v>291170694.251598</v>
      </c>
      <c r="K112" s="39" t="n">
        <f aca="false">(('Business Case'!E11*$C112*'Business Case'!E12*$B112)-'Business Case'!E11*$C112*'Business Case'!E13*$D112-'Business Case'!E14*$E112)-MAX(0,(('Business Case'!E11*$C112*'Business Case'!E12*$B112)-'Business Case'!E11*$C112*'Business Case'!E13*$D112-'Business Case'!E14*$E112))*'Business Case'!$B$7-'Business Case'!$B$8*(('Business Case'!E11*$C112*'Business Case'!E12*$B112)-('Business Case'!D11*$C112*'Business Case'!D12*$B112))-'Business Case'!E15*$F112</f>
        <v>635630943.397212</v>
      </c>
      <c r="L112" s="39" t="n">
        <f aca="false">(('Business Case'!F11*$C112*'Business Case'!F12*$B112)-'Business Case'!F11*$C112*'Business Case'!F13*$D112-'Business Case'!F14*$E112)-MAX(0,(('Business Case'!F11*$C112*'Business Case'!F12*$B112)-'Business Case'!F11*$C112*'Business Case'!F13*$D112-'Business Case'!F14*$E112))*'Business Case'!$B$7-'Business Case'!$B$8*(('Business Case'!F11*$C112*'Business Case'!F12*$B112)-('Business Case'!E11*$C112*'Business Case'!E12*$B112))-'Business Case'!F15*$F112</f>
        <v>767366129.057644</v>
      </c>
      <c r="M112" s="39" t="n">
        <f aca="false">(('Business Case'!G11*$C112*'Business Case'!G12*$B112)-'Business Case'!G11*$C112*'Business Case'!G13*$D112-'Business Case'!G14*$E112)-MAX(0,(('Business Case'!G11*$C112*'Business Case'!G12*$B112)-'Business Case'!G11*$C112*'Business Case'!G13*$D112-'Business Case'!G14*$E112))*'Business Case'!$B$7-'Business Case'!$B$8*(('Business Case'!G11*$C112*'Business Case'!G12*$B112)-('Business Case'!F11*$C112*'Business Case'!F12*$B112))-'Business Case'!G15*$F112+'Business Case'!$B$8*('Business Case'!G11*$C112*'Business Case'!G12*$B112)</f>
        <v>952124348.077669</v>
      </c>
      <c r="N112" s="39" t="n">
        <f aca="false">IF(COUNT('Business Case'!B11:G11)=0,"",H112+NPV(G112,I112:M112))</f>
        <v>-128200008.325701</v>
      </c>
      <c r="P112" s="40" t="n">
        <f aca="true">RAND()</f>
        <v>0.922620165325906</v>
      </c>
      <c r="Q112" s="40" t="n">
        <f aca="true">RAND()</f>
        <v>0.331205562133067</v>
      </c>
      <c r="R112" s="40" t="n">
        <f aca="true">RAND()</f>
        <v>0.751741586279373</v>
      </c>
      <c r="S112" s="40" t="n">
        <f aca="true">RAND()</f>
        <v>0.721771688248934</v>
      </c>
      <c r="T112" s="40" t="n">
        <f aca="true">RAND()</f>
        <v>0.205096264044591</v>
      </c>
      <c r="U112" s="40" t="n">
        <f aca="true">RAND()</f>
        <v>0.0381857583915177</v>
      </c>
    </row>
    <row r="113" customFormat="false" ht="15" hidden="false" customHeight="false" outlineLevel="0" collapsed="false">
      <c r="A113" s="36" t="n">
        <v>33</v>
      </c>
      <c r="B113" s="37" t="n">
        <f aca="false">1+IF($G$6=$E$6,$F$6,IF(P113&lt;($F$6-$E$6)/($G$6-$E$6),$E$6+SQRT(P113*($G$6-$E$6)*($F$6-$E$6)),$G$6-SQRT((1-P113)*($G$6-$E$6)*($G$6-$F$6))))</f>
        <v>0.982842113910309</v>
      </c>
      <c r="C113" s="37" t="n">
        <f aca="false">1+IF($G$7=$E$7,$F$7,IF(Q113&lt;($F$7-$E$7)/($G$7-$E$7),$E$7+SQRT(Q113*($G$7-$E$7)*($F$7-$E$7)),$G$7-SQRT((1-Q113)*($G$7-$E$7)*($G$7-$F$7))))</f>
        <v>0.961778642788717</v>
      </c>
      <c r="D113" s="37" t="n">
        <f aca="false">1+IF($G$8=$E$8,$F$8,IF(R113&lt;($F$8-$E$8)/($G$8-$E$8),$E$8+SQRT(R113*($G$8-$E$8)*($F$8-$E$8)),$G$8-SQRT((1-R113)*($G$8-$E$8)*($G$8-$F$8))))</f>
        <v>1.05099867963485</v>
      </c>
      <c r="E113" s="37" t="n">
        <f aca="false">1+IF($G$9=$E$9,$F$9,IF(S113&lt;($F$9-$E$9)/($G$9-$E$9),$E$9+SQRT(S113*($G$9-$E$9)*($F$9-$E$9)),$G$9-SQRT((1-S113)*($G$9-$E$9)*($G$9-$F$9))))</f>
        <v>1.05302100119152</v>
      </c>
      <c r="F113" s="37" t="n">
        <f aca="false">1+IF($G$10=$E$10,$F$10,IF(T113&lt;($F$10-$E$10)/($G$10-$E$10),$E$10+SQRT(T113*($G$10-$E$10)*($F$10-$E$10)),$G$10-SQRT((1-T113)*($G$10-$E$10)*($G$10-$F$10))))</f>
        <v>0.99905449415105</v>
      </c>
      <c r="G113" s="38" t="n">
        <f aca="false">IF($G$11=$E$11,$F$11,IF(U113&lt;($F$11-$E$11)/($G$11-$E$11),$E$11+SQRT(U113*($G$11-$E$11)*($F$11-$E$11)),$G$11-SQRT((1-U113)*($G$11-$E$11)*($G$11-$F$11))))</f>
        <v>0.10819266727499</v>
      </c>
      <c r="H113" s="39" t="n">
        <f aca="false">(('Business Case'!B11*$C113*'Business Case'!B12*$B113)-'Business Case'!B11*$C113*'Business Case'!B13*$D113-'Business Case'!B14*$E113)-MAX(0,(('Business Case'!B11*$C113*'Business Case'!B12*$B113)-'Business Case'!B11*$C113*'Business Case'!B13*$D113-'Business Case'!B14*$E113))*'Business Case'!$B$7-'Business Case'!$B$8*('Business Case'!B11*$C113*'Business Case'!B12*$B113)-'Business Case'!B15*$F113</f>
        <v>-1998108988.3021</v>
      </c>
      <c r="I113" s="39" t="n">
        <f aca="false">(('Business Case'!C11*$C113*'Business Case'!C12*$B113)-'Business Case'!C11*$C113*'Business Case'!C13*$D113-'Business Case'!C14*$E113)-MAX(0,(('Business Case'!C11*$C113*'Business Case'!C12*$B113)-'Business Case'!C11*$C113*'Business Case'!C13*$D113-'Business Case'!C14*$E113))*'Business Case'!$B$7-'Business Case'!$B$8*(('Business Case'!C11*$C113*'Business Case'!C12*$B113)-('Business Case'!B11*$C113*'Business Case'!B12*$B113))-'Business Case'!C15*$F113</f>
        <v>-41861726.9984052</v>
      </c>
      <c r="J113" s="39" t="n">
        <f aca="false">(('Business Case'!D11*$C113*'Business Case'!D12*$B113)-'Business Case'!D11*$C113*'Business Case'!D13*$D113-'Business Case'!D14*$E113)-MAX(0,(('Business Case'!D11*$C113*'Business Case'!D12*$B113)-'Business Case'!D11*$C113*'Business Case'!D13*$D113-'Business Case'!D14*$E113))*'Business Case'!$B$7-'Business Case'!$B$8*(('Business Case'!D11*$C113*'Business Case'!D12*$B113)-('Business Case'!C11*$C113*'Business Case'!C12*$B113))-'Business Case'!D15*$F113</f>
        <v>214924718.367424</v>
      </c>
      <c r="K113" s="39" t="n">
        <f aca="false">(('Business Case'!E11*$C113*'Business Case'!E12*$B113)-'Business Case'!E11*$C113*'Business Case'!E13*$D113-'Business Case'!E14*$E113)-MAX(0,(('Business Case'!E11*$C113*'Business Case'!E12*$B113)-'Business Case'!E11*$C113*'Business Case'!E13*$D113-'Business Case'!E14*$E113))*'Business Case'!$B$7-'Business Case'!$B$8*(('Business Case'!E11*$C113*'Business Case'!E12*$B113)-('Business Case'!D11*$C113*'Business Case'!D12*$B113))-'Business Case'!E15*$F113</f>
        <v>521663888.440805</v>
      </c>
      <c r="L113" s="39" t="n">
        <f aca="false">(('Business Case'!F11*$C113*'Business Case'!F12*$B113)-'Business Case'!F11*$C113*'Business Case'!F13*$D113-'Business Case'!F14*$E113)-MAX(0,(('Business Case'!F11*$C113*'Business Case'!F12*$B113)-'Business Case'!F11*$C113*'Business Case'!F13*$D113-'Business Case'!F14*$E113))*'Business Case'!$B$7-'Business Case'!$B$8*(('Business Case'!F11*$C113*'Business Case'!F12*$B113)-('Business Case'!E11*$C113*'Business Case'!E12*$B113))-'Business Case'!F15*$F113</f>
        <v>639928127.949211</v>
      </c>
      <c r="M113" s="39" t="n">
        <f aca="false">(('Business Case'!G11*$C113*'Business Case'!G12*$B113)-'Business Case'!G11*$C113*'Business Case'!G13*$D113-'Business Case'!G14*$E113)-MAX(0,(('Business Case'!G11*$C113*'Business Case'!G12*$B113)-'Business Case'!G11*$C113*'Business Case'!G13*$D113-'Business Case'!G14*$E113))*'Business Case'!$B$7-'Business Case'!$B$8*(('Business Case'!G11*$C113*'Business Case'!G12*$B113)-('Business Case'!F11*$C113*'Business Case'!F12*$B113))-'Business Case'!G15*$F113+'Business Case'!$B$8*('Business Case'!G11*$C113*'Business Case'!G12*$B113)</f>
        <v>819606295.40809</v>
      </c>
      <c r="N113" s="39" t="n">
        <f aca="false">IF(COUNT('Business Case'!B11:G11)=0,"",H113+NPV(G113,I113:M113))</f>
        <v>-562898354.011772</v>
      </c>
      <c r="P113" s="40" t="n">
        <f aca="true">RAND()</f>
        <v>0.411367841741281</v>
      </c>
      <c r="Q113" s="40" t="n">
        <f aca="true">RAND()</f>
        <v>0.373890418036561</v>
      </c>
      <c r="R113" s="40" t="n">
        <f aca="true">RAND()</f>
        <v>0.919127251642127</v>
      </c>
      <c r="S113" s="40" t="n">
        <f aca="true">RAND()</f>
        <v>0.852864911396883</v>
      </c>
      <c r="T113" s="40" t="n">
        <f aca="true">RAND()</f>
        <v>0.192507471713229</v>
      </c>
      <c r="U113" s="40" t="n">
        <f aca="true">RAND()</f>
        <v>0.767644823201512</v>
      </c>
    </row>
    <row r="114" customFormat="false" ht="15" hidden="false" customHeight="false" outlineLevel="0" collapsed="false">
      <c r="A114" s="36" t="n">
        <v>34</v>
      </c>
      <c r="B114" s="37" t="n">
        <f aca="false">1+IF($G$6=$E$6,$F$6,IF(P114&lt;($F$6-$E$6)/($G$6-$E$6),$E$6+SQRT(P114*($G$6-$E$6)*($F$6-$E$6)),$G$6-SQRT((1-P114)*($G$6-$E$6)*($G$6-$F$6))))</f>
        <v>1.00091727451939</v>
      </c>
      <c r="C114" s="37" t="n">
        <f aca="false">1+IF($G$7=$E$7,$F$7,IF(Q114&lt;($F$7-$E$7)/($G$7-$E$7),$E$7+SQRT(Q114*($G$7-$E$7)*($F$7-$E$7)),$G$7-SQRT((1-Q114)*($G$7-$E$7)*($G$7-$F$7))))</f>
        <v>1.0096461839587</v>
      </c>
      <c r="D114" s="37" t="n">
        <f aca="false">1+IF($G$8=$E$8,$F$8,IF(R114&lt;($F$8-$E$8)/($G$8-$E$8),$E$8+SQRT(R114*($G$8-$E$8)*($F$8-$E$8)),$G$8-SQRT((1-R114)*($G$8-$E$8)*($G$8-$F$8))))</f>
        <v>1.00136225434172</v>
      </c>
      <c r="E114" s="37" t="n">
        <f aca="false">1+IF($G$9=$E$9,$F$9,IF(S114&lt;($F$9-$E$9)/($G$9-$E$9),$E$9+SQRT(S114*($G$9-$E$9)*($F$9-$E$9)),$G$9-SQRT((1-S114)*($G$9-$E$9)*($G$9-$F$9))))</f>
        <v>1.04183343012857</v>
      </c>
      <c r="F114" s="37" t="n">
        <f aca="false">1+IF($G$10=$E$10,$F$10,IF(T114&lt;($F$10-$E$10)/($G$10-$E$10),$E$10+SQRT(T114*($G$10-$E$10)*($F$10-$E$10)),$G$10-SQRT((1-T114)*($G$10-$E$10)*($G$10-$F$10))))</f>
        <v>1.01287165231372</v>
      </c>
      <c r="G114" s="38" t="n">
        <f aca="false">IF($G$11=$E$11,$F$11,IF(U114&lt;($F$11-$E$11)/($G$11-$E$11),$E$11+SQRT(U114*($G$11-$E$11)*($F$11-$E$11)),$G$11-SQRT((1-U114)*($G$11-$E$11)*($G$11-$F$11))))</f>
        <v>0.111730000419262</v>
      </c>
      <c r="H114" s="39" t="n">
        <f aca="false">(('Business Case'!B11*$C114*'Business Case'!B12*$B114)-'Business Case'!B11*$C114*'Business Case'!B13*$D114-'Business Case'!B14*$E114)-MAX(0,(('Business Case'!B11*$C114*'Business Case'!B12*$B114)-'Business Case'!B11*$C114*'Business Case'!B13*$D114-'Business Case'!B14*$E114))*'Business Case'!$B$7-'Business Case'!$B$8*('Business Case'!B11*$C114*'Business Case'!B12*$B114)-'Business Case'!B15*$F114</f>
        <v>-2025743304.62744</v>
      </c>
      <c r="I114" s="39" t="n">
        <f aca="false">(('Business Case'!C11*$C114*'Business Case'!C12*$B114)-'Business Case'!C11*$C114*'Business Case'!C13*$D114-'Business Case'!C14*$E114)-MAX(0,(('Business Case'!C11*$C114*'Business Case'!C12*$B114)-'Business Case'!C11*$C114*'Business Case'!C13*$D114-'Business Case'!C14*$E114))*'Business Case'!$B$7-'Business Case'!$B$8*(('Business Case'!C11*$C114*'Business Case'!C12*$B114)-('Business Case'!B11*$C114*'Business Case'!B12*$B114))-'Business Case'!C15*$F114</f>
        <v>8345366.35246827</v>
      </c>
      <c r="J114" s="39" t="n">
        <f aca="false">(('Business Case'!D11*$C114*'Business Case'!D12*$B114)-'Business Case'!D11*$C114*'Business Case'!D13*$D114-'Business Case'!D14*$E114)-MAX(0,(('Business Case'!D11*$C114*'Business Case'!D12*$B114)-'Business Case'!D11*$C114*'Business Case'!D13*$D114-'Business Case'!D14*$E114))*'Business Case'!$B$7-'Business Case'!$B$8*(('Business Case'!D11*$C114*'Business Case'!D12*$B114)-('Business Case'!C11*$C114*'Business Case'!C12*$B114))-'Business Case'!D15*$F114</f>
        <v>318514680.078718</v>
      </c>
      <c r="K114" s="39" t="n">
        <f aca="false">(('Business Case'!E11*$C114*'Business Case'!E12*$B114)-'Business Case'!E11*$C114*'Business Case'!E13*$D114-'Business Case'!E14*$E114)-MAX(0,(('Business Case'!E11*$C114*'Business Case'!E12*$B114)-'Business Case'!E11*$C114*'Business Case'!E13*$D114-'Business Case'!E14*$E114))*'Business Case'!$B$7-'Business Case'!$B$8*(('Business Case'!E11*$C114*'Business Case'!E12*$B114)-('Business Case'!D11*$C114*'Business Case'!D12*$B114))-'Business Case'!E15*$F114</f>
        <v>679327576.420654</v>
      </c>
      <c r="L114" s="39" t="n">
        <f aca="false">(('Business Case'!F11*$C114*'Business Case'!F12*$B114)-'Business Case'!F11*$C114*'Business Case'!F13*$D114-'Business Case'!F14*$E114)-MAX(0,(('Business Case'!F11*$C114*'Business Case'!F12*$B114)-'Business Case'!F11*$C114*'Business Case'!F13*$D114-'Business Case'!F14*$E114))*'Business Case'!$B$7-'Business Case'!$B$8*(('Business Case'!F11*$C114*'Business Case'!F12*$B114)-('Business Case'!E11*$C114*'Business Case'!E12*$B114))-'Business Case'!F15*$F114</f>
        <v>817642726.581489</v>
      </c>
      <c r="M114" s="39" t="n">
        <f aca="false">(('Business Case'!G11*$C114*'Business Case'!G12*$B114)-'Business Case'!G11*$C114*'Business Case'!G13*$D114-'Business Case'!G14*$E114)-MAX(0,(('Business Case'!G11*$C114*'Business Case'!G12*$B114)-'Business Case'!G11*$C114*'Business Case'!G13*$D114-'Business Case'!G14*$E114))*'Business Case'!$B$7-'Business Case'!$B$8*(('Business Case'!G11*$C114*'Business Case'!G12*$B114)-('Business Case'!F11*$C114*'Business Case'!F12*$B114))-'Business Case'!G15*$F114+'Business Case'!$B$8*('Business Case'!G11*$C114*'Business Case'!G12*$B114)</f>
        <v>1009732310.63462</v>
      </c>
      <c r="N114" s="39" t="n">
        <f aca="false">IF(COUNT('Business Case'!B11:G11)=0,"",H114+NPV(G114,I114:M114))</f>
        <v>-136282824.852783</v>
      </c>
      <c r="P114" s="40" t="n">
        <f aca="true">RAND()</f>
        <v>0.681779285209846</v>
      </c>
      <c r="Q114" s="40" t="n">
        <f aca="true">RAND()</f>
        <v>0.624777263288457</v>
      </c>
      <c r="R114" s="40" t="n">
        <f aca="true">RAND()</f>
        <v>0.405394707479132</v>
      </c>
      <c r="S114" s="40" t="n">
        <f aca="true">RAND()</f>
        <v>0.77444334329278</v>
      </c>
      <c r="T114" s="40" t="n">
        <f aca="true">RAND()</f>
        <v>0.299659629844058</v>
      </c>
      <c r="U114" s="40" t="n">
        <f aca="true">RAND()</f>
        <v>0.886011844890997</v>
      </c>
    </row>
    <row r="115" customFormat="false" ht="15" hidden="false" customHeight="false" outlineLevel="0" collapsed="false">
      <c r="A115" s="36" t="n">
        <v>35</v>
      </c>
      <c r="B115" s="37" t="n">
        <f aca="false">1+IF($G$6=$E$6,$F$6,IF(P115&lt;($F$6-$E$6)/($G$6-$E$6),$E$6+SQRT(P115*($G$6-$E$6)*($F$6-$E$6)),$G$6-SQRT((1-P115)*($G$6-$E$6)*($G$6-$F$6))))</f>
        <v>0.95594537390855</v>
      </c>
      <c r="C115" s="37" t="n">
        <f aca="false">1+IF($G$7=$E$7,$F$7,IF(Q115&lt;($F$7-$E$7)/($G$7-$E$7),$E$7+SQRT(Q115*($G$7-$E$7)*($F$7-$E$7)),$G$7-SQRT((1-Q115)*($G$7-$E$7)*($G$7-$F$7))))</f>
        <v>0.998612215830723</v>
      </c>
      <c r="D115" s="37" t="n">
        <f aca="false">1+IF($G$8=$E$8,$F$8,IF(R115&lt;($F$8-$E$8)/($G$8-$E$8),$E$8+SQRT(R115*($G$8-$E$8)*($F$8-$E$8)),$G$8-SQRT((1-R115)*($G$8-$E$8)*($G$8-$F$8))))</f>
        <v>0.979163381224472</v>
      </c>
      <c r="E115" s="37" t="n">
        <f aca="false">1+IF($G$9=$E$9,$F$9,IF(S115&lt;($F$9-$E$9)/($G$9-$E$9),$E$9+SQRT(S115*($G$9-$E$9)*($F$9-$E$9)),$G$9-SQRT((1-S115)*($G$9-$E$9)*($G$9-$F$9))))</f>
        <v>1.05579737106793</v>
      </c>
      <c r="F115" s="37" t="n">
        <f aca="false">1+IF($G$10=$E$10,$F$10,IF(T115&lt;($F$10-$E$10)/($G$10-$E$10),$E$10+SQRT(T115*($G$10-$E$10)*($F$10-$E$10)),$G$10-SQRT((1-T115)*($G$10-$E$10)*($G$10-$F$10))))</f>
        <v>0.983857841050417</v>
      </c>
      <c r="G115" s="38" t="n">
        <f aca="false">IF($G$11=$E$11,$F$11,IF(U115&lt;($F$11-$E$11)/($G$11-$E$11),$E$11+SQRT(U115*($G$11-$E$11)*($F$11-$E$11)),$G$11-SQRT((1-U115)*($G$11-$E$11)*($G$11-$F$11))))</f>
        <v>0.0963739314135669</v>
      </c>
      <c r="H115" s="39" t="n">
        <f aca="false">(('Business Case'!B11*$C115*'Business Case'!B12*$B115)-'Business Case'!B11*$C115*'Business Case'!B13*$D115-'Business Case'!B14*$E115)-MAX(0,(('Business Case'!B11*$C115*'Business Case'!B12*$B115)-'Business Case'!B11*$C115*'Business Case'!B13*$D115-'Business Case'!B14*$E115))*'Business Case'!$B$7-'Business Case'!$B$8*('Business Case'!B11*$C115*'Business Case'!B12*$B115)-'Business Case'!B15*$F115</f>
        <v>-1967715682.10083</v>
      </c>
      <c r="I115" s="39" t="n">
        <f aca="false">(('Business Case'!C11*$C115*'Business Case'!C12*$B115)-'Business Case'!C11*$C115*'Business Case'!C13*$D115-'Business Case'!C14*$E115)-MAX(0,(('Business Case'!C11*$C115*'Business Case'!C12*$B115)-'Business Case'!C11*$C115*'Business Case'!C13*$D115-'Business Case'!C14*$E115))*'Business Case'!$B$7-'Business Case'!$B$8*(('Business Case'!C11*$C115*'Business Case'!C12*$B115)-('Business Case'!B11*$C115*'Business Case'!B12*$B115))-'Business Case'!C15*$F115</f>
        <v>-16663821.0069022</v>
      </c>
      <c r="J115" s="39" t="n">
        <f aca="false">(('Business Case'!D11*$C115*'Business Case'!D12*$B115)-'Business Case'!D11*$C115*'Business Case'!D13*$D115-'Business Case'!D14*$E115)-MAX(0,(('Business Case'!D11*$C115*'Business Case'!D12*$B115)-'Business Case'!D11*$C115*'Business Case'!D13*$D115-'Business Case'!D14*$E115))*'Business Case'!$B$7-'Business Case'!$B$8*(('Business Case'!D11*$C115*'Business Case'!D12*$B115)-('Business Case'!C11*$C115*'Business Case'!C12*$B115))-'Business Case'!D15*$F115</f>
        <v>264679963.119309</v>
      </c>
      <c r="K115" s="39" t="n">
        <f aca="false">(('Business Case'!E11*$C115*'Business Case'!E12*$B115)-'Business Case'!E11*$C115*'Business Case'!E13*$D115-'Business Case'!E14*$E115)-MAX(0,(('Business Case'!E11*$C115*'Business Case'!E12*$B115)-'Business Case'!E11*$C115*'Business Case'!E13*$D115-'Business Case'!E14*$E115))*'Business Case'!$B$7-'Business Case'!$B$8*(('Business Case'!E11*$C115*'Business Case'!E12*$B115)-('Business Case'!D11*$C115*'Business Case'!D12*$B115))-'Business Case'!E15*$F115</f>
        <v>595216639.298042</v>
      </c>
      <c r="L115" s="39" t="n">
        <f aca="false">(('Business Case'!F11*$C115*'Business Case'!F12*$B115)-'Business Case'!F11*$C115*'Business Case'!F13*$D115-'Business Case'!F14*$E115)-MAX(0,(('Business Case'!F11*$C115*'Business Case'!F12*$B115)-'Business Case'!F11*$C115*'Business Case'!F13*$D115-'Business Case'!F14*$E115))*'Business Case'!$B$7-'Business Case'!$B$8*(('Business Case'!F11*$C115*'Business Case'!F12*$B115)-('Business Case'!E11*$C115*'Business Case'!E12*$B115))-'Business Case'!F15*$F115</f>
        <v>721989523.914921</v>
      </c>
      <c r="M115" s="39" t="n">
        <f aca="false">(('Business Case'!G11*$C115*'Business Case'!G12*$B115)-'Business Case'!G11*$C115*'Business Case'!G13*$D115-'Business Case'!G14*$E115)-MAX(0,(('Business Case'!G11*$C115*'Business Case'!G12*$B115)-'Business Case'!G11*$C115*'Business Case'!G13*$D115-'Business Case'!G14*$E115))*'Business Case'!$B$7-'Business Case'!$B$8*(('Business Case'!G11*$C115*'Business Case'!G12*$B115)-('Business Case'!F11*$C115*'Business Case'!F12*$B115))-'Business Case'!G15*$F115+'Business Case'!$B$8*('Business Case'!G11*$C115*'Business Case'!G12*$B115)</f>
        <v>903443451.743035</v>
      </c>
      <c r="N115" s="39" t="n">
        <f aca="false">IF(COUNT('Business Case'!B11:G11)=0,"",H115+NPV(G115,I115:M115))</f>
        <v>-241084678.904211</v>
      </c>
      <c r="P115" s="40" t="n">
        <f aca="true">RAND()</f>
        <v>0.134590615148488</v>
      </c>
      <c r="Q115" s="40" t="n">
        <f aca="true">RAND()</f>
        <v>0.563525889674139</v>
      </c>
      <c r="R115" s="40" t="n">
        <f aca="true">RAND()</f>
        <v>0.130846585299059</v>
      </c>
      <c r="S115" s="40" t="n">
        <f aca="true">RAND()</f>
        <v>0.869741839699565</v>
      </c>
      <c r="T115" s="40" t="n">
        <f aca="true">RAND()</f>
        <v>0.0917082720476245</v>
      </c>
      <c r="U115" s="40" t="n">
        <f aca="true">RAND()</f>
        <v>0.135423338882848</v>
      </c>
    </row>
    <row r="116" customFormat="false" ht="15" hidden="false" customHeight="false" outlineLevel="0" collapsed="false">
      <c r="A116" s="36" t="n">
        <v>36</v>
      </c>
      <c r="B116" s="37" t="n">
        <f aca="false">1+IF($G$6=$E$6,$F$6,IF(P116&lt;($F$6-$E$6)/($G$6-$E$6),$E$6+SQRT(P116*($G$6-$E$6)*($F$6-$E$6)),$G$6-SQRT((1-P116)*($G$6-$E$6)*($G$6-$F$6))))</f>
        <v>1.01751307382904</v>
      </c>
      <c r="C116" s="37" t="n">
        <f aca="false">1+IF($G$7=$E$7,$F$7,IF(Q116&lt;($F$7-$E$7)/($G$7-$E$7),$E$7+SQRT(Q116*($G$7-$E$7)*($F$7-$E$7)),$G$7-SQRT((1-Q116)*($G$7-$E$7)*($G$7-$F$7))))</f>
        <v>0.95830748353792</v>
      </c>
      <c r="D116" s="37" t="n">
        <f aca="false">1+IF($G$8=$E$8,$F$8,IF(R116&lt;($F$8-$E$8)/($G$8-$E$8),$E$8+SQRT(R116*($G$8-$E$8)*($F$8-$E$8)),$G$8-SQRT((1-R116)*($G$8-$E$8)*($G$8-$F$8))))</f>
        <v>0.989003787251211</v>
      </c>
      <c r="E116" s="37" t="n">
        <f aca="false">1+IF($G$9=$E$9,$F$9,IF(S116&lt;($F$9-$E$9)/($G$9-$E$9),$E$9+SQRT(S116*($G$9-$E$9)*($F$9-$E$9)),$G$9-SQRT((1-S116)*($G$9-$E$9)*($G$9-$F$9))))</f>
        <v>1.00783814470336</v>
      </c>
      <c r="F116" s="37" t="n">
        <f aca="false">1+IF($G$10=$E$10,$F$10,IF(T116&lt;($F$10-$E$10)/($G$10-$E$10),$E$10+SQRT(T116*($G$10-$E$10)*($F$10-$E$10)),$G$10-SQRT((1-T116)*($G$10-$E$10)*($G$10-$F$10))))</f>
        <v>0.966022635154962</v>
      </c>
      <c r="G116" s="38" t="n">
        <f aca="false">IF($G$11=$E$11,$F$11,IF(U116&lt;($F$11-$E$11)/($G$11-$E$11),$E$11+SQRT(U116*($G$11-$E$11)*($F$11-$E$11)),$G$11-SQRT((1-U116)*($G$11-$E$11)*($G$11-$F$11))))</f>
        <v>0.103101307697798</v>
      </c>
      <c r="H116" s="39" t="n">
        <f aca="false">(('Business Case'!B11*$C116*'Business Case'!B12*$B116)-'Business Case'!B11*$C116*'Business Case'!B13*$D116-'Business Case'!B14*$E116)-MAX(0,(('Business Case'!B11*$C116*'Business Case'!B12*$B116)-'Business Case'!B11*$C116*'Business Case'!B13*$D116-'Business Case'!B14*$E116))*'Business Case'!$B$7-'Business Case'!$B$8*('Business Case'!B11*$C116*'Business Case'!B12*$B116)-'Business Case'!B15*$F116</f>
        <v>-1932045270.30992</v>
      </c>
      <c r="I116" s="39" t="n">
        <f aca="false">(('Business Case'!C11*$C116*'Business Case'!C12*$B116)-'Business Case'!C11*$C116*'Business Case'!C13*$D116-'Business Case'!C14*$E116)-MAX(0,(('Business Case'!C11*$C116*'Business Case'!C12*$B116)-'Business Case'!C11*$C116*'Business Case'!C13*$D116-'Business Case'!C14*$E116))*'Business Case'!$B$7-'Business Case'!$B$8*(('Business Case'!C11*$C116*'Business Case'!C12*$B116)-('Business Case'!B11*$C116*'Business Case'!B12*$B116))-'Business Case'!C15*$F116</f>
        <v>23021424.4266844</v>
      </c>
      <c r="J116" s="39" t="n">
        <f aca="false">(('Business Case'!D11*$C116*'Business Case'!D12*$B116)-'Business Case'!D11*$C116*'Business Case'!D13*$D116-'Business Case'!D14*$E116)-MAX(0,(('Business Case'!D11*$C116*'Business Case'!D12*$B116)-'Business Case'!D11*$C116*'Business Case'!D13*$D116-'Business Case'!D14*$E116))*'Business Case'!$B$7-'Business Case'!$B$8*(('Business Case'!D11*$C116*'Business Case'!D12*$B116)-('Business Case'!C11*$C116*'Business Case'!C12*$B116))-'Business Case'!D15*$F116</f>
        <v>336508382.531661</v>
      </c>
      <c r="K116" s="39" t="n">
        <f aca="false">(('Business Case'!E11*$C116*'Business Case'!E12*$B116)-'Business Case'!E11*$C116*'Business Case'!E13*$D116-'Business Case'!E14*$E116)-MAX(0,(('Business Case'!E11*$C116*'Business Case'!E12*$B116)-'Business Case'!E11*$C116*'Business Case'!E13*$D116-'Business Case'!E14*$E116))*'Business Case'!$B$7-'Business Case'!$B$8*(('Business Case'!E11*$C116*'Business Case'!E12*$B116)-('Business Case'!D11*$C116*'Business Case'!D12*$B116))-'Business Case'!E15*$F116</f>
        <v>698296472.394386</v>
      </c>
      <c r="L116" s="39" t="n">
        <f aca="false">(('Business Case'!F11*$C116*'Business Case'!F12*$B116)-'Business Case'!F11*$C116*'Business Case'!F13*$D116-'Business Case'!F14*$E116)-MAX(0,(('Business Case'!F11*$C116*'Business Case'!F12*$B116)-'Business Case'!F11*$C116*'Business Case'!F13*$D116-'Business Case'!F14*$E116))*'Business Case'!$B$7-'Business Case'!$B$8*(('Business Case'!F11*$C116*'Business Case'!F12*$B116)-('Business Case'!E11*$C116*'Business Case'!E12*$B116))-'Business Case'!F15*$F116</f>
        <v>836491249.086697</v>
      </c>
      <c r="M116" s="39" t="n">
        <f aca="false">(('Business Case'!G11*$C116*'Business Case'!G12*$B116)-'Business Case'!G11*$C116*'Business Case'!G13*$D116-'Business Case'!G14*$E116)-MAX(0,(('Business Case'!G11*$C116*'Business Case'!G12*$B116)-'Business Case'!G11*$C116*'Business Case'!G13*$D116-'Business Case'!G14*$E116))*'Business Case'!$B$7-'Business Case'!$B$8*(('Business Case'!G11*$C116*'Business Case'!G12*$B116)-('Business Case'!F11*$C116*'Business Case'!F12*$B116))-'Business Case'!G15*$F116+'Business Case'!$B$8*('Business Case'!G11*$C116*'Business Case'!G12*$B116)</f>
        <v>1021836431.03529</v>
      </c>
      <c r="N116" s="39" t="n">
        <f aca="false">IF(COUNT('Business Case'!B11:G11)=0,"",H116+NPV(G116,I116:M116))</f>
        <v>76144642.7194316</v>
      </c>
      <c r="P116" s="40" t="n">
        <f aca="true">RAND()</f>
        <v>0.894653781537917</v>
      </c>
      <c r="Q116" s="40" t="n">
        <f aca="true">RAND()</f>
        <v>0.358017990630126</v>
      </c>
      <c r="R116" s="40" t="n">
        <f aca="true">RAND()</f>
        <v>0.234045449221185</v>
      </c>
      <c r="S116" s="40" t="n">
        <f aca="true">RAND()</f>
        <v>0.433746161885362</v>
      </c>
      <c r="T116" s="40" t="n">
        <f aca="true">RAND()</f>
        <v>0.0205379869847226</v>
      </c>
      <c r="U116" s="40" t="n">
        <f aca="true">RAND()</f>
        <v>0.52405699745916</v>
      </c>
    </row>
    <row r="117" customFormat="false" ht="15" hidden="false" customHeight="false" outlineLevel="0" collapsed="false">
      <c r="A117" s="36" t="n">
        <v>37</v>
      </c>
      <c r="B117" s="37" t="n">
        <f aca="false">1+IF($G$6=$E$6,$F$6,IF(P117&lt;($F$6-$E$6)/($G$6-$E$6),$E$6+SQRT(P117*($G$6-$E$6)*($F$6-$E$6)),$G$6-SQRT((1-P117)*($G$6-$E$6)*($G$6-$F$6))))</f>
        <v>0.959858209055608</v>
      </c>
      <c r="C117" s="37" t="n">
        <f aca="false">1+IF($G$7=$E$7,$F$7,IF(Q117&lt;($F$7-$E$7)/($G$7-$E$7),$E$7+SQRT(Q117*($G$7-$E$7)*($F$7-$E$7)),$G$7-SQRT((1-Q117)*($G$7-$E$7)*($G$7-$F$7))))</f>
        <v>0.984449324467787</v>
      </c>
      <c r="D117" s="37" t="n">
        <f aca="false">1+IF($G$8=$E$8,$F$8,IF(R117&lt;($F$8-$E$8)/($G$8-$E$8),$E$8+SQRT(R117*($G$8-$E$8)*($F$8-$E$8)),$G$8-SQRT((1-R117)*($G$8-$E$8)*($G$8-$F$8))))</f>
        <v>1.01678013377427</v>
      </c>
      <c r="E117" s="37" t="n">
        <f aca="false">1+IF($G$9=$E$9,$F$9,IF(S117&lt;($F$9-$E$9)/($G$9-$E$9),$E$9+SQRT(S117*($G$9-$E$9)*($F$9-$E$9)),$G$9-SQRT((1-S117)*($G$9-$E$9)*($G$9-$F$9))))</f>
        <v>1.06556400189293</v>
      </c>
      <c r="F117" s="37" t="n">
        <f aca="false">1+IF($G$10=$E$10,$F$10,IF(T117&lt;($F$10-$E$10)/($G$10-$E$10),$E$10+SQRT(T117*($G$10-$E$10)*($F$10-$E$10)),$G$10-SQRT((1-T117)*($G$10-$E$10)*($G$10-$F$10))))</f>
        <v>0.994180985605526</v>
      </c>
      <c r="G117" s="38" t="n">
        <f aca="false">IF($G$11=$E$11,$F$11,IF(U117&lt;($F$11-$E$11)/($G$11-$E$11),$E$11+SQRT(U117*($G$11-$E$11)*($F$11-$E$11)),$G$11-SQRT((1-U117)*($G$11-$E$11)*($G$11-$F$11))))</f>
        <v>0.113691151274629</v>
      </c>
      <c r="H117" s="39" t="n">
        <f aca="false">(('Business Case'!B11*$C117*'Business Case'!B12*$B117)-'Business Case'!B11*$C117*'Business Case'!B13*$D117-'Business Case'!B14*$E117)-MAX(0,(('Business Case'!B11*$C117*'Business Case'!B12*$B117)-'Business Case'!B11*$C117*'Business Case'!B13*$D117-'Business Case'!B14*$E117))*'Business Case'!$B$7-'Business Case'!$B$8*('Business Case'!B11*$C117*'Business Case'!B12*$B117)-'Business Case'!B15*$F117</f>
        <v>-1988361971.21105</v>
      </c>
      <c r="I117" s="39" t="n">
        <f aca="false">(('Business Case'!C11*$C117*'Business Case'!C12*$B117)-'Business Case'!C11*$C117*'Business Case'!C13*$D117-'Business Case'!C14*$E117)-MAX(0,(('Business Case'!C11*$C117*'Business Case'!C12*$B117)-'Business Case'!C11*$C117*'Business Case'!C13*$D117-'Business Case'!C14*$E117))*'Business Case'!$B$7-'Business Case'!$B$8*(('Business Case'!C11*$C117*'Business Case'!C12*$B117)-('Business Case'!B11*$C117*'Business Case'!B12*$B117))-'Business Case'!C15*$F117</f>
        <v>-38375213.9513944</v>
      </c>
      <c r="J117" s="39" t="n">
        <f aca="false">(('Business Case'!D11*$C117*'Business Case'!D12*$B117)-'Business Case'!D11*$C117*'Business Case'!D13*$D117-'Business Case'!D14*$E117)-MAX(0,(('Business Case'!D11*$C117*'Business Case'!D12*$B117)-'Business Case'!D11*$C117*'Business Case'!D13*$D117-'Business Case'!D14*$E117))*'Business Case'!$B$7-'Business Case'!$B$8*(('Business Case'!D11*$C117*'Business Case'!D12*$B117)-('Business Case'!C11*$C117*'Business Case'!C12*$B117))-'Business Case'!D15*$F117</f>
        <v>223176134.449923</v>
      </c>
      <c r="K117" s="39" t="n">
        <f aca="false">(('Business Case'!E11*$C117*'Business Case'!E12*$B117)-'Business Case'!E11*$C117*'Business Case'!E13*$D117-'Business Case'!E14*$E117)-MAX(0,(('Business Case'!E11*$C117*'Business Case'!E12*$B117)-'Business Case'!E11*$C117*'Business Case'!E13*$D117-'Business Case'!E14*$E117))*'Business Case'!$B$7-'Business Case'!$B$8*(('Business Case'!E11*$C117*'Business Case'!E12*$B117)-('Business Case'!D11*$C117*'Business Case'!D12*$B117))-'Business Case'!E15*$F117</f>
        <v>534436532.131516</v>
      </c>
      <c r="L117" s="39" t="n">
        <f aca="false">(('Business Case'!F11*$C117*'Business Case'!F12*$B117)-'Business Case'!F11*$C117*'Business Case'!F13*$D117-'Business Case'!F14*$E117)-MAX(0,(('Business Case'!F11*$C117*'Business Case'!F12*$B117)-'Business Case'!F11*$C117*'Business Case'!F13*$D117-'Business Case'!F14*$E117))*'Business Case'!$B$7-'Business Case'!$B$8*(('Business Case'!F11*$C117*'Business Case'!F12*$B117)-('Business Case'!E11*$C117*'Business Case'!E12*$B117))-'Business Case'!F15*$F117</f>
        <v>654277156.747277</v>
      </c>
      <c r="M117" s="39" t="n">
        <f aca="false">(('Business Case'!G11*$C117*'Business Case'!G12*$B117)-'Business Case'!G11*$C117*'Business Case'!G13*$D117-'Business Case'!G14*$E117)-MAX(0,(('Business Case'!G11*$C117*'Business Case'!G12*$B117)-'Business Case'!G11*$C117*'Business Case'!G13*$D117-'Business Case'!G14*$E117))*'Business Case'!$B$7-'Business Case'!$B$8*(('Business Case'!G11*$C117*'Business Case'!G12*$B117)-('Business Case'!F11*$C117*'Business Case'!F12*$B117))-'Business Case'!G15*$F117+'Business Case'!$B$8*('Business Case'!G11*$C117*'Business Case'!G12*$B117)</f>
        <v>833889786.73155</v>
      </c>
      <c r="N117" s="39" t="n">
        <f aca="false">IF(COUNT('Business Case'!B11:G11)=0,"",H117+NPV(G117,I117:M117))</f>
        <v>-543947383.912231</v>
      </c>
      <c r="P117" s="40" t="n">
        <f aca="true">RAND()</f>
        <v>0.165487169700053</v>
      </c>
      <c r="Q117" s="40" t="n">
        <f aca="true">RAND()</f>
        <v>0.486022189951758</v>
      </c>
      <c r="R117" s="40" t="n">
        <f aca="true">RAND()</f>
        <v>0.615696972538555</v>
      </c>
      <c r="S117" s="40" t="n">
        <f aca="true">RAND()</f>
        <v>0.920944135624679</v>
      </c>
      <c r="T117" s="40" t="n">
        <f aca="true">RAND()</f>
        <v>0.156156759126052</v>
      </c>
      <c r="U117" s="40" t="n">
        <f aca="true">RAND()</f>
        <v>0.933664046267315</v>
      </c>
    </row>
    <row r="118" customFormat="false" ht="15" hidden="false" customHeight="false" outlineLevel="0" collapsed="false">
      <c r="A118" s="36" t="n">
        <v>38</v>
      </c>
      <c r="B118" s="37" t="n">
        <f aca="false">1+IF($G$6=$E$6,$F$6,IF(P118&lt;($F$6-$E$6)/($G$6-$E$6),$E$6+SQRT(P118*($G$6-$E$6)*($F$6-$E$6)),$G$6-SQRT((1-P118)*($G$6-$E$6)*($G$6-$F$6))))</f>
        <v>1.03021686170492</v>
      </c>
      <c r="C118" s="37" t="n">
        <f aca="false">1+IF($G$7=$E$7,$F$7,IF(Q118&lt;($F$7-$E$7)/($G$7-$E$7),$E$7+SQRT(Q118*($G$7-$E$7)*($F$7-$E$7)),$G$7-SQRT((1-Q118)*($G$7-$E$7)*($G$7-$F$7))))</f>
        <v>0.986133097105666</v>
      </c>
      <c r="D118" s="37" t="n">
        <f aca="false">1+IF($G$8=$E$8,$F$8,IF(R118&lt;($F$8-$E$8)/($G$8-$E$8),$E$8+SQRT(R118*($G$8-$E$8)*($F$8-$E$8)),$G$8-SQRT((1-R118)*($G$8-$E$8)*($G$8-$F$8))))</f>
        <v>0.985296881489713</v>
      </c>
      <c r="E118" s="37" t="n">
        <f aca="false">1+IF($G$9=$E$9,$F$9,IF(S118&lt;($F$9-$E$9)/($G$9-$E$9),$E$9+SQRT(S118*($G$9-$E$9)*($F$9-$E$9)),$G$9-SQRT((1-S118)*($G$9-$E$9)*($G$9-$F$9))))</f>
        <v>1.00498259358844</v>
      </c>
      <c r="F118" s="37" t="n">
        <f aca="false">1+IF($G$10=$E$10,$F$10,IF(T118&lt;($F$10-$E$10)/($G$10-$E$10),$E$10+SQRT(T118*($G$10-$E$10)*($F$10-$E$10)),$G$10-SQRT((1-T118)*($G$10-$E$10)*($G$10-$F$10))))</f>
        <v>1.13045076860262</v>
      </c>
      <c r="G118" s="38" t="n">
        <f aca="false">IF($G$11=$E$11,$F$11,IF(U118&lt;($F$11-$E$11)/($G$11-$E$11),$E$11+SQRT(U118*($G$11-$E$11)*($F$11-$E$11)),$G$11-SQRT((1-U118)*($G$11-$E$11)*($G$11-$F$11))))</f>
        <v>0.103047419155734</v>
      </c>
      <c r="H118" s="39" t="n">
        <f aca="false">(('Business Case'!B11*$C118*'Business Case'!B12*$B118)-'Business Case'!B11*$C118*'Business Case'!B13*$D118-'Business Case'!B14*$E118)-MAX(0,(('Business Case'!B11*$C118*'Business Case'!B12*$B118)-'Business Case'!B11*$C118*'Business Case'!B13*$D118-'Business Case'!B14*$E118))*'Business Case'!$B$7-'Business Case'!$B$8*('Business Case'!B11*$C118*'Business Case'!B12*$B118)-'Business Case'!B15*$F118</f>
        <v>-2260901537.20524</v>
      </c>
      <c r="I118" s="39" t="n">
        <f aca="false">(('Business Case'!C11*$C118*'Business Case'!C12*$B118)-'Business Case'!C11*$C118*'Business Case'!C13*$D118-'Business Case'!C14*$E118)-MAX(0,(('Business Case'!C11*$C118*'Business Case'!C12*$B118)-'Business Case'!C11*$C118*'Business Case'!C13*$D118-'Business Case'!C14*$E118))*'Business Case'!$B$7-'Business Case'!$B$8*(('Business Case'!C11*$C118*'Business Case'!C12*$B118)-('Business Case'!B11*$C118*'Business Case'!B12*$B118))-'Business Case'!C15*$F118</f>
        <v>26102320.4296342</v>
      </c>
      <c r="J118" s="39" t="n">
        <f aca="false">(('Business Case'!D11*$C118*'Business Case'!D12*$B118)-'Business Case'!D11*$C118*'Business Case'!D13*$D118-'Business Case'!D14*$E118)-MAX(0,(('Business Case'!D11*$C118*'Business Case'!D12*$B118)-'Business Case'!D11*$C118*'Business Case'!D13*$D118-'Business Case'!D14*$E118))*'Business Case'!$B$7-'Business Case'!$B$8*(('Business Case'!D11*$C118*'Business Case'!D12*$B118)-('Business Case'!C11*$C118*'Business Case'!C12*$B118))-'Business Case'!D15*$F118</f>
        <v>360824102.691907</v>
      </c>
      <c r="K118" s="39" t="n">
        <f aca="false">(('Business Case'!E11*$C118*'Business Case'!E12*$B118)-'Business Case'!E11*$C118*'Business Case'!E13*$D118-'Business Case'!E14*$E118)-MAX(0,(('Business Case'!E11*$C118*'Business Case'!E12*$B118)-'Business Case'!E11*$C118*'Business Case'!E13*$D118-'Business Case'!E14*$E118))*'Business Case'!$B$7-'Business Case'!$B$8*(('Business Case'!E11*$C118*'Business Case'!E12*$B118)-('Business Case'!D11*$C118*'Business Case'!D12*$B118))-'Business Case'!E15*$F118</f>
        <v>752068423.384311</v>
      </c>
      <c r="L118" s="39" t="n">
        <f aca="false">(('Business Case'!F11*$C118*'Business Case'!F12*$B118)-'Business Case'!F11*$C118*'Business Case'!F13*$D118-'Business Case'!F14*$E118)-MAX(0,(('Business Case'!F11*$C118*'Business Case'!F12*$B118)-'Business Case'!F11*$C118*'Business Case'!F13*$D118-'Business Case'!F14*$E118))*'Business Case'!$B$7-'Business Case'!$B$8*(('Business Case'!F11*$C118*'Business Case'!F12*$B118)-('Business Case'!E11*$C118*'Business Case'!E12*$B118))-'Business Case'!F15*$F118</f>
        <v>898752924.247803</v>
      </c>
      <c r="M118" s="39" t="n">
        <f aca="false">(('Business Case'!G11*$C118*'Business Case'!G12*$B118)-'Business Case'!G11*$C118*'Business Case'!G13*$D118-'Business Case'!G14*$E118)-MAX(0,(('Business Case'!G11*$C118*'Business Case'!G12*$B118)-'Business Case'!G11*$C118*'Business Case'!G13*$D118-'Business Case'!G14*$E118))*'Business Case'!$B$7-'Business Case'!$B$8*(('Business Case'!G11*$C118*'Business Case'!G12*$B118)-('Business Case'!F11*$C118*'Business Case'!F12*$B118))-'Business Case'!G15*$F118+'Business Case'!$B$8*('Business Case'!G11*$C118*'Business Case'!G12*$B118)</f>
        <v>1091861078.18284</v>
      </c>
      <c r="N118" s="39" t="n">
        <f aca="false">IF(COUNT('Business Case'!B11:G11)=0,"",H118+NPV(G118,I118:M118))</f>
        <v>-104560465.666094</v>
      </c>
      <c r="P118" s="40" t="n">
        <f aca="true">RAND()</f>
        <v>0.980060459395693</v>
      </c>
      <c r="Q118" s="40" t="n">
        <f aca="true">RAND()</f>
        <v>0.49493614054496</v>
      </c>
      <c r="R118" s="40" t="n">
        <f aca="true">RAND()</f>
        <v>0.1916722835229</v>
      </c>
      <c r="S118" s="40" t="n">
        <f aca="true">RAND()</f>
        <v>0.398112831921348</v>
      </c>
      <c r="T118" s="40" t="n">
        <f aca="true">RAND()</f>
        <v>0.903258088240668</v>
      </c>
      <c r="U118" s="40" t="n">
        <f aca="true">RAND()</f>
        <v>0.521016671197697</v>
      </c>
    </row>
    <row r="119" customFormat="false" ht="15" hidden="false" customHeight="false" outlineLevel="0" collapsed="false">
      <c r="A119" s="36" t="n">
        <v>39</v>
      </c>
      <c r="B119" s="37" t="n">
        <f aca="false">1+IF($G$6=$E$6,$F$6,IF(P119&lt;($F$6-$E$6)/($G$6-$E$6),$E$6+SQRT(P119*($G$6-$E$6)*($F$6-$E$6)),$G$6-SQRT((1-P119)*($G$6-$E$6)*($G$6-$F$6))))</f>
        <v>0.997562207873306</v>
      </c>
      <c r="C119" s="37" t="n">
        <f aca="false">1+IF($G$7=$E$7,$F$7,IF(Q119&lt;($F$7-$E$7)/($G$7-$E$7),$E$7+SQRT(Q119*($G$7-$E$7)*($F$7-$E$7)),$G$7-SQRT((1-Q119)*($G$7-$E$7)*($G$7-$F$7))))</f>
        <v>0.969939343834376</v>
      </c>
      <c r="D119" s="37" t="n">
        <f aca="false">1+IF($G$8=$E$8,$F$8,IF(R119&lt;($F$8-$E$8)/($G$8-$E$8),$E$8+SQRT(R119*($G$8-$E$8)*($F$8-$E$8)),$G$8-SQRT((1-R119)*($G$8-$E$8)*($G$8-$F$8))))</f>
        <v>1.0601941354701</v>
      </c>
      <c r="E119" s="37" t="n">
        <f aca="false">1+IF($G$9=$E$9,$F$9,IF(S119&lt;($F$9-$E$9)/($G$9-$E$9),$E$9+SQRT(S119*($G$9-$E$9)*($F$9-$E$9)),$G$9-SQRT((1-S119)*($G$9-$E$9)*($G$9-$F$9))))</f>
        <v>1.03018264054901</v>
      </c>
      <c r="F119" s="37" t="n">
        <f aca="false">1+IF($G$10=$E$10,$F$10,IF(T119&lt;($F$10-$E$10)/($G$10-$E$10),$E$10+SQRT(T119*($G$10-$E$10)*($F$10-$E$10)),$G$10-SQRT((1-T119)*($G$10-$E$10)*($G$10-$F$10))))</f>
        <v>1.03325790509734</v>
      </c>
      <c r="G119" s="38" t="n">
        <f aca="false">IF($G$11=$E$11,$F$11,IF(U119&lt;($F$11-$E$11)/($G$11-$E$11),$E$11+SQRT(U119*($G$11-$E$11)*($F$11-$E$11)),$G$11-SQRT((1-U119)*($G$11-$E$11)*($G$11-$F$11))))</f>
        <v>0.10120127938792</v>
      </c>
      <c r="H119" s="39" t="n">
        <f aca="false">(('Business Case'!B11*$C119*'Business Case'!B12*$B119)-'Business Case'!B11*$C119*'Business Case'!B13*$D119-'Business Case'!B14*$E119)-MAX(0,(('Business Case'!B11*$C119*'Business Case'!B12*$B119)-'Business Case'!B11*$C119*'Business Case'!B13*$D119-'Business Case'!B14*$E119))*'Business Case'!$B$7-'Business Case'!$B$8*('Business Case'!B11*$C119*'Business Case'!B12*$B119)-'Business Case'!B15*$F119</f>
        <v>-2066515810.19467</v>
      </c>
      <c r="I119" s="39" t="n">
        <f aca="false">(('Business Case'!C11*$C119*'Business Case'!C12*$B119)-'Business Case'!C11*$C119*'Business Case'!C13*$D119-'Business Case'!C14*$E119)-MAX(0,(('Business Case'!C11*$C119*'Business Case'!C12*$B119)-'Business Case'!C11*$C119*'Business Case'!C13*$D119-'Business Case'!C14*$E119))*'Business Case'!$B$7-'Business Case'!$B$8*(('Business Case'!C11*$C119*'Business Case'!C12*$B119)-('Business Case'!B11*$C119*'Business Case'!B12*$B119))-'Business Case'!C15*$F119</f>
        <v>-33883011.6400283</v>
      </c>
      <c r="J119" s="39" t="n">
        <f aca="false">(('Business Case'!D11*$C119*'Business Case'!D12*$B119)-'Business Case'!D11*$C119*'Business Case'!D13*$D119-'Business Case'!D14*$E119)-MAX(0,(('Business Case'!D11*$C119*'Business Case'!D12*$B119)-'Business Case'!D11*$C119*'Business Case'!D13*$D119-'Business Case'!D14*$E119))*'Business Case'!$B$7-'Business Case'!$B$8*(('Business Case'!D11*$C119*'Business Case'!D12*$B119)-('Business Case'!C11*$C119*'Business Case'!C12*$B119))-'Business Case'!D15*$F119</f>
        <v>232210818.07602</v>
      </c>
      <c r="K119" s="39" t="n">
        <f aca="false">(('Business Case'!E11*$C119*'Business Case'!E12*$B119)-'Business Case'!E11*$C119*'Business Case'!E13*$D119-'Business Case'!E14*$E119)-MAX(0,(('Business Case'!E11*$C119*'Business Case'!E12*$B119)-'Business Case'!E11*$C119*'Business Case'!E13*$D119-'Business Case'!E14*$E119))*'Business Case'!$B$7-'Business Case'!$B$8*(('Business Case'!E11*$C119*'Business Case'!E12*$B119)-('Business Case'!D11*$C119*'Business Case'!D12*$B119))-'Business Case'!E15*$F119</f>
        <v>549967543.046934</v>
      </c>
      <c r="L119" s="39" t="n">
        <f aca="false">(('Business Case'!F11*$C119*'Business Case'!F12*$B119)-'Business Case'!F11*$C119*'Business Case'!F13*$D119-'Business Case'!F14*$E119)-MAX(0,(('Business Case'!F11*$C119*'Business Case'!F12*$B119)-'Business Case'!F11*$C119*'Business Case'!F13*$D119-'Business Case'!F14*$E119))*'Business Case'!$B$7-'Business Case'!$B$8*(('Business Case'!F11*$C119*'Business Case'!F12*$B119)-('Business Case'!E11*$C119*'Business Case'!E12*$B119))-'Business Case'!F15*$F119</f>
        <v>672104872.525799</v>
      </c>
      <c r="M119" s="39" t="n">
        <f aca="false">(('Business Case'!G11*$C119*'Business Case'!G12*$B119)-'Business Case'!G11*$C119*'Business Case'!G13*$D119-'Business Case'!G14*$E119)-MAX(0,(('Business Case'!G11*$C119*'Business Case'!G12*$B119)-'Business Case'!G11*$C119*'Business Case'!G13*$D119-'Business Case'!G14*$E119))*'Business Case'!$B$7-'Business Case'!$B$8*(('Business Case'!G11*$C119*'Business Case'!G12*$B119)-('Business Case'!F11*$C119*'Business Case'!F12*$B119))-'Business Case'!G15*$F119+'Business Case'!$B$8*('Business Case'!G11*$C119*'Business Case'!G12*$B119)</f>
        <v>856021496.846801</v>
      </c>
      <c r="N119" s="39" t="n">
        <f aca="false">IF(COUNT('Business Case'!B11:G11)=0,"",H119+NPV(G119,I119:M119))</f>
        <v>-508259649.021074</v>
      </c>
      <c r="P119" s="40" t="n">
        <f aca="true">RAND()</f>
        <v>0.626655842727285</v>
      </c>
      <c r="Q119" s="40" t="n">
        <f aca="true">RAND()</f>
        <v>0.412562579755116</v>
      </c>
      <c r="R119" s="40" t="n">
        <f aca="true">RAND()</f>
        <v>0.962281512521451</v>
      </c>
      <c r="S119" s="40" t="n">
        <f aca="true">RAND()</f>
        <v>0.675035754619418</v>
      </c>
      <c r="T119" s="40" t="n">
        <f aca="true">RAND()</f>
        <v>0.443941475749422</v>
      </c>
      <c r="U119" s="40" t="n">
        <f aca="true">RAND()</f>
        <v>0.411013505581585</v>
      </c>
    </row>
    <row r="120" customFormat="false" ht="15" hidden="false" customHeight="false" outlineLevel="0" collapsed="false">
      <c r="A120" s="36" t="n">
        <v>40</v>
      </c>
      <c r="B120" s="37" t="n">
        <f aca="false">1+IF($G$6=$E$6,$F$6,IF(P120&lt;($F$6-$E$6)/($G$6-$E$6),$E$6+SQRT(P120*($G$6-$E$6)*($F$6-$E$6)),$G$6-SQRT((1-P120)*($G$6-$E$6)*($G$6-$F$6))))</f>
        <v>0.941559689473843</v>
      </c>
      <c r="C120" s="37" t="n">
        <f aca="false">1+IF($G$7=$E$7,$F$7,IF(Q120&lt;($F$7-$E$7)/($G$7-$E$7),$E$7+SQRT(Q120*($G$7-$E$7)*($F$7-$E$7)),$G$7-SQRT((1-Q120)*($G$7-$E$7)*($G$7-$F$7))))</f>
        <v>0.967084419513002</v>
      </c>
      <c r="D120" s="37" t="n">
        <f aca="false">1+IF($G$8=$E$8,$F$8,IF(R120&lt;($F$8-$E$8)/($G$8-$E$8),$E$8+SQRT(R120*($G$8-$E$8)*($F$8-$E$8)),$G$8-SQRT((1-R120)*($G$8-$E$8)*($G$8-$F$8))))</f>
        <v>0.990732363161255</v>
      </c>
      <c r="E120" s="37" t="n">
        <f aca="false">1+IF($G$9=$E$9,$F$9,IF(S120&lt;($F$9-$E$9)/($G$9-$E$9),$E$9+SQRT(S120*($G$9-$E$9)*($F$9-$E$9)),$G$9-SQRT((1-S120)*($G$9-$E$9)*($G$9-$F$9))))</f>
        <v>0.997021152969794</v>
      </c>
      <c r="F120" s="37" t="n">
        <f aca="false">1+IF($G$10=$E$10,$F$10,IF(T120&lt;($F$10-$E$10)/($G$10-$E$10),$E$10+SQRT(T120*($G$10-$E$10)*($F$10-$E$10)),$G$10-SQRT((1-T120)*($G$10-$E$10)*($G$10-$F$10))))</f>
        <v>1.11327944009781</v>
      </c>
      <c r="G120" s="38" t="n">
        <f aca="false">IF($G$11=$E$11,$F$11,IF(U120&lt;($F$11-$E$11)/($G$11-$E$11),$E$11+SQRT(U120*($G$11-$E$11)*($F$11-$E$11)),$G$11-SQRT((1-U120)*($G$11-$E$11)*($G$11-$F$11))))</f>
        <v>0.11043186848161</v>
      </c>
      <c r="H120" s="39" t="n">
        <f aca="false">(('Business Case'!B11*$C120*'Business Case'!B12*$B120)-'Business Case'!B11*$C120*'Business Case'!B13*$D120-'Business Case'!B14*$E120)-MAX(0,(('Business Case'!B11*$C120*'Business Case'!B12*$B120)-'Business Case'!B11*$C120*'Business Case'!B13*$D120-'Business Case'!B14*$E120))*'Business Case'!$B$7-'Business Case'!$B$8*('Business Case'!B11*$C120*'Business Case'!B12*$B120)-'Business Case'!B15*$F120</f>
        <v>-2226558880.19562</v>
      </c>
      <c r="I120" s="39" t="n">
        <f aca="false">(('Business Case'!C11*$C120*'Business Case'!C12*$B120)-'Business Case'!C11*$C120*'Business Case'!C13*$D120-'Business Case'!C14*$E120)-MAX(0,(('Business Case'!C11*$C120*'Business Case'!C12*$B120)-'Business Case'!C11*$C120*'Business Case'!C13*$D120-'Business Case'!C14*$E120))*'Business Case'!$B$7-'Business Case'!$B$8*(('Business Case'!C11*$C120*'Business Case'!C12*$B120)-('Business Case'!B11*$C120*'Business Case'!B12*$B120))-'Business Case'!C15*$F120</f>
        <v>-44969398.3597122</v>
      </c>
      <c r="J120" s="39" t="n">
        <f aca="false">(('Business Case'!D11*$C120*'Business Case'!D12*$B120)-'Business Case'!D11*$C120*'Business Case'!D13*$D120-'Business Case'!D14*$E120)-MAX(0,(('Business Case'!D11*$C120*'Business Case'!D12*$B120)-'Business Case'!D11*$C120*'Business Case'!D13*$D120-'Business Case'!D14*$E120))*'Business Case'!$B$7-'Business Case'!$B$8*(('Business Case'!D11*$C120*'Business Case'!D12*$B120)-('Business Case'!C11*$C120*'Business Case'!C12*$B120))-'Business Case'!D15*$F120</f>
        <v>210369385.10779</v>
      </c>
      <c r="K120" s="39" t="n">
        <f aca="false">(('Business Case'!E11*$C120*'Business Case'!E12*$B120)-'Business Case'!E11*$C120*'Business Case'!E13*$D120-'Business Case'!E14*$E120)-MAX(0,(('Business Case'!E11*$C120*'Business Case'!E12*$B120)-'Business Case'!E11*$C120*'Business Case'!E13*$D120-'Business Case'!E14*$E120))*'Business Case'!$B$7-'Business Case'!$B$8*(('Business Case'!E11*$C120*'Business Case'!E12*$B120)-('Business Case'!D11*$C120*'Business Case'!D12*$B120))-'Business Case'!E15*$F120</f>
        <v>521372140.580183</v>
      </c>
      <c r="L120" s="39" t="n">
        <f aca="false">(('Business Case'!F11*$C120*'Business Case'!F12*$B120)-'Business Case'!F11*$C120*'Business Case'!F13*$D120-'Business Case'!F14*$E120)-MAX(0,(('Business Case'!F11*$C120*'Business Case'!F12*$B120)-'Business Case'!F11*$C120*'Business Case'!F13*$D120-'Business Case'!F14*$E120))*'Business Case'!$B$7-'Business Case'!$B$8*(('Business Case'!F11*$C120*'Business Case'!F12*$B120)-('Business Case'!E11*$C120*'Business Case'!E12*$B120))-'Business Case'!F15*$F120</f>
        <v>637954288.31277</v>
      </c>
      <c r="M120" s="39" t="n">
        <f aca="false">(('Business Case'!G11*$C120*'Business Case'!G12*$B120)-'Business Case'!G11*$C120*'Business Case'!G13*$D120-'Business Case'!G14*$E120)-MAX(0,(('Business Case'!G11*$C120*'Business Case'!G12*$B120)-'Business Case'!G11*$C120*'Business Case'!G13*$D120-'Business Case'!G14*$E120))*'Business Case'!$B$7-'Business Case'!$B$8*(('Business Case'!G11*$C120*'Business Case'!G12*$B120)-('Business Case'!F11*$C120*'Business Case'!F12*$B120))-'Business Case'!G15*$F120+'Business Case'!$B$8*('Business Case'!G11*$C120*'Business Case'!G12*$B120)</f>
        <v>811034997.818243</v>
      </c>
      <c r="N120" s="39" t="n">
        <f aca="false">IF(COUNT('Business Case'!B11:G11)=0,"",H120+NPV(G120,I120:M120))</f>
        <v>-815708728.667341</v>
      </c>
      <c r="P120" s="40" t="n">
        <f aca="true">RAND()</f>
        <v>0.0484187718967211</v>
      </c>
      <c r="Q120" s="40" t="n">
        <f aca="true">RAND()</f>
        <v>0.398817189199954</v>
      </c>
      <c r="R120" s="40" t="n">
        <f aca="true">RAND()</f>
        <v>0.255250062876983</v>
      </c>
      <c r="S120" s="40" t="n">
        <f aca="true">RAND()</f>
        <v>0.294798510214497</v>
      </c>
      <c r="T120" s="40" t="n">
        <f aca="true">RAND()</f>
        <v>0.849590889805015</v>
      </c>
      <c r="U120" s="40" t="n">
        <f aca="true">RAND()</f>
        <v>0.847418098744665</v>
      </c>
    </row>
    <row r="121" customFormat="false" ht="15" hidden="false" customHeight="false" outlineLevel="0" collapsed="false">
      <c r="A121" s="36" t="n">
        <v>41</v>
      </c>
      <c r="B121" s="37" t="n">
        <f aca="false">1+IF($G$6=$E$6,$F$6,IF(P121&lt;($F$6-$E$6)/($G$6-$E$6),$E$6+SQRT(P121*($G$6-$E$6)*($F$6-$E$6)),$G$6-SQRT((1-P121)*($G$6-$E$6)*($G$6-$F$6))))</f>
        <v>0.992618060363978</v>
      </c>
      <c r="C121" s="37" t="n">
        <f aca="false">1+IF($G$7=$E$7,$F$7,IF(Q121&lt;($F$7-$E$7)/($G$7-$E$7),$E$7+SQRT(Q121*($G$7-$E$7)*($F$7-$E$7)),$G$7-SQRT((1-Q121)*($G$7-$E$7)*($G$7-$F$7))))</f>
        <v>0.977990078443983</v>
      </c>
      <c r="D121" s="37" t="n">
        <f aca="false">1+IF($G$8=$E$8,$F$8,IF(R121&lt;($F$8-$E$8)/($G$8-$E$8),$E$8+SQRT(R121*($G$8-$E$8)*($F$8-$E$8)),$G$8-SQRT((1-R121)*($G$8-$E$8)*($G$8-$F$8))))</f>
        <v>0.979373628132905</v>
      </c>
      <c r="E121" s="37" t="n">
        <f aca="false">1+IF($G$9=$E$9,$F$9,IF(S121&lt;($F$9-$E$9)/($G$9-$E$9),$E$9+SQRT(S121*($G$9-$E$9)*($F$9-$E$9)),$G$9-SQRT((1-S121)*($G$9-$E$9)*($G$9-$F$9))))</f>
        <v>1.02463132942585</v>
      </c>
      <c r="F121" s="37" t="n">
        <f aca="false">1+IF($G$10=$E$10,$F$10,IF(T121&lt;($F$10-$E$10)/($G$10-$E$10),$E$10+SQRT(T121*($G$10-$E$10)*($F$10-$E$10)),$G$10-SQRT((1-T121)*($G$10-$E$10)*($G$10-$F$10))))</f>
        <v>1.01113390293015</v>
      </c>
      <c r="G121" s="38" t="n">
        <f aca="false">IF($G$11=$E$11,$F$11,IF(U121&lt;($F$11-$E$11)/($G$11-$E$11),$E$11+SQRT(U121*($G$11-$E$11)*($F$11-$E$11)),$G$11-SQRT((1-U121)*($G$11-$E$11)*($G$11-$F$11))))</f>
        <v>0.0927877270322049</v>
      </c>
      <c r="H121" s="39" t="n">
        <f aca="false">(('Business Case'!B11*$C121*'Business Case'!B12*$B121)-'Business Case'!B11*$C121*'Business Case'!B13*$D121-'Business Case'!B14*$E121)-MAX(0,(('Business Case'!B11*$C121*'Business Case'!B12*$B121)-'Business Case'!B11*$C121*'Business Case'!B13*$D121-'Business Case'!B14*$E121))*'Business Case'!$B$7-'Business Case'!$B$8*('Business Case'!B11*$C121*'Business Case'!B12*$B121)-'Business Case'!B15*$F121</f>
        <v>-2022267805.86031</v>
      </c>
      <c r="I121" s="39" t="n">
        <f aca="false">(('Business Case'!C11*$C121*'Business Case'!C12*$B121)-'Business Case'!C11*$C121*'Business Case'!C13*$D121-'Business Case'!C14*$E121)-MAX(0,(('Business Case'!C11*$C121*'Business Case'!C12*$B121)-'Business Case'!C11*$C121*'Business Case'!C13*$D121-'Business Case'!C14*$E121))*'Business Case'!$B$7-'Business Case'!$B$8*(('Business Case'!C11*$C121*'Business Case'!C12*$B121)-('Business Case'!B11*$C121*'Business Case'!B12*$B121))-'Business Case'!C15*$F121</f>
        <v>7664282.35233405</v>
      </c>
      <c r="J121" s="39" t="n">
        <f aca="false">(('Business Case'!D11*$C121*'Business Case'!D12*$B121)-'Business Case'!D11*$C121*'Business Case'!D13*$D121-'Business Case'!D14*$E121)-MAX(0,(('Business Case'!D11*$C121*'Business Case'!D12*$B121)-'Business Case'!D11*$C121*'Business Case'!D13*$D121-'Business Case'!D14*$E121))*'Business Case'!$B$7-'Business Case'!$B$8*(('Business Case'!D11*$C121*'Business Case'!D12*$B121)-('Business Case'!C11*$C121*'Business Case'!C12*$B121))-'Business Case'!D15*$F121</f>
        <v>312469278.709138</v>
      </c>
      <c r="K121" s="39" t="n">
        <f aca="false">(('Business Case'!E11*$C121*'Business Case'!E12*$B121)-'Business Case'!E11*$C121*'Business Case'!E13*$D121-'Business Case'!E14*$E121)-MAX(0,(('Business Case'!E11*$C121*'Business Case'!E12*$B121)-'Business Case'!E11*$C121*'Business Case'!E13*$D121-'Business Case'!E14*$E121))*'Business Case'!$B$7-'Business Case'!$B$8*(('Business Case'!E11*$C121*'Business Case'!E12*$B121)-('Business Case'!D11*$C121*'Business Case'!D12*$B121))-'Business Case'!E15*$F121</f>
        <v>667830970.21245</v>
      </c>
      <c r="L121" s="39" t="n">
        <f aca="false">(('Business Case'!F11*$C121*'Business Case'!F12*$B121)-'Business Case'!F11*$C121*'Business Case'!F13*$D121-'Business Case'!F14*$E121)-MAX(0,(('Business Case'!F11*$C121*'Business Case'!F12*$B121)-'Business Case'!F11*$C121*'Business Case'!F13*$D121-'Business Case'!F14*$E121))*'Business Case'!$B$7-'Business Case'!$B$8*(('Business Case'!F11*$C121*'Business Case'!F12*$B121)-('Business Case'!E11*$C121*'Business Case'!E12*$B121))-'Business Case'!F15*$F121</f>
        <v>802982468.109451</v>
      </c>
      <c r="M121" s="39" t="n">
        <f aca="false">(('Business Case'!G11*$C121*'Business Case'!G12*$B121)-'Business Case'!G11*$C121*'Business Case'!G13*$D121-'Business Case'!G14*$E121)-MAX(0,(('Business Case'!G11*$C121*'Business Case'!G12*$B121)-'Business Case'!G11*$C121*'Business Case'!G13*$D121-'Business Case'!G14*$E121))*'Business Case'!$B$7-'Business Case'!$B$8*(('Business Case'!G11*$C121*'Business Case'!G12*$B121)-('Business Case'!F11*$C121*'Business Case'!F12*$B121))-'Business Case'!G15*$F121+'Business Case'!$B$8*('Business Case'!G11*$C121*'Business Case'!G12*$B121)</f>
        <v>987506546.555482</v>
      </c>
      <c r="N121" s="39" t="n">
        <f aca="false">IF(COUNT('Business Case'!B11:G11)=0,"",H121+NPV(G121,I121:M121))</f>
        <v>-45106420.4463823</v>
      </c>
      <c r="P121" s="40" t="n">
        <f aca="true">RAND()</f>
        <v>0.54931069698191</v>
      </c>
      <c r="Q121" s="40" t="n">
        <f aca="true">RAND()</f>
        <v>0.452578114635648</v>
      </c>
      <c r="R121" s="40" t="n">
        <f aca="true">RAND()</f>
        <v>0.132740004567723</v>
      </c>
      <c r="S121" s="40" t="n">
        <f aca="true">RAND()</f>
        <v>0.621304233058986</v>
      </c>
      <c r="T121" s="40" t="n">
        <f aca="true">RAND()</f>
        <v>0.286591947552073</v>
      </c>
      <c r="U121" s="40" t="n">
        <f aca="true">RAND()</f>
        <v>0.0259047400202865</v>
      </c>
    </row>
    <row r="122" customFormat="false" ht="15" hidden="false" customHeight="false" outlineLevel="0" collapsed="false">
      <c r="A122" s="36" t="n">
        <v>42</v>
      </c>
      <c r="B122" s="37" t="n">
        <f aca="false">1+IF($G$6=$E$6,$F$6,IF(P122&lt;($F$6-$E$6)/($G$6-$E$6),$E$6+SQRT(P122*($G$6-$E$6)*($F$6-$E$6)),$G$6-SQRT((1-P122)*($G$6-$E$6)*($G$6-$F$6))))</f>
        <v>0.977139758794906</v>
      </c>
      <c r="C122" s="37" t="n">
        <f aca="false">1+IF($G$7=$E$7,$F$7,IF(Q122&lt;($F$7-$E$7)/($G$7-$E$7),$E$7+SQRT(Q122*($G$7-$E$7)*($F$7-$E$7)),$G$7-SQRT((1-Q122)*($G$7-$E$7)*($G$7-$F$7))))</f>
        <v>0.98366271223277</v>
      </c>
      <c r="D122" s="37" t="n">
        <f aca="false">1+IF($G$8=$E$8,$F$8,IF(R122&lt;($F$8-$E$8)/($G$8-$E$8),$E$8+SQRT(R122*($G$8-$E$8)*($F$8-$E$8)),$G$8-SQRT((1-R122)*($G$8-$E$8)*($G$8-$F$8))))</f>
        <v>0.989958085855511</v>
      </c>
      <c r="E122" s="37" t="n">
        <f aca="false">1+IF($G$9=$E$9,$F$9,IF(S122&lt;($F$9-$E$9)/($G$9-$E$9),$E$9+SQRT(S122*($G$9-$E$9)*($F$9-$E$9)),$G$9-SQRT((1-S122)*($G$9-$E$9)*($G$9-$F$9))))</f>
        <v>0.979632486852784</v>
      </c>
      <c r="F122" s="37" t="n">
        <f aca="false">1+IF($G$10=$E$10,$F$10,IF(T122&lt;($F$10-$E$10)/($G$10-$E$10),$E$10+SQRT(T122*($G$10-$E$10)*($F$10-$E$10)),$G$10-SQRT((1-T122)*($G$10-$E$10)*($G$10-$F$10))))</f>
        <v>0.970430769137305</v>
      </c>
      <c r="G122" s="38" t="n">
        <f aca="false">IF($G$11=$E$11,$F$11,IF(U122&lt;($F$11-$E$11)/($G$11-$E$11),$E$11+SQRT(U122*($G$11-$E$11)*($F$11-$E$11)),$G$11-SQRT((1-U122)*($G$11-$E$11)*($G$11-$F$11))))</f>
        <v>0.102746891900444</v>
      </c>
      <c r="H122" s="39" t="n">
        <f aca="false">(('Business Case'!B11*$C122*'Business Case'!B12*$B122)-'Business Case'!B11*$C122*'Business Case'!B13*$D122-'Business Case'!B14*$E122)-MAX(0,(('Business Case'!B11*$C122*'Business Case'!B12*$B122)-'Business Case'!B11*$C122*'Business Case'!B13*$D122-'Business Case'!B14*$E122))*'Business Case'!$B$7-'Business Case'!$B$8*('Business Case'!B11*$C122*'Business Case'!B12*$B122)-'Business Case'!B15*$F122</f>
        <v>-1940861538.27461</v>
      </c>
      <c r="I122" s="39" t="n">
        <f aca="false">(('Business Case'!C11*$C122*'Business Case'!C12*$B122)-'Business Case'!C11*$C122*'Business Case'!C13*$D122-'Business Case'!C14*$E122)-MAX(0,(('Business Case'!C11*$C122*'Business Case'!C12*$B122)-'Business Case'!C11*$C122*'Business Case'!C13*$D122-'Business Case'!C14*$E122))*'Business Case'!$B$7-'Business Case'!$B$8*(('Business Case'!C11*$C122*'Business Case'!C12*$B122)-('Business Case'!B11*$C122*'Business Case'!B12*$B122))-'Business Case'!C15*$F122</f>
        <v>2598183.02637503</v>
      </c>
      <c r="J122" s="39" t="n">
        <f aca="false">(('Business Case'!D11*$C122*'Business Case'!D12*$B122)-'Business Case'!D11*$C122*'Business Case'!D13*$D122-'Business Case'!D14*$E122)-MAX(0,(('Business Case'!D11*$C122*'Business Case'!D12*$B122)-'Business Case'!D11*$C122*'Business Case'!D13*$D122-'Business Case'!D14*$E122))*'Business Case'!$B$7-'Business Case'!$B$8*(('Business Case'!D11*$C122*'Business Case'!D12*$B122)-('Business Case'!C11*$C122*'Business Case'!C12*$B122))-'Business Case'!D15*$F122</f>
        <v>291370543.604755</v>
      </c>
      <c r="K122" s="39" t="n">
        <f aca="false">(('Business Case'!E11*$C122*'Business Case'!E12*$B122)-'Business Case'!E11*$C122*'Business Case'!E13*$D122-'Business Case'!E14*$E122)-MAX(0,(('Business Case'!E11*$C122*'Business Case'!E12*$B122)-'Business Case'!E11*$C122*'Business Case'!E13*$D122-'Business Case'!E14*$E122))*'Business Case'!$B$7-'Business Case'!$B$8*(('Business Case'!E11*$C122*'Business Case'!E12*$B122)-('Business Case'!D11*$C122*'Business Case'!D12*$B122))-'Business Case'!E15*$F122</f>
        <v>628664442.639999</v>
      </c>
      <c r="L122" s="39" t="n">
        <f aca="false">(('Business Case'!F11*$C122*'Business Case'!F12*$B122)-'Business Case'!F11*$C122*'Business Case'!F13*$D122-'Business Case'!F14*$E122)-MAX(0,(('Business Case'!F11*$C122*'Business Case'!F12*$B122)-'Business Case'!F11*$C122*'Business Case'!F13*$D122-'Business Case'!F14*$E122))*'Business Case'!$B$7-'Business Case'!$B$8*(('Business Case'!F11*$C122*'Business Case'!F12*$B122)-('Business Case'!E11*$C122*'Business Case'!E12*$B122))-'Business Case'!F15*$F122</f>
        <v>758140136.837998</v>
      </c>
      <c r="M122" s="39" t="n">
        <f aca="false">(('Business Case'!G11*$C122*'Business Case'!G12*$B122)-'Business Case'!G11*$C122*'Business Case'!G13*$D122-'Business Case'!G14*$E122)-MAX(0,(('Business Case'!G11*$C122*'Business Case'!G12*$B122)-'Business Case'!G11*$C122*'Business Case'!G13*$D122-'Business Case'!G14*$E122))*'Business Case'!$B$7-'Business Case'!$B$8*(('Business Case'!G11*$C122*'Business Case'!G12*$B122)-('Business Case'!F11*$C122*'Business Case'!F12*$B122))-'Business Case'!G15*$F122+'Business Case'!$B$8*('Business Case'!G11*$C122*'Business Case'!G12*$B122)</f>
        <v>940840460.533295</v>
      </c>
      <c r="N122" s="39" t="n">
        <f aca="false">IF(COUNT('Business Case'!B11:G11)=0,"",H122+NPV(G122,I122:M122))</f>
        <v>-140469595.565753</v>
      </c>
      <c r="P122" s="40" t="n">
        <f aca="true">RAND()</f>
        <v>0.340099170327087</v>
      </c>
      <c r="Q122" s="40" t="n">
        <f aca="true">RAND()</f>
        <v>0.481885598067106</v>
      </c>
      <c r="R122" s="40" t="n">
        <f aca="true">RAND()</f>
        <v>0.245638250036371</v>
      </c>
      <c r="S122" s="40" t="n">
        <f aca="true">RAND()</f>
        <v>0.117077903610721</v>
      </c>
      <c r="T122" s="40" t="n">
        <f aca="true">RAND()</f>
        <v>0.0333933062033486</v>
      </c>
      <c r="U122" s="40" t="n">
        <f aca="true">RAND()</f>
        <v>0.503883768175055</v>
      </c>
    </row>
    <row r="123" customFormat="false" ht="15" hidden="false" customHeight="false" outlineLevel="0" collapsed="false">
      <c r="A123" s="36" t="n">
        <v>43</v>
      </c>
      <c r="B123" s="37" t="n">
        <f aca="false">1+IF($G$6=$E$6,$F$6,IF(P123&lt;($F$6-$E$6)/($G$6-$E$6),$E$6+SQRT(P123*($G$6-$E$6)*($F$6-$E$6)),$G$6-SQRT((1-P123)*($G$6-$E$6)*($G$6-$F$6))))</f>
        <v>0.940851172921114</v>
      </c>
      <c r="C123" s="37" t="n">
        <f aca="false">1+IF($G$7=$E$7,$F$7,IF(Q123&lt;($F$7-$E$7)/($G$7-$E$7),$E$7+SQRT(Q123*($G$7-$E$7)*($F$7-$E$7)),$G$7-SQRT((1-Q123)*($G$7-$E$7)*($G$7-$F$7))))</f>
        <v>1.0379229617228</v>
      </c>
      <c r="D123" s="37" t="n">
        <f aca="false">1+IF($G$8=$E$8,$F$8,IF(R123&lt;($F$8-$E$8)/($G$8-$E$8),$E$8+SQRT(R123*($G$8-$E$8)*($F$8-$E$8)),$G$8-SQRT((1-R123)*($G$8-$E$8)*($G$8-$F$8))))</f>
        <v>1.0456234916683</v>
      </c>
      <c r="E123" s="37" t="n">
        <f aca="false">1+IF($G$9=$E$9,$F$9,IF(S123&lt;($F$9-$E$9)/($G$9-$E$9),$E$9+SQRT(S123*($G$9-$E$9)*($F$9-$E$9)),$G$9-SQRT((1-S123)*($G$9-$E$9)*($G$9-$F$9))))</f>
        <v>0.965826008350909</v>
      </c>
      <c r="F123" s="37" t="n">
        <f aca="false">1+IF($G$10=$E$10,$F$10,IF(T123&lt;($F$10-$E$10)/($G$10-$E$10),$E$10+SQRT(T123*($G$10-$E$10)*($F$10-$E$10)),$G$10-SQRT((1-T123)*($G$10-$E$10)*($G$10-$F$10))))</f>
        <v>1.14363186306438</v>
      </c>
      <c r="G123" s="38" t="n">
        <f aca="false">IF($G$11=$E$11,$F$11,IF(U123&lt;($F$11-$E$11)/($G$11-$E$11),$E$11+SQRT(U123*($G$11-$E$11)*($F$11-$E$11)),$G$11-SQRT((1-U123)*($G$11-$E$11)*($G$11-$F$11))))</f>
        <v>0.108330432836502</v>
      </c>
      <c r="H123" s="39" t="n">
        <f aca="false">(('Business Case'!B11*$C123*'Business Case'!B12*$B123)-'Business Case'!B11*$C123*'Business Case'!B13*$D123-'Business Case'!B14*$E123)-MAX(0,(('Business Case'!B11*$C123*'Business Case'!B12*$B123)-'Business Case'!B11*$C123*'Business Case'!B13*$D123-'Business Case'!B14*$E123))*'Business Case'!$B$7-'Business Case'!$B$8*('Business Case'!B11*$C123*'Business Case'!B12*$B123)-'Business Case'!B15*$F123</f>
        <v>-2287263726.12876</v>
      </c>
      <c r="I123" s="39" t="n">
        <f aca="false">(('Business Case'!C11*$C123*'Business Case'!C12*$B123)-'Business Case'!C11*$C123*'Business Case'!C13*$D123-'Business Case'!C14*$E123)-MAX(0,(('Business Case'!C11*$C123*'Business Case'!C12*$B123)-'Business Case'!C11*$C123*'Business Case'!C13*$D123-'Business Case'!C14*$E123))*'Business Case'!$B$7-'Business Case'!$B$8*(('Business Case'!C11*$C123*'Business Case'!C12*$B123)-('Business Case'!B11*$C123*'Business Case'!B12*$B123))-'Business Case'!C15*$F123</f>
        <v>-58052598.0336262</v>
      </c>
      <c r="J123" s="39" t="n">
        <f aca="false">(('Business Case'!D11*$C123*'Business Case'!D12*$B123)-'Business Case'!D11*$C123*'Business Case'!D13*$D123-'Business Case'!D14*$E123)-MAX(0,(('Business Case'!D11*$C123*'Business Case'!D12*$B123)-'Business Case'!D11*$C123*'Business Case'!D13*$D123-'Business Case'!D14*$E123))*'Business Case'!$B$7-'Business Case'!$B$8*(('Business Case'!D11*$C123*'Business Case'!D12*$B123)-('Business Case'!C11*$C123*'Business Case'!C12*$B123))-'Business Case'!D15*$F123</f>
        <v>186221817.529745</v>
      </c>
      <c r="K123" s="39" t="n">
        <f aca="false">(('Business Case'!E11*$C123*'Business Case'!E12*$B123)-'Business Case'!E11*$C123*'Business Case'!E13*$D123-'Business Case'!E14*$E123)-MAX(0,(('Business Case'!E11*$C123*'Business Case'!E12*$B123)-'Business Case'!E11*$C123*'Business Case'!E13*$D123-'Business Case'!E14*$E123))*'Business Case'!$B$7-'Business Case'!$B$8*(('Business Case'!E11*$C123*'Business Case'!E12*$B123)-('Business Case'!D11*$C123*'Business Case'!D12*$B123))-'Business Case'!E15*$F123</f>
        <v>487677826.246335</v>
      </c>
      <c r="L123" s="39" t="n">
        <f aca="false">(('Business Case'!F11*$C123*'Business Case'!F12*$B123)-'Business Case'!F11*$C123*'Business Case'!F13*$D123-'Business Case'!F14*$E123)-MAX(0,(('Business Case'!F11*$C123*'Business Case'!F12*$B123)-'Business Case'!F11*$C123*'Business Case'!F13*$D123-'Business Case'!F14*$E123))*'Business Case'!$B$7-'Business Case'!$B$8*(('Business Case'!F11*$C123*'Business Case'!F12*$B123)-('Business Case'!E11*$C123*'Business Case'!E12*$B123))-'Business Case'!F15*$F123</f>
        <v>602851544.036165</v>
      </c>
      <c r="M123" s="39" t="n">
        <f aca="false">(('Business Case'!G11*$C123*'Business Case'!G12*$B123)-'Business Case'!G11*$C123*'Business Case'!G13*$D123-'Business Case'!G14*$E123)-MAX(0,(('Business Case'!G11*$C123*'Business Case'!G12*$B123)-'Business Case'!G11*$C123*'Business Case'!G13*$D123-'Business Case'!G14*$E123))*'Business Case'!$B$7-'Business Case'!$B$8*(('Business Case'!G11*$C123*'Business Case'!G12*$B123)-('Business Case'!F11*$C123*'Business Case'!F12*$B123))-'Business Case'!G15*$F123+'Business Case'!$B$8*('Business Case'!G11*$C123*'Business Case'!G12*$B123)</f>
        <v>788470563.347385</v>
      </c>
      <c r="N123" s="39" t="n">
        <f aca="false">IF(COUNT('Business Case'!B11:G11)=0,"",H123+NPV(G123,I123:M123))</f>
        <v>-958875841.726553</v>
      </c>
      <c r="P123" s="40" t="n">
        <f aca="true">RAND()</f>
        <v>0.0452886887693935</v>
      </c>
      <c r="Q123" s="40" t="n">
        <f aca="true">RAND()</f>
        <v>0.760737856971654</v>
      </c>
      <c r="R123" s="40" t="n">
        <f aca="true">RAND()</f>
        <v>0.886370737973118</v>
      </c>
      <c r="S123" s="40" t="n">
        <f aca="true">RAND()</f>
        <v>0.0333950053764044</v>
      </c>
      <c r="T123" s="40" t="n">
        <f aca="true">RAND()</f>
        <v>0.936452662768144</v>
      </c>
      <c r="U123" s="40" t="n">
        <f aca="true">RAND()</f>
        <v>0.773035337027667</v>
      </c>
    </row>
    <row r="124" customFormat="false" ht="15" hidden="false" customHeight="false" outlineLevel="0" collapsed="false">
      <c r="A124" s="36" t="n">
        <v>44</v>
      </c>
      <c r="B124" s="37" t="n">
        <f aca="false">1+IF($G$6=$E$6,$F$6,IF(P124&lt;($F$6-$E$6)/($G$6-$E$6),$E$6+SQRT(P124*($G$6-$E$6)*($F$6-$E$6)),$G$6-SQRT((1-P124)*($G$6-$E$6)*($G$6-$F$6))))</f>
        <v>0.993674887984603</v>
      </c>
      <c r="C124" s="37" t="n">
        <f aca="false">1+IF($G$7=$E$7,$F$7,IF(Q124&lt;($F$7-$E$7)/($G$7-$E$7),$E$7+SQRT(Q124*($G$7-$E$7)*($F$7-$E$7)),$G$7-SQRT((1-Q124)*($G$7-$E$7)*($G$7-$F$7))))</f>
        <v>0.986180084554666</v>
      </c>
      <c r="D124" s="37" t="n">
        <f aca="false">1+IF($G$8=$E$8,$F$8,IF(R124&lt;($F$8-$E$8)/($G$8-$E$8),$E$8+SQRT(R124*($G$8-$E$8)*($F$8-$E$8)),$G$8-SQRT((1-R124)*($G$8-$E$8)*($G$8-$F$8))))</f>
        <v>1.00537152562206</v>
      </c>
      <c r="E124" s="37" t="n">
        <f aca="false">1+IF($G$9=$E$9,$F$9,IF(S124&lt;($F$9-$E$9)/($G$9-$E$9),$E$9+SQRT(S124*($G$9-$E$9)*($F$9-$E$9)),$G$9-SQRT((1-S124)*($G$9-$E$9)*($G$9-$F$9))))</f>
        <v>1.04003735644566</v>
      </c>
      <c r="F124" s="37" t="n">
        <f aca="false">1+IF($G$10=$E$10,$F$10,IF(T124&lt;($F$10-$E$10)/($G$10-$E$10),$E$10+SQRT(T124*($G$10-$E$10)*($F$10-$E$10)),$G$10-SQRT((1-T124)*($G$10-$E$10)*($G$10-$F$10))))</f>
        <v>1.07054538776783</v>
      </c>
      <c r="G124" s="38" t="n">
        <f aca="false">IF($G$11=$E$11,$F$11,IF(U124&lt;($F$11-$E$11)/($G$11-$E$11),$E$11+SQRT(U124*($G$11-$E$11)*($F$11-$E$11)),$G$11-SQRT((1-U124)*($G$11-$E$11)*($G$11-$F$11))))</f>
        <v>0.114600620886848</v>
      </c>
      <c r="H124" s="39" t="n">
        <f aca="false">(('Business Case'!B11*$C124*'Business Case'!B12*$B124)-'Business Case'!B11*$C124*'Business Case'!B13*$D124-'Business Case'!B14*$E124)-MAX(0,(('Business Case'!B11*$C124*'Business Case'!B12*$B124)-'Business Case'!B11*$C124*'Business Case'!B13*$D124-'Business Case'!B14*$E124))*'Business Case'!$B$7-'Business Case'!$B$8*('Business Case'!B11*$C124*'Business Case'!B12*$B124)-'Business Case'!B15*$F124</f>
        <v>-2141090775.53566</v>
      </c>
      <c r="I124" s="39" t="n">
        <f aca="false">(('Business Case'!C11*$C124*'Business Case'!C12*$B124)-'Business Case'!C11*$C124*'Business Case'!C13*$D124-'Business Case'!C14*$E124)-MAX(0,(('Business Case'!C11*$C124*'Business Case'!C12*$B124)-'Business Case'!C11*$C124*'Business Case'!C13*$D124-'Business Case'!C14*$E124))*'Business Case'!$B$7-'Business Case'!$B$8*(('Business Case'!C11*$C124*'Business Case'!C12*$B124)-('Business Case'!B11*$C124*'Business Case'!B12*$B124))-'Business Case'!C15*$F124</f>
        <v>-10661793.2918302</v>
      </c>
      <c r="J124" s="39" t="n">
        <f aca="false">(('Business Case'!D11*$C124*'Business Case'!D12*$B124)-'Business Case'!D11*$C124*'Business Case'!D13*$D124-'Business Case'!D14*$E124)-MAX(0,(('Business Case'!D11*$C124*'Business Case'!D12*$B124)-'Business Case'!D11*$C124*'Business Case'!D13*$D124-'Business Case'!D14*$E124))*'Business Case'!$B$7-'Business Case'!$B$8*(('Business Case'!D11*$C124*'Business Case'!D12*$B124)-('Business Case'!C11*$C124*'Business Case'!C12*$B124))-'Business Case'!D15*$F124</f>
        <v>284424477.520817</v>
      </c>
      <c r="K124" s="39" t="n">
        <f aca="false">(('Business Case'!E11*$C124*'Business Case'!E12*$B124)-'Business Case'!E11*$C124*'Business Case'!E13*$D124-'Business Case'!E14*$E124)-MAX(0,(('Business Case'!E11*$C124*'Business Case'!E12*$B124)-'Business Case'!E11*$C124*'Business Case'!E13*$D124-'Business Case'!E14*$E124))*'Business Case'!$B$7-'Business Case'!$B$8*(('Business Case'!E11*$C124*'Business Case'!E12*$B124)-('Business Case'!D11*$C124*'Business Case'!D12*$B124))-'Business Case'!E15*$F124</f>
        <v>633038017.721857</v>
      </c>
      <c r="L124" s="39" t="n">
        <f aca="false">(('Business Case'!F11*$C124*'Business Case'!F12*$B124)-'Business Case'!F11*$C124*'Business Case'!F13*$D124-'Business Case'!F14*$E124)-MAX(0,(('Business Case'!F11*$C124*'Business Case'!F12*$B124)-'Business Case'!F11*$C124*'Business Case'!F13*$D124-'Business Case'!F14*$E124))*'Business Case'!$B$7-'Business Case'!$B$8*(('Business Case'!F11*$C124*'Business Case'!F12*$B124)-('Business Case'!E11*$C124*'Business Case'!E12*$B124))-'Business Case'!F15*$F124</f>
        <v>765266916.820154</v>
      </c>
      <c r="M124" s="39" t="n">
        <f aca="false">(('Business Case'!G11*$C124*'Business Case'!G12*$B124)-'Business Case'!G11*$C124*'Business Case'!G13*$D124-'Business Case'!G14*$E124)-MAX(0,(('Business Case'!G11*$C124*'Business Case'!G12*$B124)-'Business Case'!G11*$C124*'Business Case'!G13*$D124-'Business Case'!G14*$E124))*'Business Case'!$B$7-'Business Case'!$B$8*(('Business Case'!G11*$C124*'Business Case'!G12*$B124)-('Business Case'!F11*$C124*'Business Case'!F12*$B124))-'Business Case'!G15*$F124+'Business Case'!$B$8*('Business Case'!G11*$C124*'Business Case'!G12*$B124)</f>
        <v>951534365.370934</v>
      </c>
      <c r="N124" s="39" t="n">
        <f aca="false">IF(COUNT('Business Case'!B11:G11)=0,"",H124+NPV(G124,I124:M124))</f>
        <v>-415584338.086233</v>
      </c>
      <c r="P124" s="40" t="n">
        <f aca="true">RAND()</f>
        <v>0.565415533285815</v>
      </c>
      <c r="Q124" s="40" t="n">
        <f aca="true">RAND()</f>
        <v>0.495186055496893</v>
      </c>
      <c r="R124" s="40" t="n">
        <f aca="true">RAND()</f>
        <v>0.464479885771223</v>
      </c>
      <c r="S124" s="40" t="n">
        <f aca="true">RAND()</f>
        <v>0.760298758531683</v>
      </c>
      <c r="T124" s="40" t="n">
        <f aca="true">RAND()</f>
        <v>0.664830067436378</v>
      </c>
      <c r="U124" s="40" t="n">
        <f aca="true">RAND()</f>
        <v>0.95141117532076</v>
      </c>
    </row>
    <row r="125" customFormat="false" ht="15" hidden="false" customHeight="false" outlineLevel="0" collapsed="false">
      <c r="A125" s="36" t="n">
        <v>45</v>
      </c>
      <c r="B125" s="37" t="n">
        <f aca="false">1+IF($G$6=$E$6,$F$6,IF(P125&lt;($F$6-$E$6)/($G$6-$E$6),$E$6+SQRT(P125*($G$6-$E$6)*($F$6-$E$6)),$G$6-SQRT((1-P125)*($G$6-$E$6)*($G$6-$F$6))))</f>
        <v>0.964860679977592</v>
      </c>
      <c r="C125" s="37" t="n">
        <f aca="false">1+IF($G$7=$E$7,$F$7,IF(Q125&lt;($F$7-$E$7)/($G$7-$E$7),$E$7+SQRT(Q125*($G$7-$E$7)*($F$7-$E$7)),$G$7-SQRT((1-Q125)*($G$7-$E$7)*($G$7-$F$7))))</f>
        <v>0.977890097026045</v>
      </c>
      <c r="D125" s="37" t="n">
        <f aca="false">1+IF($G$8=$E$8,$F$8,IF(R125&lt;($F$8-$E$8)/($G$8-$E$8),$E$8+SQRT(R125*($G$8-$E$8)*($F$8-$E$8)),$G$8-SQRT((1-R125)*($G$8-$E$8)*($G$8-$F$8))))</f>
        <v>1.02686868076206</v>
      </c>
      <c r="E125" s="37" t="n">
        <f aca="false">1+IF($G$9=$E$9,$F$9,IF(S125&lt;($F$9-$E$9)/($G$9-$E$9),$E$9+SQRT(S125*($G$9-$E$9)*($F$9-$E$9)),$G$9-SQRT((1-S125)*($G$9-$E$9)*($G$9-$F$9))))</f>
        <v>1.02314330871505</v>
      </c>
      <c r="F125" s="37" t="n">
        <f aca="false">1+IF($G$10=$E$10,$F$10,IF(T125&lt;($F$10-$E$10)/($G$10-$E$10),$E$10+SQRT(T125*($G$10-$E$10)*($F$10-$E$10)),$G$10-SQRT((1-T125)*($G$10-$E$10)*($G$10-$F$10))))</f>
        <v>1.09834275814143</v>
      </c>
      <c r="G125" s="38" t="n">
        <f aca="false">IF($G$11=$E$11,$F$11,IF(U125&lt;($F$11-$E$11)/($G$11-$E$11),$E$11+SQRT(U125*($G$11-$E$11)*($F$11-$E$11)),$G$11-SQRT((1-U125)*($G$11-$E$11)*($G$11-$F$11))))</f>
        <v>0.104349440849738</v>
      </c>
      <c r="H125" s="39" t="n">
        <f aca="false">(('Business Case'!B11*$C125*'Business Case'!B12*$B125)-'Business Case'!B11*$C125*'Business Case'!B13*$D125-'Business Case'!B14*$E125)-MAX(0,(('Business Case'!B11*$C125*'Business Case'!B12*$B125)-'Business Case'!B11*$C125*'Business Case'!B13*$D125-'Business Case'!B14*$E125))*'Business Case'!$B$7-'Business Case'!$B$8*('Business Case'!B11*$C125*'Business Case'!B12*$B125)-'Business Case'!B15*$F125</f>
        <v>-2196685516.28285</v>
      </c>
      <c r="I125" s="39" t="n">
        <f aca="false">(('Business Case'!C11*$C125*'Business Case'!C12*$B125)-'Business Case'!C11*$C125*'Business Case'!C13*$D125-'Business Case'!C14*$E125)-MAX(0,(('Business Case'!C11*$C125*'Business Case'!C12*$B125)-'Business Case'!C11*$C125*'Business Case'!C13*$D125-'Business Case'!C14*$E125))*'Business Case'!$B$7-'Business Case'!$B$8*(('Business Case'!C11*$C125*'Business Case'!C12*$B125)-('Business Case'!B11*$C125*'Business Case'!B12*$B125))-'Business Case'!C15*$F125</f>
        <v>-45472607.2698214</v>
      </c>
      <c r="J125" s="39" t="n">
        <f aca="false">(('Business Case'!D11*$C125*'Business Case'!D12*$B125)-'Business Case'!D11*$C125*'Business Case'!D13*$D125-'Business Case'!D14*$E125)-MAX(0,(('Business Case'!D11*$C125*'Business Case'!D12*$B125)-'Business Case'!D11*$C125*'Business Case'!D13*$D125-'Business Case'!D14*$E125))*'Business Case'!$B$7-'Business Case'!$B$8*(('Business Case'!D11*$C125*'Business Case'!D12*$B125)-('Business Case'!C11*$C125*'Business Case'!C12*$B125))-'Business Case'!D15*$F125</f>
        <v>213292515.947062</v>
      </c>
      <c r="K125" s="39" t="n">
        <f aca="false">(('Business Case'!E11*$C125*'Business Case'!E12*$B125)-'Business Case'!E11*$C125*'Business Case'!E13*$D125-'Business Case'!E14*$E125)-MAX(0,(('Business Case'!E11*$C125*'Business Case'!E12*$B125)-'Business Case'!E11*$C125*'Business Case'!E13*$D125-'Business Case'!E14*$E125))*'Business Case'!$B$7-'Business Case'!$B$8*(('Business Case'!E11*$C125*'Business Case'!E12*$B125)-('Business Case'!D11*$C125*'Business Case'!D12*$B125))-'Business Case'!E15*$F125</f>
        <v>526974777.071016</v>
      </c>
      <c r="L125" s="39" t="n">
        <f aca="false">(('Business Case'!F11*$C125*'Business Case'!F12*$B125)-'Business Case'!F11*$C125*'Business Case'!F13*$D125-'Business Case'!F14*$E125)-MAX(0,(('Business Case'!F11*$C125*'Business Case'!F12*$B125)-'Business Case'!F11*$C125*'Business Case'!F13*$D125-'Business Case'!F14*$E125))*'Business Case'!$B$7-'Business Case'!$B$8*(('Business Case'!F11*$C125*'Business Case'!F12*$B125)-('Business Case'!E11*$C125*'Business Case'!E12*$B125))-'Business Case'!F15*$F125</f>
        <v>645838135.592165</v>
      </c>
      <c r="M125" s="39" t="n">
        <f aca="false">(('Business Case'!G11*$C125*'Business Case'!G12*$B125)-'Business Case'!G11*$C125*'Business Case'!G13*$D125-'Business Case'!G14*$E125)-MAX(0,(('Business Case'!G11*$C125*'Business Case'!G12*$B125)-'Business Case'!G11*$C125*'Business Case'!G13*$D125-'Business Case'!G14*$E125))*'Business Case'!$B$7-'Business Case'!$B$8*(('Business Case'!G11*$C125*'Business Case'!G12*$B125)-('Business Case'!F11*$C125*'Business Case'!F12*$B125))-'Business Case'!G15*$F125+'Business Case'!$B$8*('Business Case'!G11*$C125*'Business Case'!G12*$B125)</f>
        <v>825183881.560863</v>
      </c>
      <c r="N125" s="39" t="n">
        <f aca="false">IF(COUNT('Business Case'!B11:G11)=0,"",H125+NPV(G125,I125:M125))</f>
        <v>-735136653.865519</v>
      </c>
      <c r="P125" s="40" t="n">
        <f aca="true">RAND()</f>
        <v>0.209633396672079</v>
      </c>
      <c r="Q125" s="40" t="n">
        <f aca="true">RAND()</f>
        <v>0.452069808856225</v>
      </c>
      <c r="R125" s="40" t="n">
        <f aca="true">RAND()</f>
        <v>0.728563741926595</v>
      </c>
      <c r="S125" s="40" t="n">
        <f aca="true">RAND()</f>
        <v>0.606203266982009</v>
      </c>
      <c r="T125" s="40" t="n">
        <f aca="true">RAND()</f>
        <v>0.793316103554153</v>
      </c>
      <c r="U125" s="40" t="n">
        <f aca="true">RAND()</f>
        <v>0.591766663806902</v>
      </c>
    </row>
    <row r="126" customFormat="false" ht="15" hidden="false" customHeight="false" outlineLevel="0" collapsed="false">
      <c r="A126" s="36" t="n">
        <v>46</v>
      </c>
      <c r="B126" s="37" t="n">
        <f aca="false">1+IF($G$6=$E$6,$F$6,IF(P126&lt;($F$6-$E$6)/($G$6-$E$6),$E$6+SQRT(P126*($G$6-$E$6)*($F$6-$E$6)),$G$6-SQRT((1-P126)*($G$6-$E$6)*($G$6-$F$6))))</f>
        <v>1.00297143450119</v>
      </c>
      <c r="C126" s="37" t="n">
        <f aca="false">1+IF($G$7=$E$7,$F$7,IF(Q126&lt;($F$7-$E$7)/($G$7-$E$7),$E$7+SQRT(Q126*($G$7-$E$7)*($F$7-$E$7)),$G$7-SQRT((1-Q126)*($G$7-$E$7)*($G$7-$F$7))))</f>
        <v>0.943408430359746</v>
      </c>
      <c r="D126" s="37" t="n">
        <f aca="false">1+IF($G$8=$E$8,$F$8,IF(R126&lt;($F$8-$E$8)/($G$8-$E$8),$E$8+SQRT(R126*($G$8-$E$8)*($F$8-$E$8)),$G$8-SQRT((1-R126)*($G$8-$E$8)*($G$8-$F$8))))</f>
        <v>0.972167269535107</v>
      </c>
      <c r="E126" s="37" t="n">
        <f aca="false">1+IF($G$9=$E$9,$F$9,IF(S126&lt;($F$9-$E$9)/($G$9-$E$9),$E$9+SQRT(S126*($G$9-$E$9)*($F$9-$E$9)),$G$9-SQRT((1-S126)*($G$9-$E$9)*($G$9-$F$9))))</f>
        <v>0.986979129100084</v>
      </c>
      <c r="F126" s="37" t="n">
        <f aca="false">1+IF($G$10=$E$10,$F$10,IF(T126&lt;($F$10-$E$10)/($G$10-$E$10),$E$10+SQRT(T126*($G$10-$E$10)*($F$10-$E$10)),$G$10-SQRT((1-T126)*($G$10-$E$10)*($G$10-$F$10))))</f>
        <v>1.07807660503102</v>
      </c>
      <c r="G126" s="38" t="n">
        <f aca="false">IF($G$11=$E$11,$F$11,IF(U126&lt;($F$11-$E$11)/($G$11-$E$11),$E$11+SQRT(U126*($G$11-$E$11)*($F$11-$E$11)),$G$11-SQRT((1-U126)*($G$11-$E$11)*($G$11-$F$11))))</f>
        <v>0.107295372988601</v>
      </c>
      <c r="H126" s="39" t="n">
        <f aca="false">(('Business Case'!B11*$C126*'Business Case'!B12*$B126)-'Business Case'!B11*$C126*'Business Case'!B13*$D126-'Business Case'!B14*$E126)-MAX(0,(('Business Case'!B11*$C126*'Business Case'!B12*$B126)-'Business Case'!B11*$C126*'Business Case'!B13*$D126-'Business Case'!B14*$E126))*'Business Case'!$B$7-'Business Case'!$B$8*('Business Case'!B11*$C126*'Business Case'!B12*$B126)-'Business Case'!B15*$F126</f>
        <v>-2156153210.06205</v>
      </c>
      <c r="I126" s="39" t="n">
        <f aca="false">(('Business Case'!C11*$C126*'Business Case'!C12*$B126)-'Business Case'!C11*$C126*'Business Case'!C13*$D126-'Business Case'!C14*$E126)-MAX(0,(('Business Case'!C11*$C126*'Business Case'!C12*$B126)-'Business Case'!C11*$C126*'Business Case'!C13*$D126-'Business Case'!C14*$E126))*'Business Case'!$B$7-'Business Case'!$B$8*(('Business Case'!C11*$C126*'Business Case'!C12*$B126)-('Business Case'!B11*$C126*'Business Case'!B12*$B126))-'Business Case'!C15*$F126</f>
        <v>8299971.0984731</v>
      </c>
      <c r="J126" s="39" t="n">
        <f aca="false">(('Business Case'!D11*$C126*'Business Case'!D12*$B126)-'Business Case'!D11*$C126*'Business Case'!D13*$D126-'Business Case'!D14*$E126)-MAX(0,(('Business Case'!D11*$C126*'Business Case'!D12*$B126)-'Business Case'!D11*$C126*'Business Case'!D13*$D126-'Business Case'!D14*$E126))*'Business Case'!$B$7-'Business Case'!$B$8*(('Business Case'!D11*$C126*'Business Case'!D12*$B126)-('Business Case'!C11*$C126*'Business Case'!C12*$B126))-'Business Case'!D15*$F126</f>
        <v>313807649.734364</v>
      </c>
      <c r="K126" s="39" t="n">
        <f aca="false">(('Business Case'!E11*$C126*'Business Case'!E12*$B126)-'Business Case'!E11*$C126*'Business Case'!E13*$D126-'Business Case'!E14*$E126)-MAX(0,(('Business Case'!E11*$C126*'Business Case'!E12*$B126)-'Business Case'!E11*$C126*'Business Case'!E13*$D126-'Business Case'!E14*$E126))*'Business Case'!$B$7-'Business Case'!$B$8*(('Business Case'!E11*$C126*'Business Case'!E12*$B126)-('Business Case'!D11*$C126*'Business Case'!D12*$B126))-'Business Case'!E15*$F126</f>
        <v>673219158.621806</v>
      </c>
      <c r="L126" s="39" t="n">
        <f aca="false">(('Business Case'!F11*$C126*'Business Case'!F12*$B126)-'Business Case'!F11*$C126*'Business Case'!F13*$D126-'Business Case'!F14*$E126)-MAX(0,(('Business Case'!F11*$C126*'Business Case'!F12*$B126)-'Business Case'!F11*$C126*'Business Case'!F13*$D126-'Business Case'!F14*$E126))*'Business Case'!$B$7-'Business Case'!$B$8*(('Business Case'!F11*$C126*'Business Case'!F12*$B126)-('Business Case'!E11*$C126*'Business Case'!E12*$B126))-'Business Case'!F15*$F126</f>
        <v>807756128.084625</v>
      </c>
      <c r="M126" s="39" t="n">
        <f aca="false">(('Business Case'!G11*$C126*'Business Case'!G12*$B126)-'Business Case'!G11*$C126*'Business Case'!G13*$D126-'Business Case'!G14*$E126)-MAX(0,(('Business Case'!G11*$C126*'Business Case'!G12*$B126)-'Business Case'!G11*$C126*'Business Case'!G13*$D126-'Business Case'!G14*$E126))*'Business Case'!$B$7-'Business Case'!$B$8*(('Business Case'!G11*$C126*'Business Case'!G12*$B126)-('Business Case'!F11*$C126*'Business Case'!F12*$B126))-'Business Case'!G15*$F126+'Business Case'!$B$8*('Business Case'!G11*$C126*'Business Case'!G12*$B126)</f>
        <v>987612049.297663</v>
      </c>
      <c r="N126" s="39" t="n">
        <f aca="false">IF(COUNT('Business Case'!B11:G11)=0,"",H126+NPV(G126,I126:M126))</f>
        <v>-266246164.88212</v>
      </c>
      <c r="P126" s="40" t="n">
        <f aca="true">RAND()</f>
        <v>0.714351111895846</v>
      </c>
      <c r="Q126" s="40" t="n">
        <f aca="true">RAND()</f>
        <v>0.293799684260657</v>
      </c>
      <c r="R126" s="40" t="n">
        <f aca="true">RAND()</f>
        <v>0.0755981290218575</v>
      </c>
      <c r="S126" s="40" t="n">
        <f aca="true">RAND()</f>
        <v>0.182327465200093</v>
      </c>
      <c r="T126" s="40" t="n">
        <f aca="true">RAND()</f>
        <v>0.702693715184779</v>
      </c>
      <c r="U126" s="40" t="n">
        <f aca="true">RAND()</f>
        <v>0.730987420835394</v>
      </c>
    </row>
    <row r="127" customFormat="false" ht="15" hidden="false" customHeight="false" outlineLevel="0" collapsed="false">
      <c r="A127" s="36" t="n">
        <v>47</v>
      </c>
      <c r="B127" s="37" t="n">
        <f aca="false">1+IF($G$6=$E$6,$F$6,IF(P127&lt;($F$6-$E$6)/($G$6-$E$6),$E$6+SQRT(P127*($G$6-$E$6)*($F$6-$E$6)),$G$6-SQRT((1-P127)*($G$6-$E$6)*($G$6-$F$6))))</f>
        <v>1.01569375251594</v>
      </c>
      <c r="C127" s="37" t="n">
        <f aca="false">1+IF($G$7=$E$7,$F$7,IF(Q127&lt;($F$7-$E$7)/($G$7-$E$7),$E$7+SQRT(Q127*($G$7-$E$7)*($F$7-$E$7)),$G$7-SQRT((1-Q127)*($G$7-$E$7)*($G$7-$F$7))))</f>
        <v>1.01983795358861</v>
      </c>
      <c r="D127" s="37" t="n">
        <f aca="false">1+IF($G$8=$E$8,$F$8,IF(R127&lt;($F$8-$E$8)/($G$8-$E$8),$E$8+SQRT(R127*($G$8-$E$8)*($F$8-$E$8)),$G$8-SQRT((1-R127)*($G$8-$E$8)*($G$8-$F$8))))</f>
        <v>1.00880020739836</v>
      </c>
      <c r="E127" s="37" t="n">
        <f aca="false">1+IF($G$9=$E$9,$F$9,IF(S127&lt;($F$9-$E$9)/($G$9-$E$9),$E$9+SQRT(S127*($G$9-$E$9)*($F$9-$E$9)),$G$9-SQRT((1-S127)*($G$9-$E$9)*($G$9-$F$9))))</f>
        <v>1.00170919849814</v>
      </c>
      <c r="F127" s="37" t="n">
        <f aca="false">1+IF($G$10=$E$10,$F$10,IF(T127&lt;($F$10-$E$10)/($G$10-$E$10),$E$10+SQRT(T127*($G$10-$E$10)*($F$10-$E$10)),$G$10-SQRT((1-T127)*($G$10-$E$10)*($G$10-$F$10))))</f>
        <v>1.10065698959117</v>
      </c>
      <c r="G127" s="38" t="n">
        <f aca="false">IF($G$11=$E$11,$F$11,IF(U127&lt;($F$11-$E$11)/($G$11-$E$11),$E$11+SQRT(U127*($G$11-$E$11)*($F$11-$E$11)),$G$11-SQRT((1-U127)*($G$11-$E$11)*($G$11-$F$11))))</f>
        <v>0.101296571172685</v>
      </c>
      <c r="H127" s="39" t="n">
        <f aca="false">(('Business Case'!B11*$C127*'Business Case'!B12*$B127)-'Business Case'!B11*$C127*'Business Case'!B13*$D127-'Business Case'!B14*$E127)-MAX(0,(('Business Case'!B11*$C127*'Business Case'!B12*$B127)-'Business Case'!B11*$C127*'Business Case'!B13*$D127-'Business Case'!B14*$E127))*'Business Case'!$B$7-'Business Case'!$B$8*('Business Case'!B11*$C127*'Business Case'!B12*$B127)-'Business Case'!B15*$F127</f>
        <v>-2201313979.18233</v>
      </c>
      <c r="I127" s="39" t="n">
        <f aca="false">(('Business Case'!C11*$C127*'Business Case'!C12*$B127)-'Business Case'!C11*$C127*'Business Case'!C13*$D127-'Business Case'!C14*$E127)-MAX(0,(('Business Case'!C11*$C127*'Business Case'!C12*$B127)-'Business Case'!C11*$C127*'Business Case'!C13*$D127-'Business Case'!C14*$E127))*'Business Case'!$B$7-'Business Case'!$B$8*(('Business Case'!C11*$C127*'Business Case'!C12*$B127)-('Business Case'!B11*$C127*'Business Case'!B12*$B127))-'Business Case'!C15*$F127</f>
        <v>15553361.378428</v>
      </c>
      <c r="J127" s="39" t="n">
        <f aca="false">(('Business Case'!D11*$C127*'Business Case'!D12*$B127)-'Business Case'!D11*$C127*'Business Case'!D13*$D127-'Business Case'!D14*$E127)-MAX(0,(('Business Case'!D11*$C127*'Business Case'!D12*$B127)-'Business Case'!D11*$C127*'Business Case'!D13*$D127-'Business Case'!D14*$E127))*'Business Case'!$B$7-'Business Case'!$B$8*(('Business Case'!D11*$C127*'Business Case'!D12*$B127)-('Business Case'!C11*$C127*'Business Case'!C12*$B127))-'Business Case'!D15*$F127</f>
        <v>337313572.834328</v>
      </c>
      <c r="K127" s="39" t="n">
        <f aca="false">(('Business Case'!E11*$C127*'Business Case'!E12*$B127)-'Business Case'!E11*$C127*'Business Case'!E13*$D127-'Business Case'!E14*$E127)-MAX(0,(('Business Case'!E11*$C127*'Business Case'!E12*$B127)-'Business Case'!E11*$C127*'Business Case'!E13*$D127-'Business Case'!E14*$E127))*'Business Case'!$B$7-'Business Case'!$B$8*(('Business Case'!E11*$C127*'Business Case'!E12*$B127)-('Business Case'!D11*$C127*'Business Case'!D12*$B127))-'Business Case'!E15*$F127</f>
        <v>714106633.769787</v>
      </c>
      <c r="L127" s="39" t="n">
        <f aca="false">(('Business Case'!F11*$C127*'Business Case'!F12*$B127)-'Business Case'!F11*$C127*'Business Case'!F13*$D127-'Business Case'!F14*$E127)-MAX(0,(('Business Case'!F11*$C127*'Business Case'!F12*$B127)-'Business Case'!F11*$C127*'Business Case'!F13*$D127-'Business Case'!F14*$E127))*'Business Case'!$B$7-'Business Case'!$B$8*(('Business Case'!F11*$C127*'Business Case'!F12*$B127)-('Business Case'!E11*$C127*'Business Case'!E12*$B127))-'Business Case'!F15*$F127</f>
        <v>857158772.983034</v>
      </c>
      <c r="M127" s="39" t="n">
        <f aca="false">(('Business Case'!G11*$C127*'Business Case'!G12*$B127)-'Business Case'!G11*$C127*'Business Case'!G13*$D127-'Business Case'!G14*$E127)-MAX(0,(('Business Case'!G11*$C127*'Business Case'!G12*$B127)-'Business Case'!G11*$C127*'Business Case'!G13*$D127-'Business Case'!G14*$E127))*'Business Case'!$B$7-'Business Case'!$B$8*(('Business Case'!G11*$C127*'Business Case'!G12*$B127)-('Business Case'!F11*$C127*'Business Case'!F12*$B127))-'Business Case'!G15*$F127+'Business Case'!$B$8*('Business Case'!G11*$C127*'Business Case'!G12*$B127)</f>
        <v>1054051817.65341</v>
      </c>
      <c r="N127" s="39" t="n">
        <f aca="false">IF(COUNT('Business Case'!B11:G11)=0,"",H127+NPV(G127,I127:M127))</f>
        <v>-141111060.095565</v>
      </c>
      <c r="P127" s="40" t="n">
        <f aca="true">RAND()</f>
        <v>0.876917986092401</v>
      </c>
      <c r="Q127" s="40" t="n">
        <f aca="true">RAND()</f>
        <v>0.67729222236188</v>
      </c>
      <c r="R127" s="40" t="n">
        <f aca="true">RAND()</f>
        <v>0.512556685911908</v>
      </c>
      <c r="S127" s="40" t="n">
        <f aca="true">RAND()</f>
        <v>0.355927889341428</v>
      </c>
      <c r="T127" s="40" t="n">
        <f aca="true">RAND()</f>
        <v>0.802619325658207</v>
      </c>
      <c r="U127" s="40" t="n">
        <f aca="true">RAND()</f>
        <v>0.416969583502596</v>
      </c>
    </row>
    <row r="128" customFormat="false" ht="15" hidden="false" customHeight="false" outlineLevel="0" collapsed="false">
      <c r="A128" s="36" t="n">
        <v>48</v>
      </c>
      <c r="B128" s="37" t="n">
        <f aca="false">1+IF($G$6=$E$6,$F$6,IF(P128&lt;($F$6-$E$6)/($G$6-$E$6),$E$6+SQRT(P128*($G$6-$E$6)*($F$6-$E$6)),$G$6-SQRT((1-P128)*($G$6-$E$6)*($G$6-$F$6))))</f>
        <v>0.986502366475294</v>
      </c>
      <c r="C128" s="37" t="n">
        <f aca="false">1+IF($G$7=$E$7,$F$7,IF(Q128&lt;($F$7-$E$7)/($G$7-$E$7),$E$7+SQRT(Q128*($G$7-$E$7)*($F$7-$E$7)),$G$7-SQRT((1-Q128)*($G$7-$E$7)*($G$7-$F$7))))</f>
        <v>0.957236399297867</v>
      </c>
      <c r="D128" s="37" t="n">
        <f aca="false">1+IF($G$8=$E$8,$F$8,IF(R128&lt;($F$8-$E$8)/($G$8-$E$8),$E$8+SQRT(R128*($G$8-$E$8)*($F$8-$E$8)),$G$8-SQRT((1-R128)*($G$8-$E$8)*($G$8-$F$8))))</f>
        <v>1.02684634980037</v>
      </c>
      <c r="E128" s="37" t="n">
        <f aca="false">1+IF($G$9=$E$9,$F$9,IF(S128&lt;($F$9-$E$9)/($G$9-$E$9),$E$9+SQRT(S128*($G$9-$E$9)*($F$9-$E$9)),$G$9-SQRT((1-S128)*($G$9-$E$9)*($G$9-$F$9))))</f>
        <v>1.02880474776598</v>
      </c>
      <c r="F128" s="37" t="n">
        <f aca="false">1+IF($G$10=$E$10,$F$10,IF(T128&lt;($F$10-$E$10)/($G$10-$E$10),$E$10+SQRT(T128*($G$10-$E$10)*($F$10-$E$10)),$G$10-SQRT((1-T128)*($G$10-$E$10)*($G$10-$F$10))))</f>
        <v>1.04967845821444</v>
      </c>
      <c r="G128" s="38" t="n">
        <f aca="false">IF($G$11=$E$11,$F$11,IF(U128&lt;($F$11-$E$11)/($G$11-$E$11),$E$11+SQRT(U128*($G$11-$E$11)*($F$11-$E$11)),$G$11-SQRT((1-U128)*($G$11-$E$11)*($G$11-$F$11))))</f>
        <v>0.111736975711173</v>
      </c>
      <c r="H128" s="39" t="n">
        <f aca="false">(('Business Case'!B11*$C128*'Business Case'!B12*$B128)-'Business Case'!B11*$C128*'Business Case'!B13*$D128-'Business Case'!B14*$E128)-MAX(0,(('Business Case'!B11*$C128*'Business Case'!B12*$B128)-'Business Case'!B11*$C128*'Business Case'!B13*$D128-'Business Case'!B14*$E128))*'Business Case'!$B$7-'Business Case'!$B$8*('Business Case'!B11*$C128*'Business Case'!B12*$B128)-'Business Case'!B15*$F128</f>
        <v>-2099356916.42888</v>
      </c>
      <c r="I128" s="39" t="n">
        <f aca="false">(('Business Case'!C11*$C128*'Business Case'!C12*$B128)-'Business Case'!C11*$C128*'Business Case'!C13*$D128-'Business Case'!C14*$E128)-MAX(0,(('Business Case'!C11*$C128*'Business Case'!C12*$B128)-'Business Case'!C11*$C128*'Business Case'!C13*$D128-'Business Case'!C14*$E128))*'Business Case'!$B$7-'Business Case'!$B$8*(('Business Case'!C11*$C128*'Business Case'!C12*$B128)-('Business Case'!B11*$C128*'Business Case'!B12*$B128))-'Business Case'!C15*$F128</f>
        <v>-29938381.1276493</v>
      </c>
      <c r="J128" s="39" t="n">
        <f aca="false">(('Business Case'!D11*$C128*'Business Case'!D12*$B128)-'Business Case'!D11*$C128*'Business Case'!D13*$D128-'Business Case'!D14*$E128)-MAX(0,(('Business Case'!D11*$C128*'Business Case'!D12*$B128)-'Business Case'!D11*$C128*'Business Case'!D13*$D128-'Business Case'!D14*$E128))*'Business Case'!$B$7-'Business Case'!$B$8*(('Business Case'!D11*$C128*'Business Case'!D12*$B128)-('Business Case'!C11*$C128*'Business Case'!C12*$B128))-'Business Case'!D15*$F128</f>
        <v>240340458.748307</v>
      </c>
      <c r="K128" s="39" t="n">
        <f aca="false">(('Business Case'!E11*$C128*'Business Case'!E12*$B128)-'Business Case'!E11*$C128*'Business Case'!E13*$D128-'Business Case'!E14*$E128)-MAX(0,(('Business Case'!E11*$C128*'Business Case'!E12*$B128)-'Business Case'!E11*$C128*'Business Case'!E13*$D128-'Business Case'!E14*$E128))*'Business Case'!$B$7-'Business Case'!$B$8*(('Business Case'!E11*$C128*'Business Case'!E12*$B128)-('Business Case'!D11*$C128*'Business Case'!D12*$B128))-'Business Case'!E15*$F128</f>
        <v>563103221.534986</v>
      </c>
      <c r="L128" s="39" t="n">
        <f aca="false">(('Business Case'!F11*$C128*'Business Case'!F12*$B128)-'Business Case'!F11*$C128*'Business Case'!F13*$D128-'Business Case'!F14*$E128)-MAX(0,(('Business Case'!F11*$C128*'Business Case'!F12*$B128)-'Business Case'!F11*$C128*'Business Case'!F13*$D128-'Business Case'!F14*$E128))*'Business Case'!$B$7-'Business Case'!$B$8*(('Business Case'!F11*$C128*'Business Case'!F12*$B128)-('Business Case'!E11*$C128*'Business Case'!E12*$B128))-'Business Case'!F15*$F128</f>
        <v>685831728.193531</v>
      </c>
      <c r="M128" s="39" t="n">
        <f aca="false">(('Business Case'!G11*$C128*'Business Case'!G12*$B128)-'Business Case'!G11*$C128*'Business Case'!G13*$D128-'Business Case'!G14*$E128)-MAX(0,(('Business Case'!G11*$C128*'Business Case'!G12*$B128)-'Business Case'!G11*$C128*'Business Case'!G13*$D128-'Business Case'!G14*$E128))*'Business Case'!$B$7-'Business Case'!$B$8*(('Business Case'!G11*$C128*'Business Case'!G12*$B128)-('Business Case'!F11*$C128*'Business Case'!F12*$B128))-'Business Case'!G15*$F128+'Business Case'!$B$8*('Business Case'!G11*$C128*'Business Case'!G12*$B128)</f>
        <v>865327308.376277</v>
      </c>
      <c r="N128" s="39" t="n">
        <f aca="false">IF(COUNT('Business Case'!B11:G11)=0,"",H128+NPV(G128,I128:M128))</f>
        <v>-563528050.447276</v>
      </c>
      <c r="P128" s="40" t="n">
        <f aca="true">RAND()</f>
        <v>0.460683827793152</v>
      </c>
      <c r="Q128" s="40" t="n">
        <f aca="true">RAND()</f>
        <v>0.353189789487973</v>
      </c>
      <c r="R128" s="40" t="n">
        <f aca="true">RAND()</f>
        <v>0.728335526005279</v>
      </c>
      <c r="S128" s="40" t="n">
        <f aca="true">RAND()</f>
        <v>0.662082403955628</v>
      </c>
      <c r="T128" s="40" t="n">
        <f aca="true">RAND()</f>
        <v>0.548068681504231</v>
      </c>
      <c r="U128" s="40" t="n">
        <f aca="true">RAND()</f>
        <v>0.886204049337094</v>
      </c>
    </row>
    <row r="129" customFormat="false" ht="15" hidden="false" customHeight="false" outlineLevel="0" collapsed="false">
      <c r="A129" s="36" t="n">
        <v>49</v>
      </c>
      <c r="B129" s="37" t="n">
        <f aca="false">1+IF($G$6=$E$6,$F$6,IF(P129&lt;($F$6-$E$6)/($G$6-$E$6),$E$6+SQRT(P129*($G$6-$E$6)*($F$6-$E$6)),$G$6-SQRT((1-P129)*($G$6-$E$6)*($G$6-$F$6))))</f>
        <v>0.951435495517505</v>
      </c>
      <c r="C129" s="37" t="n">
        <f aca="false">1+IF($G$7=$E$7,$F$7,IF(Q129&lt;($F$7-$E$7)/($G$7-$E$7),$E$7+SQRT(Q129*($G$7-$E$7)*($F$7-$E$7)),$G$7-SQRT((1-Q129)*($G$7-$E$7)*($G$7-$F$7))))</f>
        <v>0.987939125182395</v>
      </c>
      <c r="D129" s="37" t="n">
        <f aca="false">1+IF($G$8=$E$8,$F$8,IF(R129&lt;($F$8-$E$8)/($G$8-$E$8),$E$8+SQRT(R129*($G$8-$E$8)*($F$8-$E$8)),$G$8-SQRT((1-R129)*($G$8-$E$8)*($G$8-$F$8))))</f>
        <v>0.969687571522982</v>
      </c>
      <c r="E129" s="37" t="n">
        <f aca="false">1+IF($G$9=$E$9,$F$9,IF(S129&lt;($F$9-$E$9)/($G$9-$E$9),$E$9+SQRT(S129*($G$9-$E$9)*($F$9-$E$9)),$G$9-SQRT((1-S129)*($G$9-$E$9)*($G$9-$F$9))))</f>
        <v>0.972877532538633</v>
      </c>
      <c r="F129" s="37" t="n">
        <f aca="false">1+IF($G$10=$E$10,$F$10,IF(T129&lt;($F$10-$E$10)/($G$10-$E$10),$E$10+SQRT(T129*($G$10-$E$10)*($F$10-$E$10)),$G$10-SQRT((1-T129)*($G$10-$E$10)*($G$10-$F$10))))</f>
        <v>0.985376761319473</v>
      </c>
      <c r="G129" s="38" t="n">
        <f aca="false">IF($G$11=$E$11,$F$11,IF(U129&lt;($F$11-$E$11)/($G$11-$E$11),$E$11+SQRT(U129*($G$11-$E$11)*($F$11-$E$11)),$G$11-SQRT((1-U129)*($G$11-$E$11)*($G$11-$F$11))))</f>
        <v>0.0975429693362733</v>
      </c>
      <c r="H129" s="39" t="n">
        <f aca="false">(('Business Case'!B11*$C129*'Business Case'!B12*$B129)-'Business Case'!B11*$C129*'Business Case'!B13*$D129-'Business Case'!B14*$E129)-MAX(0,(('Business Case'!B11*$C129*'Business Case'!B12*$B129)-'Business Case'!B11*$C129*'Business Case'!B13*$D129-'Business Case'!B14*$E129))*'Business Case'!$B$7-'Business Case'!$B$8*('Business Case'!B11*$C129*'Business Case'!B12*$B129)-'Business Case'!B15*$F129</f>
        <v>-1970753522.63895</v>
      </c>
      <c r="I129" s="39" t="n">
        <f aca="false">(('Business Case'!C11*$C129*'Business Case'!C12*$B129)-'Business Case'!C11*$C129*'Business Case'!C13*$D129-'Business Case'!C14*$E129)-MAX(0,(('Business Case'!C11*$C129*'Business Case'!C12*$B129)-'Business Case'!C11*$C129*'Business Case'!C13*$D129-'Business Case'!C14*$E129))*'Business Case'!$B$7-'Business Case'!$B$8*(('Business Case'!C11*$C129*'Business Case'!C12*$B129)-('Business Case'!B11*$C129*'Business Case'!B12*$B129))-'Business Case'!C15*$F129</f>
        <v>-6128614.82221492</v>
      </c>
      <c r="J129" s="39" t="n">
        <f aca="false">(('Business Case'!D11*$C129*'Business Case'!D12*$B129)-'Business Case'!D11*$C129*'Business Case'!D13*$D129-'Business Case'!D14*$E129)-MAX(0,(('Business Case'!D11*$C129*'Business Case'!D12*$B129)-'Business Case'!D11*$C129*'Business Case'!D13*$D129-'Business Case'!D14*$E129))*'Business Case'!$B$7-'Business Case'!$B$8*(('Business Case'!D11*$C129*'Business Case'!D12*$B129)-('Business Case'!C11*$C129*'Business Case'!C12*$B129))-'Business Case'!D15*$F129</f>
        <v>273351176.216004</v>
      </c>
      <c r="K129" s="39" t="n">
        <f aca="false">(('Business Case'!E11*$C129*'Business Case'!E12*$B129)-'Business Case'!E11*$C129*'Business Case'!E13*$D129-'Business Case'!E14*$E129)-MAX(0,(('Business Case'!E11*$C129*'Business Case'!E12*$B129)-'Business Case'!E11*$C129*'Business Case'!E13*$D129-'Business Case'!E14*$E129))*'Business Case'!$B$7-'Business Case'!$B$8*(('Business Case'!E11*$C129*'Business Case'!E12*$B129)-('Business Case'!D11*$C129*'Business Case'!D12*$B129))-'Business Case'!E15*$F129</f>
        <v>602099805.320196</v>
      </c>
      <c r="L129" s="39" t="n">
        <f aca="false">(('Business Case'!F11*$C129*'Business Case'!F12*$B129)-'Business Case'!F11*$C129*'Business Case'!F13*$D129-'Business Case'!F14*$E129)-MAX(0,(('Business Case'!F11*$C129*'Business Case'!F12*$B129)-'Business Case'!F11*$C129*'Business Case'!F13*$D129-'Business Case'!F14*$E129))*'Business Case'!$B$7-'Business Case'!$B$8*(('Business Case'!F11*$C129*'Business Case'!F12*$B129)-('Business Case'!E11*$C129*'Business Case'!E12*$B129))-'Business Case'!F15*$F129</f>
        <v>727744765.400598</v>
      </c>
      <c r="M129" s="39" t="n">
        <f aca="false">(('Business Case'!G11*$C129*'Business Case'!G12*$B129)-'Business Case'!G11*$C129*'Business Case'!G13*$D129-'Business Case'!G14*$E129)-MAX(0,(('Business Case'!G11*$C129*'Business Case'!G12*$B129)-'Business Case'!G11*$C129*'Business Case'!G13*$D129-'Business Case'!G14*$E129))*'Business Case'!$B$7-'Business Case'!$B$8*(('Business Case'!G11*$C129*'Business Case'!G12*$B129)-('Business Case'!F11*$C129*'Business Case'!F12*$B129))-'Business Case'!G15*$F129+'Business Case'!$B$8*('Business Case'!G11*$C129*'Business Case'!G12*$B129)</f>
        <v>906412428.939404</v>
      </c>
      <c r="N129" s="39" t="n">
        <f aca="false">IF(COUNT('Business Case'!B11:G11)=0,"",H129+NPV(G129,I129:M129))</f>
        <v>-223339171.501023</v>
      </c>
      <c r="P129" s="40" t="n">
        <f aca="true">RAND()</f>
        <v>0.102936497753238</v>
      </c>
      <c r="Q129" s="40" t="n">
        <f aca="true">RAND()</f>
        <v>0.504587353918914</v>
      </c>
      <c r="R129" s="40" t="n">
        <f aca="true">RAND()</f>
        <v>0.0596308419188512</v>
      </c>
      <c r="S129" s="40" t="n">
        <f aca="true">RAND()</f>
        <v>0.0697841993408249</v>
      </c>
      <c r="T129" s="40" t="n">
        <f aca="true">RAND()</f>
        <v>0.100121219316395</v>
      </c>
      <c r="U129" s="40" t="n">
        <f aca="true">RAND()</f>
        <v>0.189654621359864</v>
      </c>
    </row>
    <row r="130" customFormat="false" ht="15" hidden="false" customHeight="false" outlineLevel="0" collapsed="false">
      <c r="A130" s="36" t="n">
        <v>50</v>
      </c>
      <c r="B130" s="37" t="n">
        <f aca="false">1+IF($G$6=$E$6,$F$6,IF(P130&lt;($F$6-$E$6)/($G$6-$E$6),$E$6+SQRT(P130*($G$6-$E$6)*($F$6-$E$6)),$G$6-SQRT((1-P130)*($G$6-$E$6)*($G$6-$F$6))))</f>
        <v>0.972652538248494</v>
      </c>
      <c r="C130" s="37" t="n">
        <f aca="false">1+IF($G$7=$E$7,$F$7,IF(Q130&lt;($F$7-$E$7)/($G$7-$E$7),$E$7+SQRT(Q130*($G$7-$E$7)*($F$7-$E$7)),$G$7-SQRT((1-Q130)*($G$7-$E$7)*($G$7-$F$7))))</f>
        <v>0.919177648918002</v>
      </c>
      <c r="D130" s="37" t="n">
        <f aca="false">1+IF($G$8=$E$8,$F$8,IF(R130&lt;($F$8-$E$8)/($G$8-$E$8),$E$8+SQRT(R130*($G$8-$E$8)*($F$8-$E$8)),$G$8-SQRT((1-R130)*($G$8-$E$8)*($G$8-$F$8))))</f>
        <v>1.0461905518836</v>
      </c>
      <c r="E130" s="37" t="n">
        <f aca="false">1+IF($G$9=$E$9,$F$9,IF(S130&lt;($F$9-$E$9)/($G$9-$E$9),$E$9+SQRT(S130*($G$9-$E$9)*($F$9-$E$9)),$G$9-SQRT((1-S130)*($G$9-$E$9)*($G$9-$F$9))))</f>
        <v>0.984761508066218</v>
      </c>
      <c r="F130" s="37" t="n">
        <f aca="false">1+IF($G$10=$E$10,$F$10,IF(T130&lt;($F$10-$E$10)/($G$10-$E$10),$E$10+SQRT(T130*($G$10-$E$10)*($F$10-$E$10)),$G$10-SQRT((1-T130)*($G$10-$E$10)*($G$10-$F$10))))</f>
        <v>1.00542706709715</v>
      </c>
      <c r="G130" s="38" t="n">
        <f aca="false">IF($G$11=$E$11,$F$11,IF(U130&lt;($F$11-$E$11)/($G$11-$E$11),$E$11+SQRT(U130*($G$11-$E$11)*($F$11-$E$11)),$G$11-SQRT((1-U130)*($G$11-$E$11)*($G$11-$F$11))))</f>
        <v>0.100076244814165</v>
      </c>
      <c r="H130" s="39" t="n">
        <f aca="false">(('Business Case'!B11*$C130*'Business Case'!B12*$B130)-'Business Case'!B11*$C130*'Business Case'!B13*$D130-'Business Case'!B14*$E130)-MAX(0,(('Business Case'!B11*$C130*'Business Case'!B12*$B130)-'Business Case'!B11*$C130*'Business Case'!B13*$D130-'Business Case'!B14*$E130))*'Business Case'!$B$7-'Business Case'!$B$8*('Business Case'!B11*$C130*'Business Case'!B12*$B130)-'Business Case'!B15*$F130</f>
        <v>-2010854134.19431</v>
      </c>
      <c r="I130" s="39" t="n">
        <f aca="false">(('Business Case'!C11*$C130*'Business Case'!C12*$B130)-'Business Case'!C11*$C130*'Business Case'!C13*$D130-'Business Case'!C14*$E130)-MAX(0,(('Business Case'!C11*$C130*'Business Case'!C12*$B130)-'Business Case'!C11*$C130*'Business Case'!C13*$D130-'Business Case'!C14*$E130))*'Business Case'!$B$7-'Business Case'!$B$8*(('Business Case'!C11*$C130*'Business Case'!C12*$B130)-('Business Case'!B11*$C130*'Business Case'!B12*$B130))-'Business Case'!C15*$F130</f>
        <v>-46919507.4935822</v>
      </c>
      <c r="J130" s="39" t="n">
        <f aca="false">(('Business Case'!D11*$C130*'Business Case'!D12*$B130)-'Business Case'!D11*$C130*'Business Case'!D13*$D130-'Business Case'!D14*$E130)-MAX(0,(('Business Case'!D11*$C130*'Business Case'!D12*$B130)-'Business Case'!D11*$C130*'Business Case'!D13*$D130-'Business Case'!D14*$E130))*'Business Case'!$B$7-'Business Case'!$B$8*(('Business Case'!D11*$C130*'Business Case'!D12*$B130)-('Business Case'!C11*$C130*'Business Case'!C12*$B130))-'Business Case'!D15*$F130</f>
        <v>193083836.306547</v>
      </c>
      <c r="K130" s="39" t="n">
        <f aca="false">(('Business Case'!E11*$C130*'Business Case'!E12*$B130)-'Business Case'!E11*$C130*'Business Case'!E13*$D130-'Business Case'!E14*$E130)-MAX(0,(('Business Case'!E11*$C130*'Business Case'!E12*$B130)-'Business Case'!E11*$C130*'Business Case'!E13*$D130-'Business Case'!E14*$E130))*'Business Case'!$B$7-'Business Case'!$B$8*(('Business Case'!E11*$C130*'Business Case'!E12*$B130)-('Business Case'!D11*$C130*'Business Case'!D12*$B130))-'Business Case'!E15*$F130</f>
        <v>483358533.461535</v>
      </c>
      <c r="L130" s="39" t="n">
        <f aca="false">(('Business Case'!F11*$C130*'Business Case'!F12*$B130)-'Business Case'!F11*$C130*'Business Case'!F13*$D130-'Business Case'!F14*$E130)-MAX(0,(('Business Case'!F11*$C130*'Business Case'!F12*$B130)-'Business Case'!F11*$C130*'Business Case'!F13*$D130-'Business Case'!F14*$E130))*'Business Case'!$B$7-'Business Case'!$B$8*(('Business Case'!F11*$C130*'Business Case'!F12*$B130)-('Business Case'!E11*$C130*'Business Case'!E12*$B130))-'Business Case'!F15*$F130</f>
        <v>594257686.819564</v>
      </c>
      <c r="M130" s="39" t="n">
        <f aca="false">(('Business Case'!G11*$C130*'Business Case'!G12*$B130)-'Business Case'!G11*$C130*'Business Case'!G13*$D130-'Business Case'!G14*$E130)-MAX(0,(('Business Case'!G11*$C130*'Business Case'!G12*$B130)-'Business Case'!G11*$C130*'Business Case'!G13*$D130-'Business Case'!G14*$E130))*'Business Case'!$B$7-'Business Case'!$B$8*(('Business Case'!G11*$C130*'Business Case'!G12*$B130)-('Business Case'!F11*$C130*'Business Case'!F12*$B130))-'Business Case'!G15*$F130+'Business Case'!$B$8*('Business Case'!G11*$C130*'Business Case'!G12*$B130)</f>
        <v>764196899.988492</v>
      </c>
      <c r="N130" s="39" t="n">
        <f aca="false">IF(COUNT('Business Case'!B11:G11)=0,"",H130+NPV(G130,I130:M130))</f>
        <v>-650759841.571727</v>
      </c>
      <c r="P130" s="40" t="n">
        <f aca="true">RAND()</f>
        <v>0.288780185834288</v>
      </c>
      <c r="Q130" s="40" t="n">
        <f aca="true">RAND()</f>
        <v>0.202904457166034</v>
      </c>
      <c r="R130" s="40" t="n">
        <f aca="true">RAND()</f>
        <v>0.890088578660015</v>
      </c>
      <c r="S130" s="40" t="n">
        <f aca="true">RAND()</f>
        <v>0.161114992405029</v>
      </c>
      <c r="T130" s="40" t="n">
        <f aca="true">RAND()</f>
        <v>0.242827475631685</v>
      </c>
      <c r="U130" s="40" t="n">
        <f aca="true">RAND()</f>
        <v>0.338406632158201</v>
      </c>
    </row>
    <row r="131" customFormat="false" ht="15" hidden="false" customHeight="false" outlineLevel="0" collapsed="false">
      <c r="A131" s="36" t="n">
        <v>51</v>
      </c>
      <c r="B131" s="37" t="n">
        <f aca="false">1+IF($G$6=$E$6,$F$6,IF(P131&lt;($F$6-$E$6)/($G$6-$E$6),$E$6+SQRT(P131*($G$6-$E$6)*($F$6-$E$6)),$G$6-SQRT((1-P131)*($G$6-$E$6)*($G$6-$F$6))))</f>
        <v>1.03309600463073</v>
      </c>
      <c r="C131" s="37" t="n">
        <f aca="false">1+IF($G$7=$E$7,$F$7,IF(Q131&lt;($F$7-$E$7)/($G$7-$E$7),$E$7+SQRT(Q131*($G$7-$E$7)*($F$7-$E$7)),$G$7-SQRT((1-Q131)*($G$7-$E$7)*($G$7-$F$7))))</f>
        <v>0.908047160910703</v>
      </c>
      <c r="D131" s="37" t="n">
        <f aca="false">1+IF($G$8=$E$8,$F$8,IF(R131&lt;($F$8-$E$8)/($G$8-$E$8),$E$8+SQRT(R131*($G$8-$E$8)*($F$8-$E$8)),$G$8-SQRT((1-R131)*($G$8-$E$8)*($G$8-$F$8))))</f>
        <v>1.05062553439207</v>
      </c>
      <c r="E131" s="37" t="n">
        <f aca="false">1+IF($G$9=$E$9,$F$9,IF(S131&lt;($F$9-$E$9)/($G$9-$E$9),$E$9+SQRT(S131*($G$9-$E$9)*($F$9-$E$9)),$G$9-SQRT((1-S131)*($G$9-$E$9)*($G$9-$F$9))))</f>
        <v>1.0951376329576</v>
      </c>
      <c r="F131" s="37" t="n">
        <f aca="false">1+IF($G$10=$E$10,$F$10,IF(T131&lt;($F$10-$E$10)/($G$10-$E$10),$E$10+SQRT(T131*($G$10-$E$10)*($F$10-$E$10)),$G$10-SQRT((1-T131)*($G$10-$E$10)*($G$10-$F$10))))</f>
        <v>1.02388164598542</v>
      </c>
      <c r="G131" s="38" t="n">
        <f aca="false">IF($G$11=$E$11,$F$11,IF(U131&lt;($F$11-$E$11)/($G$11-$E$11),$E$11+SQRT(U131*($G$11-$E$11)*($F$11-$E$11)),$G$11-SQRT((1-U131)*($G$11-$E$11)*($G$11-$F$11))))</f>
        <v>0.0932976283728771</v>
      </c>
      <c r="H131" s="39" t="n">
        <f aca="false">(('Business Case'!B11*$C131*'Business Case'!B12*$B131)-'Business Case'!B11*$C131*'Business Case'!B13*$D131-'Business Case'!B14*$E131)-MAX(0,(('Business Case'!B11*$C131*'Business Case'!B12*$B131)-'Business Case'!B11*$C131*'Business Case'!B13*$D131-'Business Case'!B14*$E131))*'Business Case'!$B$7-'Business Case'!$B$8*('Business Case'!B11*$C131*'Business Case'!B12*$B131)-'Business Case'!B15*$F131</f>
        <v>-2047763291.97084</v>
      </c>
      <c r="I131" s="39" t="n">
        <f aca="false">(('Business Case'!C11*$C131*'Business Case'!C12*$B131)-'Business Case'!C11*$C131*'Business Case'!C13*$D131-'Business Case'!C14*$E131)-MAX(0,(('Business Case'!C11*$C131*'Business Case'!C12*$B131)-'Business Case'!C11*$C131*'Business Case'!C13*$D131-'Business Case'!C14*$E131))*'Business Case'!$B$7-'Business Case'!$B$8*(('Business Case'!C11*$C131*'Business Case'!C12*$B131)-('Business Case'!B11*$C131*'Business Case'!B12*$B131))-'Business Case'!C15*$F131</f>
        <v>-26757134.0116953</v>
      </c>
      <c r="J131" s="39" t="n">
        <f aca="false">(('Business Case'!D11*$C131*'Business Case'!D12*$B131)-'Business Case'!D11*$C131*'Business Case'!D13*$D131-'Business Case'!D14*$E131)-MAX(0,(('Business Case'!D11*$C131*'Business Case'!D12*$B131)-'Business Case'!D11*$C131*'Business Case'!D13*$D131-'Business Case'!D14*$E131))*'Business Case'!$B$7-'Business Case'!$B$8*(('Business Case'!D11*$C131*'Business Case'!D12*$B131)-('Business Case'!C11*$C131*'Business Case'!C12*$B131))-'Business Case'!D15*$F131</f>
        <v>253233566.484252</v>
      </c>
      <c r="K131" s="39" t="n">
        <f aca="false">(('Business Case'!E11*$C131*'Business Case'!E12*$B131)-'Business Case'!E11*$C131*'Business Case'!E13*$D131-'Business Case'!E14*$E131)-MAX(0,(('Business Case'!E11*$C131*'Business Case'!E12*$B131)-'Business Case'!E11*$C131*'Business Case'!E13*$D131-'Business Case'!E14*$E131))*'Business Case'!$B$7-'Business Case'!$B$8*(('Business Case'!E11*$C131*'Business Case'!E12*$B131)-('Business Case'!D11*$C131*'Business Case'!D12*$B131))-'Business Case'!E15*$F131</f>
        <v>584418349.27947</v>
      </c>
      <c r="L131" s="39" t="n">
        <f aca="false">(('Business Case'!F11*$C131*'Business Case'!F12*$B131)-'Business Case'!F11*$C131*'Business Case'!F13*$D131-'Business Case'!F14*$E131)-MAX(0,(('Business Case'!F11*$C131*'Business Case'!F12*$B131)-'Business Case'!F11*$C131*'Business Case'!F13*$D131-'Business Case'!F14*$E131))*'Business Case'!$B$7-'Business Case'!$B$8*(('Business Case'!F11*$C131*'Business Case'!F12*$B131)-('Business Case'!E11*$C131*'Business Case'!E12*$B131))-'Business Case'!F15*$F131</f>
        <v>710169315.113139</v>
      </c>
      <c r="M131" s="39" t="n">
        <f aca="false">(('Business Case'!G11*$C131*'Business Case'!G12*$B131)-'Business Case'!G11*$C131*'Business Case'!G13*$D131-'Business Case'!G14*$E131)-MAX(0,(('Business Case'!G11*$C131*'Business Case'!G12*$B131)-'Business Case'!G11*$C131*'Business Case'!G13*$D131-'Business Case'!G14*$E131))*'Business Case'!$B$7-'Business Case'!$B$8*(('Business Case'!G11*$C131*'Business Case'!G12*$B131)-('Business Case'!F11*$C131*'Business Case'!F12*$B131))-'Business Case'!G15*$F131+'Business Case'!$B$8*('Business Case'!G11*$C131*'Business Case'!G12*$B131)</f>
        <v>888483342.95575</v>
      </c>
      <c r="N131" s="39" t="n">
        <f aca="false">IF(COUNT('Business Case'!B11:G11)=0,"",H131+NPV(G131,I131:M131))</f>
        <v>-347315907.704429</v>
      </c>
      <c r="P131" s="40" t="n">
        <f aca="true">RAND()</f>
        <v>0.990069759987735</v>
      </c>
      <c r="Q131" s="40" t="n">
        <f aca="true">RAND()</f>
        <v>0.166774128298049</v>
      </c>
      <c r="R131" s="40" t="n">
        <f aca="true">RAND()</f>
        <v>0.917032766370029</v>
      </c>
      <c r="S131" s="40" t="n">
        <f aca="true">RAND()</f>
        <v>0.998423825782999</v>
      </c>
      <c r="T131" s="40" t="n">
        <f aca="true">RAND()</f>
        <v>0.379646507583893</v>
      </c>
      <c r="U131" s="40" t="n">
        <f aca="true">RAND()</f>
        <v>0.0362478429520134</v>
      </c>
    </row>
    <row r="132" customFormat="false" ht="15" hidden="false" customHeight="false" outlineLevel="0" collapsed="false">
      <c r="A132" s="36" t="n">
        <v>52</v>
      </c>
      <c r="B132" s="37" t="n">
        <f aca="false">1+IF($G$6=$E$6,$F$6,IF(P132&lt;($F$6-$E$6)/($G$6-$E$6),$E$6+SQRT(P132*($G$6-$E$6)*($F$6-$E$6)),$G$6-SQRT((1-P132)*($G$6-$E$6)*($G$6-$F$6))))</f>
        <v>0.986917832385977</v>
      </c>
      <c r="C132" s="37" t="n">
        <f aca="false">1+IF($G$7=$E$7,$F$7,IF(Q132&lt;($F$7-$E$7)/($G$7-$E$7),$E$7+SQRT(Q132*($G$7-$E$7)*($F$7-$E$7)),$G$7-SQRT((1-Q132)*($G$7-$E$7)*($G$7-$F$7))))</f>
        <v>0.903213747539902</v>
      </c>
      <c r="D132" s="37" t="n">
        <f aca="false">1+IF($G$8=$E$8,$F$8,IF(R132&lt;($F$8-$E$8)/($G$8-$E$8),$E$8+SQRT(R132*($G$8-$E$8)*($F$8-$E$8)),$G$8-SQRT((1-R132)*($G$8-$E$8)*($G$8-$F$8))))</f>
        <v>1.01807606193797</v>
      </c>
      <c r="E132" s="37" t="n">
        <f aca="false">1+IF($G$9=$E$9,$F$9,IF(S132&lt;($F$9-$E$9)/($G$9-$E$9),$E$9+SQRT(S132*($G$9-$E$9)*($F$9-$E$9)),$G$9-SQRT((1-S132)*($G$9-$E$9)*($G$9-$F$9))))</f>
        <v>0.987165996015054</v>
      </c>
      <c r="F132" s="37" t="n">
        <f aca="false">1+IF($G$10=$E$10,$F$10,IF(T132&lt;($F$10-$E$10)/($G$10-$E$10),$E$10+SQRT(T132*($G$10-$E$10)*($F$10-$E$10)),$G$10-SQRT((1-T132)*($G$10-$E$10)*($G$10-$F$10))))</f>
        <v>1.07761262940093</v>
      </c>
      <c r="G132" s="38" t="n">
        <f aca="false">IF($G$11=$E$11,$F$11,IF(U132&lt;($F$11-$E$11)/($G$11-$E$11),$E$11+SQRT(U132*($G$11-$E$11)*($F$11-$E$11)),$G$11-SQRT((1-U132)*($G$11-$E$11)*($G$11-$F$11))))</f>
        <v>0.0998075788561288</v>
      </c>
      <c r="H132" s="39" t="n">
        <f aca="false">(('Business Case'!B11*$C132*'Business Case'!B12*$B132)-'Business Case'!B11*$C132*'Business Case'!B13*$D132-'Business Case'!B14*$E132)-MAX(0,(('Business Case'!B11*$C132*'Business Case'!B12*$B132)-'Business Case'!B11*$C132*'Business Case'!B13*$D132-'Business Case'!B14*$E132))*'Business Case'!$B$7-'Business Case'!$B$8*('Business Case'!B11*$C132*'Business Case'!B12*$B132)-'Business Case'!B15*$F132</f>
        <v>-2155225258.80186</v>
      </c>
      <c r="I132" s="39" t="n">
        <f aca="false">(('Business Case'!C11*$C132*'Business Case'!C12*$B132)-'Business Case'!C11*$C132*'Business Case'!C13*$D132-'Business Case'!C14*$E132)-MAX(0,(('Business Case'!C11*$C132*'Business Case'!C12*$B132)-'Business Case'!C11*$C132*'Business Case'!C13*$D132-'Business Case'!C14*$E132))*'Business Case'!$B$7-'Business Case'!$B$8*(('Business Case'!C11*$C132*'Business Case'!C12*$B132)-('Business Case'!B11*$C132*'Business Case'!B12*$B132))-'Business Case'!C15*$F132</f>
        <v>-34958453.9611175</v>
      </c>
      <c r="J132" s="39" t="n">
        <f aca="false">(('Business Case'!D11*$C132*'Business Case'!D12*$B132)-'Business Case'!D11*$C132*'Business Case'!D13*$D132-'Business Case'!D14*$E132)-MAX(0,(('Business Case'!D11*$C132*'Business Case'!D12*$B132)-'Business Case'!D11*$C132*'Business Case'!D13*$D132-'Business Case'!D14*$E132))*'Business Case'!$B$7-'Business Case'!$B$8*(('Business Case'!D11*$C132*'Business Case'!D12*$B132)-('Business Case'!C11*$C132*'Business Case'!C12*$B132))-'Business Case'!D15*$F132</f>
        <v>224429419.213545</v>
      </c>
      <c r="K132" s="39" t="n">
        <f aca="false">(('Business Case'!E11*$C132*'Business Case'!E12*$B132)-'Business Case'!E11*$C132*'Business Case'!E13*$D132-'Business Case'!E14*$E132)-MAX(0,(('Business Case'!E11*$C132*'Business Case'!E12*$B132)-'Business Case'!E11*$C132*'Business Case'!E13*$D132-'Business Case'!E14*$E132))*'Business Case'!$B$7-'Business Case'!$B$8*(('Business Case'!E11*$C132*'Business Case'!E12*$B132)-('Business Case'!D11*$C132*'Business Case'!D12*$B132))-'Business Case'!E15*$F132</f>
        <v>537697923.858255</v>
      </c>
      <c r="L132" s="39" t="n">
        <f aca="false">(('Business Case'!F11*$C132*'Business Case'!F12*$B132)-'Business Case'!F11*$C132*'Business Case'!F13*$D132-'Business Case'!F14*$E132)-MAX(0,(('Business Case'!F11*$C132*'Business Case'!F12*$B132)-'Business Case'!F11*$C132*'Business Case'!F13*$D132-'Business Case'!F14*$E132))*'Business Case'!$B$7-'Business Case'!$B$8*(('Business Case'!F11*$C132*'Business Case'!F12*$B132)-('Business Case'!E11*$C132*'Business Case'!E12*$B132))-'Business Case'!F15*$F132</f>
        <v>654967254.624707</v>
      </c>
      <c r="M132" s="39" t="n">
        <f aca="false">(('Business Case'!G11*$C132*'Business Case'!G12*$B132)-'Business Case'!G11*$C132*'Business Case'!G13*$D132-'Business Case'!G14*$E132)-MAX(0,(('Business Case'!G11*$C132*'Business Case'!G12*$B132)-'Business Case'!G11*$C132*'Business Case'!G13*$D132-'Business Case'!G14*$E132))*'Business Case'!$B$7-'Business Case'!$B$8*(('Business Case'!G11*$C132*'Business Case'!G12*$B132)-('Business Case'!F11*$C132*'Business Case'!F12*$B132))-'Business Case'!G15*$F132+'Business Case'!$B$8*('Business Case'!G11*$C132*'Business Case'!G12*$B132)</f>
        <v>824404139.686645</v>
      </c>
      <c r="N132" s="39" t="n">
        <f aca="false">IF(COUNT('Business Case'!B11:G11)=0,"",H132+NPV(G132,I132:M132))</f>
        <v>-637272312.260599</v>
      </c>
      <c r="P132" s="40" t="n">
        <f aca="true">RAND()</f>
        <v>0.466457947003922</v>
      </c>
      <c r="Q132" s="40" t="n">
        <f aca="true">RAND()</f>
        <v>0.152186824017581</v>
      </c>
      <c r="R132" s="40" t="n">
        <f aca="true">RAND()</f>
        <v>0.631290951431663</v>
      </c>
      <c r="S132" s="40" t="n">
        <f aca="true">RAND()</f>
        <v>0.184174834638803</v>
      </c>
      <c r="T132" s="40" t="n">
        <f aca="true">RAND()</f>
        <v>0.70042663035691</v>
      </c>
      <c r="U132" s="40" t="n">
        <f aca="true">RAND()</f>
        <v>0.320628676730613</v>
      </c>
    </row>
    <row r="133" customFormat="false" ht="15" hidden="false" customHeight="false" outlineLevel="0" collapsed="false">
      <c r="A133" s="36" t="n">
        <v>53</v>
      </c>
      <c r="B133" s="37" t="n">
        <f aca="false">1+IF($G$6=$E$6,$F$6,IF(P133&lt;($F$6-$E$6)/($G$6-$E$6),$E$6+SQRT(P133*($G$6-$E$6)*($F$6-$E$6)),$G$6-SQRT((1-P133)*($G$6-$E$6)*($G$6-$F$6))))</f>
        <v>1.01777738690992</v>
      </c>
      <c r="C133" s="37" t="n">
        <f aca="false">1+IF($G$7=$E$7,$F$7,IF(Q133&lt;($F$7-$E$7)/($G$7-$E$7),$E$7+SQRT(Q133*($G$7-$E$7)*($F$7-$E$7)),$G$7-SQRT((1-Q133)*($G$7-$E$7)*($G$7-$F$7))))</f>
        <v>0.919377166752729</v>
      </c>
      <c r="D133" s="37" t="n">
        <f aca="false">1+IF($G$8=$E$8,$F$8,IF(R133&lt;($F$8-$E$8)/($G$8-$E$8),$E$8+SQRT(R133*($G$8-$E$8)*($F$8-$E$8)),$G$8-SQRT((1-R133)*($G$8-$E$8)*($G$8-$F$8))))</f>
        <v>1.06571283789466</v>
      </c>
      <c r="E133" s="37" t="n">
        <f aca="false">1+IF($G$9=$E$9,$F$9,IF(S133&lt;($F$9-$E$9)/($G$9-$E$9),$E$9+SQRT(S133*($G$9-$E$9)*($F$9-$E$9)),$G$9-SQRT((1-S133)*($G$9-$E$9)*($G$9-$F$9))))</f>
        <v>0.979323528929584</v>
      </c>
      <c r="F133" s="37" t="n">
        <f aca="false">1+IF($G$10=$E$10,$F$10,IF(T133&lt;($F$10-$E$10)/($G$10-$E$10),$E$10+SQRT(T133*($G$10-$E$10)*($F$10-$E$10)),$G$10-SQRT((1-T133)*($G$10-$E$10)*($G$10-$F$10))))</f>
        <v>1.08807762376576</v>
      </c>
      <c r="G133" s="38" t="n">
        <f aca="false">IF($G$11=$E$11,$F$11,IF(U133&lt;($F$11-$E$11)/($G$11-$E$11),$E$11+SQRT(U133*($G$11-$E$11)*($F$11-$E$11)),$G$11-SQRT((1-U133)*($G$11-$E$11)*($G$11-$F$11))))</f>
        <v>0.0923967560704245</v>
      </c>
      <c r="H133" s="39" t="n">
        <f aca="false">(('Business Case'!B11*$C133*'Business Case'!B12*$B133)-'Business Case'!B11*$C133*'Business Case'!B13*$D133-'Business Case'!B14*$E133)-MAX(0,(('Business Case'!B11*$C133*'Business Case'!B12*$B133)-'Business Case'!B11*$C133*'Business Case'!B13*$D133-'Business Case'!B14*$E133))*'Business Case'!$B$7-'Business Case'!$B$8*('Business Case'!B11*$C133*'Business Case'!B12*$B133)-'Business Case'!B15*$F133</f>
        <v>-2176155247.53151</v>
      </c>
      <c r="I133" s="39" t="n">
        <f aca="false">(('Business Case'!C11*$C133*'Business Case'!C12*$B133)-'Business Case'!C11*$C133*'Business Case'!C13*$D133-'Business Case'!C14*$E133)-MAX(0,(('Business Case'!C11*$C133*'Business Case'!C12*$B133)-'Business Case'!C11*$C133*'Business Case'!C13*$D133-'Business Case'!C14*$E133))*'Business Case'!$B$7-'Business Case'!$B$8*(('Business Case'!C11*$C133*'Business Case'!C12*$B133)-('Business Case'!B11*$C133*'Business Case'!B12*$B133))-'Business Case'!C15*$F133</f>
        <v>-31727397.1107128</v>
      </c>
      <c r="J133" s="39" t="n">
        <f aca="false">(('Business Case'!D11*$C133*'Business Case'!D12*$B133)-'Business Case'!D11*$C133*'Business Case'!D13*$D133-'Business Case'!D14*$E133)-MAX(0,(('Business Case'!D11*$C133*'Business Case'!D12*$B133)-'Business Case'!D11*$C133*'Business Case'!D13*$D133-'Business Case'!D14*$E133))*'Business Case'!$B$7-'Business Case'!$B$8*(('Business Case'!D11*$C133*'Business Case'!D12*$B133)-('Business Case'!C11*$C133*'Business Case'!C12*$B133))-'Business Case'!D15*$F133</f>
        <v>233120565.661315</v>
      </c>
      <c r="K133" s="39" t="n">
        <f aca="false">(('Business Case'!E11*$C133*'Business Case'!E12*$B133)-'Business Case'!E11*$C133*'Business Case'!E13*$D133-'Business Case'!E14*$E133)-MAX(0,(('Business Case'!E11*$C133*'Business Case'!E12*$B133)-'Business Case'!E11*$C133*'Business Case'!E13*$D133-'Business Case'!E14*$E133))*'Business Case'!$B$7-'Business Case'!$B$8*(('Business Case'!E11*$C133*'Business Case'!E12*$B133)-('Business Case'!D11*$C133*'Business Case'!D12*$B133))-'Business Case'!E15*$F133</f>
        <v>552372409.621632</v>
      </c>
      <c r="L133" s="39" t="n">
        <f aca="false">(('Business Case'!F11*$C133*'Business Case'!F12*$B133)-'Business Case'!F11*$C133*'Business Case'!F13*$D133-'Business Case'!F14*$E133)-MAX(0,(('Business Case'!F11*$C133*'Business Case'!F12*$B133)-'Business Case'!F11*$C133*'Business Case'!F13*$D133-'Business Case'!F14*$E133))*'Business Case'!$B$7-'Business Case'!$B$8*(('Business Case'!F11*$C133*'Business Case'!F12*$B133)-('Business Case'!E11*$C133*'Business Case'!E12*$B133))-'Business Case'!F15*$F133</f>
        <v>672993591.673893</v>
      </c>
      <c r="M133" s="39" t="n">
        <f aca="false">(('Business Case'!G11*$C133*'Business Case'!G12*$B133)-'Business Case'!G11*$C133*'Business Case'!G13*$D133-'Business Case'!G14*$E133)-MAX(0,(('Business Case'!G11*$C133*'Business Case'!G12*$B133)-'Business Case'!G11*$C133*'Business Case'!G13*$D133-'Business Case'!G14*$E133))*'Business Case'!$B$7-'Business Case'!$B$8*(('Business Case'!G11*$C133*'Business Case'!G12*$B133)-('Business Case'!F11*$C133*'Business Case'!F12*$B133))-'Business Case'!G15*$F133+'Business Case'!$B$8*('Business Case'!G11*$C133*'Business Case'!G12*$B133)</f>
        <v>850855494.545948</v>
      </c>
      <c r="N133" s="39" t="n">
        <f aca="false">IF(COUNT('Business Case'!B11:G11)=0,"",H133+NPV(G133,I133:M133))</f>
        <v>-566561711.886947</v>
      </c>
      <c r="P133" s="40" t="n">
        <f aca="true">RAND()</f>
        <v>0.897115722385121</v>
      </c>
      <c r="Q133" s="40" t="n">
        <f aca="true">RAND()</f>
        <v>0.203584399170128</v>
      </c>
      <c r="R133" s="40" t="n">
        <f aca="true">RAND()</f>
        <v>0.980372788363053</v>
      </c>
      <c r="S133" s="40" t="n">
        <f aca="true">RAND()</f>
        <v>0.11464924651789</v>
      </c>
      <c r="T133" s="40" t="n">
        <f aca="true">RAND()</f>
        <v>0.749467633961602</v>
      </c>
      <c r="U133" s="40" t="n">
        <f aca="true">RAND()</f>
        <v>0.0191481322037224</v>
      </c>
    </row>
    <row r="134" customFormat="false" ht="15" hidden="false" customHeight="false" outlineLevel="0" collapsed="false">
      <c r="A134" s="36" t="n">
        <v>54</v>
      </c>
      <c r="B134" s="37" t="n">
        <f aca="false">1+IF($G$6=$E$6,$F$6,IF(P134&lt;($F$6-$E$6)/($G$6-$E$6),$E$6+SQRT(P134*($G$6-$E$6)*($F$6-$E$6)),$G$6-SQRT((1-P134)*($G$6-$E$6)*($G$6-$F$6))))</f>
        <v>1.00855756297291</v>
      </c>
      <c r="C134" s="37" t="n">
        <f aca="false">1+IF($G$7=$E$7,$F$7,IF(Q134&lt;($F$7-$E$7)/($G$7-$E$7),$E$7+SQRT(Q134*($G$7-$E$7)*($F$7-$E$7)),$G$7-SQRT((1-Q134)*($G$7-$E$7)*($G$7-$F$7))))</f>
        <v>1.06682026868445</v>
      </c>
      <c r="D134" s="37" t="n">
        <f aca="false">1+IF($G$8=$E$8,$F$8,IF(R134&lt;($F$8-$E$8)/($G$8-$E$8),$E$8+SQRT(R134*($G$8-$E$8)*($F$8-$E$8)),$G$8-SQRT((1-R134)*($G$8-$E$8)*($G$8-$F$8))))</f>
        <v>1.0581408754157</v>
      </c>
      <c r="E134" s="37" t="n">
        <f aca="false">1+IF($G$9=$E$9,$F$9,IF(S134&lt;($F$9-$E$9)/($G$9-$E$9),$E$9+SQRT(S134*($G$9-$E$9)*($F$9-$E$9)),$G$9-SQRT((1-S134)*($G$9-$E$9)*($G$9-$F$9))))</f>
        <v>1.04818364197226</v>
      </c>
      <c r="F134" s="37" t="n">
        <f aca="false">1+IF($G$10=$E$10,$F$10,IF(T134&lt;($F$10-$E$10)/($G$10-$E$10),$E$10+SQRT(T134*($G$10-$E$10)*($F$10-$E$10)),$G$10-SQRT((1-T134)*($G$10-$E$10)*($G$10-$F$10))))</f>
        <v>1.06746197619405</v>
      </c>
      <c r="G134" s="38" t="n">
        <f aca="false">IF($G$11=$E$11,$F$11,IF(U134&lt;($F$11-$E$11)/($G$11-$E$11),$E$11+SQRT(U134*($G$11-$E$11)*($F$11-$E$11)),$G$11-SQRT((1-U134)*($G$11-$E$11)*($G$11-$F$11))))</f>
        <v>0.0983097037693742</v>
      </c>
      <c r="H134" s="39" t="n">
        <f aca="false">(('Business Case'!B11*$C134*'Business Case'!B12*$B134)-'Business Case'!B11*$C134*'Business Case'!B13*$D134-'Business Case'!B14*$E134)-MAX(0,(('Business Case'!B11*$C134*'Business Case'!B12*$B134)-'Business Case'!B11*$C134*'Business Case'!B13*$D134-'Business Case'!B14*$E134))*'Business Case'!$B$7-'Business Case'!$B$8*('Business Case'!B11*$C134*'Business Case'!B12*$B134)-'Business Case'!B15*$F134</f>
        <v>-2134923952.3881</v>
      </c>
      <c r="I134" s="39" t="n">
        <f aca="false">(('Business Case'!C11*$C134*'Business Case'!C12*$B134)-'Business Case'!C11*$C134*'Business Case'!C13*$D134-'Business Case'!C14*$E134)-MAX(0,(('Business Case'!C11*$C134*'Business Case'!C12*$B134)-'Business Case'!C11*$C134*'Business Case'!C13*$D134-'Business Case'!C14*$E134))*'Business Case'!$B$7-'Business Case'!$B$8*(('Business Case'!C11*$C134*'Business Case'!C12*$B134)-('Business Case'!B11*$C134*'Business Case'!B12*$B134))-'Business Case'!C15*$F134</f>
        <v>-8173821.81182636</v>
      </c>
      <c r="J134" s="39" t="n">
        <f aca="false">(('Business Case'!D11*$C134*'Business Case'!D12*$B134)-'Business Case'!D11*$C134*'Business Case'!D13*$D134-'Business Case'!D14*$E134)-MAX(0,(('Business Case'!D11*$C134*'Business Case'!D12*$B134)-'Business Case'!D11*$C134*'Business Case'!D13*$D134-'Business Case'!D14*$E134))*'Business Case'!$B$7-'Business Case'!$B$8*(('Business Case'!D11*$C134*'Business Case'!D12*$B134)-('Business Case'!C11*$C134*'Business Case'!C12*$B134))-'Business Case'!D15*$F134</f>
        <v>295227497.756511</v>
      </c>
      <c r="K134" s="39" t="n">
        <f aca="false">(('Business Case'!E11*$C134*'Business Case'!E12*$B134)-'Business Case'!E11*$C134*'Business Case'!E13*$D134-'Business Case'!E14*$E134)-MAX(0,(('Business Case'!E11*$C134*'Business Case'!E12*$B134)-'Business Case'!E11*$C134*'Business Case'!E13*$D134-'Business Case'!E14*$E134))*'Business Case'!$B$7-'Business Case'!$B$8*(('Business Case'!E11*$C134*'Business Case'!E12*$B134)-('Business Case'!D11*$C134*'Business Case'!D12*$B134))-'Business Case'!E15*$F134</f>
        <v>652001916.134551</v>
      </c>
      <c r="L134" s="39" t="n">
        <f aca="false">(('Business Case'!F11*$C134*'Business Case'!F12*$B134)-'Business Case'!F11*$C134*'Business Case'!F13*$D134-'Business Case'!F14*$E134)-MAX(0,(('Business Case'!F11*$C134*'Business Case'!F12*$B134)-'Business Case'!F11*$C134*'Business Case'!F13*$D134-'Business Case'!F14*$E134))*'Business Case'!$B$7-'Business Case'!$B$8*(('Business Case'!F11*$C134*'Business Case'!F12*$B134)-('Business Case'!E11*$C134*'Business Case'!E12*$B134))-'Business Case'!F15*$F134</f>
        <v>790320509.238864</v>
      </c>
      <c r="M134" s="39" t="n">
        <f aca="false">(('Business Case'!G11*$C134*'Business Case'!G12*$B134)-'Business Case'!G11*$C134*'Business Case'!G13*$D134-'Business Case'!G14*$E134)-MAX(0,(('Business Case'!G11*$C134*'Business Case'!G12*$B134)-'Business Case'!G11*$C134*'Business Case'!G13*$D134-'Business Case'!G14*$E134))*'Business Case'!$B$7-'Business Case'!$B$8*(('Business Case'!G11*$C134*'Business Case'!G12*$B134)-('Business Case'!F11*$C134*'Business Case'!F12*$B134))-'Business Case'!G15*$F134+'Business Case'!$B$8*('Business Case'!G11*$C134*'Business Case'!G12*$B134)</f>
        <v>994837018.770642</v>
      </c>
      <c r="N134" s="39" t="n">
        <f aca="false">IF(COUNT('Business Case'!B11:G11)=0,"",H134+NPV(G134,I134:M134))</f>
        <v>-239887336.727758</v>
      </c>
      <c r="P134" s="40" t="n">
        <f aca="true">RAND()</f>
        <v>0.794036073707749</v>
      </c>
      <c r="Q134" s="40" t="n">
        <f aca="true">RAND()</f>
        <v>0.868212043776625</v>
      </c>
      <c r="R134" s="40" t="n">
        <f aca="true">RAND()</f>
        <v>0.95405564157771</v>
      </c>
      <c r="S134" s="40" t="n">
        <f aca="true">RAND()</f>
        <v>0.821004336049409</v>
      </c>
      <c r="T134" s="40" t="n">
        <f aca="true">RAND()</f>
        <v>0.64867344491226</v>
      </c>
      <c r="U134" s="40" t="n">
        <f aca="true">RAND()</f>
        <v>0.230170589115836</v>
      </c>
    </row>
    <row r="135" customFormat="false" ht="15" hidden="false" customHeight="false" outlineLevel="0" collapsed="false">
      <c r="A135" s="36" t="n">
        <v>55</v>
      </c>
      <c r="B135" s="37" t="n">
        <f aca="false">1+IF($G$6=$E$6,$F$6,IF(P135&lt;($F$6-$E$6)/($G$6-$E$6),$E$6+SQRT(P135*($G$6-$E$6)*($F$6-$E$6)),$G$6-SQRT((1-P135)*($G$6-$E$6)*($G$6-$F$6))))</f>
        <v>0.968757885326845</v>
      </c>
      <c r="C135" s="37" t="n">
        <f aca="false">1+IF($G$7=$E$7,$F$7,IF(Q135&lt;($F$7-$E$7)/($G$7-$E$7),$E$7+SQRT(Q135*($G$7-$E$7)*($F$7-$E$7)),$G$7-SQRT((1-Q135)*($G$7-$E$7)*($G$7-$F$7))))</f>
        <v>0.978501292052687</v>
      </c>
      <c r="D135" s="37" t="n">
        <f aca="false">1+IF($G$8=$E$8,$F$8,IF(R135&lt;($F$8-$E$8)/($G$8-$E$8),$E$8+SQRT(R135*($G$8-$E$8)*($F$8-$E$8)),$G$8-SQRT((1-R135)*($G$8-$E$8)*($G$8-$F$8))))</f>
        <v>1.0381988029857</v>
      </c>
      <c r="E135" s="37" t="n">
        <f aca="false">1+IF($G$9=$E$9,$F$9,IF(S135&lt;($F$9-$E$9)/($G$9-$E$9),$E$9+SQRT(S135*($G$9-$E$9)*($F$9-$E$9)),$G$9-SQRT((1-S135)*($G$9-$E$9)*($G$9-$F$9))))</f>
        <v>0.998372244967109</v>
      </c>
      <c r="F135" s="37" t="n">
        <f aca="false">1+IF($G$10=$E$10,$F$10,IF(T135&lt;($F$10-$E$10)/($G$10-$E$10),$E$10+SQRT(T135*($G$10-$E$10)*($F$10-$E$10)),$G$10-SQRT((1-T135)*($G$10-$E$10)*($G$10-$F$10))))</f>
        <v>1.07516285644701</v>
      </c>
      <c r="G135" s="38" t="n">
        <f aca="false">IF($G$11=$E$11,$F$11,IF(U135&lt;($F$11-$E$11)/($G$11-$E$11),$E$11+SQRT(U135*($G$11-$E$11)*($F$11-$E$11)),$G$11-SQRT((1-U135)*($G$11-$E$11)*($G$11-$F$11))))</f>
        <v>0.0996922680602361</v>
      </c>
      <c r="H135" s="39" t="n">
        <f aca="false">(('Business Case'!B11*$C135*'Business Case'!B12*$B135)-'Business Case'!B11*$C135*'Business Case'!B13*$D135-'Business Case'!B14*$E135)-MAX(0,(('Business Case'!B11*$C135*'Business Case'!B12*$B135)-'Business Case'!B11*$C135*'Business Case'!B13*$D135-'Business Case'!B14*$E135))*'Business Case'!$B$7-'Business Case'!$B$8*('Business Case'!B11*$C135*'Business Case'!B12*$B135)-'Business Case'!B15*$F135</f>
        <v>-2150325712.89401</v>
      </c>
      <c r="I135" s="39" t="n">
        <f aca="false">(('Business Case'!C11*$C135*'Business Case'!C12*$B135)-'Business Case'!C11*$C135*'Business Case'!C13*$D135-'Business Case'!C14*$E135)-MAX(0,(('Business Case'!C11*$C135*'Business Case'!C12*$B135)-'Business Case'!C11*$C135*'Business Case'!C13*$D135-'Business Case'!C14*$E135))*'Business Case'!$B$7-'Business Case'!$B$8*(('Business Case'!C11*$C135*'Business Case'!C12*$B135)-('Business Case'!B11*$C135*'Business Case'!B12*$B135))-'Business Case'!C15*$F135</f>
        <v>-42250653.9389933</v>
      </c>
      <c r="J135" s="39" t="n">
        <f aca="false">(('Business Case'!D11*$C135*'Business Case'!D12*$B135)-'Business Case'!D11*$C135*'Business Case'!D13*$D135-'Business Case'!D14*$E135)-MAX(0,(('Business Case'!D11*$C135*'Business Case'!D12*$B135)-'Business Case'!D11*$C135*'Business Case'!D13*$D135-'Business Case'!D14*$E135))*'Business Case'!$B$7-'Business Case'!$B$8*(('Business Case'!D11*$C135*'Business Case'!D12*$B135)-('Business Case'!C11*$C135*'Business Case'!C12*$B135))-'Business Case'!D15*$F135</f>
        <v>214124245.875125</v>
      </c>
      <c r="K135" s="39" t="n">
        <f aca="false">(('Business Case'!E11*$C135*'Business Case'!E12*$B135)-'Business Case'!E11*$C135*'Business Case'!E13*$D135-'Business Case'!E14*$E135)-MAX(0,(('Business Case'!E11*$C135*'Business Case'!E12*$B135)-'Business Case'!E11*$C135*'Business Case'!E13*$D135-'Business Case'!E14*$E135))*'Business Case'!$B$7-'Business Case'!$B$8*(('Business Case'!E11*$C135*'Business Case'!E12*$B135)-('Business Case'!D11*$C135*'Business Case'!D12*$B135))-'Business Case'!E15*$F135</f>
        <v>524257288.511593</v>
      </c>
      <c r="L135" s="39" t="n">
        <f aca="false">(('Business Case'!F11*$C135*'Business Case'!F12*$B135)-'Business Case'!F11*$C135*'Business Case'!F13*$D135-'Business Case'!F14*$E135)-MAX(0,(('Business Case'!F11*$C135*'Business Case'!F12*$B135)-'Business Case'!F11*$C135*'Business Case'!F13*$D135-'Business Case'!F14*$E135))*'Business Case'!$B$7-'Business Case'!$B$8*(('Business Case'!F11*$C135*'Business Case'!F12*$B135)-('Business Case'!E11*$C135*'Business Case'!E12*$B135))-'Business Case'!F15*$F135</f>
        <v>642476078.365692</v>
      </c>
      <c r="M135" s="39" t="n">
        <f aca="false">(('Business Case'!G11*$C135*'Business Case'!G12*$B135)-'Business Case'!G11*$C135*'Business Case'!G13*$D135-'Business Case'!G14*$E135)-MAX(0,(('Business Case'!G11*$C135*'Business Case'!G12*$B135)-'Business Case'!G11*$C135*'Business Case'!G13*$D135-'Business Case'!G14*$E135))*'Business Case'!$B$7-'Business Case'!$B$8*(('Business Case'!G11*$C135*'Business Case'!G12*$B135)-('Business Case'!F11*$C135*'Business Case'!F12*$B135))-'Business Case'!G15*$F135+'Business Case'!$B$8*('Business Case'!G11*$C135*'Business Case'!G12*$B135)</f>
        <v>822658772.904014</v>
      </c>
      <c r="N135" s="39" t="n">
        <f aca="false">IF(COUNT('Business Case'!B11:G11)=0,"",H135+NPV(G135,I135:M135))</f>
        <v>-666639206.689759</v>
      </c>
      <c r="P135" s="40" t="n">
        <f aca="true">RAND()</f>
        <v>0.247638685577681</v>
      </c>
      <c r="Q135" s="40" t="n">
        <f aca="true">RAND()</f>
        <v>0.45518158949255</v>
      </c>
      <c r="R135" s="40" t="n">
        <f aca="true">RAND()</f>
        <v>0.831986531554984</v>
      </c>
      <c r="S135" s="40" t="n">
        <f aca="true">RAND()</f>
        <v>0.311983211087731</v>
      </c>
      <c r="T135" s="40" t="n">
        <f aca="true">RAND()</f>
        <v>0.688313751790589</v>
      </c>
      <c r="U135" s="40" t="n">
        <f aca="true">RAND()</f>
        <v>0.313133533838244</v>
      </c>
    </row>
    <row r="136" customFormat="false" ht="15" hidden="false" customHeight="false" outlineLevel="0" collapsed="false">
      <c r="A136" s="36" t="n">
        <v>56</v>
      </c>
      <c r="B136" s="37" t="n">
        <f aca="false">1+IF($G$6=$E$6,$F$6,IF(P136&lt;($F$6-$E$6)/($G$6-$E$6),$E$6+SQRT(P136*($G$6-$E$6)*($F$6-$E$6)),$G$6-SQRT((1-P136)*($G$6-$E$6)*($G$6-$F$6))))</f>
        <v>0.995218856533371</v>
      </c>
      <c r="C136" s="37" t="n">
        <f aca="false">1+IF($G$7=$E$7,$F$7,IF(Q136&lt;($F$7-$E$7)/($G$7-$E$7),$E$7+SQRT(Q136*($G$7-$E$7)*($F$7-$E$7)),$G$7-SQRT((1-Q136)*($G$7-$E$7)*($G$7-$F$7))))</f>
        <v>1.00822427960078</v>
      </c>
      <c r="D136" s="37" t="n">
        <f aca="false">1+IF($G$8=$E$8,$F$8,IF(R136&lt;($F$8-$E$8)/($G$8-$E$8),$E$8+SQRT(R136*($G$8-$E$8)*($F$8-$E$8)),$G$8-SQRT((1-R136)*($G$8-$E$8)*($G$8-$F$8))))</f>
        <v>0.997552239279007</v>
      </c>
      <c r="E136" s="37" t="n">
        <f aca="false">1+IF($G$9=$E$9,$F$9,IF(S136&lt;($F$9-$E$9)/($G$9-$E$9),$E$9+SQRT(S136*($G$9-$E$9)*($F$9-$E$9)),$G$9-SQRT((1-S136)*($G$9-$E$9)*($G$9-$F$9))))</f>
        <v>1.00425160760552</v>
      </c>
      <c r="F136" s="37" t="n">
        <f aca="false">1+IF($G$10=$E$10,$F$10,IF(T136&lt;($F$10-$E$10)/($G$10-$E$10),$E$10+SQRT(T136*($G$10-$E$10)*($F$10-$E$10)),$G$10-SQRT((1-T136)*($G$10-$E$10)*($G$10-$F$10))))</f>
        <v>1.023318482047</v>
      </c>
      <c r="G136" s="38" t="n">
        <f aca="false">IF($G$11=$E$11,$F$11,IF(U136&lt;($F$11-$E$11)/($G$11-$E$11),$E$11+SQRT(U136*($G$11-$E$11)*($F$11-$E$11)),$G$11-SQRT((1-U136)*($G$11-$E$11)*($G$11-$F$11))))</f>
        <v>0.101079486521101</v>
      </c>
      <c r="H136" s="39" t="n">
        <f aca="false">(('Business Case'!B11*$C136*'Business Case'!B12*$B136)-'Business Case'!B11*$C136*'Business Case'!B13*$D136-'Business Case'!B14*$E136)-MAX(0,(('Business Case'!B11*$C136*'Business Case'!B12*$B136)-'Business Case'!B11*$C136*'Business Case'!B13*$D136-'Business Case'!B14*$E136))*'Business Case'!$B$7-'Business Case'!$B$8*('Business Case'!B11*$C136*'Business Case'!B12*$B136)-'Business Case'!B15*$F136</f>
        <v>-2046636964.09399</v>
      </c>
      <c r="I136" s="39" t="n">
        <f aca="false">(('Business Case'!C11*$C136*'Business Case'!C12*$B136)-'Business Case'!C11*$C136*'Business Case'!C13*$D136-'Business Case'!C14*$E136)-MAX(0,(('Business Case'!C11*$C136*'Business Case'!C12*$B136)-'Business Case'!C11*$C136*'Business Case'!C13*$D136-'Business Case'!C14*$E136))*'Business Case'!$B$7-'Business Case'!$B$8*(('Business Case'!C11*$C136*'Business Case'!C12*$B136)-('Business Case'!B11*$C136*'Business Case'!B12*$B136))-'Business Case'!C15*$F136</f>
        <v>9840278.68502982</v>
      </c>
      <c r="J136" s="39" t="n">
        <f aca="false">(('Business Case'!D11*$C136*'Business Case'!D12*$B136)-'Business Case'!D11*$C136*'Business Case'!D13*$D136-'Business Case'!D14*$E136)-MAX(0,(('Business Case'!D11*$C136*'Business Case'!D12*$B136)-'Business Case'!D11*$C136*'Business Case'!D13*$D136-'Business Case'!D14*$E136))*'Business Case'!$B$7-'Business Case'!$B$8*(('Business Case'!D11*$C136*'Business Case'!D12*$B136)-('Business Case'!C11*$C136*'Business Case'!C12*$B136))-'Business Case'!D15*$F136</f>
        <v>316833437.928937</v>
      </c>
      <c r="K136" s="39" t="n">
        <f aca="false">(('Business Case'!E11*$C136*'Business Case'!E12*$B136)-'Business Case'!E11*$C136*'Business Case'!E13*$D136-'Business Case'!E14*$E136)-MAX(0,(('Business Case'!E11*$C136*'Business Case'!E12*$B136)-'Business Case'!E11*$C136*'Business Case'!E13*$D136-'Business Case'!E14*$E136))*'Business Case'!$B$7-'Business Case'!$B$8*(('Business Case'!E11*$C136*'Business Case'!E12*$B136)-('Business Case'!D11*$C136*'Business Case'!D12*$B136))-'Business Case'!E15*$F136</f>
        <v>674992521.275193</v>
      </c>
      <c r="L136" s="39" t="n">
        <f aca="false">(('Business Case'!F11*$C136*'Business Case'!F12*$B136)-'Business Case'!F11*$C136*'Business Case'!F13*$D136-'Business Case'!F14*$E136)-MAX(0,(('Business Case'!F11*$C136*'Business Case'!F12*$B136)-'Business Case'!F11*$C136*'Business Case'!F13*$D136-'Business Case'!F14*$E136))*'Business Case'!$B$7-'Business Case'!$B$8*(('Business Case'!F11*$C136*'Business Case'!F12*$B136)-('Business Case'!E11*$C136*'Business Case'!E12*$B136))-'Business Case'!F15*$F136</f>
        <v>812001210.19161</v>
      </c>
      <c r="M136" s="39" t="n">
        <f aca="false">(('Business Case'!G11*$C136*'Business Case'!G12*$B136)-'Business Case'!G11*$C136*'Business Case'!G13*$D136-'Business Case'!G14*$E136)-MAX(0,(('Business Case'!G11*$C136*'Business Case'!G12*$B136)-'Business Case'!G11*$C136*'Business Case'!G13*$D136-'Business Case'!G14*$E136))*'Business Case'!$B$7-'Business Case'!$B$8*(('Business Case'!G11*$C136*'Business Case'!G12*$B136)-('Business Case'!F11*$C136*'Business Case'!F12*$B136))-'Business Case'!G15*$F136+'Business Case'!$B$8*('Business Case'!G11*$C136*'Business Case'!G12*$B136)</f>
        <v>1002728207.28474</v>
      </c>
      <c r="N136" s="39" t="n">
        <f aca="false">IF(COUNT('Business Case'!B11:G11)=0,"",H136+NPV(G136,I136:M136))</f>
        <v>-98720307.0089455</v>
      </c>
      <c r="P136" s="40" t="n">
        <f aca="true">RAND()</f>
        <v>0.589362122727898</v>
      </c>
      <c r="Q136" s="40" t="n">
        <f aca="true">RAND()</f>
        <v>0.61713609724345</v>
      </c>
      <c r="R136" s="40" t="n">
        <f aca="true">RAND()</f>
        <v>0.34787930160737</v>
      </c>
      <c r="S136" s="40" t="n">
        <f aca="true">RAND()</f>
        <v>0.388816356924843</v>
      </c>
      <c r="T136" s="40" t="n">
        <f aca="true">RAND()</f>
        <v>0.37567282427644</v>
      </c>
      <c r="U136" s="40" t="n">
        <f aca="true">RAND()</f>
        <v>0.403356949491341</v>
      </c>
    </row>
    <row r="137" customFormat="false" ht="15" hidden="false" customHeight="false" outlineLevel="0" collapsed="false">
      <c r="A137" s="36" t="n">
        <v>57</v>
      </c>
      <c r="B137" s="37" t="n">
        <f aca="false">1+IF($G$6=$E$6,$F$6,IF(P137&lt;($F$6-$E$6)/($G$6-$E$6),$E$6+SQRT(P137*($G$6-$E$6)*($F$6-$E$6)),$G$6-SQRT((1-P137)*($G$6-$E$6)*($G$6-$F$6))))</f>
        <v>1.02341162465133</v>
      </c>
      <c r="C137" s="37" t="n">
        <f aca="false">1+IF($G$7=$E$7,$F$7,IF(Q137&lt;($F$7-$E$7)/($G$7-$E$7),$E$7+SQRT(Q137*($G$7-$E$7)*($F$7-$E$7)),$G$7-SQRT((1-Q137)*($G$7-$E$7)*($G$7-$F$7))))</f>
        <v>0.910889180908163</v>
      </c>
      <c r="D137" s="37" t="n">
        <f aca="false">1+IF($G$8=$E$8,$F$8,IF(R137&lt;($F$8-$E$8)/($G$8-$E$8),$E$8+SQRT(R137*($G$8-$E$8)*($F$8-$E$8)),$G$8-SQRT((1-R137)*($G$8-$E$8)*($G$8-$F$8))))</f>
        <v>1.02972329908558</v>
      </c>
      <c r="E137" s="37" t="n">
        <f aca="false">1+IF($G$9=$E$9,$F$9,IF(S137&lt;($F$9-$E$9)/($G$9-$E$9),$E$9+SQRT(S137*($G$9-$E$9)*($F$9-$E$9)),$G$9-SQRT((1-S137)*($G$9-$E$9)*($G$9-$F$9))))</f>
        <v>1.00829072717789</v>
      </c>
      <c r="F137" s="37" t="n">
        <f aca="false">1+IF($G$10=$E$10,$F$10,IF(T137&lt;($F$10-$E$10)/($G$10-$E$10),$E$10+SQRT(T137*($G$10-$E$10)*($F$10-$E$10)),$G$10-SQRT((1-T137)*($G$10-$E$10)*($G$10-$F$10))))</f>
        <v>0.989746386641105</v>
      </c>
      <c r="G137" s="38" t="n">
        <f aca="false">IF($G$11=$E$11,$F$11,IF(U137&lt;($F$11-$E$11)/($G$11-$E$11),$E$11+SQRT(U137*($G$11-$E$11)*($F$11-$E$11)),$G$11-SQRT((1-U137)*($G$11-$E$11)*($G$11-$F$11))))</f>
        <v>0.10641390418181</v>
      </c>
      <c r="H137" s="39" t="n">
        <f aca="false">(('Business Case'!B11*$C137*'Business Case'!B12*$B137)-'Business Case'!B11*$C137*'Business Case'!B13*$D137-'Business Case'!B14*$E137)-MAX(0,(('Business Case'!B11*$C137*'Business Case'!B12*$B137)-'Business Case'!B11*$C137*'Business Case'!B13*$D137-'Business Case'!B14*$E137))*'Business Case'!$B$7-'Business Case'!$B$8*('Business Case'!B11*$C137*'Business Case'!B12*$B137)-'Business Case'!B15*$F137</f>
        <v>-1979492773.28221</v>
      </c>
      <c r="I137" s="39" t="n">
        <f aca="false">(('Business Case'!C11*$C137*'Business Case'!C12*$B137)-'Business Case'!C11*$C137*'Business Case'!C13*$D137-'Business Case'!C14*$E137)-MAX(0,(('Business Case'!C11*$C137*'Business Case'!C12*$B137)-'Business Case'!C11*$C137*'Business Case'!C13*$D137-'Business Case'!C14*$E137))*'Business Case'!$B$7-'Business Case'!$B$8*(('Business Case'!C11*$C137*'Business Case'!C12*$B137)-('Business Case'!B11*$C137*'Business Case'!B12*$B137))-'Business Case'!C15*$F137</f>
        <v>-7291160.98112732</v>
      </c>
      <c r="J137" s="39" t="n">
        <f aca="false">(('Business Case'!D11*$C137*'Business Case'!D12*$B137)-'Business Case'!D11*$C137*'Business Case'!D13*$D137-'Business Case'!D14*$E137)-MAX(0,(('Business Case'!D11*$C137*'Business Case'!D12*$B137)-'Business Case'!D11*$C137*'Business Case'!D13*$D137-'Business Case'!D14*$E137))*'Business Case'!$B$7-'Business Case'!$B$8*(('Business Case'!D11*$C137*'Business Case'!D12*$B137)-('Business Case'!C11*$C137*'Business Case'!C12*$B137))-'Business Case'!D15*$F137</f>
        <v>276097261.752859</v>
      </c>
      <c r="K137" s="39" t="n">
        <f aca="false">(('Business Case'!E11*$C137*'Business Case'!E12*$B137)-'Business Case'!E11*$C137*'Business Case'!E13*$D137-'Business Case'!E14*$E137)-MAX(0,(('Business Case'!E11*$C137*'Business Case'!E12*$B137)-'Business Case'!E11*$C137*'Business Case'!E13*$D137-'Business Case'!E14*$E137))*'Business Case'!$B$7-'Business Case'!$B$8*(('Business Case'!E11*$C137*'Business Case'!E12*$B137)-('Business Case'!D11*$C137*'Business Case'!D12*$B137))-'Business Case'!E15*$F137</f>
        <v>608973003.8189</v>
      </c>
      <c r="L137" s="39" t="n">
        <f aca="false">(('Business Case'!F11*$C137*'Business Case'!F12*$B137)-'Business Case'!F11*$C137*'Business Case'!F13*$D137-'Business Case'!F14*$E137)-MAX(0,(('Business Case'!F11*$C137*'Business Case'!F12*$B137)-'Business Case'!F11*$C137*'Business Case'!F13*$D137-'Business Case'!F14*$E137))*'Business Case'!$B$7-'Business Case'!$B$8*(('Business Case'!F11*$C137*'Business Case'!F12*$B137)-('Business Case'!E11*$C137*'Business Case'!E12*$B137))-'Business Case'!F15*$F137</f>
        <v>735653147.1611</v>
      </c>
      <c r="M137" s="39" t="n">
        <f aca="false">(('Business Case'!G11*$C137*'Business Case'!G12*$B137)-'Business Case'!G11*$C137*'Business Case'!G13*$D137-'Business Case'!G14*$E137)-MAX(0,(('Business Case'!G11*$C137*'Business Case'!G12*$B137)-'Business Case'!G11*$C137*'Business Case'!G13*$D137-'Business Case'!G14*$E137))*'Business Case'!$B$7-'Business Case'!$B$8*(('Business Case'!G11*$C137*'Business Case'!G12*$B137)-('Business Case'!F11*$C137*'Business Case'!F12*$B137))-'Business Case'!G15*$F137+'Business Case'!$B$8*('Business Case'!G11*$C137*'Business Case'!G12*$B137)</f>
        <v>912848493.864223</v>
      </c>
      <c r="N137" s="39" t="n">
        <f aca="false">IF(COUNT('Business Case'!B11:G11)=0,"",H137+NPV(G137,I137:M137))</f>
        <v>-269443126.050921</v>
      </c>
      <c r="P137" s="40" t="n">
        <f aca="true">RAND()</f>
        <v>0.942672042352408</v>
      </c>
      <c r="Q137" s="40" t="n">
        <f aca="true">RAND()</f>
        <v>0.17566300632119</v>
      </c>
      <c r="R137" s="40" t="n">
        <f aca="true">RAND()</f>
        <v>0.756947437034829</v>
      </c>
      <c r="S137" s="40" t="n">
        <f aca="true">RAND()</f>
        <v>0.439293951896043</v>
      </c>
      <c r="T137" s="40" t="n">
        <f aca="true">RAND()</f>
        <v>0.126382020081934</v>
      </c>
      <c r="U137" s="40" t="n">
        <f aca="true">RAND()</f>
        <v>0.692363334031592</v>
      </c>
    </row>
    <row r="138" customFormat="false" ht="15" hidden="false" customHeight="false" outlineLevel="0" collapsed="false">
      <c r="A138" s="36" t="n">
        <v>58</v>
      </c>
      <c r="B138" s="37" t="n">
        <f aca="false">1+IF($G$6=$E$6,$F$6,IF(P138&lt;($F$6-$E$6)/($G$6-$E$6),$E$6+SQRT(P138*($G$6-$E$6)*($F$6-$E$6)),$G$6-SQRT((1-P138)*($G$6-$E$6)*($G$6-$F$6))))</f>
        <v>1.01136134938672</v>
      </c>
      <c r="C138" s="37" t="n">
        <f aca="false">1+IF($G$7=$E$7,$F$7,IF(Q138&lt;($F$7-$E$7)/($G$7-$E$7),$E$7+SQRT(Q138*($G$7-$E$7)*($F$7-$E$7)),$G$7-SQRT((1-Q138)*($G$7-$E$7)*($G$7-$F$7))))</f>
        <v>1.03118812023086</v>
      </c>
      <c r="D138" s="37" t="n">
        <f aca="false">1+IF($G$8=$E$8,$F$8,IF(R138&lt;($F$8-$E$8)/($G$8-$E$8),$E$8+SQRT(R138*($G$8-$E$8)*($F$8-$E$8)),$G$8-SQRT((1-R138)*($G$8-$E$8)*($G$8-$F$8))))</f>
        <v>1.01691731584539</v>
      </c>
      <c r="E138" s="37" t="n">
        <f aca="false">1+IF($G$9=$E$9,$F$9,IF(S138&lt;($F$9-$E$9)/($G$9-$E$9),$E$9+SQRT(S138*($G$9-$E$9)*($F$9-$E$9)),$G$9-SQRT((1-S138)*($G$9-$E$9)*($G$9-$F$9))))</f>
        <v>1.07974298627498</v>
      </c>
      <c r="F138" s="37" t="n">
        <f aca="false">1+IF($G$10=$E$10,$F$10,IF(T138&lt;($F$10-$E$10)/($G$10-$E$10),$E$10+SQRT(T138*($G$10-$E$10)*($F$10-$E$10)),$G$10-SQRT((1-T138)*($G$10-$E$10)*($G$10-$F$10))))</f>
        <v>1.02037832903819</v>
      </c>
      <c r="G138" s="38" t="n">
        <f aca="false">IF($G$11=$E$11,$F$11,IF(U138&lt;($F$11-$E$11)/($G$11-$E$11),$E$11+SQRT(U138*($G$11-$E$11)*($F$11-$E$11)),$G$11-SQRT((1-U138)*($G$11-$E$11)*($G$11-$F$11))))</f>
        <v>0.107301824729009</v>
      </c>
      <c r="H138" s="39" t="n">
        <f aca="false">(('Business Case'!B11*$C138*'Business Case'!B12*$B138)-'Business Case'!B11*$C138*'Business Case'!B13*$D138-'Business Case'!B14*$E138)-MAX(0,(('Business Case'!B11*$C138*'Business Case'!B12*$B138)-'Business Case'!B11*$C138*'Business Case'!B13*$D138-'Business Case'!B14*$E138))*'Business Case'!$B$7-'Business Case'!$B$8*('Business Case'!B11*$C138*'Business Case'!B12*$B138)-'Business Case'!B15*$F138</f>
        <v>-2040756658.07637</v>
      </c>
      <c r="I138" s="39" t="n">
        <f aca="false">(('Business Case'!C11*$C138*'Business Case'!C12*$B138)-'Business Case'!C11*$C138*'Business Case'!C13*$D138-'Business Case'!C14*$E138)-MAX(0,(('Business Case'!C11*$C138*'Business Case'!C12*$B138)-'Business Case'!C11*$C138*'Business Case'!C13*$D138-'Business Case'!C14*$E138))*'Business Case'!$B$7-'Business Case'!$B$8*(('Business Case'!C11*$C138*'Business Case'!C12*$B138)-('Business Case'!B11*$C138*'Business Case'!B12*$B138))-'Business Case'!C15*$F138</f>
        <v>7755655.74314085</v>
      </c>
      <c r="J138" s="39" t="n">
        <f aca="false">(('Business Case'!D11*$C138*'Business Case'!D12*$B138)-'Business Case'!D11*$C138*'Business Case'!D13*$D138-'Business Case'!D14*$E138)-MAX(0,(('Business Case'!D11*$C138*'Business Case'!D12*$B138)-'Business Case'!D11*$C138*'Business Case'!D13*$D138-'Business Case'!D14*$E138))*'Business Case'!$B$7-'Business Case'!$B$8*(('Business Case'!D11*$C138*'Business Case'!D12*$B138)-('Business Case'!C11*$C138*'Business Case'!C12*$B138))-'Business Case'!D15*$F138</f>
        <v>325152730.483911</v>
      </c>
      <c r="K138" s="39" t="n">
        <f aca="false">(('Business Case'!E11*$C138*'Business Case'!E12*$B138)-'Business Case'!E11*$C138*'Business Case'!E13*$D138-'Business Case'!E14*$E138)-MAX(0,(('Business Case'!E11*$C138*'Business Case'!E12*$B138)-'Business Case'!E11*$C138*'Business Case'!E13*$D138-'Business Case'!E14*$E138))*'Business Case'!$B$7-'Business Case'!$B$8*(('Business Case'!E11*$C138*'Business Case'!E12*$B138)-('Business Case'!D11*$C138*'Business Case'!D12*$B138))-'Business Case'!E15*$F138</f>
        <v>693568721.676589</v>
      </c>
      <c r="L138" s="39" t="n">
        <f aca="false">(('Business Case'!F11*$C138*'Business Case'!F12*$B138)-'Business Case'!F11*$C138*'Business Case'!F13*$D138-'Business Case'!F14*$E138)-MAX(0,(('Business Case'!F11*$C138*'Business Case'!F12*$B138)-'Business Case'!F11*$C138*'Business Case'!F13*$D138-'Business Case'!F14*$E138))*'Business Case'!$B$7-'Business Case'!$B$8*(('Business Case'!F11*$C138*'Business Case'!F12*$B138)-('Business Case'!E11*$C138*'Business Case'!E12*$B138))-'Business Case'!F15*$F138</f>
        <v>835410502.220518</v>
      </c>
      <c r="M138" s="39" t="n">
        <f aca="false">(('Business Case'!G11*$C138*'Business Case'!G12*$B138)-'Business Case'!G11*$C138*'Business Case'!G13*$D138-'Business Case'!G14*$E138)-MAX(0,(('Business Case'!G11*$C138*'Business Case'!G12*$B138)-'Business Case'!G11*$C138*'Business Case'!G13*$D138-'Business Case'!G14*$E138))*'Business Case'!$B$7-'Business Case'!$B$8*(('Business Case'!G11*$C138*'Business Case'!G12*$B138)-('Business Case'!F11*$C138*'Business Case'!F12*$B138))-'Business Case'!G15*$F138+'Business Case'!$B$8*('Business Case'!G11*$C138*'Business Case'!G12*$B138)</f>
        <v>1033645658.18738</v>
      </c>
      <c r="N138" s="39" t="n">
        <f aca="false">IF(COUNT('Business Case'!B11:G11)=0,"",H138+NPV(G138,I138:M138))</f>
        <v>-81093199.9168665</v>
      </c>
      <c r="P138" s="40" t="n">
        <f aca="true">RAND()</f>
        <v>0.829130768968813</v>
      </c>
      <c r="Q138" s="40" t="n">
        <f aca="true">RAND()</f>
        <v>0.731118804299506</v>
      </c>
      <c r="R138" s="40" t="n">
        <f aca="true">RAND()</f>
        <v>0.617362976908676</v>
      </c>
      <c r="S138" s="40" t="n">
        <f aca="true">RAND()</f>
        <v>0.972643559662949</v>
      </c>
      <c r="T138" s="40" t="n">
        <f aca="true">RAND()</f>
        <v>0.35472110641771</v>
      </c>
      <c r="U138" s="40" t="n">
        <f aca="true">RAND()</f>
        <v>0.731260574645335</v>
      </c>
    </row>
    <row r="139" customFormat="false" ht="15" hidden="false" customHeight="false" outlineLevel="0" collapsed="false">
      <c r="A139" s="36" t="n">
        <v>59</v>
      </c>
      <c r="B139" s="37" t="n">
        <f aca="false">1+IF($G$6=$E$6,$F$6,IF(P139&lt;($F$6-$E$6)/($G$6-$E$6),$E$6+SQRT(P139*($G$6-$E$6)*($F$6-$E$6)),$G$6-SQRT((1-P139)*($G$6-$E$6)*($G$6-$F$6))))</f>
        <v>0.989817878033017</v>
      </c>
      <c r="C139" s="37" t="n">
        <f aca="false">1+IF($G$7=$E$7,$F$7,IF(Q139&lt;($F$7-$E$7)/($G$7-$E$7),$E$7+SQRT(Q139*($G$7-$E$7)*($F$7-$E$7)),$G$7-SQRT((1-Q139)*($G$7-$E$7)*($G$7-$F$7))))</f>
        <v>1.10588189000181</v>
      </c>
      <c r="D139" s="37" t="n">
        <f aca="false">1+IF($G$8=$E$8,$F$8,IF(R139&lt;($F$8-$E$8)/($G$8-$E$8),$E$8+SQRT(R139*($G$8-$E$8)*($F$8-$E$8)),$G$8-SQRT((1-R139)*($G$8-$E$8)*($G$8-$F$8))))</f>
        <v>1.00107637095887</v>
      </c>
      <c r="E139" s="37" t="n">
        <f aca="false">1+IF($G$9=$E$9,$F$9,IF(S139&lt;($F$9-$E$9)/($G$9-$E$9),$E$9+SQRT(S139*($G$9-$E$9)*($F$9-$E$9)),$G$9-SQRT((1-S139)*($G$9-$E$9)*($G$9-$F$9))))</f>
        <v>0.958784727042731</v>
      </c>
      <c r="F139" s="37" t="n">
        <f aca="false">1+IF($G$10=$E$10,$F$10,IF(T139&lt;($F$10-$E$10)/($G$10-$E$10),$E$10+SQRT(T139*($G$10-$E$10)*($F$10-$E$10)),$G$10-SQRT((1-T139)*($G$10-$E$10)*($G$10-$F$10))))</f>
        <v>1.05518880670171</v>
      </c>
      <c r="G139" s="38" t="n">
        <f aca="false">IF($G$11=$E$11,$F$11,IF(U139&lt;($F$11-$E$11)/($G$11-$E$11),$E$11+SQRT(U139*($G$11-$E$11)*($F$11-$E$11)),$G$11-SQRT((1-U139)*($G$11-$E$11)*($G$11-$F$11))))</f>
        <v>0.0994171129064028</v>
      </c>
      <c r="H139" s="39" t="n">
        <f aca="false">(('Business Case'!B11*$C139*'Business Case'!B12*$B139)-'Business Case'!B11*$C139*'Business Case'!B13*$D139-'Business Case'!B14*$E139)-MAX(0,(('Business Case'!B11*$C139*'Business Case'!B12*$B139)-'Business Case'!B11*$C139*'Business Case'!B13*$D139-'Business Case'!B14*$E139))*'Business Case'!$B$7-'Business Case'!$B$8*('Business Case'!B11*$C139*'Business Case'!B12*$B139)-'Business Case'!B15*$F139</f>
        <v>-2110377613.40343</v>
      </c>
      <c r="I139" s="39" t="n">
        <f aca="false">(('Business Case'!C11*$C139*'Business Case'!C12*$B139)-'Business Case'!C11*$C139*'Business Case'!C13*$D139-'Business Case'!C14*$E139)-MAX(0,(('Business Case'!C11*$C139*'Business Case'!C12*$B139)-'Business Case'!C11*$C139*'Business Case'!C13*$D139-'Business Case'!C14*$E139))*'Business Case'!$B$7-'Business Case'!$B$8*(('Business Case'!C11*$C139*'Business Case'!C12*$B139)-('Business Case'!B11*$C139*'Business Case'!B12*$B139))-'Business Case'!C15*$F139</f>
        <v>31238285.4279653</v>
      </c>
      <c r="J139" s="39" t="n">
        <f aca="false">(('Business Case'!D11*$C139*'Business Case'!D12*$B139)-'Business Case'!D11*$C139*'Business Case'!D13*$D139-'Business Case'!D14*$E139)-MAX(0,(('Business Case'!D11*$C139*'Business Case'!D12*$B139)-'Business Case'!D11*$C139*'Business Case'!D13*$D139-'Business Case'!D14*$E139))*'Business Case'!$B$7-'Business Case'!$B$8*(('Business Case'!D11*$C139*'Business Case'!D12*$B139)-('Business Case'!C11*$C139*'Business Case'!C12*$B139))-'Business Case'!D15*$F139</f>
        <v>361079826.862334</v>
      </c>
      <c r="K139" s="39" t="n">
        <f aca="false">(('Business Case'!E11*$C139*'Business Case'!E12*$B139)-'Business Case'!E11*$C139*'Business Case'!E13*$D139-'Business Case'!E14*$E139)-MAX(0,(('Business Case'!E11*$C139*'Business Case'!E12*$B139)-'Business Case'!E11*$C139*'Business Case'!E13*$D139-'Business Case'!E14*$E139))*'Business Case'!$B$7-'Business Case'!$B$8*(('Business Case'!E11*$C139*'Business Case'!E12*$B139)-('Business Case'!D11*$C139*'Business Case'!D12*$B139))-'Business Case'!E15*$F139</f>
        <v>743680808.631788</v>
      </c>
      <c r="L139" s="39" t="n">
        <f aca="false">(('Business Case'!F11*$C139*'Business Case'!F12*$B139)-'Business Case'!F11*$C139*'Business Case'!F13*$D139-'Business Case'!F14*$E139)-MAX(0,(('Business Case'!F11*$C139*'Business Case'!F12*$B139)-'Business Case'!F11*$C139*'Business Case'!F13*$D139-'Business Case'!F14*$E139))*'Business Case'!$B$7-'Business Case'!$B$8*(('Business Case'!F11*$C139*'Business Case'!F12*$B139)-('Business Case'!E11*$C139*'Business Case'!E12*$B139))-'Business Case'!F15*$F139</f>
        <v>891458113.877082</v>
      </c>
      <c r="M139" s="39" t="n">
        <f aca="false">(('Business Case'!G11*$C139*'Business Case'!G12*$B139)-'Business Case'!G11*$C139*'Business Case'!G13*$D139-'Business Case'!G14*$E139)-MAX(0,(('Business Case'!G11*$C139*'Business Case'!G12*$B139)-'Business Case'!G11*$C139*'Business Case'!G13*$D139-'Business Case'!G14*$E139))*'Business Case'!$B$7-'Business Case'!$B$8*(('Business Case'!G11*$C139*'Business Case'!G12*$B139)-('Business Case'!F11*$C139*'Business Case'!F12*$B139))-'Business Case'!G15*$F139+'Business Case'!$B$8*('Business Case'!G11*$C139*'Business Case'!G12*$B139)</f>
        <v>1099523800.09652</v>
      </c>
      <c r="N139" s="39" t="n">
        <f aca="false">IF(COUNT('Business Case'!B11:G11)=0,"",H139+NPV(G139,I139:M139))</f>
        <v>71092707.9637275</v>
      </c>
      <c r="P139" s="40" t="n">
        <f aca="true">RAND()</f>
        <v>0.507764176357629</v>
      </c>
      <c r="Q139" s="40" t="n">
        <f aca="true">RAND()</f>
        <v>0.962925568955958</v>
      </c>
      <c r="R139" s="40" t="n">
        <f aca="true">RAND()</f>
        <v>0.401063536440228</v>
      </c>
      <c r="S139" s="40" t="n">
        <f aca="true">RAND()</f>
        <v>0.0102895238953724</v>
      </c>
      <c r="T139" s="40" t="n">
        <f aca="true">RAND()</f>
        <v>0.580594365910521</v>
      </c>
      <c r="U139" s="40" t="n">
        <f aca="true">RAND()</f>
        <v>0.295606718306458</v>
      </c>
    </row>
    <row r="140" customFormat="false" ht="15" hidden="false" customHeight="false" outlineLevel="0" collapsed="false">
      <c r="A140" s="36" t="n">
        <v>60</v>
      </c>
      <c r="B140" s="37" t="n">
        <f aca="false">1+IF($G$6=$E$6,$F$6,IF(P140&lt;($F$6-$E$6)/($G$6-$E$6),$E$6+SQRT(P140*($G$6-$E$6)*($F$6-$E$6)),$G$6-SQRT((1-P140)*($G$6-$E$6)*($G$6-$F$6))))</f>
        <v>0.993730753665125</v>
      </c>
      <c r="C140" s="37" t="n">
        <f aca="false">1+IF($G$7=$E$7,$F$7,IF(Q140&lt;($F$7-$E$7)/($G$7-$E$7),$E$7+SQRT(Q140*($G$7-$E$7)*($F$7-$E$7)),$G$7-SQRT((1-Q140)*($G$7-$E$7)*($G$7-$F$7))))</f>
        <v>0.912935803002962</v>
      </c>
      <c r="D140" s="37" t="n">
        <f aca="false">1+IF($G$8=$E$8,$F$8,IF(R140&lt;($F$8-$E$8)/($G$8-$E$8),$E$8+SQRT(R140*($G$8-$E$8)*($F$8-$E$8)),$G$8-SQRT((1-R140)*($G$8-$E$8)*($G$8-$F$8))))</f>
        <v>1.03351479540092</v>
      </c>
      <c r="E140" s="37" t="n">
        <f aca="false">1+IF($G$9=$E$9,$F$9,IF(S140&lt;($F$9-$E$9)/($G$9-$E$9),$E$9+SQRT(S140*($G$9-$E$9)*($F$9-$E$9)),$G$9-SQRT((1-S140)*($G$9-$E$9)*($G$9-$F$9))))</f>
        <v>1.08597650362258</v>
      </c>
      <c r="F140" s="37" t="n">
        <f aca="false">1+IF($G$10=$E$10,$F$10,IF(T140&lt;($F$10-$E$10)/($G$10-$E$10),$E$10+SQRT(T140*($G$10-$E$10)*($F$10-$E$10)),$G$10-SQRT((1-T140)*($G$10-$E$10)*($G$10-$F$10))))</f>
        <v>1.10122342741057</v>
      </c>
      <c r="G140" s="38" t="n">
        <f aca="false">IF($G$11=$E$11,$F$11,IF(U140&lt;($F$11-$E$11)/($G$11-$E$11),$E$11+SQRT(U140*($G$11-$E$11)*($F$11-$E$11)),$G$11-SQRT((1-U140)*($G$11-$E$11)*($G$11-$F$11))))</f>
        <v>0.106832192228126</v>
      </c>
      <c r="H140" s="39" t="n">
        <f aca="false">(('Business Case'!B11*$C140*'Business Case'!B12*$B140)-'Business Case'!B11*$C140*'Business Case'!B13*$D140-'Business Case'!B14*$E140)-MAX(0,(('Business Case'!B11*$C140*'Business Case'!B12*$B140)-'Business Case'!B11*$C140*'Business Case'!B13*$D140-'Business Case'!B14*$E140))*'Business Case'!$B$7-'Business Case'!$B$8*('Business Case'!B11*$C140*'Business Case'!B12*$B140)-'Business Case'!B15*$F140</f>
        <v>-2202446854.82114</v>
      </c>
      <c r="I140" s="39" t="n">
        <f aca="false">(('Business Case'!C11*$C140*'Business Case'!C12*$B140)-'Business Case'!C11*$C140*'Business Case'!C13*$D140-'Business Case'!C14*$E140)-MAX(0,(('Business Case'!C11*$C140*'Business Case'!C12*$B140)-'Business Case'!C11*$C140*'Business Case'!C13*$D140-'Business Case'!C14*$E140))*'Business Case'!$B$7-'Business Case'!$B$8*(('Business Case'!C11*$C140*'Business Case'!C12*$B140)-('Business Case'!B11*$C140*'Business Case'!B12*$B140))-'Business Case'!C15*$F140</f>
        <v>-51519069.2185467</v>
      </c>
      <c r="J140" s="39" t="n">
        <f aca="false">(('Business Case'!D11*$C140*'Business Case'!D12*$B140)-'Business Case'!D11*$C140*'Business Case'!D13*$D140-'Business Case'!D14*$E140)-MAX(0,(('Business Case'!D11*$C140*'Business Case'!D12*$B140)-'Business Case'!D11*$C140*'Business Case'!D13*$D140-'Business Case'!D14*$E140))*'Business Case'!$B$7-'Business Case'!$B$8*(('Business Case'!D11*$C140*'Business Case'!D12*$B140)-('Business Case'!C11*$C140*'Business Case'!C12*$B140))-'Business Case'!D15*$F140</f>
        <v>208539953.083156</v>
      </c>
      <c r="K140" s="39" t="n">
        <f aca="false">(('Business Case'!E11*$C140*'Business Case'!E12*$B140)-'Business Case'!E11*$C140*'Business Case'!E13*$D140-'Business Case'!E14*$E140)-MAX(0,(('Business Case'!E11*$C140*'Business Case'!E12*$B140)-'Business Case'!E11*$C140*'Business Case'!E13*$D140-'Business Case'!E14*$E140))*'Business Case'!$B$7-'Business Case'!$B$8*(('Business Case'!E11*$C140*'Business Case'!E12*$B140)-('Business Case'!D11*$C140*'Business Case'!D12*$B140))-'Business Case'!E15*$F140</f>
        <v>523660146.755388</v>
      </c>
      <c r="L140" s="39" t="n">
        <f aca="false">(('Business Case'!F11*$C140*'Business Case'!F12*$B140)-'Business Case'!F11*$C140*'Business Case'!F13*$D140-'Business Case'!F14*$E140)-MAX(0,(('Business Case'!F11*$C140*'Business Case'!F12*$B140)-'Business Case'!F11*$C140*'Business Case'!F13*$D140-'Business Case'!F14*$E140))*'Business Case'!$B$7-'Business Case'!$B$8*(('Business Case'!F11*$C140*'Business Case'!F12*$B140)-('Business Case'!E11*$C140*'Business Case'!E12*$B140))-'Business Case'!F15*$F140</f>
        <v>641699747.498664</v>
      </c>
      <c r="M140" s="39" t="n">
        <f aca="false">(('Business Case'!G11*$C140*'Business Case'!G12*$B140)-'Business Case'!G11*$C140*'Business Case'!G13*$D140-'Business Case'!G14*$E140)-MAX(0,(('Business Case'!G11*$C140*'Business Case'!G12*$B140)-'Business Case'!G11*$C140*'Business Case'!G13*$D140-'Business Case'!G14*$E140))*'Business Case'!$B$7-'Business Case'!$B$8*(('Business Case'!G11*$C140*'Business Case'!G12*$B140)-('Business Case'!F11*$C140*'Business Case'!F12*$B140))-'Business Case'!G15*$F140+'Business Case'!$B$8*('Business Case'!G11*$C140*'Business Case'!G12*$B140)</f>
        <v>814142677.366891</v>
      </c>
      <c r="N140" s="39" t="n">
        <f aca="false">IF(COUNT('Business Case'!B11:G11)=0,"",H140+NPV(G140,I140:M140))</f>
        <v>-774899189.917664</v>
      </c>
      <c r="P140" s="40" t="n">
        <f aca="true">RAND()</f>
        <v>0.566273337086182</v>
      </c>
      <c r="Q140" s="40" t="n">
        <f aca="true">RAND()</f>
        <v>0.182207079998913</v>
      </c>
      <c r="R140" s="40" t="n">
        <f aca="true">RAND()</f>
        <v>0.792223630132858</v>
      </c>
      <c r="S140" s="40" t="n">
        <f aca="true">RAND()</f>
        <v>0.986889436623494</v>
      </c>
      <c r="T140" s="40" t="n">
        <f aca="true">RAND()</f>
        <v>0.804863774149711</v>
      </c>
      <c r="U140" s="40" t="n">
        <f aca="true">RAND()</f>
        <v>0.711014730804938</v>
      </c>
    </row>
    <row r="141" customFormat="false" ht="15" hidden="false" customHeight="false" outlineLevel="0" collapsed="false">
      <c r="A141" s="36" t="n">
        <v>61</v>
      </c>
      <c r="B141" s="37" t="n">
        <f aca="false">1+IF($G$6=$E$6,$F$6,IF(P141&lt;($F$6-$E$6)/($G$6-$E$6),$E$6+SQRT(P141*($G$6-$E$6)*($F$6-$E$6)),$G$6-SQRT((1-P141)*($G$6-$E$6)*($G$6-$F$6))))</f>
        <v>0.9950005516074</v>
      </c>
      <c r="C141" s="37" t="n">
        <f aca="false">1+IF($G$7=$E$7,$F$7,IF(Q141&lt;($F$7-$E$7)/($G$7-$E$7),$E$7+SQRT(Q141*($G$7-$E$7)*($F$7-$E$7)),$G$7-SQRT((1-Q141)*($G$7-$E$7)*($G$7-$F$7))))</f>
        <v>0.935712070721814</v>
      </c>
      <c r="D141" s="37" t="n">
        <f aca="false">1+IF($G$8=$E$8,$F$8,IF(R141&lt;($F$8-$E$8)/($G$8-$E$8),$E$8+SQRT(R141*($G$8-$E$8)*($F$8-$E$8)),$G$8-SQRT((1-R141)*($G$8-$E$8)*($G$8-$F$8))))</f>
        <v>1.00361540406144</v>
      </c>
      <c r="E141" s="37" t="n">
        <f aca="false">1+IF($G$9=$E$9,$F$9,IF(S141&lt;($F$9-$E$9)/($G$9-$E$9),$E$9+SQRT(S141*($G$9-$E$9)*($F$9-$E$9)),$G$9-SQRT((1-S141)*($G$9-$E$9)*($G$9-$F$9))))</f>
        <v>1.00227137911537</v>
      </c>
      <c r="F141" s="37" t="n">
        <f aca="false">1+IF($G$10=$E$10,$F$10,IF(T141&lt;($F$10-$E$10)/($G$10-$E$10),$E$10+SQRT(T141*($G$10-$E$10)*($F$10-$E$10)),$G$10-SQRT((1-T141)*($G$10-$E$10)*($G$10-$F$10))))</f>
        <v>1.06830267486218</v>
      </c>
      <c r="G141" s="38" t="n">
        <f aca="false">IF($G$11=$E$11,$F$11,IF(U141&lt;($F$11-$E$11)/($G$11-$E$11),$E$11+SQRT(U141*($G$11-$E$11)*($F$11-$E$11)),$G$11-SQRT((1-U141)*($G$11-$E$11)*($G$11-$F$11))))</f>
        <v>0.0936844558054326</v>
      </c>
      <c r="H141" s="39" t="n">
        <f aca="false">(('Business Case'!B11*$C141*'Business Case'!B12*$B141)-'Business Case'!B11*$C141*'Business Case'!B13*$D141-'Business Case'!B14*$E141)-MAX(0,(('Business Case'!B11*$C141*'Business Case'!B12*$B141)-'Business Case'!B11*$C141*'Business Case'!B13*$D141-'Business Case'!B14*$E141))*'Business Case'!$B$7-'Business Case'!$B$8*('Business Case'!B11*$C141*'Business Case'!B12*$B141)-'Business Case'!B15*$F141</f>
        <v>-2136605349.72436</v>
      </c>
      <c r="I141" s="39" t="n">
        <f aca="false">(('Business Case'!C11*$C141*'Business Case'!C12*$B141)-'Business Case'!C11*$C141*'Business Case'!C13*$D141-'Business Case'!C14*$E141)-MAX(0,(('Business Case'!C11*$C141*'Business Case'!C12*$B141)-'Business Case'!C11*$C141*'Business Case'!C13*$D141-'Business Case'!C14*$E141))*'Business Case'!$B$7-'Business Case'!$B$8*(('Business Case'!C11*$C141*'Business Case'!C12*$B141)-('Business Case'!B11*$C141*'Business Case'!B12*$B141))-'Business Case'!C15*$F141</f>
        <v>-15775696.3089013</v>
      </c>
      <c r="J141" s="39" t="n">
        <f aca="false">(('Business Case'!D11*$C141*'Business Case'!D12*$B141)-'Business Case'!D11*$C141*'Business Case'!D13*$D141-'Business Case'!D14*$E141)-MAX(0,(('Business Case'!D11*$C141*'Business Case'!D12*$B141)-'Business Case'!D11*$C141*'Business Case'!D13*$D141-'Business Case'!D14*$E141))*'Business Case'!$B$7-'Business Case'!$B$8*(('Business Case'!D11*$C141*'Business Case'!D12*$B141)-('Business Case'!C11*$C141*'Business Case'!C12*$B141))-'Business Case'!D15*$F141</f>
        <v>266066668.913102</v>
      </c>
      <c r="K141" s="39" t="n">
        <f aca="false">(('Business Case'!E11*$C141*'Business Case'!E12*$B141)-'Business Case'!E11*$C141*'Business Case'!E13*$D141-'Business Case'!E14*$E141)-MAX(0,(('Business Case'!E11*$C141*'Business Case'!E12*$B141)-'Business Case'!E11*$C141*'Business Case'!E13*$D141-'Business Case'!E14*$E141))*'Business Case'!$B$7-'Business Case'!$B$8*(('Business Case'!E11*$C141*'Business Case'!E12*$B141)-('Business Case'!D11*$C141*'Business Case'!D12*$B141))-'Business Case'!E15*$F141</f>
        <v>601324167.878214</v>
      </c>
      <c r="L141" s="39" t="n">
        <f aca="false">(('Business Case'!F11*$C141*'Business Case'!F12*$B141)-'Business Case'!F11*$C141*'Business Case'!F13*$D141-'Business Case'!F14*$E141)-MAX(0,(('Business Case'!F11*$C141*'Business Case'!F12*$B141)-'Business Case'!F11*$C141*'Business Case'!F13*$D141-'Business Case'!F14*$E141))*'Business Case'!$B$7-'Business Case'!$B$8*(('Business Case'!F11*$C141*'Business Case'!F12*$B141)-('Business Case'!E11*$C141*'Business Case'!E12*$B141))-'Business Case'!F15*$F141</f>
        <v>727448158.908536</v>
      </c>
      <c r="M141" s="39" t="n">
        <f aca="false">(('Business Case'!G11*$C141*'Business Case'!G12*$B141)-'Business Case'!G11*$C141*'Business Case'!G13*$D141-'Business Case'!G14*$E141)-MAX(0,(('Business Case'!G11*$C141*'Business Case'!G12*$B141)-'Business Case'!G11*$C141*'Business Case'!G13*$D141-'Business Case'!G14*$E141))*'Business Case'!$B$7-'Business Case'!$B$8*(('Business Case'!G11*$C141*'Business Case'!G12*$B141)-('Business Case'!F11*$C141*'Business Case'!F12*$B141))-'Business Case'!G15*$F141+'Business Case'!$B$8*('Business Case'!G11*$C141*'Business Case'!G12*$B141)</f>
        <v>904419106.668299</v>
      </c>
      <c r="N141" s="39" t="n">
        <f aca="false">IF(COUNT('Business Case'!B11:G11)=0,"",H141+NPV(G141,I141:M141))</f>
        <v>-382528628.955797</v>
      </c>
      <c r="P141" s="40" t="n">
        <f aca="true">RAND()</f>
        <v>0.585946118897322</v>
      </c>
      <c r="Q141" s="40" t="n">
        <f aca="true">RAND()</f>
        <v>0.263110944851464</v>
      </c>
      <c r="R141" s="40" t="n">
        <f aca="true">RAND()</f>
        <v>0.438980144548349</v>
      </c>
      <c r="S141" s="40" t="n">
        <f aca="true">RAND()</f>
        <v>0.363274443999185</v>
      </c>
      <c r="T141" s="40" t="n">
        <f aca="true">RAND()</f>
        <v>0.653116291030878</v>
      </c>
      <c r="U141" s="40" t="n">
        <f aca="true">RAND()</f>
        <v>0.0452507152739522</v>
      </c>
    </row>
    <row r="142" customFormat="false" ht="15" hidden="false" customHeight="false" outlineLevel="0" collapsed="false">
      <c r="A142" s="36" t="n">
        <v>62</v>
      </c>
      <c r="B142" s="37" t="n">
        <f aca="false">1+IF($G$6=$E$6,$F$6,IF(P142&lt;($F$6-$E$6)/($G$6-$E$6),$E$6+SQRT(P142*($G$6-$E$6)*($F$6-$E$6)),$G$6-SQRT((1-P142)*($G$6-$E$6)*($G$6-$F$6))))</f>
        <v>0.983534765092049</v>
      </c>
      <c r="C142" s="37" t="n">
        <f aca="false">1+IF($G$7=$E$7,$F$7,IF(Q142&lt;($F$7-$E$7)/($G$7-$E$7),$E$7+SQRT(Q142*($G$7-$E$7)*($F$7-$E$7)),$G$7-SQRT((1-Q142)*($G$7-$E$7)*($G$7-$F$7))))</f>
        <v>0.971669081719944</v>
      </c>
      <c r="D142" s="37" t="n">
        <f aca="false">1+IF($G$8=$E$8,$F$8,IF(R142&lt;($F$8-$E$8)/($G$8-$E$8),$E$8+SQRT(R142*($G$8-$E$8)*($F$8-$E$8)),$G$8-SQRT((1-R142)*($G$8-$E$8)*($G$8-$F$8))))</f>
        <v>1.00503186739861</v>
      </c>
      <c r="E142" s="37" t="n">
        <f aca="false">1+IF($G$9=$E$9,$F$9,IF(S142&lt;($F$9-$E$9)/($G$9-$E$9),$E$9+SQRT(S142*($G$9-$E$9)*($F$9-$E$9)),$G$9-SQRT((1-S142)*($G$9-$E$9)*($G$9-$F$9))))</f>
        <v>0.972121582213923</v>
      </c>
      <c r="F142" s="37" t="n">
        <f aca="false">1+IF($G$10=$E$10,$F$10,IF(T142&lt;($F$10-$E$10)/($G$10-$E$10),$E$10+SQRT(T142*($G$10-$E$10)*($F$10-$E$10)),$G$10-SQRT((1-T142)*($G$10-$E$10)*($G$10-$F$10))))</f>
        <v>1.05837192378071</v>
      </c>
      <c r="G142" s="38" t="n">
        <f aca="false">IF($G$11=$E$11,$F$11,IF(U142&lt;($F$11-$E$11)/($G$11-$E$11),$E$11+SQRT(U142*($G$11-$E$11)*($F$11-$E$11)),$G$11-SQRT((1-U142)*($G$11-$E$11)*($G$11-$F$11))))</f>
        <v>0.10506292111542</v>
      </c>
      <c r="H142" s="39" t="n">
        <f aca="false">(('Business Case'!B11*$C142*'Business Case'!B12*$B142)-'Business Case'!B11*$C142*'Business Case'!B13*$D142-'Business Case'!B14*$E142)-MAX(0,(('Business Case'!B11*$C142*'Business Case'!B12*$B142)-'Business Case'!B11*$C142*'Business Case'!B13*$D142-'Business Case'!B14*$E142))*'Business Case'!$B$7-'Business Case'!$B$8*('Business Case'!B11*$C142*'Business Case'!B12*$B142)-'Business Case'!B15*$F142</f>
        <v>-2116743847.56143</v>
      </c>
      <c r="I142" s="39" t="n">
        <f aca="false">(('Business Case'!C11*$C142*'Business Case'!C12*$B142)-'Business Case'!C11*$C142*'Business Case'!C13*$D142-'Business Case'!C14*$E142)-MAX(0,(('Business Case'!C11*$C142*'Business Case'!C12*$B142)-'Business Case'!C11*$C142*'Business Case'!C13*$D142-'Business Case'!C14*$E142))*'Business Case'!$B$7-'Business Case'!$B$8*(('Business Case'!C11*$C142*'Business Case'!C12*$B142)-('Business Case'!B11*$C142*'Business Case'!B12*$B142))-'Business Case'!C15*$F142</f>
        <v>-10771800.7283228</v>
      </c>
      <c r="J142" s="39" t="n">
        <f aca="false">(('Business Case'!D11*$C142*'Business Case'!D12*$B142)-'Business Case'!D11*$C142*'Business Case'!D13*$D142-'Business Case'!D14*$E142)-MAX(0,(('Business Case'!D11*$C142*'Business Case'!D12*$B142)-'Business Case'!D11*$C142*'Business Case'!D13*$D142-'Business Case'!D14*$E142))*'Business Case'!$B$7-'Business Case'!$B$8*(('Business Case'!D11*$C142*'Business Case'!D12*$B142)-('Business Case'!C11*$C142*'Business Case'!C12*$B142))-'Business Case'!D15*$F142</f>
        <v>272071229.406625</v>
      </c>
      <c r="K142" s="39" t="n">
        <f aca="false">(('Business Case'!E11*$C142*'Business Case'!E12*$B142)-'Business Case'!E11*$C142*'Business Case'!E13*$D142-'Business Case'!E14*$E142)-MAX(0,(('Business Case'!E11*$C142*'Business Case'!E12*$B142)-'Business Case'!E11*$C142*'Business Case'!E13*$D142-'Business Case'!E14*$E142))*'Business Case'!$B$7-'Business Case'!$B$8*(('Business Case'!E11*$C142*'Business Case'!E12*$B142)-('Business Case'!D11*$C142*'Business Case'!D12*$B142))-'Business Case'!E15*$F142</f>
        <v>607832855.730608</v>
      </c>
      <c r="L142" s="39" t="n">
        <f aca="false">(('Business Case'!F11*$C142*'Business Case'!F12*$B142)-'Business Case'!F11*$C142*'Business Case'!F13*$D142-'Business Case'!F14*$E142)-MAX(0,(('Business Case'!F11*$C142*'Business Case'!F12*$B142)-'Business Case'!F11*$C142*'Business Case'!F13*$D142-'Business Case'!F14*$E142))*'Business Case'!$B$7-'Business Case'!$B$8*(('Business Case'!F11*$C142*'Business Case'!F12*$B142)-('Business Case'!E11*$C142*'Business Case'!E12*$B142))-'Business Case'!F15*$F142</f>
        <v>735141832.105176</v>
      </c>
      <c r="M142" s="39" t="n">
        <f aca="false">(('Business Case'!G11*$C142*'Business Case'!G12*$B142)-'Business Case'!G11*$C142*'Business Case'!G13*$D142-'Business Case'!G14*$E142)-MAX(0,(('Business Case'!G11*$C142*'Business Case'!G12*$B142)-'Business Case'!G11*$C142*'Business Case'!G13*$D142-'Business Case'!G14*$E142))*'Business Case'!$B$7-'Business Case'!$B$8*(('Business Case'!G11*$C142*'Business Case'!G12*$B142)-('Business Case'!F11*$C142*'Business Case'!F12*$B142))-'Business Case'!G15*$F142+'Business Case'!$B$8*('Business Case'!G11*$C142*'Business Case'!G12*$B142)</f>
        <v>916795646.917899</v>
      </c>
      <c r="N142" s="39" t="n">
        <f aca="false">IF(COUNT('Business Case'!B11:G11)=0,"",H142+NPV(G142,I142:M142))</f>
        <v>-403959804.970425</v>
      </c>
      <c r="P142" s="40" t="n">
        <f aca="true">RAND()</f>
        <v>0.420486080760614</v>
      </c>
      <c r="Q142" s="40" t="n">
        <f aca="true">RAND()</f>
        <v>0.421003908836695</v>
      </c>
      <c r="R142" s="40" t="n">
        <f aca="true">RAND()</f>
        <v>0.459594143678855</v>
      </c>
      <c r="S142" s="40" t="n">
        <f aca="true">RAND()</f>
        <v>0.0652485866196444</v>
      </c>
      <c r="T142" s="40" t="n">
        <f aca="true">RAND()</f>
        <v>0.598829760528478</v>
      </c>
      <c r="U142" s="40" t="n">
        <f aca="true">RAND()</f>
        <v>0.628139457326412</v>
      </c>
    </row>
    <row r="143" customFormat="false" ht="15" hidden="false" customHeight="false" outlineLevel="0" collapsed="false">
      <c r="A143" s="36" t="n">
        <v>63</v>
      </c>
      <c r="B143" s="37" t="n">
        <f aca="false">1+IF($G$6=$E$6,$F$6,IF(P143&lt;($F$6-$E$6)/($G$6-$E$6),$E$6+SQRT(P143*($G$6-$E$6)*($F$6-$E$6)),$G$6-SQRT((1-P143)*($G$6-$E$6)*($G$6-$F$6))))</f>
        <v>1.02612489008337</v>
      </c>
      <c r="C143" s="37" t="n">
        <f aca="false">1+IF($G$7=$E$7,$F$7,IF(Q143&lt;($F$7-$E$7)/($G$7-$E$7),$E$7+SQRT(Q143*($G$7-$E$7)*($F$7-$E$7)),$G$7-SQRT((1-Q143)*($G$7-$E$7)*($G$7-$F$7))))</f>
        <v>0.994310695683155</v>
      </c>
      <c r="D143" s="37" t="n">
        <f aca="false">1+IF($G$8=$E$8,$F$8,IF(R143&lt;($F$8-$E$8)/($G$8-$E$8),$E$8+SQRT(R143*($G$8-$E$8)*($F$8-$E$8)),$G$8-SQRT((1-R143)*($G$8-$E$8)*($G$8-$F$8))))</f>
        <v>0.987475391293091</v>
      </c>
      <c r="E143" s="37" t="n">
        <f aca="false">1+IF($G$9=$E$9,$F$9,IF(S143&lt;($F$9-$E$9)/($G$9-$E$9),$E$9+SQRT(S143*($G$9-$E$9)*($F$9-$E$9)),$G$9-SQRT((1-S143)*($G$9-$E$9)*($G$9-$F$9))))</f>
        <v>1.03156742440908</v>
      </c>
      <c r="F143" s="37" t="n">
        <f aca="false">1+IF($G$10=$E$10,$F$10,IF(T143&lt;($F$10-$E$10)/($G$10-$E$10),$E$10+SQRT(T143*($G$10-$E$10)*($F$10-$E$10)),$G$10-SQRT((1-T143)*($G$10-$E$10)*($G$10-$F$10))))</f>
        <v>1.01642866789914</v>
      </c>
      <c r="G143" s="38" t="n">
        <f aca="false">IF($G$11=$E$11,$F$11,IF(U143&lt;($F$11-$E$11)/($G$11-$E$11),$E$11+SQRT(U143*($G$11-$E$11)*($F$11-$E$11)),$G$11-SQRT((1-U143)*($G$11-$E$11)*($G$11-$F$11))))</f>
        <v>0.111590813602321</v>
      </c>
      <c r="H143" s="39" t="n">
        <f aca="false">(('Business Case'!B11*$C143*'Business Case'!B12*$B143)-'Business Case'!B11*$C143*'Business Case'!B13*$D143-'Business Case'!B14*$E143)-MAX(0,(('Business Case'!B11*$C143*'Business Case'!B12*$B143)-'Business Case'!B11*$C143*'Business Case'!B13*$D143-'Business Case'!B14*$E143))*'Business Case'!$B$7-'Business Case'!$B$8*('Business Case'!B11*$C143*'Business Case'!B12*$B143)-'Business Case'!B15*$F143</f>
        <v>-2032857335.79829</v>
      </c>
      <c r="I143" s="39" t="n">
        <f aca="false">(('Business Case'!C11*$C143*'Business Case'!C12*$B143)-'Business Case'!C11*$C143*'Business Case'!C13*$D143-'Business Case'!C14*$E143)-MAX(0,(('Business Case'!C11*$C143*'Business Case'!C12*$B143)-'Business Case'!C11*$C143*'Business Case'!C13*$D143-'Business Case'!C14*$E143))*'Business Case'!$B$7-'Business Case'!$B$8*(('Business Case'!C11*$C143*'Business Case'!C12*$B143)-('Business Case'!B11*$C143*'Business Case'!B12*$B143))-'Business Case'!C15*$F143</f>
        <v>31832634.050821</v>
      </c>
      <c r="J143" s="39" t="n">
        <f aca="false">(('Business Case'!D11*$C143*'Business Case'!D12*$B143)-'Business Case'!D11*$C143*'Business Case'!D13*$D143-'Business Case'!D14*$E143)-MAX(0,(('Business Case'!D11*$C143*'Business Case'!D12*$B143)-'Business Case'!D11*$C143*'Business Case'!D13*$D143-'Business Case'!D14*$E143))*'Business Case'!$B$7-'Business Case'!$B$8*(('Business Case'!D11*$C143*'Business Case'!D12*$B143)-('Business Case'!C11*$C143*'Business Case'!C12*$B143))-'Business Case'!D15*$F143</f>
        <v>364888698.302459</v>
      </c>
      <c r="K143" s="39" t="n">
        <f aca="false">(('Business Case'!E11*$C143*'Business Case'!E12*$B143)-'Business Case'!E11*$C143*'Business Case'!E13*$D143-'Business Case'!E14*$E143)-MAX(0,(('Business Case'!E11*$C143*'Business Case'!E12*$B143)-'Business Case'!E11*$C143*'Business Case'!E13*$D143-'Business Case'!E14*$E143))*'Business Case'!$B$7-'Business Case'!$B$8*(('Business Case'!E11*$C143*'Business Case'!E12*$B143)-('Business Case'!D11*$C143*'Business Case'!D12*$B143))-'Business Case'!E15*$F143</f>
        <v>748766195.949055</v>
      </c>
      <c r="L143" s="39" t="n">
        <f aca="false">(('Business Case'!F11*$C143*'Business Case'!F12*$B143)-'Business Case'!F11*$C143*'Business Case'!F13*$D143-'Business Case'!F14*$E143)-MAX(0,(('Business Case'!F11*$C143*'Business Case'!F12*$B143)-'Business Case'!F11*$C143*'Business Case'!F13*$D143-'Business Case'!F14*$E143))*'Business Case'!$B$7-'Business Case'!$B$8*(('Business Case'!F11*$C143*'Business Case'!F12*$B143)-('Business Case'!E11*$C143*'Business Case'!E12*$B143))-'Business Case'!F15*$F143</f>
        <v>895046001.139557</v>
      </c>
      <c r="M143" s="39" t="n">
        <f aca="false">(('Business Case'!G11*$C143*'Business Case'!G12*$B143)-'Business Case'!G11*$C143*'Business Case'!G13*$D143-'Business Case'!G14*$E143)-MAX(0,(('Business Case'!G11*$C143*'Business Case'!G12*$B143)-'Business Case'!G11*$C143*'Business Case'!G13*$D143-'Business Case'!G14*$E143))*'Business Case'!$B$7-'Business Case'!$B$8*(('Business Case'!G11*$C143*'Business Case'!G12*$B143)-('Business Case'!F11*$C143*'Business Case'!F12*$B143))-'Business Case'!G15*$F143+'Business Case'!$B$8*('Business Case'!G11*$C143*'Business Case'!G12*$B143)</f>
        <v>1088982145.22597</v>
      </c>
      <c r="N143" s="39" t="n">
        <f aca="false">IF(COUNT('Business Case'!B11:G11)=0,"",H143+NPV(G143,I143:M143))</f>
        <v>64102085.9029818</v>
      </c>
      <c r="P143" s="40" t="n">
        <f aca="true">RAND()</f>
        <v>0.959891942666953</v>
      </c>
      <c r="Q143" s="40" t="n">
        <f aca="true">RAND()</f>
        <v>0.539380663669593</v>
      </c>
      <c r="R143" s="40" t="n">
        <f aca="true">RAND()</f>
        <v>0.216062300395424</v>
      </c>
      <c r="S143" s="40" t="n">
        <f aca="true">RAND()</f>
        <v>0.687798839866183</v>
      </c>
      <c r="T143" s="40" t="n">
        <f aca="true">RAND()</f>
        <v>0.326031320614344</v>
      </c>
      <c r="U143" s="40" t="n">
        <f aca="true">RAND()</f>
        <v>0.882142640215161</v>
      </c>
    </row>
    <row r="144" customFormat="false" ht="15" hidden="false" customHeight="false" outlineLevel="0" collapsed="false">
      <c r="A144" s="36" t="n">
        <v>64</v>
      </c>
      <c r="B144" s="37" t="n">
        <f aca="false">1+IF($G$6=$E$6,$F$6,IF(P144&lt;($F$6-$E$6)/($G$6-$E$6),$E$6+SQRT(P144*($G$6-$E$6)*($F$6-$E$6)),$G$6-SQRT((1-P144)*($G$6-$E$6)*($G$6-$F$6))))</f>
        <v>1.01681745886086</v>
      </c>
      <c r="C144" s="37" t="n">
        <f aca="false">1+IF($G$7=$E$7,$F$7,IF(Q144&lt;($F$7-$E$7)/($G$7-$E$7),$E$7+SQRT(Q144*($G$7-$E$7)*($F$7-$E$7)),$G$7-SQRT((1-Q144)*($G$7-$E$7)*($G$7-$F$7))))</f>
        <v>0.843086809823714</v>
      </c>
      <c r="D144" s="37" t="n">
        <f aca="false">1+IF($G$8=$E$8,$F$8,IF(R144&lt;($F$8-$E$8)/($G$8-$E$8),$E$8+SQRT(R144*($G$8-$E$8)*($F$8-$E$8)),$G$8-SQRT((1-R144)*($G$8-$E$8)*($G$8-$F$8))))</f>
        <v>1.04488860594984</v>
      </c>
      <c r="E144" s="37" t="n">
        <f aca="false">1+IF($G$9=$E$9,$F$9,IF(S144&lt;($F$9-$E$9)/($G$9-$E$9),$E$9+SQRT(S144*($G$9-$E$9)*($F$9-$E$9)),$G$9-SQRT((1-S144)*($G$9-$E$9)*($G$9-$F$9))))</f>
        <v>1.00244084552533</v>
      </c>
      <c r="F144" s="37" t="n">
        <f aca="false">1+IF($G$10=$E$10,$F$10,IF(T144&lt;($F$10-$E$10)/($G$10-$E$10),$E$10+SQRT(T144*($G$10-$E$10)*($F$10-$E$10)),$G$10-SQRT((1-T144)*($G$10-$E$10)*($G$10-$F$10))))</f>
        <v>0.978235059319961</v>
      </c>
      <c r="G144" s="38" t="n">
        <f aca="false">IF($G$11=$E$11,$F$11,IF(U144&lt;($F$11-$E$11)/($G$11-$E$11),$E$11+SQRT(U144*($G$11-$E$11)*($F$11-$E$11)),$G$11-SQRT((1-U144)*($G$11-$E$11)*($G$11-$F$11))))</f>
        <v>0.112651274091128</v>
      </c>
      <c r="H144" s="39" t="n">
        <f aca="false">(('Business Case'!B11*$C144*'Business Case'!B12*$B144)-'Business Case'!B11*$C144*'Business Case'!B13*$D144-'Business Case'!B14*$E144)-MAX(0,(('Business Case'!B11*$C144*'Business Case'!B12*$B144)-'Business Case'!B11*$C144*'Business Case'!B13*$D144-'Business Case'!B14*$E144))*'Business Case'!$B$7-'Business Case'!$B$8*('Business Case'!B11*$C144*'Business Case'!B12*$B144)-'Business Case'!B15*$F144</f>
        <v>-1956470118.63992</v>
      </c>
      <c r="I144" s="39" t="n">
        <f aca="false">(('Business Case'!C11*$C144*'Business Case'!C12*$B144)-'Business Case'!C11*$C144*'Business Case'!C13*$D144-'Business Case'!C14*$E144)-MAX(0,(('Business Case'!C11*$C144*'Business Case'!C12*$B144)-'Business Case'!C11*$C144*'Business Case'!C13*$D144-'Business Case'!C14*$E144))*'Business Case'!$B$7-'Business Case'!$B$8*(('Business Case'!C11*$C144*'Business Case'!C12*$B144)-('Business Case'!B11*$C144*'Business Case'!B12*$B144))-'Business Case'!C15*$F144</f>
        <v>-33615764.1126705</v>
      </c>
      <c r="J144" s="39" t="n">
        <f aca="false">(('Business Case'!D11*$C144*'Business Case'!D12*$B144)-'Business Case'!D11*$C144*'Business Case'!D13*$D144-'Business Case'!D14*$E144)-MAX(0,(('Business Case'!D11*$C144*'Business Case'!D12*$B144)-'Business Case'!D11*$C144*'Business Case'!D13*$D144-'Business Case'!D14*$E144))*'Business Case'!$B$7-'Business Case'!$B$8*(('Business Case'!D11*$C144*'Business Case'!D12*$B144)-('Business Case'!C11*$C144*'Business Case'!C12*$B144))-'Business Case'!D15*$F144</f>
        <v>217579703.631678</v>
      </c>
      <c r="K144" s="39" t="n">
        <f aca="false">(('Business Case'!E11*$C144*'Business Case'!E12*$B144)-'Business Case'!E11*$C144*'Business Case'!E13*$D144-'Business Case'!E14*$E144)-MAX(0,(('Business Case'!E11*$C144*'Business Case'!E12*$B144)-'Business Case'!E11*$C144*'Business Case'!E13*$D144-'Business Case'!E14*$E144))*'Business Case'!$B$7-'Business Case'!$B$8*(('Business Case'!E11*$C144*'Business Case'!E12*$B144)-('Business Case'!D11*$C144*'Business Case'!D12*$B144))-'Business Case'!E15*$F144</f>
        <v>517686924.342025</v>
      </c>
      <c r="L144" s="39" t="n">
        <f aca="false">(('Business Case'!F11*$C144*'Business Case'!F12*$B144)-'Business Case'!F11*$C144*'Business Case'!F13*$D144-'Business Case'!F14*$E144)-MAX(0,(('Business Case'!F11*$C144*'Business Case'!F12*$B144)-'Business Case'!F11*$C144*'Business Case'!F13*$D144-'Business Case'!F14*$E144))*'Business Case'!$B$7-'Business Case'!$B$8*(('Business Case'!F11*$C144*'Business Case'!F12*$B144)-('Business Case'!E11*$C144*'Business Case'!E12*$B144))-'Business Case'!F15*$F144</f>
        <v>631045838.717689</v>
      </c>
      <c r="M144" s="39" t="n">
        <f aca="false">(('Business Case'!G11*$C144*'Business Case'!G12*$B144)-'Business Case'!G11*$C144*'Business Case'!G13*$D144-'Business Case'!G14*$E144)-MAX(0,(('Business Case'!G11*$C144*'Business Case'!G12*$B144)-'Business Case'!G11*$C144*'Business Case'!G13*$D144-'Business Case'!G14*$E144))*'Business Case'!$B$7-'Business Case'!$B$8*(('Business Case'!G11*$C144*'Business Case'!G12*$B144)-('Business Case'!F11*$C144*'Business Case'!F12*$B144))-'Business Case'!G15*$F144+'Business Case'!$B$8*('Business Case'!G11*$C144*'Business Case'!G12*$B144)</f>
        <v>793994843.585865</v>
      </c>
      <c r="N144" s="39" t="n">
        <f aca="false">IF(COUNT('Business Case'!B11:G11)=0,"",H144+NPV(G144,I144:M144))</f>
        <v>-557750177.478203</v>
      </c>
      <c r="P144" s="40" t="n">
        <f aca="true">RAND()</f>
        <v>0.88803537215254</v>
      </c>
      <c r="Q144" s="40" t="n">
        <f aca="true">RAND()</f>
        <v>0.0265210454397847</v>
      </c>
      <c r="R144" s="40" t="n">
        <f aca="true">RAND()</f>
        <v>0.881460577678277</v>
      </c>
      <c r="S144" s="40" t="n">
        <f aca="true">RAND()</f>
        <v>0.365480758545848</v>
      </c>
      <c r="T144" s="40" t="n">
        <f aca="true">RAND()</f>
        <v>0.0637774859841388</v>
      </c>
      <c r="U144" s="40" t="n">
        <f aca="true">RAND()</f>
        <v>0.909993712527133</v>
      </c>
    </row>
    <row r="145" customFormat="false" ht="15" hidden="false" customHeight="false" outlineLevel="0" collapsed="false">
      <c r="A145" s="36" t="n">
        <v>65</v>
      </c>
      <c r="B145" s="37" t="n">
        <f aca="false">1+IF($G$6=$E$6,$F$6,IF(P145&lt;($F$6-$E$6)/($G$6-$E$6),$E$6+SQRT(P145*($G$6-$E$6)*($F$6-$E$6)),$G$6-SQRT((1-P145)*($G$6-$E$6)*($G$6-$F$6))))</f>
        <v>0.984285549496303</v>
      </c>
      <c r="C145" s="37" t="n">
        <f aca="false">1+IF($G$7=$E$7,$F$7,IF(Q145&lt;($F$7-$E$7)/($G$7-$E$7),$E$7+SQRT(Q145*($G$7-$E$7)*($F$7-$E$7)),$G$7-SQRT((1-Q145)*($G$7-$E$7)*($G$7-$F$7))))</f>
        <v>0.934814607663302</v>
      </c>
      <c r="D145" s="37" t="n">
        <f aca="false">1+IF($G$8=$E$8,$F$8,IF(R145&lt;($F$8-$E$8)/($G$8-$E$8),$E$8+SQRT(R145*($G$8-$E$8)*($F$8-$E$8)),$G$8-SQRT((1-R145)*($G$8-$E$8)*($G$8-$F$8))))</f>
        <v>1.06861551405592</v>
      </c>
      <c r="E145" s="37" t="n">
        <f aca="false">1+IF($G$9=$E$9,$F$9,IF(S145&lt;($F$9-$E$9)/($G$9-$E$9),$E$9+SQRT(S145*($G$9-$E$9)*($F$9-$E$9)),$G$9-SQRT((1-S145)*($G$9-$E$9)*($G$9-$F$9))))</f>
        <v>1.0749872496075</v>
      </c>
      <c r="F145" s="37" t="n">
        <f aca="false">1+IF($G$10=$E$10,$F$10,IF(T145&lt;($F$10-$E$10)/($G$10-$E$10),$E$10+SQRT(T145*($G$10-$E$10)*($F$10-$E$10)),$G$10-SQRT((1-T145)*($G$10-$E$10)*($G$10-$F$10))))</f>
        <v>1.01051469228651</v>
      </c>
      <c r="G145" s="38" t="n">
        <f aca="false">IF($G$11=$E$11,$F$11,IF(U145&lt;($F$11-$E$11)/($G$11-$E$11),$E$11+SQRT(U145*($G$11-$E$11)*($F$11-$E$11)),$G$11-SQRT((1-U145)*($G$11-$E$11)*($G$11-$F$11))))</f>
        <v>0.104185673151614</v>
      </c>
      <c r="H145" s="39" t="n">
        <f aca="false">(('Business Case'!B11*$C145*'Business Case'!B12*$B145)-'Business Case'!B11*$C145*'Business Case'!B13*$D145-'Business Case'!B14*$E145)-MAX(0,(('Business Case'!B11*$C145*'Business Case'!B12*$B145)-'Business Case'!B11*$C145*'Business Case'!B13*$D145-'Business Case'!B14*$E145))*'Business Case'!$B$7-'Business Case'!$B$8*('Business Case'!B11*$C145*'Business Case'!B12*$B145)-'Business Case'!B15*$F145</f>
        <v>-2021029384.57302</v>
      </c>
      <c r="I145" s="39" t="n">
        <f aca="false">(('Business Case'!C11*$C145*'Business Case'!C12*$B145)-'Business Case'!C11*$C145*'Business Case'!C13*$D145-'Business Case'!C14*$E145)-MAX(0,(('Business Case'!C11*$C145*'Business Case'!C12*$B145)-'Business Case'!C11*$C145*'Business Case'!C13*$D145-'Business Case'!C14*$E145))*'Business Case'!$B$7-'Business Case'!$B$8*(('Business Case'!C11*$C145*'Business Case'!C12*$B145)-('Business Case'!B11*$C145*'Business Case'!B12*$B145))-'Business Case'!C15*$F145</f>
        <v>-59351956.6108394</v>
      </c>
      <c r="J145" s="39" t="n">
        <f aca="false">(('Business Case'!D11*$C145*'Business Case'!D12*$B145)-'Business Case'!D11*$C145*'Business Case'!D13*$D145-'Business Case'!D14*$E145)-MAX(0,(('Business Case'!D11*$C145*'Business Case'!D12*$B145)-'Business Case'!D11*$C145*'Business Case'!D13*$D145-'Business Case'!D14*$E145))*'Business Case'!$B$7-'Business Case'!$B$8*(('Business Case'!D11*$C145*'Business Case'!D12*$B145)-('Business Case'!C11*$C145*'Business Case'!C12*$B145))-'Business Case'!D15*$F145</f>
        <v>182909997.488208</v>
      </c>
      <c r="K145" s="39" t="n">
        <f aca="false">(('Business Case'!E11*$C145*'Business Case'!E12*$B145)-'Business Case'!E11*$C145*'Business Case'!E13*$D145-'Business Case'!E14*$E145)-MAX(0,(('Business Case'!E11*$C145*'Business Case'!E12*$B145)-'Business Case'!E11*$C145*'Business Case'!E13*$D145-'Business Case'!E14*$E145))*'Business Case'!$B$7-'Business Case'!$B$8*(('Business Case'!E11*$C145*'Business Case'!E12*$B145)-('Business Case'!D11*$C145*'Business Case'!D12*$B145))-'Business Case'!E15*$F145</f>
        <v>475697686.201581</v>
      </c>
      <c r="L145" s="39" t="n">
        <f aca="false">(('Business Case'!F11*$C145*'Business Case'!F12*$B145)-'Business Case'!F11*$C145*'Business Case'!F13*$D145-'Business Case'!F14*$E145)-MAX(0,(('Business Case'!F11*$C145*'Business Case'!F12*$B145)-'Business Case'!F11*$C145*'Business Case'!F13*$D145-'Business Case'!F14*$E145))*'Business Case'!$B$7-'Business Case'!$B$8*(('Business Case'!F11*$C145*'Business Case'!F12*$B145)-('Business Case'!E11*$C145*'Business Case'!E12*$B145))-'Business Case'!F15*$F145</f>
        <v>588251173.959296</v>
      </c>
      <c r="M145" s="39" t="n">
        <f aca="false">(('Business Case'!G11*$C145*'Business Case'!G12*$B145)-'Business Case'!G11*$C145*'Business Case'!G13*$D145-'Business Case'!G14*$E145)-MAX(0,(('Business Case'!G11*$C145*'Business Case'!G12*$B145)-'Business Case'!G11*$C145*'Business Case'!G13*$D145-'Business Case'!G14*$E145))*'Business Case'!$B$7-'Business Case'!$B$8*(('Business Case'!G11*$C145*'Business Case'!G12*$B145)-('Business Case'!F11*$C145*'Business Case'!F12*$B145))-'Business Case'!G15*$F145+'Business Case'!$B$8*('Business Case'!G11*$C145*'Business Case'!G12*$B145)</f>
        <v>763148440.778477</v>
      </c>
      <c r="N145" s="39" t="n">
        <f aca="false">IF(COUNT('Business Case'!B11:G11)=0,"",H145+NPV(G145,I145:M145))</f>
        <v>-710742592.769038</v>
      </c>
      <c r="P145" s="40" t="n">
        <f aca="true">RAND()</f>
        <v>0.430482486879333</v>
      </c>
      <c r="Q145" s="40" t="n">
        <f aca="true">RAND()</f>
        <v>0.259642549134429</v>
      </c>
      <c r="R145" s="40" t="n">
        <f aca="true">RAND()</f>
        <v>0.987537834595101</v>
      </c>
      <c r="S145" s="40" t="n">
        <f aca="true">RAND()</f>
        <v>0.958290821186846</v>
      </c>
      <c r="T145" s="40" t="n">
        <f aca="true">RAND()</f>
        <v>0.281906363214461</v>
      </c>
      <c r="U145" s="40" t="n">
        <f aca="true">RAND()</f>
        <v>0.583178443887362</v>
      </c>
    </row>
    <row r="146" customFormat="false" ht="15" hidden="false" customHeight="false" outlineLevel="0" collapsed="false">
      <c r="A146" s="36" t="n">
        <v>66</v>
      </c>
      <c r="B146" s="37" t="n">
        <f aca="false">1+IF($G$6=$E$6,$F$6,IF(P146&lt;($F$6-$E$6)/($G$6-$E$6),$E$6+SQRT(P146*($G$6-$E$6)*($F$6-$E$6)),$G$6-SQRT((1-P146)*($G$6-$E$6)*($G$6-$F$6))))</f>
        <v>0.997860660934899</v>
      </c>
      <c r="C146" s="37" t="n">
        <f aca="false">1+IF($G$7=$E$7,$F$7,IF(Q146&lt;($F$7-$E$7)/($G$7-$E$7),$E$7+SQRT(Q146*($G$7-$E$7)*($F$7-$E$7)),$G$7-SQRT((1-Q146)*($G$7-$E$7)*($G$7-$F$7))))</f>
        <v>1.03216723243262</v>
      </c>
      <c r="D146" s="37" t="n">
        <f aca="false">1+IF($G$8=$E$8,$F$8,IF(R146&lt;($F$8-$E$8)/($G$8-$E$8),$E$8+SQRT(R146*($G$8-$E$8)*($F$8-$E$8)),$G$8-SQRT((1-R146)*($G$8-$E$8)*($G$8-$F$8))))</f>
        <v>1.04174985452248</v>
      </c>
      <c r="E146" s="37" t="n">
        <f aca="false">1+IF($G$9=$E$9,$F$9,IF(S146&lt;($F$9-$E$9)/($G$9-$E$9),$E$9+SQRT(S146*($G$9-$E$9)*($F$9-$E$9)),$G$9-SQRT((1-S146)*($G$9-$E$9)*($G$9-$F$9))))</f>
        <v>1.06493717700503</v>
      </c>
      <c r="F146" s="37" t="n">
        <f aca="false">1+IF($G$10=$E$10,$F$10,IF(T146&lt;($F$10-$E$10)/($G$10-$E$10),$E$10+SQRT(T146*($G$10-$E$10)*($F$10-$E$10)),$G$10-SQRT((1-T146)*($G$10-$E$10)*($G$10-$F$10))))</f>
        <v>1.0605055730998</v>
      </c>
      <c r="G146" s="38" t="n">
        <f aca="false">IF($G$11=$E$11,$F$11,IF(U146&lt;($F$11-$E$11)/($G$11-$E$11),$E$11+SQRT(U146*($G$11-$E$11)*($F$11-$E$11)),$G$11-SQRT((1-U146)*($G$11-$E$11)*($G$11-$F$11))))</f>
        <v>0.0971683548252855</v>
      </c>
      <c r="H146" s="39" t="n">
        <f aca="false">(('Business Case'!B11*$C146*'Business Case'!B12*$B146)-'Business Case'!B11*$C146*'Business Case'!B13*$D146-'Business Case'!B14*$E146)-MAX(0,(('Business Case'!B11*$C146*'Business Case'!B12*$B146)-'Business Case'!B11*$C146*'Business Case'!B13*$D146-'Business Case'!B14*$E146))*'Business Case'!$B$7-'Business Case'!$B$8*('Business Case'!B11*$C146*'Business Case'!B12*$B146)-'Business Case'!B15*$F146</f>
        <v>-2121011146.19961</v>
      </c>
      <c r="I146" s="39" t="n">
        <f aca="false">(('Business Case'!C11*$C146*'Business Case'!C12*$B146)-'Business Case'!C11*$C146*'Business Case'!C13*$D146-'Business Case'!C14*$E146)-MAX(0,(('Business Case'!C11*$C146*'Business Case'!C12*$B146)-'Business Case'!C11*$C146*'Business Case'!C13*$D146-'Business Case'!C14*$E146))*'Business Case'!$B$7-'Business Case'!$B$8*(('Business Case'!C11*$C146*'Business Case'!C12*$B146)-('Business Case'!B11*$C146*'Business Case'!B12*$B146))-'Business Case'!C15*$F146</f>
        <v>-17714193.5870014</v>
      </c>
      <c r="J146" s="39" t="n">
        <f aca="false">(('Business Case'!D11*$C146*'Business Case'!D12*$B146)-'Business Case'!D11*$C146*'Business Case'!D13*$D146-'Business Case'!D14*$E146)-MAX(0,(('Business Case'!D11*$C146*'Business Case'!D12*$B146)-'Business Case'!D11*$C146*'Business Case'!D13*$D146-'Business Case'!D14*$E146))*'Business Case'!$B$7-'Business Case'!$B$8*(('Business Case'!D11*$C146*'Business Case'!D12*$B146)-('Business Case'!C11*$C146*'Business Case'!C12*$B146))-'Business Case'!D15*$F146</f>
        <v>275449315.244842</v>
      </c>
      <c r="K146" s="39" t="n">
        <f aca="false">(('Business Case'!E11*$C146*'Business Case'!E12*$B146)-'Business Case'!E11*$C146*'Business Case'!E13*$D146-'Business Case'!E14*$E146)-MAX(0,(('Business Case'!E11*$C146*'Business Case'!E12*$B146)-'Business Case'!E11*$C146*'Business Case'!E13*$D146-'Business Case'!E14*$E146))*'Business Case'!$B$7-'Business Case'!$B$8*(('Business Case'!E11*$C146*'Business Case'!E12*$B146)-('Business Case'!D11*$C146*'Business Case'!D12*$B146))-'Business Case'!E15*$F146</f>
        <v>621638102.731675</v>
      </c>
      <c r="L146" s="39" t="n">
        <f aca="false">(('Business Case'!F11*$C146*'Business Case'!F12*$B146)-'Business Case'!F11*$C146*'Business Case'!F13*$D146-'Business Case'!F14*$E146)-MAX(0,(('Business Case'!F11*$C146*'Business Case'!F12*$B146)-'Business Case'!F11*$C146*'Business Case'!F13*$D146-'Business Case'!F14*$E146))*'Business Case'!$B$7-'Business Case'!$B$8*(('Business Case'!F11*$C146*'Business Case'!F12*$B146)-('Business Case'!E11*$C146*'Business Case'!E12*$B146))-'Business Case'!F15*$F146</f>
        <v>754954658.034789</v>
      </c>
      <c r="M146" s="39" t="n">
        <f aca="false">(('Business Case'!G11*$C146*'Business Case'!G12*$B146)-'Business Case'!G11*$C146*'Business Case'!G13*$D146-'Business Case'!G14*$E146)-MAX(0,(('Business Case'!G11*$C146*'Business Case'!G12*$B146)-'Business Case'!G11*$C146*'Business Case'!G13*$D146-'Business Case'!G14*$E146))*'Business Case'!$B$7-'Business Case'!$B$8*(('Business Case'!G11*$C146*'Business Case'!G12*$B146)-('Business Case'!F11*$C146*'Business Case'!F12*$B146))-'Business Case'!G15*$F146+'Business Case'!$B$8*('Business Case'!G11*$C146*'Business Case'!G12*$B146)</f>
        <v>950729279.343536</v>
      </c>
      <c r="N146" s="39" t="n">
        <f aca="false">IF(COUNT('Business Case'!B11:G11)=0,"",H146+NPV(G146,I146:M146))</f>
        <v>-318691142.908645</v>
      </c>
      <c r="P146" s="40" t="n">
        <f aca="true">RAND()</f>
        <v>0.631487762627018</v>
      </c>
      <c r="Q146" s="40" t="n">
        <f aca="true">RAND()</f>
        <v>0.735532169284055</v>
      </c>
      <c r="R146" s="40" t="n">
        <f aca="true">RAND()</f>
        <v>0.859319843360442</v>
      </c>
      <c r="S146" s="40" t="n">
        <f aca="true">RAND()</f>
        <v>0.918039896241551</v>
      </c>
      <c r="T146" s="40" t="n">
        <f aca="true">RAND()</f>
        <v>0.61082609727572</v>
      </c>
      <c r="U146" s="40" t="n">
        <f aca="true">RAND()</f>
        <v>0.171284369670646</v>
      </c>
    </row>
    <row r="147" customFormat="false" ht="15" hidden="false" customHeight="false" outlineLevel="0" collapsed="false">
      <c r="A147" s="36" t="n">
        <v>67</v>
      </c>
      <c r="B147" s="37" t="n">
        <f aca="false">1+IF($G$6=$E$6,$F$6,IF(P147&lt;($F$6-$E$6)/($G$6-$E$6),$E$6+SQRT(P147*($G$6-$E$6)*($F$6-$E$6)),$G$6-SQRT((1-P147)*($G$6-$E$6)*($G$6-$F$6))))</f>
        <v>1.01367815150901</v>
      </c>
      <c r="C147" s="37" t="n">
        <f aca="false">1+IF($G$7=$E$7,$F$7,IF(Q147&lt;($F$7-$E$7)/($G$7-$E$7),$E$7+SQRT(Q147*($G$7-$E$7)*($F$7-$E$7)),$G$7-SQRT((1-Q147)*($G$7-$E$7)*($G$7-$F$7))))</f>
        <v>0.855438131693022</v>
      </c>
      <c r="D147" s="37" t="n">
        <f aca="false">1+IF($G$8=$E$8,$F$8,IF(R147&lt;($F$8-$E$8)/($G$8-$E$8),$E$8+SQRT(R147*($G$8-$E$8)*($F$8-$E$8)),$G$8-SQRT((1-R147)*($G$8-$E$8)*($G$8-$F$8))))</f>
        <v>1.01428755143159</v>
      </c>
      <c r="E147" s="37" t="n">
        <f aca="false">1+IF($G$9=$E$9,$F$9,IF(S147&lt;($F$9-$E$9)/($G$9-$E$9),$E$9+SQRT(S147*($G$9-$E$9)*($F$9-$E$9)),$G$9-SQRT((1-S147)*($G$9-$E$9)*($G$9-$F$9))))</f>
        <v>1.08301536614539</v>
      </c>
      <c r="F147" s="37" t="n">
        <f aca="false">1+IF($G$10=$E$10,$F$10,IF(T147&lt;($F$10-$E$10)/($G$10-$E$10),$E$10+SQRT(T147*($G$10-$E$10)*($F$10-$E$10)),$G$10-SQRT((1-T147)*($G$10-$E$10)*($G$10-$F$10))))</f>
        <v>0.974691571028679</v>
      </c>
      <c r="G147" s="38" t="n">
        <f aca="false">IF($G$11=$E$11,$F$11,IF(U147&lt;($F$11-$E$11)/($G$11-$E$11),$E$11+SQRT(U147*($G$11-$E$11)*($F$11-$E$11)),$G$11-SQRT((1-U147)*($G$11-$E$11)*($G$11-$F$11))))</f>
        <v>0.110392376161775</v>
      </c>
      <c r="H147" s="39" t="n">
        <f aca="false">(('Business Case'!B11*$C147*'Business Case'!B12*$B147)-'Business Case'!B11*$C147*'Business Case'!B13*$D147-'Business Case'!B14*$E147)-MAX(0,(('Business Case'!B11*$C147*'Business Case'!B12*$B147)-'Business Case'!B11*$C147*'Business Case'!B13*$D147-'Business Case'!B14*$E147))*'Business Case'!$B$7-'Business Case'!$B$8*('Business Case'!B11*$C147*'Business Case'!B12*$B147)-'Business Case'!B15*$F147</f>
        <v>-1949383142.05736</v>
      </c>
      <c r="I147" s="39" t="n">
        <f aca="false">(('Business Case'!C11*$C147*'Business Case'!C12*$B147)-'Business Case'!C11*$C147*'Business Case'!C13*$D147-'Business Case'!C14*$E147)-MAX(0,(('Business Case'!C11*$C147*'Business Case'!C12*$B147)-'Business Case'!C11*$C147*'Business Case'!C13*$D147-'Business Case'!C14*$E147))*'Business Case'!$B$7-'Business Case'!$B$8*(('Business Case'!C11*$C147*'Business Case'!C12*$B147)-('Business Case'!B11*$C147*'Business Case'!B12*$B147))-'Business Case'!C15*$F147</f>
        <v>-30349829.9901201</v>
      </c>
      <c r="J147" s="39" t="n">
        <f aca="false">(('Business Case'!D11*$C147*'Business Case'!D12*$B147)-'Business Case'!D11*$C147*'Business Case'!D13*$D147-'Business Case'!D14*$E147)-MAX(0,(('Business Case'!D11*$C147*'Business Case'!D12*$B147)-'Business Case'!D11*$C147*'Business Case'!D13*$D147-'Business Case'!D14*$E147))*'Business Case'!$B$7-'Business Case'!$B$8*(('Business Case'!D11*$C147*'Business Case'!D12*$B147)-('Business Case'!C11*$C147*'Business Case'!C12*$B147))-'Business Case'!D15*$F147</f>
        <v>235726765.048827</v>
      </c>
      <c r="K147" s="39" t="n">
        <f aca="false">(('Business Case'!E11*$C147*'Business Case'!E12*$B147)-'Business Case'!E11*$C147*'Business Case'!E13*$D147-'Business Case'!E14*$E147)-MAX(0,(('Business Case'!E11*$C147*'Business Case'!E12*$B147)-'Business Case'!E11*$C147*'Business Case'!E13*$D147-'Business Case'!E14*$E147))*'Business Case'!$B$7-'Business Case'!$B$8*(('Business Case'!E11*$C147*'Business Case'!E12*$B147)-('Business Case'!D11*$C147*'Business Case'!D12*$B147))-'Business Case'!E15*$F147</f>
        <v>550537938.639207</v>
      </c>
      <c r="L147" s="39" t="n">
        <f aca="false">(('Business Case'!F11*$C147*'Business Case'!F12*$B147)-'Business Case'!F11*$C147*'Business Case'!F13*$D147-'Business Case'!F14*$E147)-MAX(0,(('Business Case'!F11*$C147*'Business Case'!F12*$B147)-'Business Case'!F11*$C147*'Business Case'!F13*$D147-'Business Case'!F14*$E147))*'Business Case'!$B$7-'Business Case'!$B$8*(('Business Case'!F11*$C147*'Business Case'!F12*$B147)-('Business Case'!E11*$C147*'Business Case'!E12*$B147))-'Business Case'!F15*$F147</f>
        <v>669198458.892406</v>
      </c>
      <c r="M147" s="39" t="n">
        <f aca="false">(('Business Case'!G11*$C147*'Business Case'!G12*$B147)-'Business Case'!G11*$C147*'Business Case'!G13*$D147-'Business Case'!G14*$E147)-MAX(0,(('Business Case'!G11*$C147*'Business Case'!G12*$B147)-'Business Case'!G11*$C147*'Business Case'!G13*$D147-'Business Case'!G14*$E147))*'Business Case'!$B$7-'Business Case'!$B$8*(('Business Case'!G11*$C147*'Business Case'!G12*$B147)-('Business Case'!F11*$C147*'Business Case'!F12*$B147))-'Business Case'!G15*$F147+'Business Case'!$B$8*('Business Case'!G11*$C147*'Business Case'!G12*$B147)</f>
        <v>834024229.380262</v>
      </c>
      <c r="N147" s="39" t="n">
        <f aca="false">IF(COUNT('Business Case'!B11:G11)=0,"",H147+NPV(G147,I147:M147))</f>
        <v>-449129824.397955</v>
      </c>
      <c r="P147" s="40" t="n">
        <f aca="true">RAND()</f>
        <v>0.85565839417023</v>
      </c>
      <c r="Q147" s="40" t="n">
        <f aca="true">RAND()</f>
        <v>0.0439055206516122</v>
      </c>
      <c r="R147" s="40" t="n">
        <f aca="true">RAND()</f>
        <v>0.584795586840778</v>
      </c>
      <c r="S147" s="40" t="n">
        <f aca="true">RAND()</f>
        <v>0.980768147521656</v>
      </c>
      <c r="T147" s="40" t="n">
        <f aca="true">RAND()</f>
        <v>0.0487738943891438</v>
      </c>
      <c r="U147" s="40" t="n">
        <f aca="true">RAND()</f>
        <v>0.846155940305279</v>
      </c>
    </row>
    <row r="148" customFormat="false" ht="15" hidden="false" customHeight="false" outlineLevel="0" collapsed="false">
      <c r="A148" s="36" t="n">
        <v>68</v>
      </c>
      <c r="B148" s="37" t="n">
        <f aca="false">1+IF($G$6=$E$6,$F$6,IF(P148&lt;($F$6-$E$6)/($G$6-$E$6),$E$6+SQRT(P148*($G$6-$E$6)*($F$6-$E$6)),$G$6-SQRT((1-P148)*($G$6-$E$6)*($G$6-$F$6))))</f>
        <v>0.989549736708439</v>
      </c>
      <c r="C148" s="37" t="n">
        <f aca="false">1+IF($G$7=$E$7,$F$7,IF(Q148&lt;($F$7-$E$7)/($G$7-$E$7),$E$7+SQRT(Q148*($G$7-$E$7)*($F$7-$E$7)),$G$7-SQRT((1-Q148)*($G$7-$E$7)*($G$7-$F$7))))</f>
        <v>0.956337485740119</v>
      </c>
      <c r="D148" s="37" t="n">
        <f aca="false">1+IF($G$8=$E$8,$F$8,IF(R148&lt;($F$8-$E$8)/($G$8-$E$8),$E$8+SQRT(R148*($G$8-$E$8)*($F$8-$E$8)),$G$8-SQRT((1-R148)*($G$8-$E$8)*($G$8-$F$8))))</f>
        <v>1.05738281324816</v>
      </c>
      <c r="E148" s="37" t="n">
        <f aca="false">1+IF($G$9=$E$9,$F$9,IF(S148&lt;($F$9-$E$9)/($G$9-$E$9),$E$9+SQRT(S148*($G$9-$E$9)*($F$9-$E$9)),$G$9-SQRT((1-S148)*($G$9-$E$9)*($G$9-$F$9))))</f>
        <v>0.996622458118513</v>
      </c>
      <c r="F148" s="37" t="n">
        <f aca="false">1+IF($G$10=$E$10,$F$10,IF(T148&lt;($F$10-$E$10)/($G$10-$E$10),$E$10+SQRT(T148*($G$10-$E$10)*($F$10-$E$10)),$G$10-SQRT((1-T148)*($G$10-$E$10)*($G$10-$F$10))))</f>
        <v>0.998372943686222</v>
      </c>
      <c r="G148" s="38" t="n">
        <f aca="false">IF($G$11=$E$11,$F$11,IF(U148&lt;($F$11-$E$11)/($G$11-$E$11),$E$11+SQRT(U148*($G$11-$E$11)*($F$11-$E$11)),$G$11-SQRT((1-U148)*($G$11-$E$11)*($G$11-$F$11))))</f>
        <v>0.103545289398732</v>
      </c>
      <c r="H148" s="39" t="n">
        <f aca="false">(('Business Case'!B11*$C148*'Business Case'!B12*$B148)-'Business Case'!B11*$C148*'Business Case'!B13*$D148-'Business Case'!B14*$E148)-MAX(0,(('Business Case'!B11*$C148*'Business Case'!B12*$B148)-'Business Case'!B11*$C148*'Business Case'!B13*$D148-'Business Case'!B14*$E148))*'Business Case'!$B$7-'Business Case'!$B$8*('Business Case'!B11*$C148*'Business Case'!B12*$B148)-'Business Case'!B15*$F148</f>
        <v>-1996745887.37244</v>
      </c>
      <c r="I148" s="39" t="n">
        <f aca="false">(('Business Case'!C11*$C148*'Business Case'!C12*$B148)-'Business Case'!C11*$C148*'Business Case'!C13*$D148-'Business Case'!C14*$E148)-MAX(0,(('Business Case'!C11*$C148*'Business Case'!C12*$B148)-'Business Case'!C11*$C148*'Business Case'!C13*$D148-'Business Case'!C14*$E148))*'Business Case'!$B$7-'Business Case'!$B$8*(('Business Case'!C11*$C148*'Business Case'!C12*$B148)-('Business Case'!B11*$C148*'Business Case'!B12*$B148))-'Business Case'!C15*$F148</f>
        <v>-33153077.3934059</v>
      </c>
      <c r="J148" s="39" t="n">
        <f aca="false">(('Business Case'!D11*$C148*'Business Case'!D12*$B148)-'Business Case'!D11*$C148*'Business Case'!D13*$D148-'Business Case'!D14*$E148)-MAX(0,(('Business Case'!D11*$C148*'Business Case'!D12*$B148)-'Business Case'!D11*$C148*'Business Case'!D13*$D148-'Business Case'!D14*$E148))*'Business Case'!$B$7-'Business Case'!$B$8*(('Business Case'!D11*$C148*'Business Case'!D12*$B148)-('Business Case'!C11*$C148*'Business Case'!C12*$B148))-'Business Case'!D15*$F148</f>
        <v>224309300.540472</v>
      </c>
      <c r="K148" s="39" t="n">
        <f aca="false">(('Business Case'!E11*$C148*'Business Case'!E12*$B148)-'Business Case'!E11*$C148*'Business Case'!E13*$D148-'Business Case'!E14*$E148)-MAX(0,(('Business Case'!E11*$C148*'Business Case'!E12*$B148)-'Business Case'!E11*$C148*'Business Case'!E13*$D148-'Business Case'!E14*$E148))*'Business Case'!$B$7-'Business Case'!$B$8*(('Business Case'!E11*$C148*'Business Case'!E12*$B148)-('Business Case'!D11*$C148*'Business Case'!D12*$B148))-'Business Case'!E15*$F148</f>
        <v>531690325.658662</v>
      </c>
      <c r="L148" s="39" t="n">
        <f aca="false">(('Business Case'!F11*$C148*'Business Case'!F12*$B148)-'Business Case'!F11*$C148*'Business Case'!F13*$D148-'Business Case'!F14*$E148)-MAX(0,(('Business Case'!F11*$C148*'Business Case'!F12*$B148)-'Business Case'!F11*$C148*'Business Case'!F13*$D148-'Business Case'!F14*$E148))*'Business Case'!$B$7-'Business Case'!$B$8*(('Business Case'!F11*$C148*'Business Case'!F12*$B148)-('Business Case'!E11*$C148*'Business Case'!E12*$B148))-'Business Case'!F15*$F148</f>
        <v>650216749.912761</v>
      </c>
      <c r="M148" s="39" t="n">
        <f aca="false">(('Business Case'!G11*$C148*'Business Case'!G12*$B148)-'Business Case'!G11*$C148*'Business Case'!G13*$D148-'Business Case'!G14*$E148)-MAX(0,(('Business Case'!G11*$C148*'Business Case'!G12*$B148)-'Business Case'!G11*$C148*'Business Case'!G13*$D148-'Business Case'!G14*$E148))*'Business Case'!$B$7-'Business Case'!$B$8*(('Business Case'!G11*$C148*'Business Case'!G12*$B148)-('Business Case'!F11*$C148*'Business Case'!F12*$B148))-'Business Case'!G15*$F148+'Business Case'!$B$8*('Business Case'!G11*$C148*'Business Case'!G12*$B148)</f>
        <v>830097723.764862</v>
      </c>
      <c r="N148" s="39" t="n">
        <f aca="false">IF(COUNT('Business Case'!B11:G11)=0,"",H148+NPV(G148,I148:M148))</f>
        <v>-501342443.222988</v>
      </c>
      <c r="P148" s="40" t="n">
        <f aca="true">RAND()</f>
        <v>0.503871445438872</v>
      </c>
      <c r="Q148" s="40" t="n">
        <f aca="true">RAND()</f>
        <v>0.34916299210774</v>
      </c>
      <c r="R148" s="40" t="n">
        <f aca="true">RAND()</f>
        <v>0.950813736868486</v>
      </c>
      <c r="S148" s="40" t="n">
        <f aca="true">RAND()</f>
        <v>0.289820480135005</v>
      </c>
      <c r="T148" s="40" t="n">
        <f aca="true">RAND()</f>
        <v>0.187195334469636</v>
      </c>
      <c r="U148" s="40" t="n">
        <f aca="true">RAND()</f>
        <v>0.548737498380877</v>
      </c>
    </row>
    <row r="149" customFormat="false" ht="15" hidden="false" customHeight="false" outlineLevel="0" collapsed="false">
      <c r="A149" s="36" t="n">
        <v>69</v>
      </c>
      <c r="B149" s="37" t="n">
        <f aca="false">1+IF($G$6=$E$6,$F$6,IF(P149&lt;($F$6-$E$6)/($G$6-$E$6),$E$6+SQRT(P149*($G$6-$E$6)*($F$6-$E$6)),$G$6-SQRT((1-P149)*($G$6-$E$6)*($G$6-$F$6))))</f>
        <v>1.01136299967925</v>
      </c>
      <c r="C149" s="37" t="n">
        <f aca="false">1+IF($G$7=$E$7,$F$7,IF(Q149&lt;($F$7-$E$7)/($G$7-$E$7),$E$7+SQRT(Q149*($G$7-$E$7)*($F$7-$E$7)),$G$7-SQRT((1-Q149)*($G$7-$E$7)*($G$7-$F$7))))</f>
        <v>1.01976729483986</v>
      </c>
      <c r="D149" s="37" t="n">
        <f aca="false">1+IF($G$8=$E$8,$F$8,IF(R149&lt;($F$8-$E$8)/($G$8-$E$8),$E$8+SQRT(R149*($G$8-$E$8)*($F$8-$E$8)),$G$8-SQRT((1-R149)*($G$8-$E$8)*($G$8-$F$8))))</f>
        <v>1.067026046284</v>
      </c>
      <c r="E149" s="37" t="n">
        <f aca="false">1+IF($G$9=$E$9,$F$9,IF(S149&lt;($F$9-$E$9)/($G$9-$E$9),$E$9+SQRT(S149*($G$9-$E$9)*($F$9-$E$9)),$G$9-SQRT((1-S149)*($G$9-$E$9)*($G$9-$F$9))))</f>
        <v>0.997039359495299</v>
      </c>
      <c r="F149" s="37" t="n">
        <f aca="false">1+IF($G$10=$E$10,$F$10,IF(T149&lt;($F$10-$E$10)/($G$10-$E$10),$E$10+SQRT(T149*($G$10-$E$10)*($F$10-$E$10)),$G$10-SQRT((1-T149)*($G$10-$E$10)*($G$10-$F$10))))</f>
        <v>0.99847349166142</v>
      </c>
      <c r="G149" s="38" t="n">
        <f aca="false">IF($G$11=$E$11,$F$11,IF(U149&lt;($F$11-$E$11)/($G$11-$E$11),$E$11+SQRT(U149*($G$11-$E$11)*($F$11-$E$11)),$G$11-SQRT((1-U149)*($G$11-$E$11)*($G$11-$F$11))))</f>
        <v>0.103968826651389</v>
      </c>
      <c r="H149" s="39" t="n">
        <f aca="false">(('Business Case'!B11*$C149*'Business Case'!B12*$B149)-'Business Case'!B11*$C149*'Business Case'!B13*$D149-'Business Case'!B14*$E149)-MAX(0,(('Business Case'!B11*$C149*'Business Case'!B12*$B149)-'Business Case'!B11*$C149*'Business Case'!B13*$D149-'Business Case'!B14*$E149))*'Business Case'!$B$7-'Business Case'!$B$8*('Business Case'!B11*$C149*'Business Case'!B12*$B149)-'Business Case'!B15*$F149</f>
        <v>-1996946983.32284</v>
      </c>
      <c r="I149" s="39" t="n">
        <f aca="false">(('Business Case'!C11*$C149*'Business Case'!C12*$B149)-'Business Case'!C11*$C149*'Business Case'!C13*$D149-'Business Case'!C14*$E149)-MAX(0,(('Business Case'!C11*$C149*'Business Case'!C12*$B149)-'Business Case'!C11*$C149*'Business Case'!C13*$D149-'Business Case'!C14*$E149))*'Business Case'!$B$7-'Business Case'!$B$8*(('Business Case'!C11*$C149*'Business Case'!C12*$B149)-('Business Case'!B11*$C149*'Business Case'!B12*$B149))-'Business Case'!C15*$F149</f>
        <v>-7367357.64642084</v>
      </c>
      <c r="J149" s="39" t="n">
        <f aca="false">(('Business Case'!D11*$C149*'Business Case'!D12*$B149)-'Business Case'!D11*$C149*'Business Case'!D13*$D149-'Business Case'!D14*$E149)-MAX(0,(('Business Case'!D11*$C149*'Business Case'!D12*$B149)-'Business Case'!D11*$C149*'Business Case'!D13*$D149-'Business Case'!D14*$E149))*'Business Case'!$B$7-'Business Case'!$B$8*(('Business Case'!D11*$C149*'Business Case'!D12*$B149)-('Business Case'!C11*$C149*'Business Case'!C12*$B149))-'Business Case'!D15*$F149</f>
        <v>280357069.342656</v>
      </c>
      <c r="K149" s="39" t="n">
        <f aca="false">(('Business Case'!E11*$C149*'Business Case'!E12*$B149)-'Business Case'!E11*$C149*'Business Case'!E13*$D149-'Business Case'!E14*$E149)-MAX(0,(('Business Case'!E11*$C149*'Business Case'!E12*$B149)-'Business Case'!E11*$C149*'Business Case'!E13*$D149-'Business Case'!E14*$E149))*'Business Case'!$B$7-'Business Case'!$B$8*(('Business Case'!E11*$C149*'Business Case'!E12*$B149)-('Business Case'!D11*$C149*'Business Case'!D12*$B149))-'Business Case'!E15*$F149</f>
        <v>618005170.914804</v>
      </c>
      <c r="L149" s="39" t="n">
        <f aca="false">(('Business Case'!F11*$C149*'Business Case'!F12*$B149)-'Business Case'!F11*$C149*'Business Case'!F13*$D149-'Business Case'!F14*$E149)-MAX(0,(('Business Case'!F11*$C149*'Business Case'!F12*$B149)-'Business Case'!F11*$C149*'Business Case'!F13*$D149-'Business Case'!F14*$E149))*'Business Case'!$B$7-'Business Case'!$B$8*(('Business Case'!F11*$C149*'Business Case'!F12*$B149)-('Business Case'!E11*$C149*'Business Case'!E12*$B149))-'Business Case'!F15*$F149</f>
        <v>749556938.943912</v>
      </c>
      <c r="M149" s="39" t="n">
        <f aca="false">(('Business Case'!G11*$C149*'Business Case'!G12*$B149)-'Business Case'!G11*$C149*'Business Case'!G13*$D149-'Business Case'!G14*$E149)-MAX(0,(('Business Case'!G11*$C149*'Business Case'!G12*$B149)-'Business Case'!G11*$C149*'Business Case'!G13*$D149-'Business Case'!G14*$E149))*'Business Case'!$B$7-'Business Case'!$B$8*(('Business Case'!G11*$C149*'Business Case'!G12*$B149)-('Business Case'!F11*$C149*'Business Case'!F12*$B149))-'Business Case'!G15*$F149+'Business Case'!$B$8*('Business Case'!G11*$C149*'Business Case'!G12*$B149)</f>
        <v>945596880.290701</v>
      </c>
      <c r="N149" s="39" t="n">
        <f aca="false">IF(COUNT('Business Case'!B11:G11)=0,"",H149+NPV(G149,I149:M149))</f>
        <v>-232958831.862504</v>
      </c>
      <c r="P149" s="40" t="n">
        <f aca="true">RAND()</f>
        <v>0.829150460964391</v>
      </c>
      <c r="Q149" s="40" t="n">
        <f aca="true">RAND()</f>
        <v>0.67694176203185</v>
      </c>
      <c r="R149" s="40" t="n">
        <f aca="true">RAND()</f>
        <v>0.983815050478366</v>
      </c>
      <c r="S149" s="40" t="n">
        <f aca="true">RAND()</f>
        <v>0.295026845563731</v>
      </c>
      <c r="T149" s="40" t="n">
        <f aca="true">RAND()</f>
        <v>0.187974351507979</v>
      </c>
      <c r="U149" s="40" t="n">
        <f aca="true">RAND()</f>
        <v>0.571669135111308</v>
      </c>
    </row>
    <row r="150" customFormat="false" ht="15" hidden="false" customHeight="false" outlineLevel="0" collapsed="false">
      <c r="A150" s="36" t="n">
        <v>70</v>
      </c>
      <c r="B150" s="37" t="n">
        <f aca="false">1+IF($G$6=$E$6,$F$6,IF(P150&lt;($F$6-$E$6)/($G$6-$E$6),$E$6+SQRT(P150*($G$6-$E$6)*($F$6-$E$6)),$G$6-SQRT((1-P150)*($G$6-$E$6)*($G$6-$F$6))))</f>
        <v>0.960590751203567</v>
      </c>
      <c r="C150" s="37" t="n">
        <f aca="false">1+IF($G$7=$E$7,$F$7,IF(Q150&lt;($F$7-$E$7)/($G$7-$E$7),$E$7+SQRT(Q150*($G$7-$E$7)*($F$7-$E$7)),$G$7-SQRT((1-Q150)*($G$7-$E$7)*($G$7-$F$7))))</f>
        <v>0.878562127822323</v>
      </c>
      <c r="D150" s="37" t="n">
        <f aca="false">1+IF($G$8=$E$8,$F$8,IF(R150&lt;($F$8-$E$8)/($G$8-$E$8),$E$8+SQRT(R150*($G$8-$E$8)*($F$8-$E$8)),$G$8-SQRT((1-R150)*($G$8-$E$8)*($G$8-$F$8))))</f>
        <v>1.00612854733284</v>
      </c>
      <c r="E150" s="37" t="n">
        <f aca="false">1+IF($G$9=$E$9,$F$9,IF(S150&lt;($F$9-$E$9)/($G$9-$E$9),$E$9+SQRT(S150*($G$9-$E$9)*($F$9-$E$9)),$G$9-SQRT((1-S150)*($G$9-$E$9)*($G$9-$F$9))))</f>
        <v>0.982770148047319</v>
      </c>
      <c r="F150" s="37" t="n">
        <f aca="false">1+IF($G$10=$E$10,$F$10,IF(T150&lt;($F$10-$E$10)/($G$10-$E$10),$E$10+SQRT(T150*($G$10-$E$10)*($F$10-$E$10)),$G$10-SQRT((1-T150)*($G$10-$E$10)*($G$10-$F$10))))</f>
        <v>1.0176812215605</v>
      </c>
      <c r="G150" s="38" t="n">
        <f aca="false">IF($G$11=$E$11,$F$11,IF(U150&lt;($F$11-$E$11)/($G$11-$E$11),$E$11+SQRT(U150*($G$11-$E$11)*($F$11-$E$11)),$G$11-SQRT((1-U150)*($G$11-$E$11)*($G$11-$F$11))))</f>
        <v>0.0927327116213998</v>
      </c>
      <c r="H150" s="39" t="n">
        <f aca="false">(('Business Case'!B11*$C150*'Business Case'!B12*$B150)-'Business Case'!B11*$C150*'Business Case'!B13*$D150-'Business Case'!B14*$E150)-MAX(0,(('Business Case'!B11*$C150*'Business Case'!B12*$B150)-'Business Case'!B11*$C150*'Business Case'!B13*$D150-'Business Case'!B14*$E150))*'Business Case'!$B$7-'Business Case'!$B$8*('Business Case'!B11*$C150*'Business Case'!B12*$B150)-'Business Case'!B15*$F150</f>
        <v>-2035362443.121</v>
      </c>
      <c r="I150" s="39" t="n">
        <f aca="false">(('Business Case'!C11*$C150*'Business Case'!C12*$B150)-'Business Case'!C11*$C150*'Business Case'!C13*$D150-'Business Case'!C14*$E150)-MAX(0,(('Business Case'!C11*$C150*'Business Case'!C12*$B150)-'Business Case'!C11*$C150*'Business Case'!C13*$D150-'Business Case'!C14*$E150))*'Business Case'!$B$7-'Business Case'!$B$8*(('Business Case'!C11*$C150*'Business Case'!C12*$B150)-('Business Case'!B11*$C150*'Business Case'!B12*$B150))-'Business Case'!C15*$F150</f>
        <v>-46531155.7964978</v>
      </c>
      <c r="J150" s="39" t="n">
        <f aca="false">(('Business Case'!D11*$C150*'Business Case'!D12*$B150)-'Business Case'!D11*$C150*'Business Case'!D13*$D150-'Business Case'!D14*$E150)-MAX(0,(('Business Case'!D11*$C150*'Business Case'!D12*$B150)-'Business Case'!D11*$C150*'Business Case'!D13*$D150-'Business Case'!D14*$E150))*'Business Case'!$B$7-'Business Case'!$B$8*(('Business Case'!D11*$C150*'Business Case'!D12*$B150)-('Business Case'!C11*$C150*'Business Case'!C12*$B150))-'Business Case'!D15*$F150</f>
        <v>192205505.456568</v>
      </c>
      <c r="K150" s="39" t="n">
        <f aca="false">(('Business Case'!E11*$C150*'Business Case'!E12*$B150)-'Business Case'!E11*$C150*'Business Case'!E13*$D150-'Business Case'!E14*$E150)-MAX(0,(('Business Case'!E11*$C150*'Business Case'!E12*$B150)-'Business Case'!E11*$C150*'Business Case'!E13*$D150-'Business Case'!E14*$E150))*'Business Case'!$B$7-'Business Case'!$B$8*(('Business Case'!E11*$C150*'Business Case'!E12*$B150)-('Business Case'!D11*$C150*'Business Case'!D12*$B150))-'Business Case'!E15*$F150</f>
        <v>481826227.787659</v>
      </c>
      <c r="L150" s="39" t="n">
        <f aca="false">(('Business Case'!F11*$C150*'Business Case'!F12*$B150)-'Business Case'!F11*$C150*'Business Case'!F13*$D150-'Business Case'!F14*$E150)-MAX(0,(('Business Case'!F11*$C150*'Business Case'!F12*$B150)-'Business Case'!F11*$C150*'Business Case'!F13*$D150-'Business Case'!F14*$E150))*'Business Case'!$B$7-'Business Case'!$B$8*(('Business Case'!F11*$C150*'Business Case'!F12*$B150)-('Business Case'!E11*$C150*'Business Case'!E12*$B150))-'Business Case'!F15*$F150</f>
        <v>590571634.766138</v>
      </c>
      <c r="M150" s="39" t="n">
        <f aca="false">(('Business Case'!G11*$C150*'Business Case'!G12*$B150)-'Business Case'!G11*$C150*'Business Case'!G13*$D150-'Business Case'!G14*$E150)-MAX(0,(('Business Case'!G11*$C150*'Business Case'!G12*$B150)-'Business Case'!G11*$C150*'Business Case'!G13*$D150-'Business Case'!G14*$E150))*'Business Case'!$B$7-'Business Case'!$B$8*(('Business Case'!G11*$C150*'Business Case'!G12*$B150)-('Business Case'!F11*$C150*'Business Case'!F12*$B150))-'Business Case'!G15*$F150+'Business Case'!$B$8*('Business Case'!G11*$C150*'Business Case'!G12*$B150)</f>
        <v>750987494.183817</v>
      </c>
      <c r="N150" s="39" t="n">
        <f aca="false">IF(COUNT('Business Case'!B11:G11)=0,"",H150+NPV(G150,I150:M150))</f>
        <v>-651479424.837603</v>
      </c>
      <c r="P150" s="40" t="n">
        <f aca="true">RAND()</f>
        <v>0.171625946173942</v>
      </c>
      <c r="Q150" s="40" t="n">
        <f aca="true">RAND()</f>
        <v>0.0881715418281567</v>
      </c>
      <c r="R150" s="40" t="n">
        <f aca="true">RAND()</f>
        <v>0.475289277004187</v>
      </c>
      <c r="S150" s="40" t="n">
        <f aca="true">RAND()</f>
        <v>0.14318434707243</v>
      </c>
      <c r="T150" s="40" t="n">
        <f aca="true">RAND()</f>
        <v>0.335197260566564</v>
      </c>
      <c r="U150" s="40" t="n">
        <f aca="true">RAND()</f>
        <v>0.0248923760191107</v>
      </c>
    </row>
    <row r="151" customFormat="false" ht="15" hidden="false" customHeight="false" outlineLevel="0" collapsed="false">
      <c r="A151" s="36" t="n">
        <v>71</v>
      </c>
      <c r="B151" s="37" t="n">
        <f aca="false">1+IF($G$6=$E$6,$F$6,IF(P151&lt;($F$6-$E$6)/($G$6-$E$6),$E$6+SQRT(P151*($G$6-$E$6)*($F$6-$E$6)),$G$6-SQRT((1-P151)*($G$6-$E$6)*($G$6-$F$6))))</f>
        <v>0.998183206642876</v>
      </c>
      <c r="C151" s="37" t="n">
        <f aca="false">1+IF($G$7=$E$7,$F$7,IF(Q151&lt;($F$7-$E$7)/($G$7-$E$7),$E$7+SQRT(Q151*($G$7-$E$7)*($F$7-$E$7)),$G$7-SQRT((1-Q151)*($G$7-$E$7)*($G$7-$F$7))))</f>
        <v>1.07561170802396</v>
      </c>
      <c r="D151" s="37" t="n">
        <f aca="false">1+IF($G$8=$E$8,$F$8,IF(R151&lt;($F$8-$E$8)/($G$8-$E$8),$E$8+SQRT(R151*($G$8-$E$8)*($F$8-$E$8)),$G$8-SQRT((1-R151)*($G$8-$E$8)*($G$8-$F$8))))</f>
        <v>1.01035905693572</v>
      </c>
      <c r="E151" s="37" t="n">
        <f aca="false">1+IF($G$9=$E$9,$F$9,IF(S151&lt;($F$9-$E$9)/($G$9-$E$9),$E$9+SQRT(S151*($G$9-$E$9)*($F$9-$E$9)),$G$9-SQRT((1-S151)*($G$9-$E$9)*($G$9-$F$9))))</f>
        <v>1.00257651239285</v>
      </c>
      <c r="F151" s="37" t="n">
        <f aca="false">1+IF($G$10=$E$10,$F$10,IF(T151&lt;($F$10-$E$10)/($G$10-$E$10),$E$10+SQRT(T151*($G$10-$E$10)*($F$10-$E$10)),$G$10-SQRT((1-T151)*($G$10-$E$10)*($G$10-$F$10))))</f>
        <v>1.00113636212787</v>
      </c>
      <c r="G151" s="38" t="n">
        <f aca="false">IF($G$11=$E$11,$F$11,IF(U151&lt;($F$11-$E$11)/($G$11-$E$11),$E$11+SQRT(U151*($G$11-$E$11)*($F$11-$E$11)),$G$11-SQRT((1-U151)*($G$11-$E$11)*($G$11-$F$11))))</f>
        <v>0.113001442098791</v>
      </c>
      <c r="H151" s="39" t="n">
        <f aca="false">(('Business Case'!B11*$C151*'Business Case'!B12*$B151)-'Business Case'!B11*$C151*'Business Case'!B13*$D151-'Business Case'!B14*$E151)-MAX(0,(('Business Case'!B11*$C151*'Business Case'!B12*$B151)-'Business Case'!B11*$C151*'Business Case'!B13*$D151-'Business Case'!B14*$E151))*'Business Case'!$B$7-'Business Case'!$B$8*('Business Case'!B11*$C151*'Business Case'!B12*$B151)-'Business Case'!B15*$F151</f>
        <v>-2002272724.25574</v>
      </c>
      <c r="I151" s="39" t="n">
        <f aca="false">(('Business Case'!C11*$C151*'Business Case'!C12*$B151)-'Business Case'!C11*$C151*'Business Case'!C13*$D151-'Business Case'!C14*$E151)-MAX(0,(('Business Case'!C11*$C151*'Business Case'!C12*$B151)-'Business Case'!C11*$C151*'Business Case'!C13*$D151-'Business Case'!C14*$E151))*'Business Case'!$B$7-'Business Case'!$B$8*(('Business Case'!C11*$C151*'Business Case'!C12*$B151)-('Business Case'!B11*$C151*'Business Case'!B12*$B151))-'Business Case'!C15*$F151</f>
        <v>24733284.8605482</v>
      </c>
      <c r="J151" s="39" t="n">
        <f aca="false">(('Business Case'!D11*$C151*'Business Case'!D12*$B151)-'Business Case'!D11*$C151*'Business Case'!D13*$D151-'Business Case'!D14*$E151)-MAX(0,(('Business Case'!D11*$C151*'Business Case'!D12*$B151)-'Business Case'!D11*$C151*'Business Case'!D13*$D151-'Business Case'!D14*$E151))*'Business Case'!$B$7-'Business Case'!$B$8*(('Business Case'!D11*$C151*'Business Case'!D12*$B151)-('Business Case'!C11*$C151*'Business Case'!C12*$B151))-'Business Case'!D15*$F151</f>
        <v>347804993.06767</v>
      </c>
      <c r="K151" s="39" t="n">
        <f aca="false">(('Business Case'!E11*$C151*'Business Case'!E12*$B151)-'Business Case'!E11*$C151*'Business Case'!E13*$D151-'Business Case'!E14*$E151)-MAX(0,(('Business Case'!E11*$C151*'Business Case'!E12*$B151)-'Business Case'!E11*$C151*'Business Case'!E13*$D151-'Business Case'!E14*$E151))*'Business Case'!$B$7-'Business Case'!$B$8*(('Business Case'!E11*$C151*'Business Case'!E12*$B151)-('Business Case'!D11*$C151*'Business Case'!D12*$B151))-'Business Case'!E15*$F151</f>
        <v>720933519.381186</v>
      </c>
      <c r="L151" s="39" t="n">
        <f aca="false">(('Business Case'!F11*$C151*'Business Case'!F12*$B151)-'Business Case'!F11*$C151*'Business Case'!F13*$D151-'Business Case'!F14*$E151)-MAX(0,(('Business Case'!F11*$C151*'Business Case'!F12*$B151)-'Business Case'!F11*$C151*'Business Case'!F13*$D151-'Business Case'!F14*$E151))*'Business Case'!$B$7-'Business Case'!$B$8*(('Business Case'!F11*$C151*'Business Case'!F12*$B151)-('Business Case'!E11*$C151*'Business Case'!E12*$B151))-'Business Case'!F15*$F151</f>
        <v>865729693.49791</v>
      </c>
      <c r="M151" s="39" t="n">
        <f aca="false">(('Business Case'!G11*$C151*'Business Case'!G12*$B151)-'Business Case'!G11*$C151*'Business Case'!G13*$D151-'Business Case'!G14*$E151)-MAX(0,(('Business Case'!G11*$C151*'Business Case'!G12*$B151)-'Business Case'!G11*$C151*'Business Case'!G13*$D151-'Business Case'!G14*$E151))*'Business Case'!$B$7-'Business Case'!$B$8*(('Business Case'!G11*$C151*'Business Case'!G12*$B151)-('Business Case'!F11*$C151*'Business Case'!F12*$B151))-'Business Case'!G15*$F151+'Business Case'!$B$8*('Business Case'!G11*$C151*'Business Case'!G12*$B151)</f>
        <v>1069810519.42683</v>
      </c>
      <c r="N151" s="39" t="n">
        <f aca="false">IF(COUNT('Business Case'!B11:G11)=0,"",H151+NPV(G151,I151:M151))</f>
        <v>14124885.0660064</v>
      </c>
      <c r="P151" s="40" t="n">
        <f aca="true">RAND()</f>
        <v>0.636730604266935</v>
      </c>
      <c r="Q151" s="40" t="n">
        <f aca="true">RAND()</f>
        <v>0.894597752702631</v>
      </c>
      <c r="R151" s="40" t="n">
        <f aca="true">RAND()</f>
        <v>0.533667216261369</v>
      </c>
      <c r="S151" s="40" t="n">
        <f aca="true">RAND()</f>
        <v>0.367244270830608</v>
      </c>
      <c r="T151" s="40" t="n">
        <f aca="true">RAND()</f>
        <v>0.209065070645247</v>
      </c>
      <c r="U151" s="40" t="n">
        <f aca="true">RAND()</f>
        <v>0.918366978839039</v>
      </c>
    </row>
    <row r="152" customFormat="false" ht="15" hidden="false" customHeight="false" outlineLevel="0" collapsed="false">
      <c r="A152" s="36" t="n">
        <v>72</v>
      </c>
      <c r="B152" s="37" t="n">
        <f aca="false">1+IF($G$6=$E$6,$F$6,IF(P152&lt;($F$6-$E$6)/($G$6-$E$6),$E$6+SQRT(P152*($G$6-$E$6)*($F$6-$E$6)),$G$6-SQRT((1-P152)*($G$6-$E$6)*($G$6-$F$6))))</f>
        <v>0.993608562627662</v>
      </c>
      <c r="C152" s="37" t="n">
        <f aca="false">1+IF($G$7=$E$7,$F$7,IF(Q152&lt;($F$7-$E$7)/($G$7-$E$7),$E$7+SQRT(Q152*($G$7-$E$7)*($F$7-$E$7)),$G$7-SQRT((1-Q152)*($G$7-$E$7)*($G$7-$F$7))))</f>
        <v>0.970488931102144</v>
      </c>
      <c r="D152" s="37" t="n">
        <f aca="false">1+IF($G$8=$E$8,$F$8,IF(R152&lt;($F$8-$E$8)/($G$8-$E$8),$E$8+SQRT(R152*($G$8-$E$8)*($F$8-$E$8)),$G$8-SQRT((1-R152)*($G$8-$E$8)*($G$8-$F$8))))</f>
        <v>0.996358640218604</v>
      </c>
      <c r="E152" s="37" t="n">
        <f aca="false">1+IF($G$9=$E$9,$F$9,IF(S152&lt;($F$9-$E$9)/($G$9-$E$9),$E$9+SQRT(S152*($G$9-$E$9)*($F$9-$E$9)),$G$9-SQRT((1-S152)*($G$9-$E$9)*($G$9-$F$9))))</f>
        <v>1.03261267173129</v>
      </c>
      <c r="F152" s="37" t="n">
        <f aca="false">1+IF($G$10=$E$10,$F$10,IF(T152&lt;($F$10-$E$10)/($G$10-$E$10),$E$10+SQRT(T152*($G$10-$E$10)*($F$10-$E$10)),$G$10-SQRT((1-T152)*($G$10-$E$10)*($G$10-$F$10))))</f>
        <v>0.991366992344949</v>
      </c>
      <c r="G152" s="38" t="n">
        <f aca="false">IF($G$11=$E$11,$F$11,IF(U152&lt;($F$11-$E$11)/($G$11-$E$11),$E$11+SQRT(U152*($G$11-$E$11)*($F$11-$E$11)),$G$11-SQRT((1-U152)*($G$11-$E$11)*($G$11-$F$11))))</f>
        <v>0.112057674485885</v>
      </c>
      <c r="H152" s="39" t="n">
        <f aca="false">(('Business Case'!B11*$C152*'Business Case'!B12*$B152)-'Business Case'!B11*$C152*'Business Case'!B13*$D152-'Business Case'!B14*$E152)-MAX(0,(('Business Case'!B11*$C152*'Business Case'!B12*$B152)-'Business Case'!B11*$C152*'Business Case'!B13*$D152-'Business Case'!B14*$E152))*'Business Case'!$B$7-'Business Case'!$B$8*('Business Case'!B11*$C152*'Business Case'!B12*$B152)-'Business Case'!B15*$F152</f>
        <v>-1982733984.6899</v>
      </c>
      <c r="I152" s="39" t="n">
        <f aca="false">(('Business Case'!C11*$C152*'Business Case'!C12*$B152)-'Business Case'!C11*$C152*'Business Case'!C13*$D152-'Business Case'!C14*$E152)-MAX(0,(('Business Case'!C11*$C152*'Business Case'!C12*$B152)-'Business Case'!C11*$C152*'Business Case'!C13*$D152-'Business Case'!C14*$E152))*'Business Case'!$B$7-'Business Case'!$B$8*(('Business Case'!C11*$C152*'Business Case'!C12*$B152)-('Business Case'!B11*$C152*'Business Case'!B12*$B152))-'Business Case'!C15*$F152</f>
        <v>-1146678.81436248</v>
      </c>
      <c r="J152" s="39" t="n">
        <f aca="false">(('Business Case'!D11*$C152*'Business Case'!D12*$B152)-'Business Case'!D11*$C152*'Business Case'!D13*$D152-'Business Case'!D14*$E152)-MAX(0,(('Business Case'!D11*$C152*'Business Case'!D12*$B152)-'Business Case'!D11*$C152*'Business Case'!D13*$D152-'Business Case'!D14*$E152))*'Business Case'!$B$7-'Business Case'!$B$8*(('Business Case'!D11*$C152*'Business Case'!D12*$B152)-('Business Case'!C11*$C152*'Business Case'!C12*$B152))-'Business Case'!D15*$F152</f>
        <v>293669455.565738</v>
      </c>
      <c r="K152" s="39" t="n">
        <f aca="false">(('Business Case'!E11*$C152*'Business Case'!E12*$B152)-'Business Case'!E11*$C152*'Business Case'!E13*$D152-'Business Case'!E14*$E152)-MAX(0,(('Business Case'!E11*$C152*'Business Case'!E12*$B152)-'Business Case'!E11*$C152*'Business Case'!E13*$D152-'Business Case'!E14*$E152))*'Business Case'!$B$7-'Business Case'!$B$8*(('Business Case'!E11*$C152*'Business Case'!E12*$B152)-('Business Case'!D11*$C152*'Business Case'!D12*$B152))-'Business Case'!E15*$F152</f>
        <v>638053939.563085</v>
      </c>
      <c r="L152" s="39" t="n">
        <f aca="false">(('Business Case'!F11*$C152*'Business Case'!F12*$B152)-'Business Case'!F11*$C152*'Business Case'!F13*$D152-'Business Case'!F14*$E152)-MAX(0,(('Business Case'!F11*$C152*'Business Case'!F12*$B152)-'Business Case'!F11*$C152*'Business Case'!F13*$D152-'Business Case'!F14*$E152))*'Business Case'!$B$7-'Business Case'!$B$8*(('Business Case'!F11*$C152*'Business Case'!F12*$B152)-('Business Case'!E11*$C152*'Business Case'!E12*$B152))-'Business Case'!F15*$F152</f>
        <v>769651712.382972</v>
      </c>
      <c r="M152" s="39" t="n">
        <f aca="false">(('Business Case'!G11*$C152*'Business Case'!G12*$B152)-'Business Case'!G11*$C152*'Business Case'!G13*$D152-'Business Case'!G14*$E152)-MAX(0,(('Business Case'!G11*$C152*'Business Case'!G12*$B152)-'Business Case'!G11*$C152*'Business Case'!G13*$D152-'Business Case'!G14*$E152))*'Business Case'!$B$7-'Business Case'!$B$8*(('Business Case'!G11*$C152*'Business Case'!G12*$B152)-('Business Case'!F11*$C152*'Business Case'!F12*$B152))-'Business Case'!G15*$F152+'Business Case'!$B$8*('Business Case'!G11*$C152*'Business Case'!G12*$B152)</f>
        <v>952943216.528829</v>
      </c>
      <c r="N152" s="39" t="n">
        <f aca="false">IF(COUNT('Business Case'!B11:G11)=0,"",H152+NPV(G152,I152:M152))</f>
        <v>-218778957.379431</v>
      </c>
      <c r="P152" s="40" t="n">
        <f aca="true">RAND()</f>
        <v>0.564397967928173</v>
      </c>
      <c r="Q152" s="40" t="n">
        <f aca="true">RAND()</f>
        <v>0.415235366119307</v>
      </c>
      <c r="R152" s="40" t="n">
        <f aca="true">RAND()</f>
        <v>0.330634388141219</v>
      </c>
      <c r="S152" s="40" t="n">
        <f aca="true">RAND()</f>
        <v>0.69726319925363</v>
      </c>
      <c r="T152" s="40" t="n">
        <f aca="true">RAND()</f>
        <v>0.136898244453364</v>
      </c>
      <c r="U152" s="40" t="n">
        <f aca="true">RAND()</f>
        <v>0.894865775713051</v>
      </c>
    </row>
    <row r="153" customFormat="false" ht="15" hidden="false" customHeight="false" outlineLevel="0" collapsed="false">
      <c r="A153" s="36" t="n">
        <v>73</v>
      </c>
      <c r="B153" s="37" t="n">
        <f aca="false">1+IF($G$6=$E$6,$F$6,IF(P153&lt;($F$6-$E$6)/($G$6-$E$6),$E$6+SQRT(P153*($G$6-$E$6)*($F$6-$E$6)),$G$6-SQRT((1-P153)*($G$6-$E$6)*($G$6-$F$6))))</f>
        <v>0.975308040188874</v>
      </c>
      <c r="C153" s="37" t="n">
        <f aca="false">1+IF($G$7=$E$7,$F$7,IF(Q153&lt;($F$7-$E$7)/($G$7-$E$7),$E$7+SQRT(Q153*($G$7-$E$7)*($F$7-$E$7)),$G$7-SQRT((1-Q153)*($G$7-$E$7)*($G$7-$F$7))))</f>
        <v>1.12051382222119</v>
      </c>
      <c r="D153" s="37" t="n">
        <f aca="false">1+IF($G$8=$E$8,$F$8,IF(R153&lt;($F$8-$E$8)/($G$8-$E$8),$E$8+SQRT(R153*($G$8-$E$8)*($F$8-$E$8)),$G$8-SQRT((1-R153)*($G$8-$E$8)*($G$8-$F$8))))</f>
        <v>0.960872156078167</v>
      </c>
      <c r="E153" s="37" t="n">
        <f aca="false">1+IF($G$9=$E$9,$F$9,IF(S153&lt;($F$9-$E$9)/($G$9-$E$9),$E$9+SQRT(S153*($G$9-$E$9)*($F$9-$E$9)),$G$9-SQRT((1-S153)*($G$9-$E$9)*($G$9-$F$9))))</f>
        <v>0.998339884468991</v>
      </c>
      <c r="F153" s="37" t="n">
        <f aca="false">1+IF($G$10=$E$10,$F$10,IF(T153&lt;($F$10-$E$10)/($G$10-$E$10),$E$10+SQRT(T153*($G$10-$E$10)*($F$10-$E$10)),$G$10-SQRT((1-T153)*($G$10-$E$10)*($G$10-$F$10))))</f>
        <v>0.998136011521067</v>
      </c>
      <c r="G153" s="38" t="n">
        <f aca="false">IF($G$11=$E$11,$F$11,IF(U153&lt;($F$11-$E$11)/($G$11-$E$11),$E$11+SQRT(U153*($G$11-$E$11)*($F$11-$E$11)),$G$11-SQRT((1-U153)*($G$11-$E$11)*($G$11-$F$11))))</f>
        <v>0.10930043293744</v>
      </c>
      <c r="H153" s="39" t="n">
        <f aca="false">(('Business Case'!B11*$C153*'Business Case'!B12*$B153)-'Business Case'!B11*$C153*'Business Case'!B13*$D153-'Business Case'!B14*$E153)-MAX(0,(('Business Case'!B11*$C153*'Business Case'!B12*$B153)-'Business Case'!B11*$C153*'Business Case'!B13*$D153-'Business Case'!B14*$E153))*'Business Case'!$B$7-'Business Case'!$B$8*('Business Case'!B11*$C153*'Business Case'!B12*$B153)-'Business Case'!B15*$F153</f>
        <v>-1996272023.04213</v>
      </c>
      <c r="I153" s="39" t="n">
        <f aca="false">(('Business Case'!C11*$C153*'Business Case'!C12*$B153)-'Business Case'!C11*$C153*'Business Case'!C13*$D153-'Business Case'!C14*$E153)-MAX(0,(('Business Case'!C11*$C153*'Business Case'!C12*$B153)-'Business Case'!C11*$C153*'Business Case'!C13*$D153-'Business Case'!C14*$E153))*'Business Case'!$B$7-'Business Case'!$B$8*(('Business Case'!C11*$C153*'Business Case'!C12*$B153)-('Business Case'!B11*$C153*'Business Case'!B12*$B153))-'Business Case'!C15*$F153</f>
        <v>45519818.0452028</v>
      </c>
      <c r="J153" s="39" t="n">
        <f aca="false">(('Business Case'!D11*$C153*'Business Case'!D12*$B153)-'Business Case'!D11*$C153*'Business Case'!D13*$D153-'Business Case'!D14*$E153)-MAX(0,(('Business Case'!D11*$C153*'Business Case'!D12*$B153)-'Business Case'!D11*$C153*'Business Case'!D13*$D153-'Business Case'!D14*$E153))*'Business Case'!$B$7-'Business Case'!$B$8*(('Business Case'!D11*$C153*'Business Case'!D12*$B153)-('Business Case'!C11*$C153*'Business Case'!C12*$B153))-'Business Case'!D15*$F153</f>
        <v>389470312.709275</v>
      </c>
      <c r="K153" s="39" t="n">
        <f aca="false">(('Business Case'!E11*$C153*'Business Case'!E12*$B153)-'Business Case'!E11*$C153*'Business Case'!E13*$D153-'Business Case'!E14*$E153)-MAX(0,(('Business Case'!E11*$C153*'Business Case'!E12*$B153)-'Business Case'!E11*$C153*'Business Case'!E13*$D153-'Business Case'!E14*$E153))*'Business Case'!$B$7-'Business Case'!$B$8*(('Business Case'!E11*$C153*'Business Case'!E12*$B153)-('Business Case'!D11*$C153*'Business Case'!D12*$B153))-'Business Case'!E15*$F153</f>
        <v>783327607.9494</v>
      </c>
      <c r="L153" s="39" t="n">
        <f aca="false">(('Business Case'!F11*$C153*'Business Case'!F12*$B153)-'Business Case'!F11*$C153*'Business Case'!F13*$D153-'Business Case'!F14*$E153)-MAX(0,(('Business Case'!F11*$C153*'Business Case'!F12*$B153)-'Business Case'!F11*$C153*'Business Case'!F13*$D153-'Business Case'!F14*$E153))*'Business Case'!$B$7-'Business Case'!$B$8*(('Business Case'!F11*$C153*'Business Case'!F12*$B153)-('Business Case'!E11*$C153*'Business Case'!E12*$B153))-'Business Case'!F15*$F153</f>
        <v>935746535.434272</v>
      </c>
      <c r="M153" s="39" t="n">
        <f aca="false">(('Business Case'!G11*$C153*'Business Case'!G12*$B153)-'Business Case'!G11*$C153*'Business Case'!G13*$D153-'Business Case'!G14*$E153)-MAX(0,(('Business Case'!G11*$C153*'Business Case'!G12*$B153)-'Business Case'!G11*$C153*'Business Case'!G13*$D153-'Business Case'!G14*$E153))*'Business Case'!$B$7-'Business Case'!$B$8*(('Business Case'!G11*$C153*'Business Case'!G12*$B153)-('Business Case'!F11*$C153*'Business Case'!F12*$B153))-'Business Case'!G15*$F153+'Business Case'!$B$8*('Business Case'!G11*$C153*'Business Case'!G12*$B153)</f>
        <v>1143474729.71694</v>
      </c>
      <c r="N153" s="39" t="n">
        <f aca="false">IF(COUNT('Business Case'!B11:G11)=0,"",H153+NPV(G153,I153:M153))</f>
        <v>233811696.140079</v>
      </c>
      <c r="P153" s="40" t="n">
        <f aca="true">RAND()</f>
        <v>0.318643678076464</v>
      </c>
      <c r="Q153" s="40" t="n">
        <f aca="true">RAND()</f>
        <v>0.983439339428504</v>
      </c>
      <c r="R153" s="40" t="n">
        <f aca="true">RAND()</f>
        <v>0.0181851965827716</v>
      </c>
      <c r="S153" s="40" t="n">
        <f aca="true">RAND()</f>
        <v>0.311565924063381</v>
      </c>
      <c r="T153" s="40" t="n">
        <f aca="true">RAND()</f>
        <v>0.1853660484125</v>
      </c>
      <c r="U153" s="40" t="n">
        <f aca="true">RAND()</f>
        <v>0.809198774456302</v>
      </c>
    </row>
    <row r="154" customFormat="false" ht="15" hidden="false" customHeight="false" outlineLevel="0" collapsed="false">
      <c r="A154" s="36" t="n">
        <v>74</v>
      </c>
      <c r="B154" s="37" t="n">
        <f aca="false">1+IF($G$6=$E$6,$F$6,IF(P154&lt;($F$6-$E$6)/($G$6-$E$6),$E$6+SQRT(P154*($G$6-$E$6)*($F$6-$E$6)),$G$6-SQRT((1-P154)*($G$6-$E$6)*($G$6-$F$6))))</f>
        <v>0.959784872535304</v>
      </c>
      <c r="C154" s="37" t="n">
        <f aca="false">1+IF($G$7=$E$7,$F$7,IF(Q154&lt;($F$7-$E$7)/($G$7-$E$7),$E$7+SQRT(Q154*($G$7-$E$7)*($F$7-$E$7)),$G$7-SQRT((1-Q154)*($G$7-$E$7)*($G$7-$F$7))))</f>
        <v>0.968324193327236</v>
      </c>
      <c r="D154" s="37" t="n">
        <f aca="false">1+IF($G$8=$E$8,$F$8,IF(R154&lt;($F$8-$E$8)/($G$8-$E$8),$E$8+SQRT(R154*($G$8-$E$8)*($F$8-$E$8)),$G$8-SQRT((1-R154)*($G$8-$E$8)*($G$8-$F$8))))</f>
        <v>1.04397762179639</v>
      </c>
      <c r="E154" s="37" t="n">
        <f aca="false">1+IF($G$9=$E$9,$F$9,IF(S154&lt;($F$9-$E$9)/($G$9-$E$9),$E$9+SQRT(S154*($G$9-$E$9)*($F$9-$E$9)),$G$9-SQRT((1-S154)*($G$9-$E$9)*($G$9-$F$9))))</f>
        <v>1.00636139261865</v>
      </c>
      <c r="F154" s="37" t="n">
        <f aca="false">1+IF($G$10=$E$10,$F$10,IF(T154&lt;($F$10-$E$10)/($G$10-$E$10),$E$10+SQRT(T154*($G$10-$E$10)*($F$10-$E$10)),$G$10-SQRT((1-T154)*($G$10-$E$10)*($G$10-$F$10))))</f>
        <v>0.997282532451494</v>
      </c>
      <c r="G154" s="38" t="n">
        <f aca="false">IF($G$11=$E$11,$F$11,IF(U154&lt;($F$11-$E$11)/($G$11-$E$11),$E$11+SQRT(U154*($G$11-$E$11)*($F$11-$E$11)),$G$11-SQRT((1-U154)*($G$11-$E$11)*($G$11-$F$11))))</f>
        <v>0.096367509389307</v>
      </c>
      <c r="H154" s="39" t="n">
        <f aca="false">(('Business Case'!B11*$C154*'Business Case'!B12*$B154)-'Business Case'!B11*$C154*'Business Case'!B13*$D154-'Business Case'!B14*$E154)-MAX(0,(('Business Case'!B11*$C154*'Business Case'!B12*$B154)-'Business Case'!B11*$C154*'Business Case'!B13*$D154-'Business Case'!B14*$E154))*'Business Case'!$B$7-'Business Case'!$B$8*('Business Case'!B11*$C154*'Business Case'!B12*$B154)-'Business Case'!B15*$F154</f>
        <v>-1994565064.90299</v>
      </c>
      <c r="I154" s="39" t="n">
        <f aca="false">(('Business Case'!C11*$C154*'Business Case'!C12*$B154)-'Business Case'!C11*$C154*'Business Case'!C13*$D154-'Business Case'!C14*$E154)-MAX(0,(('Business Case'!C11*$C154*'Business Case'!C12*$B154)-'Business Case'!C11*$C154*'Business Case'!C13*$D154-'Business Case'!C14*$E154))*'Business Case'!$B$7-'Business Case'!$B$8*(('Business Case'!C11*$C154*'Business Case'!C12*$B154)-('Business Case'!B11*$C154*'Business Case'!B12*$B154))-'Business Case'!C15*$F154</f>
        <v>-47284959.5763353</v>
      </c>
      <c r="J154" s="39" t="n">
        <f aca="false">(('Business Case'!D11*$C154*'Business Case'!D12*$B154)-'Business Case'!D11*$C154*'Business Case'!D13*$D154-'Business Case'!D14*$E154)-MAX(0,(('Business Case'!D11*$C154*'Business Case'!D12*$B154)-'Business Case'!D11*$C154*'Business Case'!D13*$D154-'Business Case'!D14*$E154))*'Business Case'!$B$7-'Business Case'!$B$8*(('Business Case'!D11*$C154*'Business Case'!D12*$B154)-('Business Case'!C11*$C154*'Business Case'!C12*$B154))-'Business Case'!D15*$F154</f>
        <v>196442134.305058</v>
      </c>
      <c r="K154" s="39" t="n">
        <f aca="false">(('Business Case'!E11*$C154*'Business Case'!E12*$B154)-'Business Case'!E11*$C154*'Business Case'!E13*$D154-'Business Case'!E14*$E154)-MAX(0,(('Business Case'!E11*$C154*'Business Case'!E12*$B154)-'Business Case'!E11*$C154*'Business Case'!E13*$D154-'Business Case'!E14*$E154))*'Business Case'!$B$7-'Business Case'!$B$8*(('Business Case'!E11*$C154*'Business Case'!E12*$B154)-('Business Case'!D11*$C154*'Business Case'!D12*$B154))-'Business Case'!E15*$F154</f>
        <v>490033354.809027</v>
      </c>
      <c r="L154" s="39" t="n">
        <f aca="false">(('Business Case'!F11*$C154*'Business Case'!F12*$B154)-'Business Case'!F11*$C154*'Business Case'!F13*$D154-'Business Case'!F14*$E154)-MAX(0,(('Business Case'!F11*$C154*'Business Case'!F12*$B154)-'Business Case'!F11*$C154*'Business Case'!F13*$D154-'Business Case'!F14*$E154))*'Business Case'!$B$7-'Business Case'!$B$8*(('Business Case'!F11*$C154*'Business Case'!F12*$B154)-('Business Case'!E11*$C154*'Business Case'!E12*$B154))-'Business Case'!F15*$F154</f>
        <v>603395192.890963</v>
      </c>
      <c r="M154" s="39" t="n">
        <f aca="false">(('Business Case'!G11*$C154*'Business Case'!G12*$B154)-'Business Case'!G11*$C154*'Business Case'!G13*$D154-'Business Case'!G14*$E154)-MAX(0,(('Business Case'!G11*$C154*'Business Case'!G12*$B154)-'Business Case'!G11*$C154*'Business Case'!G13*$D154-'Business Case'!G14*$E154))*'Business Case'!$B$7-'Business Case'!$B$8*(('Business Case'!G11*$C154*'Business Case'!G12*$B154)-('Business Case'!F11*$C154*'Business Case'!F12*$B154))-'Business Case'!G15*$F154+'Business Case'!$B$8*('Business Case'!G11*$C154*'Business Case'!G12*$B154)</f>
        <v>780052296.892393</v>
      </c>
      <c r="N154" s="39" t="n">
        <f aca="false">IF(COUNT('Business Case'!B11:G11)=0,"",H154+NPV(G154,I154:M154))</f>
        <v>-592382150.189525</v>
      </c>
      <c r="P154" s="40" t="n">
        <f aca="true">RAND()</f>
        <v>0.164878758609416</v>
      </c>
      <c r="Q154" s="40" t="n">
        <f aca="true">RAND()</f>
        <v>0.40475762941807</v>
      </c>
      <c r="R154" s="40" t="n">
        <f aca="true">RAND()</f>
        <v>0.875229641207335</v>
      </c>
      <c r="S154" s="40" t="n">
        <f aca="true">RAND()</f>
        <v>0.415454080512043</v>
      </c>
      <c r="T154" s="40" t="n">
        <f aca="true">RAND()</f>
        <v>0.178851030002125</v>
      </c>
      <c r="U154" s="40" t="n">
        <f aca="true">RAND()</f>
        <v>0.135150586076375</v>
      </c>
    </row>
    <row r="155" customFormat="false" ht="15" hidden="false" customHeight="false" outlineLevel="0" collapsed="false">
      <c r="A155" s="36" t="n">
        <v>75</v>
      </c>
      <c r="B155" s="37" t="n">
        <f aca="false">1+IF($G$6=$E$6,$F$6,IF(P155&lt;($F$6-$E$6)/($G$6-$E$6),$E$6+SQRT(P155*($G$6-$E$6)*($F$6-$E$6)),$G$6-SQRT((1-P155)*($G$6-$E$6)*($G$6-$F$6))))</f>
        <v>1.00224854529055</v>
      </c>
      <c r="C155" s="37" t="n">
        <f aca="false">1+IF($G$7=$E$7,$F$7,IF(Q155&lt;($F$7-$E$7)/($G$7-$E$7),$E$7+SQRT(Q155*($G$7-$E$7)*($F$7-$E$7)),$G$7-SQRT((1-Q155)*($G$7-$E$7)*($G$7-$F$7))))</f>
        <v>0.888773921118306</v>
      </c>
      <c r="D155" s="37" t="n">
        <f aca="false">1+IF($G$8=$E$8,$F$8,IF(R155&lt;($F$8-$E$8)/($G$8-$E$8),$E$8+SQRT(R155*($G$8-$E$8)*($F$8-$E$8)),$G$8-SQRT((1-R155)*($G$8-$E$8)*($G$8-$F$8))))</f>
        <v>1.00217251338511</v>
      </c>
      <c r="E155" s="37" t="n">
        <f aca="false">1+IF($G$9=$E$9,$F$9,IF(S155&lt;($F$9-$E$9)/($G$9-$E$9),$E$9+SQRT(S155*($G$9-$E$9)*($F$9-$E$9)),$G$9-SQRT((1-S155)*($G$9-$E$9)*($G$9-$F$9))))</f>
        <v>1.02403455699776</v>
      </c>
      <c r="F155" s="37" t="n">
        <f aca="false">1+IF($G$10=$E$10,$F$10,IF(T155&lt;($F$10-$E$10)/($G$10-$E$10),$E$10+SQRT(T155*($G$10-$E$10)*($F$10-$E$10)),$G$10-SQRT((1-T155)*($G$10-$E$10)*($G$10-$F$10))))</f>
        <v>1.1353689408135</v>
      </c>
      <c r="G155" s="38" t="n">
        <f aca="false">IF($G$11=$E$11,$F$11,IF(U155&lt;($F$11-$E$11)/($G$11-$E$11),$E$11+SQRT(U155*($G$11-$E$11)*($F$11-$E$11)),$G$11-SQRT((1-U155)*($G$11-$E$11)*($G$11-$F$11))))</f>
        <v>0.104172541518213</v>
      </c>
      <c r="H155" s="39" t="n">
        <f aca="false">(('Business Case'!B11*$C155*'Business Case'!B12*$B155)-'Business Case'!B11*$C155*'Business Case'!B13*$D155-'Business Case'!B14*$E155)-MAX(0,(('Business Case'!B11*$C155*'Business Case'!B12*$B155)-'Business Case'!B11*$C155*'Business Case'!B13*$D155-'Business Case'!B14*$E155))*'Business Case'!$B$7-'Business Case'!$B$8*('Business Case'!B11*$C155*'Business Case'!B12*$B155)-'Business Case'!B15*$F155</f>
        <v>-2270737881.62699</v>
      </c>
      <c r="I155" s="39" t="n">
        <f aca="false">(('Business Case'!C11*$C155*'Business Case'!C12*$B155)-'Business Case'!C11*$C155*'Business Case'!C13*$D155-'Business Case'!C14*$E155)-MAX(0,(('Business Case'!C11*$C155*'Business Case'!C12*$B155)-'Business Case'!C11*$C155*'Business Case'!C13*$D155-'Business Case'!C14*$E155))*'Business Case'!$B$7-'Business Case'!$B$8*(('Business Case'!C11*$C155*'Business Case'!C12*$B155)-('Business Case'!B11*$C155*'Business Case'!B12*$B155))-'Business Case'!C15*$F155</f>
        <v>-31695139.7927712</v>
      </c>
      <c r="J155" s="39" t="n">
        <f aca="false">(('Business Case'!D11*$C155*'Business Case'!D12*$B155)-'Business Case'!D11*$C155*'Business Case'!D13*$D155-'Business Case'!D14*$E155)-MAX(0,(('Business Case'!D11*$C155*'Business Case'!D12*$B155)-'Business Case'!D11*$C155*'Business Case'!D13*$D155-'Business Case'!D14*$E155))*'Business Case'!$B$7-'Business Case'!$B$8*(('Business Case'!D11*$C155*'Business Case'!D12*$B155)-('Business Case'!C11*$C155*'Business Case'!C12*$B155))-'Business Case'!D15*$F155</f>
        <v>241941968.13748</v>
      </c>
      <c r="K155" s="39" t="n">
        <f aca="false">(('Business Case'!E11*$C155*'Business Case'!E12*$B155)-'Business Case'!E11*$C155*'Business Case'!E13*$D155-'Business Case'!E14*$E155)-MAX(0,(('Business Case'!E11*$C155*'Business Case'!E12*$B155)-'Business Case'!E11*$C155*'Business Case'!E13*$D155-'Business Case'!E14*$E155))*'Business Case'!$B$7-'Business Case'!$B$8*(('Business Case'!E11*$C155*'Business Case'!E12*$B155)-('Business Case'!D11*$C155*'Business Case'!D12*$B155))-'Business Case'!E15*$F155</f>
        <v>572347523.108405</v>
      </c>
      <c r="L155" s="39" t="n">
        <f aca="false">(('Business Case'!F11*$C155*'Business Case'!F12*$B155)-'Business Case'!F11*$C155*'Business Case'!F13*$D155-'Business Case'!F14*$E155)-MAX(0,(('Business Case'!F11*$C155*'Business Case'!F12*$B155)-'Business Case'!F11*$C155*'Business Case'!F13*$D155-'Business Case'!F14*$E155))*'Business Case'!$B$7-'Business Case'!$B$8*(('Business Case'!F11*$C155*'Business Case'!F12*$B155)-('Business Case'!E11*$C155*'Business Case'!E12*$B155))-'Business Case'!F15*$F155</f>
        <v>694344985.509549</v>
      </c>
      <c r="M155" s="39" t="n">
        <f aca="false">(('Business Case'!G11*$C155*'Business Case'!G12*$B155)-'Business Case'!G11*$C155*'Business Case'!G13*$D155-'Business Case'!G14*$E155)-MAX(0,(('Business Case'!G11*$C155*'Business Case'!G12*$B155)-'Business Case'!G11*$C155*'Business Case'!G13*$D155-'Business Case'!G14*$E155))*'Business Case'!$B$7-'Business Case'!$B$8*(('Business Case'!G11*$C155*'Business Case'!G12*$B155)-('Business Case'!F11*$C155*'Business Case'!F12*$B155))-'Business Case'!G15*$F155+'Business Case'!$B$8*('Business Case'!G11*$C155*'Business Case'!G12*$B155)</f>
        <v>863662997.510382</v>
      </c>
      <c r="N155" s="39" t="n">
        <f aca="false">IF(COUNT('Business Case'!B11:G11)=0,"",H155+NPV(G155,I155:M155))</f>
        <v>-682512798.607518</v>
      </c>
      <c r="P155" s="40" t="n">
        <f aca="true">RAND()</f>
        <v>0.703089097358454</v>
      </c>
      <c r="Q155" s="40" t="n">
        <f aca="true">RAND()</f>
        <v>0.11258298672456</v>
      </c>
      <c r="R155" s="40" t="n">
        <f aca="true">RAND()</f>
        <v>0.417584839154668</v>
      </c>
      <c r="S155" s="40" t="n">
        <f aca="true">RAND()</f>
        <v>0.615283431298233</v>
      </c>
      <c r="T155" s="40" t="n">
        <f aca="true">RAND()</f>
        <v>0.916456523768612</v>
      </c>
      <c r="U155" s="40" t="n">
        <f aca="true">RAND()</f>
        <v>0.582485930012188</v>
      </c>
    </row>
    <row r="156" customFormat="false" ht="15" hidden="false" customHeight="false" outlineLevel="0" collapsed="false">
      <c r="A156" s="36" t="n">
        <v>76</v>
      </c>
      <c r="B156" s="37" t="n">
        <f aca="false">1+IF($G$6=$E$6,$F$6,IF(P156&lt;($F$6-$E$6)/($G$6-$E$6),$E$6+SQRT(P156*($G$6-$E$6)*($F$6-$E$6)),$G$6-SQRT((1-P156)*($G$6-$E$6)*($G$6-$F$6))))</f>
        <v>1.03376204825692</v>
      </c>
      <c r="C156" s="37" t="n">
        <f aca="false">1+IF($G$7=$E$7,$F$7,IF(Q156&lt;($F$7-$E$7)/($G$7-$E$7),$E$7+SQRT(Q156*($G$7-$E$7)*($F$7-$E$7)),$G$7-SQRT((1-Q156)*($G$7-$E$7)*($G$7-$F$7))))</f>
        <v>0.960519940065289</v>
      </c>
      <c r="D156" s="37" t="n">
        <f aca="false">1+IF($G$8=$E$8,$F$8,IF(R156&lt;($F$8-$E$8)/($G$8-$E$8),$E$8+SQRT(R156*($G$8-$E$8)*($F$8-$E$8)),$G$8-SQRT((1-R156)*($G$8-$E$8)*($G$8-$F$8))))</f>
        <v>1.02697117917162</v>
      </c>
      <c r="E156" s="37" t="n">
        <f aca="false">1+IF($G$9=$E$9,$F$9,IF(S156&lt;($F$9-$E$9)/($G$9-$E$9),$E$9+SQRT(S156*($G$9-$E$9)*($F$9-$E$9)),$G$9-SQRT((1-S156)*($G$9-$E$9)*($G$9-$F$9))))</f>
        <v>1.02981749019232</v>
      </c>
      <c r="F156" s="37" t="n">
        <f aca="false">1+IF($G$10=$E$10,$F$10,IF(T156&lt;($F$10-$E$10)/($G$10-$E$10),$E$10+SQRT(T156*($G$10-$E$10)*($F$10-$E$10)),$G$10-SQRT((1-T156)*($G$10-$E$10)*($G$10-$F$10))))</f>
        <v>1.15239051403274</v>
      </c>
      <c r="G156" s="38" t="n">
        <f aca="false">IF($G$11=$E$11,$F$11,IF(U156&lt;($F$11-$E$11)/($G$11-$E$11),$E$11+SQRT(U156*($G$11-$E$11)*($F$11-$E$11)),$G$11-SQRT((1-U156)*($G$11-$E$11)*($G$11-$F$11))))</f>
        <v>0.103286398514576</v>
      </c>
      <c r="H156" s="39" t="n">
        <f aca="false">(('Business Case'!B11*$C156*'Business Case'!B12*$B156)-'Business Case'!B11*$C156*'Business Case'!B13*$D156-'Business Case'!B14*$E156)-MAX(0,(('Business Case'!B11*$C156*'Business Case'!B12*$B156)-'Business Case'!B11*$C156*'Business Case'!B13*$D156-'Business Case'!B14*$E156))*'Business Case'!$B$7-'Business Case'!$B$8*('Business Case'!B11*$C156*'Business Case'!B12*$B156)-'Business Case'!B15*$F156</f>
        <v>-2304781028.06547</v>
      </c>
      <c r="I156" s="39" t="n">
        <f aca="false">(('Business Case'!C11*$C156*'Business Case'!C12*$B156)-'Business Case'!C11*$C156*'Business Case'!C13*$D156-'Business Case'!C14*$E156)-MAX(0,(('Business Case'!C11*$C156*'Business Case'!C12*$B156)-'Business Case'!C11*$C156*'Business Case'!C13*$D156-'Business Case'!C14*$E156))*'Business Case'!$B$7-'Business Case'!$B$8*(('Business Case'!C11*$C156*'Business Case'!C12*$B156)-('Business Case'!B11*$C156*'Business Case'!B12*$B156))-'Business Case'!C15*$F156</f>
        <v>-4828153.99596691</v>
      </c>
      <c r="J156" s="39" t="n">
        <f aca="false">(('Business Case'!D11*$C156*'Business Case'!D12*$B156)-'Business Case'!D11*$C156*'Business Case'!D13*$D156-'Business Case'!D14*$E156)-MAX(0,(('Business Case'!D11*$C156*'Business Case'!D12*$B156)-'Business Case'!D11*$C156*'Business Case'!D13*$D156-'Business Case'!D14*$E156))*'Business Case'!$B$7-'Business Case'!$B$8*(('Business Case'!D11*$C156*'Business Case'!D12*$B156)-('Business Case'!C11*$C156*'Business Case'!C12*$B156))-'Business Case'!D15*$F156</f>
        <v>303497269.819929</v>
      </c>
      <c r="K156" s="39" t="n">
        <f aca="false">(('Business Case'!E11*$C156*'Business Case'!E12*$B156)-'Business Case'!E11*$C156*'Business Case'!E13*$D156-'Business Case'!E14*$E156)-MAX(0,(('Business Case'!E11*$C156*'Business Case'!E12*$B156)-'Business Case'!E11*$C156*'Business Case'!E13*$D156-'Business Case'!E14*$E156))*'Business Case'!$B$7-'Business Case'!$B$8*(('Business Case'!E11*$C156*'Business Case'!E12*$B156)-('Business Case'!D11*$C156*'Business Case'!D12*$B156))-'Business Case'!E15*$F156</f>
        <v>669442219.337462</v>
      </c>
      <c r="L156" s="39" t="n">
        <f aca="false">(('Business Case'!F11*$C156*'Business Case'!F12*$B156)-'Business Case'!F11*$C156*'Business Case'!F13*$D156-'Business Case'!F14*$E156)-MAX(0,(('Business Case'!F11*$C156*'Business Case'!F12*$B156)-'Business Case'!F11*$C156*'Business Case'!F13*$D156-'Business Case'!F14*$E156))*'Business Case'!$B$7-'Business Case'!$B$8*(('Business Case'!F11*$C156*'Business Case'!F12*$B156)-('Business Case'!E11*$C156*'Business Case'!E12*$B156))-'Business Case'!F15*$F156</f>
        <v>806533680.144921</v>
      </c>
      <c r="M156" s="39" t="n">
        <f aca="false">(('Business Case'!G11*$C156*'Business Case'!G12*$B156)-'Business Case'!G11*$C156*'Business Case'!G13*$D156-'Business Case'!G14*$E156)-MAX(0,(('Business Case'!G11*$C156*'Business Case'!G12*$B156)-'Business Case'!G11*$C156*'Business Case'!G13*$D156-'Business Case'!G14*$E156))*'Business Case'!$B$7-'Business Case'!$B$8*(('Business Case'!G11*$C156*'Business Case'!G12*$B156)-('Business Case'!F11*$C156*'Business Case'!F12*$B156))-'Business Case'!G15*$F156+'Business Case'!$B$8*('Business Case'!G11*$C156*'Business Case'!G12*$B156)</f>
        <v>995273437.590139</v>
      </c>
      <c r="N156" s="39" t="n">
        <f aca="false">IF(COUNT('Business Case'!B11:G11)=0,"",H156+NPV(G156,I156:M156))</f>
        <v>-408168317.856221</v>
      </c>
      <c r="P156" s="40" t="n">
        <f aca="true">RAND()</f>
        <v>0.991893324593972</v>
      </c>
      <c r="Q156" s="40" t="n">
        <f aca="true">RAND()</f>
        <v>0.368095016550916</v>
      </c>
      <c r="R156" s="40" t="n">
        <f aca="true">RAND()</f>
        <v>0.72961001553383</v>
      </c>
      <c r="S156" s="40" t="n">
        <f aca="true">RAND()</f>
        <v>0.671627687806312</v>
      </c>
      <c r="T156" s="40" t="n">
        <f aca="true">RAND()</f>
        <v>0.954666736918659</v>
      </c>
      <c r="U156" s="40" t="n">
        <f aca="true">RAND()</f>
        <v>0.534425875644056</v>
      </c>
    </row>
    <row r="157" customFormat="false" ht="15" hidden="false" customHeight="false" outlineLevel="0" collapsed="false">
      <c r="A157" s="36" t="n">
        <v>77</v>
      </c>
      <c r="B157" s="37" t="n">
        <f aca="false">1+IF($G$6=$E$6,$F$6,IF(P157&lt;($F$6-$E$6)/($G$6-$E$6),$E$6+SQRT(P157*($G$6-$E$6)*($F$6-$E$6)),$G$6-SQRT((1-P157)*($G$6-$E$6)*($G$6-$F$6))))</f>
        <v>0.957803854351775</v>
      </c>
      <c r="C157" s="37" t="n">
        <f aca="false">1+IF($G$7=$E$7,$F$7,IF(Q157&lt;($F$7-$E$7)/($G$7-$E$7),$E$7+SQRT(Q157*($G$7-$E$7)*($F$7-$E$7)),$G$7-SQRT((1-Q157)*($G$7-$E$7)*($G$7-$F$7))))</f>
        <v>1.10402970780102</v>
      </c>
      <c r="D157" s="37" t="n">
        <f aca="false">1+IF($G$8=$E$8,$F$8,IF(R157&lt;($F$8-$E$8)/($G$8-$E$8),$E$8+SQRT(R157*($G$8-$E$8)*($F$8-$E$8)),$G$8-SQRT((1-R157)*($G$8-$E$8)*($G$8-$F$8))))</f>
        <v>1.03356539445311</v>
      </c>
      <c r="E157" s="37" t="n">
        <f aca="false">1+IF($G$9=$E$9,$F$9,IF(S157&lt;($F$9-$E$9)/($G$9-$E$9),$E$9+SQRT(S157*($G$9-$E$9)*($F$9-$E$9)),$G$9-SQRT((1-S157)*($G$9-$E$9)*($G$9-$F$9))))</f>
        <v>1.056481131866</v>
      </c>
      <c r="F157" s="37" t="n">
        <f aca="false">1+IF($G$10=$E$10,$F$10,IF(T157&lt;($F$10-$E$10)/($G$10-$E$10),$E$10+SQRT(T157*($G$10-$E$10)*($F$10-$E$10)),$G$10-SQRT((1-T157)*($G$10-$E$10)*($G$10-$F$10))))</f>
        <v>1.08656436702603</v>
      </c>
      <c r="G157" s="38" t="n">
        <f aca="false">IF($G$11=$E$11,$F$11,IF(U157&lt;($F$11-$E$11)/($G$11-$E$11),$E$11+SQRT(U157*($G$11-$E$11)*($F$11-$E$11)),$G$11-SQRT((1-U157)*($G$11-$E$11)*($G$11-$F$11))))</f>
        <v>0.112481365692917</v>
      </c>
      <c r="H157" s="39" t="n">
        <f aca="false">(('Business Case'!B11*$C157*'Business Case'!B12*$B157)-'Business Case'!B11*$C157*'Business Case'!B13*$D157-'Business Case'!B14*$E157)-MAX(0,(('Business Case'!B11*$C157*'Business Case'!B12*$B157)-'Business Case'!B11*$C157*'Business Case'!B13*$D157-'Business Case'!B14*$E157))*'Business Case'!$B$7-'Business Case'!$B$8*('Business Case'!B11*$C157*'Business Case'!B12*$B157)-'Business Case'!B15*$F157</f>
        <v>-2173128734.05206</v>
      </c>
      <c r="I157" s="39" t="n">
        <f aca="false">(('Business Case'!C11*$C157*'Business Case'!C12*$B157)-'Business Case'!C11*$C157*'Business Case'!C13*$D157-'Business Case'!C14*$E157)-MAX(0,(('Business Case'!C11*$C157*'Business Case'!C12*$B157)-'Business Case'!C11*$C157*'Business Case'!C13*$D157-'Business Case'!C14*$E157))*'Business Case'!$B$7-'Business Case'!$B$8*(('Business Case'!C11*$C157*'Business Case'!C12*$B157)-('Business Case'!B11*$C157*'Business Case'!B12*$B157))-'Business Case'!C15*$F157</f>
        <v>-31728454.1870812</v>
      </c>
      <c r="J157" s="39" t="n">
        <f aca="false">(('Business Case'!D11*$C157*'Business Case'!D12*$B157)-'Business Case'!D11*$C157*'Business Case'!D13*$D157-'Business Case'!D14*$E157)-MAX(0,(('Business Case'!D11*$C157*'Business Case'!D12*$B157)-'Business Case'!D11*$C157*'Business Case'!D13*$D157-'Business Case'!D14*$E157))*'Business Case'!$B$7-'Business Case'!$B$8*(('Business Case'!D11*$C157*'Business Case'!D12*$B157)-('Business Case'!C11*$C157*'Business Case'!C12*$B157))-'Business Case'!D15*$F157</f>
        <v>250249037.54571</v>
      </c>
      <c r="K157" s="39" t="n">
        <f aca="false">(('Business Case'!E11*$C157*'Business Case'!E12*$B157)-'Business Case'!E11*$C157*'Business Case'!E13*$D157-'Business Case'!E14*$E157)-MAX(0,(('Business Case'!E11*$C157*'Business Case'!E12*$B157)-'Business Case'!E11*$C157*'Business Case'!E13*$D157-'Business Case'!E14*$E157))*'Business Case'!$B$7-'Business Case'!$B$8*(('Business Case'!E11*$C157*'Business Case'!E12*$B157)-('Business Case'!D11*$C157*'Business Case'!D12*$B157))-'Business Case'!E15*$F157</f>
        <v>586554747.629801</v>
      </c>
      <c r="L157" s="39" t="n">
        <f aca="false">(('Business Case'!F11*$C157*'Business Case'!F12*$B157)-'Business Case'!F11*$C157*'Business Case'!F13*$D157-'Business Case'!F14*$E157)-MAX(0,(('Business Case'!F11*$C157*'Business Case'!F12*$B157)-'Business Case'!F11*$C157*'Business Case'!F13*$D157-'Business Case'!F14*$E157))*'Business Case'!$B$7-'Business Case'!$B$8*(('Business Case'!F11*$C157*'Business Case'!F12*$B157)-('Business Case'!E11*$C157*'Business Case'!E12*$B157))-'Business Case'!F15*$F157</f>
        <v>717092506.384681</v>
      </c>
      <c r="M157" s="39" t="n">
        <f aca="false">(('Business Case'!G11*$C157*'Business Case'!G12*$B157)-'Business Case'!G11*$C157*'Business Case'!G13*$D157-'Business Case'!G14*$E157)-MAX(0,(('Business Case'!G11*$C157*'Business Case'!G12*$B157)-'Business Case'!G11*$C157*'Business Case'!G13*$D157-'Business Case'!G14*$E157))*'Business Case'!$B$7-'Business Case'!$B$8*(('Business Case'!G11*$C157*'Business Case'!G12*$B157)-('Business Case'!F11*$C157*'Business Case'!F12*$B157))-'Business Case'!G15*$F157+'Business Case'!$B$8*('Business Case'!G11*$C157*'Business Case'!G12*$B157)</f>
        <v>918091444.693067</v>
      </c>
      <c r="N157" s="39" t="n">
        <f aca="false">IF(COUNT('Business Case'!B11:G11)=0,"",H157+NPV(G157,I157:M157))</f>
        <v>-566462152.089843</v>
      </c>
      <c r="P157" s="40" t="n">
        <f aca="true">RAND()</f>
        <v>0.148867854567729</v>
      </c>
      <c r="Q157" s="40" t="n">
        <f aca="true">RAND()</f>
        <v>0.959747280669344</v>
      </c>
      <c r="R157" s="40" t="n">
        <f aca="true">RAND()</f>
        <v>0.792675712279299</v>
      </c>
      <c r="S157" s="40" t="n">
        <f aca="true">RAND()</f>
        <v>0.873740541089047</v>
      </c>
      <c r="T157" s="40" t="n">
        <f aca="true">RAND()</f>
        <v>0.742647143435895</v>
      </c>
      <c r="U157" s="40" t="n">
        <f aca="true">RAND()</f>
        <v>0.905783563593928</v>
      </c>
    </row>
    <row r="158" customFormat="false" ht="15" hidden="false" customHeight="false" outlineLevel="0" collapsed="false">
      <c r="A158" s="36" t="n">
        <v>78</v>
      </c>
      <c r="B158" s="37" t="n">
        <f aca="false">1+IF($G$6=$E$6,$F$6,IF(P158&lt;($F$6-$E$6)/($G$6-$E$6),$E$6+SQRT(P158*($G$6-$E$6)*($F$6-$E$6)),$G$6-SQRT((1-P158)*($G$6-$E$6)*($G$6-$F$6))))</f>
        <v>0.98459918073838</v>
      </c>
      <c r="C158" s="37" t="n">
        <f aca="false">1+IF($G$7=$E$7,$F$7,IF(Q158&lt;($F$7-$E$7)/($G$7-$E$7),$E$7+SQRT(Q158*($G$7-$E$7)*($F$7-$E$7)),$G$7-SQRT((1-Q158)*($G$7-$E$7)*($G$7-$F$7))))</f>
        <v>0.924553003546722</v>
      </c>
      <c r="D158" s="37" t="n">
        <f aca="false">1+IF($G$8=$E$8,$F$8,IF(R158&lt;($F$8-$E$8)/($G$8-$E$8),$E$8+SQRT(R158*($G$8-$E$8)*($F$8-$E$8)),$G$8-SQRT((1-R158)*($G$8-$E$8)*($G$8-$F$8))))</f>
        <v>0.979968856603178</v>
      </c>
      <c r="E158" s="37" t="n">
        <f aca="false">1+IF($G$9=$E$9,$F$9,IF(S158&lt;($F$9-$E$9)/($G$9-$E$9),$E$9+SQRT(S158*($G$9-$E$9)*($F$9-$E$9)),$G$9-SQRT((1-S158)*($G$9-$E$9)*($G$9-$F$9))))</f>
        <v>1.04700142714647</v>
      </c>
      <c r="F158" s="37" t="n">
        <f aca="false">1+IF($G$10=$E$10,$F$10,IF(T158&lt;($F$10-$E$10)/($G$10-$E$10),$E$10+SQRT(T158*($G$10-$E$10)*($F$10-$E$10)),$G$10-SQRT((1-T158)*($G$10-$E$10)*($G$10-$F$10))))</f>
        <v>1.04125329704344</v>
      </c>
      <c r="G158" s="38" t="n">
        <f aca="false">IF($G$11=$E$11,$F$11,IF(U158&lt;($F$11-$E$11)/($G$11-$E$11),$E$11+SQRT(U158*($G$11-$E$11)*($F$11-$E$11)),$G$11-SQRT((1-U158)*($G$11-$E$11)*($G$11-$F$11))))</f>
        <v>0.111529567794061</v>
      </c>
      <c r="H158" s="39" t="n">
        <f aca="false">(('Business Case'!B11*$C158*'Business Case'!B12*$B158)-'Business Case'!B11*$C158*'Business Case'!B13*$D158-'Business Case'!B14*$E158)-MAX(0,(('Business Case'!B11*$C158*'Business Case'!B12*$B158)-'Business Case'!B11*$C158*'Business Case'!B13*$D158-'Business Case'!B14*$E158))*'Business Case'!$B$7-'Business Case'!$B$8*('Business Case'!B11*$C158*'Business Case'!B12*$B158)-'Business Case'!B15*$F158</f>
        <v>-2082506594.08688</v>
      </c>
      <c r="I158" s="39" t="n">
        <f aca="false">(('Business Case'!C11*$C158*'Business Case'!C12*$B158)-'Business Case'!C11*$C158*'Business Case'!C13*$D158-'Business Case'!C14*$E158)-MAX(0,(('Business Case'!C11*$C158*'Business Case'!C12*$B158)-'Business Case'!C11*$C158*'Business Case'!C13*$D158-'Business Case'!C14*$E158))*'Business Case'!$B$7-'Business Case'!$B$8*(('Business Case'!C11*$C158*'Business Case'!C12*$B158)-('Business Case'!B11*$C158*'Business Case'!B12*$B158))-'Business Case'!C15*$F158</f>
        <v>-18403292.2005976</v>
      </c>
      <c r="J158" s="39" t="n">
        <f aca="false">(('Business Case'!D11*$C158*'Business Case'!D12*$B158)-'Business Case'!D11*$C158*'Business Case'!D13*$D158-'Business Case'!D14*$E158)-MAX(0,(('Business Case'!D11*$C158*'Business Case'!D12*$B158)-'Business Case'!D11*$C158*'Business Case'!D13*$D158-'Business Case'!D14*$E158))*'Business Case'!$B$7-'Business Case'!$B$8*(('Business Case'!D11*$C158*'Business Case'!D12*$B158)-('Business Case'!C11*$C158*'Business Case'!C12*$B158))-'Business Case'!D15*$F158</f>
        <v>263393032.734351</v>
      </c>
      <c r="K158" s="39" t="n">
        <f aca="false">(('Business Case'!E11*$C158*'Business Case'!E12*$B158)-'Business Case'!E11*$C158*'Business Case'!E13*$D158-'Business Case'!E14*$E158)-MAX(0,(('Business Case'!E11*$C158*'Business Case'!E12*$B158)-'Business Case'!E11*$C158*'Business Case'!E13*$D158-'Business Case'!E14*$E158))*'Business Case'!$B$7-'Business Case'!$B$8*(('Business Case'!E11*$C158*'Business Case'!E12*$B158)-('Business Case'!D11*$C158*'Business Case'!D12*$B158))-'Business Case'!E15*$F158</f>
        <v>597252022.521471</v>
      </c>
      <c r="L158" s="39" t="n">
        <f aca="false">(('Business Case'!F11*$C158*'Business Case'!F12*$B158)-'Business Case'!F11*$C158*'Business Case'!F13*$D158-'Business Case'!F14*$E158)-MAX(0,(('Business Case'!F11*$C158*'Business Case'!F12*$B158)-'Business Case'!F11*$C158*'Business Case'!F13*$D158-'Business Case'!F14*$E158))*'Business Case'!$B$7-'Business Case'!$B$8*(('Business Case'!F11*$C158*'Business Case'!F12*$B158)-('Business Case'!E11*$C158*'Business Case'!E12*$B158))-'Business Case'!F15*$F158</f>
        <v>722644587.160436</v>
      </c>
      <c r="M158" s="39" t="n">
        <f aca="false">(('Business Case'!G11*$C158*'Business Case'!G12*$B158)-'Business Case'!G11*$C158*'Business Case'!G13*$D158-'Business Case'!G14*$E158)-MAX(0,(('Business Case'!G11*$C158*'Business Case'!G12*$B158)-'Business Case'!G11*$C158*'Business Case'!G13*$D158-'Business Case'!G14*$E158))*'Business Case'!$B$7-'Business Case'!$B$8*(('Business Case'!G11*$C158*'Business Case'!G12*$B158)-('Business Case'!F11*$C158*'Business Case'!F12*$B158))-'Business Case'!G15*$F158+'Business Case'!$B$8*('Business Case'!G11*$C158*'Business Case'!G12*$B158)</f>
        <v>895677096.960672</v>
      </c>
      <c r="N158" s="39" t="n">
        <f aca="false">IF(COUNT('Business Case'!B11:G11)=0,"",H158+NPV(G158,I158:M158))</f>
        <v>-449663297.005975</v>
      </c>
      <c r="P158" s="40" t="n">
        <f aca="true">RAND()</f>
        <v>0.434693140840606</v>
      </c>
      <c r="Q158" s="40" t="n">
        <f aca="true">RAND()</f>
        <v>0.22162072417871</v>
      </c>
      <c r="R158" s="40" t="n">
        <f aca="true">RAND()</f>
        <v>0.138174210169516</v>
      </c>
      <c r="S158" s="40" t="n">
        <f aca="true">RAND()</f>
        <v>0.812743418365938</v>
      </c>
      <c r="T158" s="40" t="n">
        <f aca="true">RAND()</f>
        <v>0.495989686008442</v>
      </c>
      <c r="U158" s="40" t="n">
        <f aca="true">RAND()</f>
        <v>0.880419630407666</v>
      </c>
    </row>
    <row r="159" customFormat="false" ht="15" hidden="false" customHeight="false" outlineLevel="0" collapsed="false">
      <c r="A159" s="36" t="n">
        <v>79</v>
      </c>
      <c r="B159" s="37" t="n">
        <f aca="false">1+IF($G$6=$E$6,$F$6,IF(P159&lt;($F$6-$E$6)/($G$6-$E$6),$E$6+SQRT(P159*($G$6-$E$6)*($F$6-$E$6)),$G$6-SQRT((1-P159)*($G$6-$E$6)*($G$6-$F$6))))</f>
        <v>0.967871104945285</v>
      </c>
      <c r="C159" s="37" t="n">
        <f aca="false">1+IF($G$7=$E$7,$F$7,IF(Q159&lt;($F$7-$E$7)/($G$7-$E$7),$E$7+SQRT(Q159*($G$7-$E$7)*($F$7-$E$7)),$G$7-SQRT((1-Q159)*($G$7-$E$7)*($G$7-$F$7))))</f>
        <v>0.983612758955791</v>
      </c>
      <c r="D159" s="37" t="n">
        <f aca="false">1+IF($G$8=$E$8,$F$8,IF(R159&lt;($F$8-$E$8)/($G$8-$E$8),$E$8+SQRT(R159*($G$8-$E$8)*($F$8-$E$8)),$G$8-SQRT((1-R159)*($G$8-$E$8)*($G$8-$F$8))))</f>
        <v>1.00027968472392</v>
      </c>
      <c r="E159" s="37" t="n">
        <f aca="false">1+IF($G$9=$E$9,$F$9,IF(S159&lt;($F$9-$E$9)/($G$9-$E$9),$E$9+SQRT(S159*($G$9-$E$9)*($F$9-$E$9)),$G$9-SQRT((1-S159)*($G$9-$E$9)*($G$9-$F$9))))</f>
        <v>0.993690485195551</v>
      </c>
      <c r="F159" s="37" t="n">
        <f aca="false">1+IF($G$10=$E$10,$F$10,IF(T159&lt;($F$10-$E$10)/($G$10-$E$10),$E$10+SQRT(T159*($G$10-$E$10)*($F$10-$E$10)),$G$10-SQRT((1-T159)*($G$10-$E$10)*($G$10-$F$10))))</f>
        <v>1.02989791086563</v>
      </c>
      <c r="G159" s="38" t="n">
        <f aca="false">IF($G$11=$E$11,$F$11,IF(U159&lt;($F$11-$E$11)/($G$11-$E$11),$E$11+SQRT(U159*($G$11-$E$11)*($F$11-$E$11)),$G$11-SQRT((1-U159)*($G$11-$E$11)*($G$11-$F$11))))</f>
        <v>0.109393170615857</v>
      </c>
      <c r="H159" s="39" t="n">
        <f aca="false">(('Business Case'!B11*$C159*'Business Case'!B12*$B159)-'Business Case'!B11*$C159*'Business Case'!B13*$D159-'Business Case'!B14*$E159)-MAX(0,(('Business Case'!B11*$C159*'Business Case'!B12*$B159)-'Business Case'!B11*$C159*'Business Case'!B13*$D159-'Business Case'!B14*$E159))*'Business Case'!$B$7-'Business Case'!$B$8*('Business Case'!B11*$C159*'Business Case'!B12*$B159)-'Business Case'!B15*$F159</f>
        <v>-2059795821.73127</v>
      </c>
      <c r="I159" s="39" t="n">
        <f aca="false">(('Business Case'!C11*$C159*'Business Case'!C12*$B159)-'Business Case'!C11*$C159*'Business Case'!C13*$D159-'Business Case'!C14*$E159)-MAX(0,(('Business Case'!C11*$C159*'Business Case'!C12*$B159)-'Business Case'!C11*$C159*'Business Case'!C13*$D159-'Business Case'!C14*$E159))*'Business Case'!$B$7-'Business Case'!$B$8*(('Business Case'!C11*$C159*'Business Case'!C12*$B159)-('Business Case'!B11*$C159*'Business Case'!B12*$B159))-'Business Case'!C15*$F159</f>
        <v>-17551633.0415367</v>
      </c>
      <c r="J159" s="39" t="n">
        <f aca="false">(('Business Case'!D11*$C159*'Business Case'!D12*$B159)-'Business Case'!D11*$C159*'Business Case'!D13*$D159-'Business Case'!D14*$E159)-MAX(0,(('Business Case'!D11*$C159*'Business Case'!D12*$B159)-'Business Case'!D11*$C159*'Business Case'!D13*$D159-'Business Case'!D14*$E159))*'Business Case'!$B$7-'Business Case'!$B$8*(('Business Case'!D11*$C159*'Business Case'!D12*$B159)-('Business Case'!C11*$C159*'Business Case'!C12*$B159))-'Business Case'!D15*$F159</f>
        <v>258541529.46758</v>
      </c>
      <c r="K159" s="39" t="n">
        <f aca="false">(('Business Case'!E11*$C159*'Business Case'!E12*$B159)-'Business Case'!E11*$C159*'Business Case'!E13*$D159-'Business Case'!E14*$E159)-MAX(0,(('Business Case'!E11*$C159*'Business Case'!E12*$B159)-'Business Case'!E11*$C159*'Business Case'!E13*$D159-'Business Case'!E14*$E159))*'Business Case'!$B$7-'Business Case'!$B$8*(('Business Case'!E11*$C159*'Business Case'!E12*$B159)-('Business Case'!D11*$C159*'Business Case'!D12*$B159))-'Business Case'!E15*$F159</f>
        <v>586129587.519979</v>
      </c>
      <c r="L159" s="39" t="n">
        <f aca="false">(('Business Case'!F11*$C159*'Business Case'!F12*$B159)-'Business Case'!F11*$C159*'Business Case'!F13*$D159-'Business Case'!F14*$E159)-MAX(0,(('Business Case'!F11*$C159*'Business Case'!F12*$B159)-'Business Case'!F11*$C159*'Business Case'!F13*$D159-'Business Case'!F14*$E159))*'Business Case'!$B$7-'Business Case'!$B$8*(('Business Case'!F11*$C159*'Business Case'!F12*$B159)-('Business Case'!E11*$C159*'Business Case'!E12*$B159))-'Business Case'!F15*$F159</f>
        <v>711062120.00254</v>
      </c>
      <c r="M159" s="39" t="n">
        <f aca="false">(('Business Case'!G11*$C159*'Business Case'!G12*$B159)-'Business Case'!G11*$C159*'Business Case'!G13*$D159-'Business Case'!G14*$E159)-MAX(0,(('Business Case'!G11*$C159*'Business Case'!G12*$B159)-'Business Case'!G11*$C159*'Business Case'!G13*$D159-'Business Case'!G14*$E159))*'Business Case'!$B$7-'Business Case'!$B$8*(('Business Case'!G11*$C159*'Business Case'!G12*$B159)-('Business Case'!F11*$C159*'Business Case'!F12*$B159))-'Business Case'!G15*$F159+'Business Case'!$B$8*('Business Case'!G11*$C159*'Business Case'!G12*$B159)</f>
        <v>892020250.723244</v>
      </c>
      <c r="N159" s="39" t="n">
        <f aca="false">IF(COUNT('Business Case'!B11:G11)=0,"",H159+NPV(G159,I159:M159))</f>
        <v>-436028138.949538</v>
      </c>
      <c r="P159" s="40" t="n">
        <f aca="true">RAND()</f>
        <v>0.238712780071095</v>
      </c>
      <c r="Q159" s="40" t="n">
        <f aca="true">RAND()</f>
        <v>0.481623503590817</v>
      </c>
      <c r="R159" s="40" t="n">
        <f aca="true">RAND()</f>
        <v>0.388910705027161</v>
      </c>
      <c r="S159" s="40" t="n">
        <f aca="true">RAND()</f>
        <v>0.254514466216353</v>
      </c>
      <c r="T159" s="40" t="n">
        <f aca="true">RAND()</f>
        <v>0.421305585442479</v>
      </c>
      <c r="U159" s="40" t="n">
        <f aca="true">RAND()</f>
        <v>0.812491950692806</v>
      </c>
    </row>
    <row r="160" customFormat="false" ht="15" hidden="false" customHeight="false" outlineLevel="0" collapsed="false">
      <c r="A160" s="36" t="n">
        <v>80</v>
      </c>
      <c r="B160" s="37" t="n">
        <f aca="false">1+IF($G$6=$E$6,$F$6,IF(P160&lt;($F$6-$E$6)/($G$6-$E$6),$E$6+SQRT(P160*($G$6-$E$6)*($F$6-$E$6)),$G$6-SQRT((1-P160)*($G$6-$E$6)*($G$6-$F$6))))</f>
        <v>0.976838009999209</v>
      </c>
      <c r="C160" s="37" t="n">
        <f aca="false">1+IF($G$7=$E$7,$F$7,IF(Q160&lt;($F$7-$E$7)/($G$7-$E$7),$E$7+SQRT(Q160*($G$7-$E$7)*($F$7-$E$7)),$G$7-SQRT((1-Q160)*($G$7-$E$7)*($G$7-$F$7))))</f>
        <v>0.945860114453585</v>
      </c>
      <c r="D160" s="37" t="n">
        <f aca="false">1+IF($G$8=$E$8,$F$8,IF(R160&lt;($F$8-$E$8)/($G$8-$E$8),$E$8+SQRT(R160*($G$8-$E$8)*($F$8-$E$8)),$G$8-SQRT((1-R160)*($G$8-$E$8)*($G$8-$F$8))))</f>
        <v>1.03371586715616</v>
      </c>
      <c r="E160" s="37" t="n">
        <f aca="false">1+IF($G$9=$E$9,$F$9,IF(S160&lt;($F$9-$E$9)/($G$9-$E$9),$E$9+SQRT(S160*($G$9-$E$9)*($F$9-$E$9)),$G$9-SQRT((1-S160)*($G$9-$E$9)*($G$9-$F$9))))</f>
        <v>0.963043095005057</v>
      </c>
      <c r="F160" s="37" t="n">
        <f aca="false">1+IF($G$10=$E$10,$F$10,IF(T160&lt;($F$10-$E$10)/($G$10-$E$10),$E$10+SQRT(T160*($G$10-$E$10)*($F$10-$E$10)),$G$10-SQRT((1-T160)*($G$10-$E$10)*($G$10-$F$10))))</f>
        <v>0.975437470572843</v>
      </c>
      <c r="G160" s="38" t="n">
        <f aca="false">IF($G$11=$E$11,$F$11,IF(U160&lt;($F$11-$E$11)/($G$11-$E$11),$E$11+SQRT(U160*($G$11-$E$11)*($F$11-$E$11)),$G$11-SQRT((1-U160)*($G$11-$E$11)*($G$11-$F$11))))</f>
        <v>0.109591582801225</v>
      </c>
      <c r="H160" s="39" t="n">
        <f aca="false">(('Business Case'!B11*$C160*'Business Case'!B12*$B160)-'Business Case'!B11*$C160*'Business Case'!B13*$D160-'Business Case'!B14*$E160)-MAX(0,(('Business Case'!B11*$C160*'Business Case'!B12*$B160)-'Business Case'!B11*$C160*'Business Case'!B13*$D160-'Business Case'!B14*$E160))*'Business Case'!$B$7-'Business Case'!$B$8*('Business Case'!B11*$C160*'Business Case'!B12*$B160)-'Business Case'!B15*$F160</f>
        <v>-1950874941.14569</v>
      </c>
      <c r="I160" s="39" t="n">
        <f aca="false">(('Business Case'!C11*$C160*'Business Case'!C12*$B160)-'Business Case'!C11*$C160*'Business Case'!C13*$D160-'Business Case'!C14*$E160)-MAX(0,(('Business Case'!C11*$C160*'Business Case'!C12*$B160)-'Business Case'!C11*$C160*'Business Case'!C13*$D160-'Business Case'!C14*$E160))*'Business Case'!$B$7-'Business Case'!$B$8*(('Business Case'!C11*$C160*'Business Case'!C12*$B160)-('Business Case'!B11*$C160*'Business Case'!B12*$B160))-'Business Case'!C15*$F160</f>
        <v>-26132939.8814777</v>
      </c>
      <c r="J160" s="39" t="n">
        <f aca="false">(('Business Case'!D11*$C160*'Business Case'!D12*$B160)-'Business Case'!D11*$C160*'Business Case'!D13*$D160-'Business Case'!D14*$E160)-MAX(0,(('Business Case'!D11*$C160*'Business Case'!D12*$B160)-'Business Case'!D11*$C160*'Business Case'!D13*$D160-'Business Case'!D14*$E160))*'Business Case'!$B$7-'Business Case'!$B$8*(('Business Case'!D11*$C160*'Business Case'!D12*$B160)-('Business Case'!C11*$C160*'Business Case'!C12*$B160))-'Business Case'!D15*$F160</f>
        <v>230120272.887041</v>
      </c>
      <c r="K160" s="39" t="n">
        <f aca="false">(('Business Case'!E11*$C160*'Business Case'!E12*$B160)-'Business Case'!E11*$C160*'Business Case'!E13*$D160-'Business Case'!E14*$E160)-MAX(0,(('Business Case'!E11*$C160*'Business Case'!E12*$B160)-'Business Case'!E11*$C160*'Business Case'!E13*$D160-'Business Case'!E14*$E160))*'Business Case'!$B$7-'Business Case'!$B$8*(('Business Case'!E11*$C160*'Business Case'!E12*$B160)-('Business Case'!D11*$C160*'Business Case'!D12*$B160))-'Business Case'!E15*$F160</f>
        <v>535145359.184203</v>
      </c>
      <c r="L160" s="39" t="n">
        <f aca="false">(('Business Case'!F11*$C160*'Business Case'!F12*$B160)-'Business Case'!F11*$C160*'Business Case'!F13*$D160-'Business Case'!F14*$E160)-MAX(0,(('Business Case'!F11*$C160*'Business Case'!F12*$B160)-'Business Case'!F11*$C160*'Business Case'!F13*$D160-'Business Case'!F14*$E160))*'Business Case'!$B$7-'Business Case'!$B$8*(('Business Case'!F11*$C160*'Business Case'!F12*$B160)-('Business Case'!E11*$C160*'Business Case'!E12*$B160))-'Business Case'!F15*$F160</f>
        <v>652494881.762372</v>
      </c>
      <c r="M160" s="39" t="n">
        <f aca="false">(('Business Case'!G11*$C160*'Business Case'!G12*$B160)-'Business Case'!G11*$C160*'Business Case'!G13*$D160-'Business Case'!G14*$E160)-MAX(0,(('Business Case'!G11*$C160*'Business Case'!G12*$B160)-'Business Case'!G11*$C160*'Business Case'!G13*$D160-'Business Case'!G14*$E160))*'Business Case'!$B$7-'Business Case'!$B$8*(('Business Case'!G11*$C160*'Business Case'!G12*$B160)-('Business Case'!F11*$C160*'Business Case'!F12*$B160))-'Business Case'!G15*$F160+'Business Case'!$B$8*('Business Case'!G11*$C160*'Business Case'!G12*$B160)</f>
        <v>828119699.200015</v>
      </c>
      <c r="N160" s="39" t="n">
        <f aca="false">IF(COUNT('Business Case'!B11:G11)=0,"",H160+NPV(G160,I160:M160))</f>
        <v>-472986959.993072</v>
      </c>
      <c r="P160" s="40" t="n">
        <f aca="true">RAND()</f>
        <v>0.336516602153143</v>
      </c>
      <c r="Q160" s="40" t="n">
        <f aca="true">RAND()</f>
        <v>0.303931042691612</v>
      </c>
      <c r="R160" s="40" t="n">
        <f aca="true">RAND()</f>
        <v>0.794017216047443</v>
      </c>
      <c r="S160" s="40" t="n">
        <f aca="true">RAND()</f>
        <v>0.0226829769747911</v>
      </c>
      <c r="T160" s="40" t="n">
        <f aca="true">RAND()</f>
        <v>0.0517651927315415</v>
      </c>
      <c r="U160" s="40" t="n">
        <f aca="true">RAND()</f>
        <v>0.819441419027058</v>
      </c>
    </row>
    <row r="161" customFormat="false" ht="15" hidden="false" customHeight="false" outlineLevel="0" collapsed="false">
      <c r="A161" s="36" t="n">
        <v>81</v>
      </c>
      <c r="B161" s="37" t="n">
        <f aca="false">1+IF($G$6=$E$6,$F$6,IF(P161&lt;($F$6-$E$6)/($G$6-$E$6),$E$6+SQRT(P161*($G$6-$E$6)*($F$6-$E$6)),$G$6-SQRT((1-P161)*($G$6-$E$6)*($G$6-$F$6))))</f>
        <v>0.941532013667428</v>
      </c>
      <c r="C161" s="37" t="n">
        <f aca="false">1+IF($G$7=$E$7,$F$7,IF(Q161&lt;($F$7-$E$7)/($G$7-$E$7),$E$7+SQRT(Q161*($G$7-$E$7)*($F$7-$E$7)),$G$7-SQRT((1-Q161)*($G$7-$E$7)*($G$7-$F$7))))</f>
        <v>1.07886187780494</v>
      </c>
      <c r="D161" s="37" t="n">
        <f aca="false">1+IF($G$8=$E$8,$F$8,IF(R161&lt;($F$8-$E$8)/($G$8-$E$8),$E$8+SQRT(R161*($G$8-$E$8)*($F$8-$E$8)),$G$8-SQRT((1-R161)*($G$8-$E$8)*($G$8-$F$8))))</f>
        <v>0.9787566341486</v>
      </c>
      <c r="E161" s="37" t="n">
        <f aca="false">1+IF($G$9=$E$9,$F$9,IF(S161&lt;($F$9-$E$9)/($G$9-$E$9),$E$9+SQRT(S161*($G$9-$E$9)*($F$9-$E$9)),$G$9-SQRT((1-S161)*($G$9-$E$9)*($G$9-$F$9))))</f>
        <v>1.00469965966724</v>
      </c>
      <c r="F161" s="37" t="n">
        <f aca="false">1+IF($G$10=$E$10,$F$10,IF(T161&lt;($F$10-$E$10)/($G$10-$E$10),$E$10+SQRT(T161*($G$10-$E$10)*($F$10-$E$10)),$G$10-SQRT((1-T161)*($G$10-$E$10)*($G$10-$F$10))))</f>
        <v>1.01093697800685</v>
      </c>
      <c r="G161" s="38" t="n">
        <f aca="false">IF($G$11=$E$11,$F$11,IF(U161&lt;($F$11-$E$11)/($G$11-$E$11),$E$11+SQRT(U161*($G$11-$E$11)*($F$11-$E$11)),$G$11-SQRT((1-U161)*($G$11-$E$11)*($G$11-$F$11))))</f>
        <v>0.0978235498584628</v>
      </c>
      <c r="H161" s="39" t="n">
        <f aca="false">(('Business Case'!B11*$C161*'Business Case'!B12*$B161)-'Business Case'!B11*$C161*'Business Case'!B13*$D161-'Business Case'!B14*$E161)-MAX(0,(('Business Case'!B11*$C161*'Business Case'!B12*$B161)-'Business Case'!B11*$C161*'Business Case'!B13*$D161-'Business Case'!B14*$E161))*'Business Case'!$B$7-'Business Case'!$B$8*('Business Case'!B11*$C161*'Business Case'!B12*$B161)-'Business Case'!B15*$F161</f>
        <v>-2021873956.0137</v>
      </c>
      <c r="I161" s="39" t="n">
        <f aca="false">(('Business Case'!C11*$C161*'Business Case'!C12*$B161)-'Business Case'!C11*$C161*'Business Case'!C13*$D161-'Business Case'!C14*$E161)-MAX(0,(('Business Case'!C11*$C161*'Business Case'!C12*$B161)-'Business Case'!C11*$C161*'Business Case'!C13*$D161-'Business Case'!C14*$E161))*'Business Case'!$B$7-'Business Case'!$B$8*(('Business Case'!C11*$C161*'Business Case'!C12*$B161)-('Business Case'!B11*$C161*'Business Case'!B12*$B161))-'Business Case'!C15*$F161</f>
        <v>-5179222.90542117</v>
      </c>
      <c r="J161" s="39" t="n">
        <f aca="false">(('Business Case'!D11*$C161*'Business Case'!D12*$B161)-'Business Case'!D11*$C161*'Business Case'!D13*$D161-'Business Case'!D14*$E161)-MAX(0,(('Business Case'!D11*$C161*'Business Case'!D12*$B161)-'Business Case'!D11*$C161*'Business Case'!D13*$D161-'Business Case'!D14*$E161))*'Business Case'!$B$7-'Business Case'!$B$8*(('Business Case'!D11*$C161*'Business Case'!D12*$B161)-('Business Case'!C11*$C161*'Business Case'!C12*$B161))-'Business Case'!D15*$F161</f>
        <v>286261734.121612</v>
      </c>
      <c r="K161" s="39" t="n">
        <f aca="false">(('Business Case'!E11*$C161*'Business Case'!E12*$B161)-'Business Case'!E11*$C161*'Business Case'!E13*$D161-'Business Case'!E14*$E161)-MAX(0,(('Business Case'!E11*$C161*'Business Case'!E12*$B161)-'Business Case'!E11*$C161*'Business Case'!E13*$D161-'Business Case'!E14*$E161))*'Business Case'!$B$7-'Business Case'!$B$8*(('Business Case'!E11*$C161*'Business Case'!E12*$B161)-('Business Case'!D11*$C161*'Business Case'!D12*$B161))-'Business Case'!E15*$F161</f>
        <v>628249540.048988</v>
      </c>
      <c r="L161" s="39" t="n">
        <f aca="false">(('Business Case'!F11*$C161*'Business Case'!F12*$B161)-'Business Case'!F11*$C161*'Business Case'!F13*$D161-'Business Case'!F14*$E161)-MAX(0,(('Business Case'!F11*$C161*'Business Case'!F12*$B161)-'Business Case'!F11*$C161*'Business Case'!F13*$D161-'Business Case'!F14*$E161))*'Business Case'!$B$7-'Business Case'!$B$8*(('Business Case'!F11*$C161*'Business Case'!F12*$B161)-('Business Case'!E11*$C161*'Business Case'!E12*$B161))-'Business Case'!F15*$F161</f>
        <v>760501986.076059</v>
      </c>
      <c r="M161" s="39" t="n">
        <f aca="false">(('Business Case'!G11*$C161*'Business Case'!G12*$B161)-'Business Case'!G11*$C161*'Business Case'!G13*$D161-'Business Case'!G14*$E161)-MAX(0,(('Business Case'!G11*$C161*'Business Case'!G12*$B161)-'Business Case'!G11*$C161*'Business Case'!G13*$D161-'Business Case'!G14*$E161))*'Business Case'!$B$7-'Business Case'!$B$8*(('Business Case'!G11*$C161*'Business Case'!G12*$B161)-('Business Case'!F11*$C161*'Business Case'!F12*$B161))-'Business Case'!G15*$F161+'Business Case'!$B$8*('Business Case'!G11*$C161*'Business Case'!G12*$B161)</f>
        <v>953582018.008716</v>
      </c>
      <c r="N161" s="39" t="n">
        <f aca="false">IF(COUNT('Business Case'!B11:G11)=0,"",H161+NPV(G161,I161:M161))</f>
        <v>-192690249.219099</v>
      </c>
      <c r="P161" s="40" t="n">
        <f aca="true">RAND()</f>
        <v>0.0482945429764917</v>
      </c>
      <c r="Q161" s="40" t="n">
        <f aca="true">RAND()</f>
        <v>0.903607001344022</v>
      </c>
      <c r="R161" s="40" t="n">
        <f aca="true">RAND()</f>
        <v>0.12722215500868</v>
      </c>
      <c r="S161" s="40" t="n">
        <f aca="true">RAND()</f>
        <v>0.394523008830651</v>
      </c>
      <c r="T161" s="40" t="n">
        <f aca="true">RAND()</f>
        <v>0.285103474296361</v>
      </c>
      <c r="U161" s="40" t="n">
        <f aca="true">RAND()</f>
        <v>0.204026441292844</v>
      </c>
    </row>
    <row r="162" customFormat="false" ht="15" hidden="false" customHeight="false" outlineLevel="0" collapsed="false">
      <c r="A162" s="36" t="n">
        <v>82</v>
      </c>
      <c r="B162" s="37" t="n">
        <f aca="false">1+IF($G$6=$E$6,$F$6,IF(P162&lt;($F$6-$E$6)/($G$6-$E$6),$E$6+SQRT(P162*($G$6-$E$6)*($F$6-$E$6)),$G$6-SQRT((1-P162)*($G$6-$E$6)*($G$6-$F$6))))</f>
        <v>1.03036034011354</v>
      </c>
      <c r="C162" s="37" t="n">
        <f aca="false">1+IF($G$7=$E$7,$F$7,IF(Q162&lt;($F$7-$E$7)/($G$7-$E$7),$E$7+SQRT(Q162*($G$7-$E$7)*($F$7-$E$7)),$G$7-SQRT((1-Q162)*($G$7-$E$7)*($G$7-$F$7))))</f>
        <v>1.00841789049602</v>
      </c>
      <c r="D162" s="37" t="n">
        <f aca="false">1+IF($G$8=$E$8,$F$8,IF(R162&lt;($F$8-$E$8)/($G$8-$E$8),$E$8+SQRT(R162*($G$8-$E$8)*($F$8-$E$8)),$G$8-SQRT((1-R162)*($G$8-$E$8)*($G$8-$F$8))))</f>
        <v>0.991488487260003</v>
      </c>
      <c r="E162" s="37" t="n">
        <f aca="false">1+IF($G$9=$E$9,$F$9,IF(S162&lt;($F$9-$E$9)/($G$9-$E$9),$E$9+SQRT(S162*($G$9-$E$9)*($F$9-$E$9)),$G$9-SQRT((1-S162)*($G$9-$E$9)*($G$9-$F$9))))</f>
        <v>0.961537715681271</v>
      </c>
      <c r="F162" s="37" t="n">
        <f aca="false">1+IF($G$10=$E$10,$F$10,IF(T162&lt;($F$10-$E$10)/($G$10-$E$10),$E$10+SQRT(T162*($G$10-$E$10)*($F$10-$E$10)),$G$10-SQRT((1-T162)*($G$10-$E$10)*($G$10-$F$10))))</f>
        <v>1.13142887085113</v>
      </c>
      <c r="G162" s="38" t="n">
        <f aca="false">IF($G$11=$E$11,$F$11,IF(U162&lt;($F$11-$E$11)/($G$11-$E$11),$E$11+SQRT(U162*($G$11-$E$11)*($F$11-$E$11)),$G$11-SQRT((1-U162)*($G$11-$E$11)*($G$11-$F$11))))</f>
        <v>0.104144315724798</v>
      </c>
      <c r="H162" s="39" t="n">
        <f aca="false">(('Business Case'!B11*$C162*'Business Case'!B12*$B162)-'Business Case'!B11*$C162*'Business Case'!B13*$D162-'Business Case'!B14*$E162)-MAX(0,(('Business Case'!B11*$C162*'Business Case'!B12*$B162)-'Business Case'!B11*$C162*'Business Case'!B13*$D162-'Business Case'!B14*$E162))*'Business Case'!$B$7-'Business Case'!$B$8*('Business Case'!B11*$C162*'Business Case'!B12*$B162)-'Business Case'!B15*$F162</f>
        <v>-2262857741.70226</v>
      </c>
      <c r="I162" s="39" t="n">
        <f aca="false">(('Business Case'!C11*$C162*'Business Case'!C12*$B162)-'Business Case'!C11*$C162*'Business Case'!C13*$D162-'Business Case'!C14*$E162)-MAX(0,(('Business Case'!C11*$C162*'Business Case'!C12*$B162)-'Business Case'!C11*$C162*'Business Case'!C13*$D162-'Business Case'!C14*$E162))*'Business Case'!$B$7-'Business Case'!$B$8*(('Business Case'!C11*$C162*'Business Case'!C12*$B162)-('Business Case'!B11*$C162*'Business Case'!B12*$B162))-'Business Case'!C15*$F162</f>
        <v>35471036.3145836</v>
      </c>
      <c r="J162" s="39" t="n">
        <f aca="false">(('Business Case'!D11*$C162*'Business Case'!D12*$B162)-'Business Case'!D11*$C162*'Business Case'!D13*$D162-'Business Case'!D14*$E162)-MAX(0,(('Business Case'!D11*$C162*'Business Case'!D12*$B162)-'Business Case'!D11*$C162*'Business Case'!D13*$D162-'Business Case'!D14*$E162))*'Business Case'!$B$7-'Business Case'!$B$8*(('Business Case'!D11*$C162*'Business Case'!D12*$B162)-('Business Case'!C11*$C162*'Business Case'!C12*$B162))-'Business Case'!D15*$F162</f>
        <v>374679135.108716</v>
      </c>
      <c r="K162" s="39" t="n">
        <f aca="false">(('Business Case'!E11*$C162*'Business Case'!E12*$B162)-'Business Case'!E11*$C162*'Business Case'!E13*$D162-'Business Case'!E14*$E162)-MAX(0,(('Business Case'!E11*$C162*'Business Case'!E12*$B162)-'Business Case'!E11*$C162*'Business Case'!E13*$D162-'Business Case'!E14*$E162))*'Business Case'!$B$7-'Business Case'!$B$8*(('Business Case'!E11*$C162*'Business Case'!E12*$B162)-('Business Case'!D11*$C162*'Business Case'!D12*$B162))-'Business Case'!E15*$F162</f>
        <v>770458677.445404</v>
      </c>
      <c r="L162" s="39" t="n">
        <f aca="false">(('Business Case'!F11*$C162*'Business Case'!F12*$B162)-'Business Case'!F11*$C162*'Business Case'!F13*$D162-'Business Case'!F14*$E162)-MAX(0,(('Business Case'!F11*$C162*'Business Case'!F12*$B162)-'Business Case'!F11*$C162*'Business Case'!F13*$D162-'Business Case'!F14*$E162))*'Business Case'!$B$7-'Business Case'!$B$8*(('Business Case'!F11*$C162*'Business Case'!F12*$B162)-('Business Case'!E11*$C162*'Business Case'!E12*$B162))-'Business Case'!F15*$F162</f>
        <v>919437051.85982</v>
      </c>
      <c r="M162" s="39" t="n">
        <f aca="false">(('Business Case'!G11*$C162*'Business Case'!G12*$B162)-'Business Case'!G11*$C162*'Business Case'!G13*$D162-'Business Case'!G14*$E162)-MAX(0,(('Business Case'!G11*$C162*'Business Case'!G12*$B162)-'Business Case'!G11*$C162*'Business Case'!G13*$D162-'Business Case'!G14*$E162))*'Business Case'!$B$7-'Business Case'!$B$8*(('Business Case'!G11*$C162*'Business Case'!G12*$B162)-('Business Case'!F11*$C162*'Business Case'!F12*$B162))-'Business Case'!G15*$F162+'Business Case'!$B$8*('Business Case'!G11*$C162*'Business Case'!G12*$B162)</f>
        <v>1116936596.6832</v>
      </c>
      <c r="N162" s="39" t="n">
        <f aca="false">IF(COUNT('Business Case'!B11:G11)=0,"",H162+NPV(G162,I162:M162))</f>
        <v>-51813008.3368263</v>
      </c>
      <c r="P162" s="40" t="n">
        <f aca="true">RAND()</f>
        <v>0.980641032765298</v>
      </c>
      <c r="Q162" s="40" t="n">
        <f aca="true">RAND()</f>
        <v>0.618181071779105</v>
      </c>
      <c r="R162" s="40" t="n">
        <f aca="true">RAND()</f>
        <v>0.264814550018992</v>
      </c>
      <c r="S162" s="40" t="n">
        <f aca="true">RAND()</f>
        <v>0.0177491844189116</v>
      </c>
      <c r="T162" s="40" t="n">
        <f aca="true">RAND()</f>
        <v>0.905960004944977</v>
      </c>
      <c r="U162" s="40" t="n">
        <f aca="true">RAND()</f>
        <v>0.580995460275171</v>
      </c>
    </row>
    <row r="163" customFormat="false" ht="15" hidden="false" customHeight="false" outlineLevel="0" collapsed="false">
      <c r="A163" s="36" t="n">
        <v>83</v>
      </c>
      <c r="B163" s="37" t="n">
        <f aca="false">1+IF($G$6=$E$6,$F$6,IF(P163&lt;($F$6-$E$6)/($G$6-$E$6),$E$6+SQRT(P163*($G$6-$E$6)*($F$6-$E$6)),$G$6-SQRT((1-P163)*($G$6-$E$6)*($G$6-$F$6))))</f>
        <v>1.01707309343226</v>
      </c>
      <c r="C163" s="37" t="n">
        <f aca="false">1+IF($G$7=$E$7,$F$7,IF(Q163&lt;($F$7-$E$7)/($G$7-$E$7),$E$7+SQRT(Q163*($G$7-$E$7)*($F$7-$E$7)),$G$7-SQRT((1-Q163)*($G$7-$E$7)*($G$7-$F$7))))</f>
        <v>1.00669361241274</v>
      </c>
      <c r="D163" s="37" t="n">
        <f aca="false">1+IF($G$8=$E$8,$F$8,IF(R163&lt;($F$8-$E$8)/($G$8-$E$8),$E$8+SQRT(R163*($G$8-$E$8)*($F$8-$E$8)),$G$8-SQRT((1-R163)*($G$8-$E$8)*($G$8-$F$8))))</f>
        <v>1.02761293651759</v>
      </c>
      <c r="E163" s="37" t="n">
        <f aca="false">1+IF($G$9=$E$9,$F$9,IF(S163&lt;($F$9-$E$9)/($G$9-$E$9),$E$9+SQRT(S163*($G$9-$E$9)*($F$9-$E$9)),$G$9-SQRT((1-S163)*($G$9-$E$9)*($G$9-$F$9))))</f>
        <v>1.03723702303988</v>
      </c>
      <c r="F163" s="37" t="n">
        <f aca="false">1+IF($G$10=$E$10,$F$10,IF(T163&lt;($F$10-$E$10)/($G$10-$E$10),$E$10+SQRT(T163*($G$10-$E$10)*($F$10-$E$10)),$G$10-SQRT((1-T163)*($G$10-$E$10)*($G$10-$F$10))))</f>
        <v>1.05426017388626</v>
      </c>
      <c r="G163" s="38" t="n">
        <f aca="false">IF($G$11=$E$11,$F$11,IF(U163&lt;($F$11-$E$11)/($G$11-$E$11),$E$11+SQRT(U163*($G$11-$E$11)*($F$11-$E$11)),$G$11-SQRT((1-U163)*($G$11-$E$11)*($G$11-$F$11))))</f>
        <v>0.112651798512999</v>
      </c>
      <c r="H163" s="39" t="n">
        <f aca="false">(('Business Case'!B11*$C163*'Business Case'!B12*$B163)-'Business Case'!B11*$C163*'Business Case'!B13*$D163-'Business Case'!B14*$E163)-MAX(0,(('Business Case'!B11*$C163*'Business Case'!B12*$B163)-'Business Case'!B11*$C163*'Business Case'!B13*$D163-'Business Case'!B14*$E163))*'Business Case'!$B$7-'Business Case'!$B$8*('Business Case'!B11*$C163*'Business Case'!B12*$B163)-'Business Case'!B15*$F163</f>
        <v>-2108520347.77251</v>
      </c>
      <c r="I163" s="39" t="n">
        <f aca="false">(('Business Case'!C11*$C163*'Business Case'!C12*$B163)-'Business Case'!C11*$C163*'Business Case'!C13*$D163-'Business Case'!C14*$E163)-MAX(0,(('Business Case'!C11*$C163*'Business Case'!C12*$B163)-'Business Case'!C11*$C163*'Business Case'!C13*$D163-'Business Case'!C14*$E163))*'Business Case'!$B$7-'Business Case'!$B$8*(('Business Case'!C11*$C163*'Business Case'!C12*$B163)-('Business Case'!B11*$C163*'Business Case'!B12*$B163))-'Business Case'!C15*$F163</f>
        <v>3056308.12823778</v>
      </c>
      <c r="J163" s="39" t="n">
        <f aca="false">(('Business Case'!D11*$C163*'Business Case'!D12*$B163)-'Business Case'!D11*$C163*'Business Case'!D13*$D163-'Business Case'!D14*$E163)-MAX(0,(('Business Case'!D11*$C163*'Business Case'!D12*$B163)-'Business Case'!D11*$C163*'Business Case'!D13*$D163-'Business Case'!D14*$E163))*'Business Case'!$B$7-'Business Case'!$B$8*(('Business Case'!D11*$C163*'Business Case'!D12*$B163)-('Business Case'!C11*$C163*'Business Case'!C12*$B163))-'Business Case'!D15*$F163</f>
        <v>312111728.662316</v>
      </c>
      <c r="K163" s="39" t="n">
        <f aca="false">(('Business Case'!E11*$C163*'Business Case'!E12*$B163)-'Business Case'!E11*$C163*'Business Case'!E13*$D163-'Business Case'!E14*$E163)-MAX(0,(('Business Case'!E11*$C163*'Business Case'!E12*$B163)-'Business Case'!E11*$C163*'Business Case'!E13*$D163-'Business Case'!E14*$E163))*'Business Case'!$B$7-'Business Case'!$B$8*(('Business Case'!E11*$C163*'Business Case'!E12*$B163)-('Business Case'!D11*$C163*'Business Case'!D12*$B163))-'Business Case'!E15*$F163</f>
        <v>673880157.890707</v>
      </c>
      <c r="L163" s="39" t="n">
        <f aca="false">(('Business Case'!F11*$C163*'Business Case'!F12*$B163)-'Business Case'!F11*$C163*'Business Case'!F13*$D163-'Business Case'!F14*$E163)-MAX(0,(('Business Case'!F11*$C163*'Business Case'!F12*$B163)-'Business Case'!F11*$C163*'Business Case'!F13*$D163-'Business Case'!F14*$E163))*'Business Case'!$B$7-'Business Case'!$B$8*(('Business Case'!F11*$C163*'Business Case'!F12*$B163)-('Business Case'!E11*$C163*'Business Case'!E12*$B163))-'Business Case'!F15*$F163</f>
        <v>812283958.296029</v>
      </c>
      <c r="M163" s="39" t="n">
        <f aca="false">(('Business Case'!G11*$C163*'Business Case'!G12*$B163)-'Business Case'!G11*$C163*'Business Case'!G13*$D163-'Business Case'!G14*$E163)-MAX(0,(('Business Case'!G11*$C163*'Business Case'!G12*$B163)-'Business Case'!G11*$C163*'Business Case'!G13*$D163-'Business Case'!G14*$E163))*'Business Case'!$B$7-'Business Case'!$B$8*(('Business Case'!G11*$C163*'Business Case'!G12*$B163)-('Business Case'!F11*$C163*'Business Case'!F12*$B163))-'Business Case'!G15*$F163+'Business Case'!$B$8*('Business Case'!G11*$C163*'Business Case'!G12*$B163)</f>
        <v>1006903256.21282</v>
      </c>
      <c r="N163" s="39" t="n">
        <f aca="false">IF(COUNT('Business Case'!B11:G11)=0,"",H163+NPV(G163,I163:M163))</f>
        <v>-243986902.323724</v>
      </c>
      <c r="P163" s="40" t="n">
        <f aca="true">RAND()</f>
        <v>0.890491032340468</v>
      </c>
      <c r="Q163" s="40" t="n">
        <f aca="true">RAND()</f>
        <v>0.608824367175065</v>
      </c>
      <c r="R163" s="40" t="n">
        <f aca="true">RAND()</f>
        <v>0.73611495958556</v>
      </c>
      <c r="S163" s="40" t="n">
        <f aca="true">RAND()</f>
        <v>0.737387248206877</v>
      </c>
      <c r="T163" s="40" t="n">
        <f aca="true">RAND()</f>
        <v>0.575198061686715</v>
      </c>
      <c r="U163" s="40" t="n">
        <f aca="true">RAND()</f>
        <v>0.910006558177403</v>
      </c>
    </row>
    <row r="164" customFormat="false" ht="15" hidden="false" customHeight="false" outlineLevel="0" collapsed="false">
      <c r="A164" s="36" t="n">
        <v>84</v>
      </c>
      <c r="B164" s="37" t="n">
        <f aca="false">1+IF($G$6=$E$6,$F$6,IF(P164&lt;($F$6-$E$6)/($G$6-$E$6),$E$6+SQRT(P164*($G$6-$E$6)*($F$6-$E$6)),$G$6-SQRT((1-P164)*($G$6-$E$6)*($G$6-$F$6))))</f>
        <v>0.950283904750183</v>
      </c>
      <c r="C164" s="37" t="n">
        <f aca="false">1+IF($G$7=$E$7,$F$7,IF(Q164&lt;($F$7-$E$7)/($G$7-$E$7),$E$7+SQRT(Q164*($G$7-$E$7)*($F$7-$E$7)),$G$7-SQRT((1-Q164)*($G$7-$E$7)*($G$7-$F$7))))</f>
        <v>0.87572152743932</v>
      </c>
      <c r="D164" s="37" t="n">
        <f aca="false">1+IF($G$8=$E$8,$F$8,IF(R164&lt;($F$8-$E$8)/($G$8-$E$8),$E$8+SQRT(R164*($G$8-$E$8)*($F$8-$E$8)),$G$8-SQRT((1-R164)*($G$8-$E$8)*($G$8-$F$8))))</f>
        <v>1.00734316632072</v>
      </c>
      <c r="E164" s="37" t="n">
        <f aca="false">1+IF($G$9=$E$9,$F$9,IF(S164&lt;($F$9-$E$9)/($G$9-$E$9),$E$9+SQRT(S164*($G$9-$E$9)*($F$9-$E$9)),$G$9-SQRT((1-S164)*($G$9-$E$9)*($G$9-$F$9))))</f>
        <v>0.991025074282829</v>
      </c>
      <c r="F164" s="37" t="n">
        <f aca="false">1+IF($G$10=$E$10,$F$10,IF(T164&lt;($F$10-$E$10)/($G$10-$E$10),$E$10+SQRT(T164*($G$10-$E$10)*($F$10-$E$10)),$G$10-SQRT((1-T164)*($G$10-$E$10)*($G$10-$F$10))))</f>
        <v>0.998447634989335</v>
      </c>
      <c r="G164" s="38" t="n">
        <f aca="false">IF($G$11=$E$11,$F$11,IF(U164&lt;($F$11-$E$11)/($G$11-$E$11),$E$11+SQRT(U164*($G$11-$E$11)*($F$11-$E$11)),$G$11-SQRT((1-U164)*($G$11-$E$11)*($G$11-$F$11))))</f>
        <v>0.104726627133897</v>
      </c>
      <c r="H164" s="39" t="n">
        <f aca="false">(('Business Case'!B11*$C164*'Business Case'!B12*$B164)-'Business Case'!B11*$C164*'Business Case'!B13*$D164-'Business Case'!B14*$E164)-MAX(0,(('Business Case'!B11*$C164*'Business Case'!B12*$B164)-'Business Case'!B11*$C164*'Business Case'!B13*$D164-'Business Case'!B14*$E164))*'Business Case'!$B$7-'Business Case'!$B$8*('Business Case'!B11*$C164*'Business Case'!B12*$B164)-'Business Case'!B15*$F164</f>
        <v>-1996895269.97867</v>
      </c>
      <c r="I164" s="39" t="n">
        <f aca="false">(('Business Case'!C11*$C164*'Business Case'!C12*$B164)-'Business Case'!C11*$C164*'Business Case'!C13*$D164-'Business Case'!C14*$E164)-MAX(0,(('Business Case'!C11*$C164*'Business Case'!C12*$B164)-'Business Case'!C11*$C164*'Business Case'!C13*$D164-'Business Case'!C14*$E164))*'Business Case'!$B$7-'Business Case'!$B$8*(('Business Case'!C11*$C164*'Business Case'!C12*$B164)-('Business Case'!B11*$C164*'Business Case'!B12*$B164))-'Business Case'!C15*$F164</f>
        <v>-53881579.8172844</v>
      </c>
      <c r="J164" s="39" t="n">
        <f aca="false">(('Business Case'!D11*$C164*'Business Case'!D12*$B164)-'Business Case'!D11*$C164*'Business Case'!D13*$D164-'Business Case'!D14*$E164)-MAX(0,(('Business Case'!D11*$C164*'Business Case'!D12*$B164)-'Business Case'!D11*$C164*'Business Case'!D13*$D164-'Business Case'!D14*$E164))*'Business Case'!$B$7-'Business Case'!$B$8*(('Business Case'!D11*$C164*'Business Case'!D12*$B164)-('Business Case'!C11*$C164*'Business Case'!C12*$B164))-'Business Case'!D15*$F164</f>
        <v>176145791.749351</v>
      </c>
      <c r="K164" s="39" t="n">
        <f aca="false">(('Business Case'!E11*$C164*'Business Case'!E12*$B164)-'Business Case'!E11*$C164*'Business Case'!E13*$D164-'Business Case'!E14*$E164)-MAX(0,(('Business Case'!E11*$C164*'Business Case'!E12*$B164)-'Business Case'!E11*$C164*'Business Case'!E13*$D164-'Business Case'!E14*$E164))*'Business Case'!$B$7-'Business Case'!$B$8*(('Business Case'!E11*$C164*'Business Case'!E12*$B164)-('Business Case'!D11*$C164*'Business Case'!D12*$B164))-'Business Case'!E15*$F164</f>
        <v>456095545.065454</v>
      </c>
      <c r="L164" s="39" t="n">
        <f aca="false">(('Business Case'!F11*$C164*'Business Case'!F12*$B164)-'Business Case'!F11*$C164*'Business Case'!F13*$D164-'Business Case'!F14*$E164)-MAX(0,(('Business Case'!F11*$C164*'Business Case'!F12*$B164)-'Business Case'!F11*$C164*'Business Case'!F13*$D164-'Business Case'!F14*$E164))*'Business Case'!$B$7-'Business Case'!$B$8*(('Business Case'!F11*$C164*'Business Case'!F12*$B164)-('Business Case'!E11*$C164*'Business Case'!E12*$B164))-'Business Case'!F15*$F164</f>
        <v>561531617.135644</v>
      </c>
      <c r="M164" s="39" t="n">
        <f aca="false">(('Business Case'!G11*$C164*'Business Case'!G12*$B164)-'Business Case'!G11*$C164*'Business Case'!G13*$D164-'Business Case'!G14*$E164)-MAX(0,(('Business Case'!G11*$C164*'Business Case'!G12*$B164)-'Business Case'!G11*$C164*'Business Case'!G13*$D164-'Business Case'!G14*$E164))*'Business Case'!$B$7-'Business Case'!$B$8*(('Business Case'!G11*$C164*'Business Case'!G12*$B164)-('Business Case'!F11*$C164*'Business Case'!F12*$B164))-'Business Case'!G15*$F164+'Business Case'!$B$8*('Business Case'!G11*$C164*'Business Case'!G12*$B164)</f>
        <v>719713165.649528</v>
      </c>
      <c r="N164" s="39" t="n">
        <f aca="false">IF(COUNT('Business Case'!B11:G11)=0,"",H164+NPV(G164,I164:M164))</f>
        <v>-748626838.725916</v>
      </c>
      <c r="P164" s="40" t="n">
        <f aca="true">RAND()</f>
        <v>0.0955328007206389</v>
      </c>
      <c r="Q164" s="40" t="n">
        <f aca="true">RAND()</f>
        <v>0.081910710253481</v>
      </c>
      <c r="R164" s="40" t="n">
        <f aca="true">RAND()</f>
        <v>0.492402357663637</v>
      </c>
      <c r="S164" s="40" t="n">
        <f aca="true">RAND()</f>
        <v>0.224407562654885</v>
      </c>
      <c r="T164" s="40" t="n">
        <f aca="true">RAND()</f>
        <v>0.187773866884784</v>
      </c>
      <c r="U164" s="40" t="n">
        <f aca="true">RAND()</f>
        <v>0.611206802154976</v>
      </c>
    </row>
    <row r="165" customFormat="false" ht="15" hidden="false" customHeight="false" outlineLevel="0" collapsed="false">
      <c r="A165" s="36" t="n">
        <v>85</v>
      </c>
      <c r="B165" s="37" t="n">
        <f aca="false">1+IF($G$6=$E$6,$F$6,IF(P165&lt;($F$6-$E$6)/($G$6-$E$6),$E$6+SQRT(P165*($G$6-$E$6)*($F$6-$E$6)),$G$6-SQRT((1-P165)*($G$6-$E$6)*($G$6-$F$6))))</f>
        <v>0.992597015487264</v>
      </c>
      <c r="C165" s="37" t="n">
        <f aca="false">1+IF($G$7=$E$7,$F$7,IF(Q165&lt;($F$7-$E$7)/($G$7-$E$7),$E$7+SQRT(Q165*($G$7-$E$7)*($F$7-$E$7)),$G$7-SQRT((1-Q165)*($G$7-$E$7)*($G$7-$F$7))))</f>
        <v>0.991588710839682</v>
      </c>
      <c r="D165" s="37" t="n">
        <f aca="false">1+IF($G$8=$E$8,$F$8,IF(R165&lt;($F$8-$E$8)/($G$8-$E$8),$E$8+SQRT(R165*($G$8-$E$8)*($F$8-$E$8)),$G$8-SQRT((1-R165)*($G$8-$E$8)*($G$8-$F$8))))</f>
        <v>1.00581004327455</v>
      </c>
      <c r="E165" s="37" t="n">
        <f aca="false">1+IF($G$9=$E$9,$F$9,IF(S165&lt;($F$9-$E$9)/($G$9-$E$9),$E$9+SQRT(S165*($G$9-$E$9)*($F$9-$E$9)),$G$9-SQRT((1-S165)*($G$9-$E$9)*($G$9-$F$9))))</f>
        <v>1.05280637842726</v>
      </c>
      <c r="F165" s="37" t="n">
        <f aca="false">1+IF($G$10=$E$10,$F$10,IF(T165&lt;($F$10-$E$10)/($G$10-$E$10),$E$10+SQRT(T165*($G$10-$E$10)*($F$10-$E$10)),$G$10-SQRT((1-T165)*($G$10-$E$10)*($G$10-$F$10))))</f>
        <v>1.00021755706653</v>
      </c>
      <c r="G165" s="38" t="n">
        <f aca="false">IF($G$11=$E$11,$F$11,IF(U165&lt;($F$11-$E$11)/($G$11-$E$11),$E$11+SQRT(U165*($G$11-$E$11)*($F$11-$E$11)),$G$11-SQRT((1-U165)*($G$11-$E$11)*($G$11-$F$11))))</f>
        <v>0.0961303676655333</v>
      </c>
      <c r="H165" s="39" t="n">
        <f aca="false">(('Business Case'!B11*$C165*'Business Case'!B12*$B165)-'Business Case'!B11*$C165*'Business Case'!B13*$D165-'Business Case'!B14*$E165)-MAX(0,(('Business Case'!B11*$C165*'Business Case'!B12*$B165)-'Business Case'!B11*$C165*'Business Case'!B13*$D165-'Business Case'!B14*$E165))*'Business Case'!$B$7-'Business Case'!$B$8*('Business Case'!B11*$C165*'Business Case'!B12*$B165)-'Business Case'!B15*$F165</f>
        <v>-2000435114.13307</v>
      </c>
      <c r="I165" s="39" t="n">
        <f aca="false">(('Business Case'!C11*$C165*'Business Case'!C12*$B165)-'Business Case'!C11*$C165*'Business Case'!C13*$D165-'Business Case'!C14*$E165)-MAX(0,(('Business Case'!C11*$C165*'Business Case'!C12*$B165)-'Business Case'!C11*$C165*'Business Case'!C13*$D165-'Business Case'!C14*$E165))*'Business Case'!$B$7-'Business Case'!$B$8*(('Business Case'!C11*$C165*'Business Case'!C12*$B165)-('Business Case'!B11*$C165*'Business Case'!B12*$B165))-'Business Case'!C15*$F165</f>
        <v>-5147617.7412312</v>
      </c>
      <c r="J165" s="39" t="n">
        <f aca="false">(('Business Case'!D11*$C165*'Business Case'!D12*$B165)-'Business Case'!D11*$C165*'Business Case'!D13*$D165-'Business Case'!D14*$E165)-MAX(0,(('Business Case'!D11*$C165*'Business Case'!D12*$B165)-'Business Case'!D11*$C165*'Business Case'!D13*$D165-'Business Case'!D14*$E165))*'Business Case'!$B$7-'Business Case'!$B$8*(('Business Case'!D11*$C165*'Business Case'!D12*$B165)-('Business Case'!C11*$C165*'Business Case'!C12*$B165))-'Business Case'!D15*$F165</f>
        <v>290459003.295809</v>
      </c>
      <c r="K165" s="39" t="n">
        <f aca="false">(('Business Case'!E11*$C165*'Business Case'!E12*$B165)-'Business Case'!E11*$C165*'Business Case'!E13*$D165-'Business Case'!E14*$E165)-MAX(0,(('Business Case'!E11*$C165*'Business Case'!E12*$B165)-'Business Case'!E11*$C165*'Business Case'!E13*$D165-'Business Case'!E14*$E165))*'Business Case'!$B$7-'Business Case'!$B$8*(('Business Case'!E11*$C165*'Business Case'!E12*$B165)-('Business Case'!D11*$C165*'Business Case'!D12*$B165))-'Business Case'!E15*$F165</f>
        <v>636076502.186176</v>
      </c>
      <c r="L165" s="39" t="n">
        <f aca="false">(('Business Case'!F11*$C165*'Business Case'!F12*$B165)-'Business Case'!F11*$C165*'Business Case'!F13*$D165-'Business Case'!F14*$E165)-MAX(0,(('Business Case'!F11*$C165*'Business Case'!F12*$B165)-'Business Case'!F11*$C165*'Business Case'!F13*$D165-'Business Case'!F14*$E165))*'Business Case'!$B$7-'Business Case'!$B$8*(('Business Case'!F11*$C165*'Business Case'!F12*$B165)-('Business Case'!E11*$C165*'Business Case'!E12*$B165))-'Business Case'!F15*$F165</f>
        <v>768627653.238031</v>
      </c>
      <c r="M165" s="39" t="n">
        <f aca="false">(('Business Case'!G11*$C165*'Business Case'!G12*$B165)-'Business Case'!G11*$C165*'Business Case'!G13*$D165-'Business Case'!G14*$E165)-MAX(0,(('Business Case'!G11*$C165*'Business Case'!G12*$B165)-'Business Case'!G11*$C165*'Business Case'!G13*$D165-'Business Case'!G14*$E165))*'Business Case'!$B$7-'Business Case'!$B$8*(('Business Case'!G11*$C165*'Business Case'!G12*$B165)-('Business Case'!F11*$C165*'Business Case'!F12*$B165))-'Business Case'!G15*$F165+'Business Case'!$B$8*('Business Case'!G11*$C165*'Business Case'!G12*$B165)</f>
        <v>955713512.121992</v>
      </c>
      <c r="N165" s="39" t="n">
        <f aca="false">IF(COUNT('Business Case'!B11:G11)=0,"",H165+NPV(G165,I165:M165))</f>
        <v>-144004284.297991</v>
      </c>
      <c r="P165" s="40" t="n">
        <f aca="true">RAND()</f>
        <v>0.548992360172717</v>
      </c>
      <c r="Q165" s="40" t="n">
        <f aca="true">RAND()</f>
        <v>0.524374773160163</v>
      </c>
      <c r="R165" s="40" t="n">
        <f aca="true">RAND()</f>
        <v>0.470754838565049</v>
      </c>
      <c r="S165" s="40" t="n">
        <f aca="true">RAND()</f>
        <v>0.85151747218991</v>
      </c>
      <c r="T165" s="40" t="n">
        <f aca="true">RAND()</f>
        <v>0.201739509910735</v>
      </c>
      <c r="U165" s="40" t="n">
        <f aca="true">RAND()</f>
        <v>0.12527135904872</v>
      </c>
    </row>
    <row r="166" customFormat="false" ht="15" hidden="false" customHeight="false" outlineLevel="0" collapsed="false">
      <c r="A166" s="36" t="n">
        <v>86</v>
      </c>
      <c r="B166" s="37" t="n">
        <f aca="false">1+IF($G$6=$E$6,$F$6,IF(P166&lt;($F$6-$E$6)/($G$6-$E$6),$E$6+SQRT(P166*($G$6-$E$6)*($F$6-$E$6)),$G$6-SQRT((1-P166)*($G$6-$E$6)*($G$6-$F$6))))</f>
        <v>0.990978740741365</v>
      </c>
      <c r="C166" s="37" t="n">
        <f aca="false">1+IF($G$7=$E$7,$F$7,IF(Q166&lt;($F$7-$E$7)/($G$7-$E$7),$E$7+SQRT(Q166*($G$7-$E$7)*($F$7-$E$7)),$G$7-SQRT((1-Q166)*($G$7-$E$7)*($G$7-$F$7))))</f>
        <v>0.992654486347554</v>
      </c>
      <c r="D166" s="37" t="n">
        <f aca="false">1+IF($G$8=$E$8,$F$8,IF(R166&lt;($F$8-$E$8)/($G$8-$E$8),$E$8+SQRT(R166*($G$8-$E$8)*($F$8-$E$8)),$G$8-SQRT((1-R166)*($G$8-$E$8)*($G$8-$F$8))))</f>
        <v>1.02151083299989</v>
      </c>
      <c r="E166" s="37" t="n">
        <f aca="false">1+IF($G$9=$E$9,$F$9,IF(S166&lt;($F$9-$E$9)/($G$9-$E$9),$E$9+SQRT(S166*($G$9-$E$9)*($F$9-$E$9)),$G$9-SQRT((1-S166)*($G$9-$E$9)*($G$9-$F$9))))</f>
        <v>1.0375721102679</v>
      </c>
      <c r="F166" s="37" t="n">
        <f aca="false">1+IF($G$10=$E$10,$F$10,IF(T166&lt;($F$10-$E$10)/($G$10-$E$10),$E$10+SQRT(T166*($G$10-$E$10)*($F$10-$E$10)),$G$10-SQRT((1-T166)*($G$10-$E$10)*($G$10-$F$10))))</f>
        <v>0.983831779620861</v>
      </c>
      <c r="G166" s="38" t="n">
        <f aca="false">IF($G$11=$E$11,$F$11,IF(U166&lt;($F$11-$E$11)/($G$11-$E$11),$E$11+SQRT(U166*($G$11-$E$11)*($F$11-$E$11)),$G$11-SQRT((1-U166)*($G$11-$E$11)*($G$11-$F$11))))</f>
        <v>0.105213209597243</v>
      </c>
      <c r="H166" s="39" t="n">
        <f aca="false">(('Business Case'!B11*$C166*'Business Case'!B12*$B166)-'Business Case'!B11*$C166*'Business Case'!B13*$D166-'Business Case'!B14*$E166)-MAX(0,(('Business Case'!B11*$C166*'Business Case'!B12*$B166)-'Business Case'!B11*$C166*'Business Case'!B13*$D166-'Business Case'!B14*$E166))*'Business Case'!$B$7-'Business Case'!$B$8*('Business Case'!B11*$C166*'Business Case'!B12*$B166)-'Business Case'!B15*$F166</f>
        <v>-1967663559.24172</v>
      </c>
      <c r="I166" s="39" t="n">
        <f aca="false">(('Business Case'!C11*$C166*'Business Case'!C12*$B166)-'Business Case'!C11*$C166*'Business Case'!C13*$D166-'Business Case'!C14*$E166)-MAX(0,(('Business Case'!C11*$C166*'Business Case'!C12*$B166)-'Business Case'!C11*$C166*'Business Case'!C13*$D166-'Business Case'!C14*$E166))*'Business Case'!$B$7-'Business Case'!$B$8*(('Business Case'!C11*$C166*'Business Case'!C12*$B166)-('Business Case'!B11*$C166*'Business Case'!B12*$B166))-'Business Case'!C15*$F166</f>
        <v>-10290825.4918814</v>
      </c>
      <c r="J166" s="39" t="n">
        <f aca="false">(('Business Case'!D11*$C166*'Business Case'!D12*$B166)-'Business Case'!D11*$C166*'Business Case'!D13*$D166-'Business Case'!D14*$E166)-MAX(0,(('Business Case'!D11*$C166*'Business Case'!D12*$B166)-'Business Case'!D11*$C166*'Business Case'!D13*$D166-'Business Case'!D14*$E166))*'Business Case'!$B$7-'Business Case'!$B$8*(('Business Case'!D11*$C166*'Business Case'!D12*$B166)-('Business Case'!C11*$C166*'Business Case'!C12*$B166))-'Business Case'!D15*$F166</f>
        <v>276339262.768901</v>
      </c>
      <c r="K166" s="39" t="n">
        <f aca="false">(('Business Case'!E11*$C166*'Business Case'!E12*$B166)-'Business Case'!E11*$C166*'Business Case'!E13*$D166-'Business Case'!E14*$E166)-MAX(0,(('Business Case'!E11*$C166*'Business Case'!E12*$B166)-'Business Case'!E11*$C166*'Business Case'!E13*$D166-'Business Case'!E14*$E166))*'Business Case'!$B$7-'Business Case'!$B$8*(('Business Case'!E11*$C166*'Business Case'!E12*$B166)-('Business Case'!D11*$C166*'Business Case'!D12*$B166))-'Business Case'!E15*$F166</f>
        <v>612160940.010727</v>
      </c>
      <c r="L166" s="39" t="n">
        <f aca="false">(('Business Case'!F11*$C166*'Business Case'!F12*$B166)-'Business Case'!F11*$C166*'Business Case'!F13*$D166-'Business Case'!F14*$E166)-MAX(0,(('Business Case'!F11*$C166*'Business Case'!F12*$B166)-'Business Case'!F11*$C166*'Business Case'!F13*$D166-'Business Case'!F14*$E166))*'Business Case'!$B$7-'Business Case'!$B$8*(('Business Case'!F11*$C166*'Business Case'!F12*$B166)-('Business Case'!E11*$C166*'Business Case'!E12*$B166))-'Business Case'!F15*$F166</f>
        <v>741700957.237976</v>
      </c>
      <c r="M166" s="39" t="n">
        <f aca="false">(('Business Case'!G11*$C166*'Business Case'!G12*$B166)-'Business Case'!G11*$C166*'Business Case'!G13*$D166-'Business Case'!G14*$E166)-MAX(0,(('Business Case'!G11*$C166*'Business Case'!G12*$B166)-'Business Case'!G11*$C166*'Business Case'!G13*$D166-'Business Case'!G14*$E166))*'Business Case'!$B$7-'Business Case'!$B$8*(('Business Case'!G11*$C166*'Business Case'!G12*$B166)-('Business Case'!F11*$C166*'Business Case'!F12*$B166))-'Business Case'!G15*$F166+'Business Case'!$B$8*('Business Case'!G11*$C166*'Business Case'!G12*$B166)</f>
        <v>928682556.84308</v>
      </c>
      <c r="N166" s="39" t="n">
        <f aca="false">IF(COUNT('Business Case'!B11:G11)=0,"",H166+NPV(G166,I166:M166))</f>
        <v>-237029061.100713</v>
      </c>
      <c r="P166" s="40" t="n">
        <f aca="true">RAND()</f>
        <v>0.524789753878112</v>
      </c>
      <c r="Q166" s="40" t="n">
        <f aca="true">RAND()</f>
        <v>0.530225015854856</v>
      </c>
      <c r="R166" s="40" t="n">
        <f aca="true">RAND()</f>
        <v>0.671059359964706</v>
      </c>
      <c r="S166" s="40" t="n">
        <f aca="true">RAND()</f>
        <v>0.740183905573103</v>
      </c>
      <c r="T166" s="40" t="n">
        <f aca="true">RAND()</f>
        <v>0.0915671449851592</v>
      </c>
      <c r="U166" s="40" t="n">
        <f aca="true">RAND()</f>
        <v>0.635584715974898</v>
      </c>
    </row>
    <row r="167" customFormat="false" ht="15" hidden="false" customHeight="false" outlineLevel="0" collapsed="false">
      <c r="A167" s="36" t="n">
        <v>87</v>
      </c>
      <c r="B167" s="37" t="n">
        <f aca="false">1+IF($G$6=$E$6,$F$6,IF(P167&lt;($F$6-$E$6)/($G$6-$E$6),$E$6+SQRT(P167*($G$6-$E$6)*($F$6-$E$6)),$G$6-SQRT((1-P167)*($G$6-$E$6)*($G$6-$F$6))))</f>
        <v>0.988562870766377</v>
      </c>
      <c r="C167" s="37" t="n">
        <f aca="false">1+IF($G$7=$E$7,$F$7,IF(Q167&lt;($F$7-$E$7)/($G$7-$E$7),$E$7+SQRT(Q167*($G$7-$E$7)*($F$7-$E$7)),$G$7-SQRT((1-Q167)*($G$7-$E$7)*($G$7-$F$7))))</f>
        <v>0.907615357585843</v>
      </c>
      <c r="D167" s="37" t="n">
        <f aca="false">1+IF($G$8=$E$8,$F$8,IF(R167&lt;($F$8-$E$8)/($G$8-$E$8),$E$8+SQRT(R167*($G$8-$E$8)*($F$8-$E$8)),$G$8-SQRT((1-R167)*($G$8-$E$8)*($G$8-$F$8))))</f>
        <v>0.97881102589738</v>
      </c>
      <c r="E167" s="37" t="n">
        <f aca="false">1+IF($G$9=$E$9,$F$9,IF(S167&lt;($F$9-$E$9)/($G$9-$E$9),$E$9+SQRT(S167*($G$9-$E$9)*($F$9-$E$9)),$G$9-SQRT((1-S167)*($G$9-$E$9)*($G$9-$F$9))))</f>
        <v>1.00928757074195</v>
      </c>
      <c r="F167" s="37" t="n">
        <f aca="false">1+IF($G$10=$E$10,$F$10,IF(T167&lt;($F$10-$E$10)/($G$10-$E$10),$E$10+SQRT(T167*($G$10-$E$10)*($F$10-$E$10)),$G$10-SQRT((1-T167)*($G$10-$E$10)*($G$10-$F$10))))</f>
        <v>1.06502274583838</v>
      </c>
      <c r="G167" s="38" t="n">
        <f aca="false">IF($G$11=$E$11,$F$11,IF(U167&lt;($F$11-$E$11)/($G$11-$E$11),$E$11+SQRT(U167*($G$11-$E$11)*($F$11-$E$11)),$G$11-SQRT((1-U167)*($G$11-$E$11)*($G$11-$F$11))))</f>
        <v>0.103933548743161</v>
      </c>
      <c r="H167" s="39" t="n">
        <f aca="false">(('Business Case'!B11*$C167*'Business Case'!B12*$B167)-'Business Case'!B11*$C167*'Business Case'!B13*$D167-'Business Case'!B14*$E167)-MAX(0,(('Business Case'!B11*$C167*'Business Case'!B12*$B167)-'Business Case'!B11*$C167*'Business Case'!B13*$D167-'Business Case'!B14*$E167))*'Business Case'!$B$7-'Business Case'!$B$8*('Business Case'!B11*$C167*'Business Case'!B12*$B167)-'Business Case'!B15*$F167</f>
        <v>-2130045491.67675</v>
      </c>
      <c r="I167" s="39" t="n">
        <f aca="false">(('Business Case'!C11*$C167*'Business Case'!C12*$B167)-'Business Case'!C11*$C167*'Business Case'!C13*$D167-'Business Case'!C14*$E167)-MAX(0,(('Business Case'!C11*$C167*'Business Case'!C12*$B167)-'Business Case'!C11*$C167*'Business Case'!C13*$D167-'Business Case'!C14*$E167))*'Business Case'!$B$7-'Business Case'!$B$8*(('Business Case'!C11*$C167*'Business Case'!C12*$B167)-('Business Case'!B11*$C167*'Business Case'!B12*$B167))-'Business Case'!C15*$F167</f>
        <v>-16417179.6932465</v>
      </c>
      <c r="J167" s="39" t="n">
        <f aca="false">(('Business Case'!D11*$C167*'Business Case'!D12*$B167)-'Business Case'!D11*$C167*'Business Case'!D13*$D167-'Business Case'!D14*$E167)-MAX(0,(('Business Case'!D11*$C167*'Business Case'!D12*$B167)-'Business Case'!D11*$C167*'Business Case'!D13*$D167-'Business Case'!D14*$E167))*'Business Case'!$B$7-'Business Case'!$B$8*(('Business Case'!D11*$C167*'Business Case'!D12*$B167)-('Business Case'!C11*$C167*'Business Case'!C12*$B167))-'Business Case'!D15*$F167</f>
        <v>263701262.041127</v>
      </c>
      <c r="K167" s="39" t="n">
        <f aca="false">(('Business Case'!E11*$C167*'Business Case'!E12*$B167)-'Business Case'!E11*$C167*'Business Case'!E13*$D167-'Business Case'!E14*$E167)-MAX(0,(('Business Case'!E11*$C167*'Business Case'!E12*$B167)-'Business Case'!E11*$C167*'Business Case'!E13*$D167-'Business Case'!E14*$E167))*'Business Case'!$B$7-'Business Case'!$B$8*(('Business Case'!E11*$C167*'Business Case'!E12*$B167)-('Business Case'!D11*$C167*'Business Case'!D12*$B167))-'Business Case'!E15*$F167</f>
        <v>597070841.06742</v>
      </c>
      <c r="L167" s="39" t="n">
        <f aca="false">(('Business Case'!F11*$C167*'Business Case'!F12*$B167)-'Business Case'!F11*$C167*'Business Case'!F13*$D167-'Business Case'!F14*$E167)-MAX(0,(('Business Case'!F11*$C167*'Business Case'!F12*$B167)-'Business Case'!F11*$C167*'Business Case'!F13*$D167-'Business Case'!F14*$E167))*'Business Case'!$B$7-'Business Case'!$B$8*(('Business Case'!F11*$C167*'Business Case'!F12*$B167)-('Business Case'!E11*$C167*'Business Case'!E12*$B167))-'Business Case'!F15*$F167</f>
        <v>721452091.168397</v>
      </c>
      <c r="M167" s="39" t="n">
        <f aca="false">(('Business Case'!G11*$C167*'Business Case'!G12*$B167)-'Business Case'!G11*$C167*'Business Case'!G13*$D167-'Business Case'!G14*$E167)-MAX(0,(('Business Case'!G11*$C167*'Business Case'!G12*$B167)-'Business Case'!G11*$C167*'Business Case'!G13*$D167-'Business Case'!G14*$E167))*'Business Case'!$B$7-'Business Case'!$B$8*(('Business Case'!G11*$C167*'Business Case'!G12*$B167)-('Business Case'!F11*$C167*'Business Case'!F12*$B167))-'Business Case'!G15*$F167+'Business Case'!$B$8*('Business Case'!G11*$C167*'Business Case'!G12*$B167)</f>
        <v>891998490.210748</v>
      </c>
      <c r="N167" s="39" t="n">
        <f aca="false">IF(COUNT('Business Case'!B11:G11)=0,"",H167+NPV(G167,I167:M167))</f>
        <v>-454883423.054264</v>
      </c>
      <c r="P167" s="40" t="n">
        <f aca="true">RAND()</f>
        <v>0.489673671638215</v>
      </c>
      <c r="Q167" s="40" t="n">
        <f aca="true">RAND()</f>
        <v>0.165443788404697</v>
      </c>
      <c r="R167" s="40" t="n">
        <f aca="true">RAND()</f>
        <v>0.127703878962999</v>
      </c>
      <c r="S167" s="40" t="n">
        <f aca="true">RAND()</f>
        <v>0.451417011873549</v>
      </c>
      <c r="T167" s="40" t="n">
        <f aca="true">RAND()</f>
        <v>0.635622817179763</v>
      </c>
      <c r="U167" s="40" t="n">
        <f aca="true">RAND()</f>
        <v>0.569781906686018</v>
      </c>
    </row>
    <row r="168" customFormat="false" ht="15" hidden="false" customHeight="false" outlineLevel="0" collapsed="false">
      <c r="A168" s="36" t="n">
        <v>88</v>
      </c>
      <c r="B168" s="37" t="n">
        <f aca="false">1+IF($G$6=$E$6,$F$6,IF(P168&lt;($F$6-$E$6)/($G$6-$E$6),$E$6+SQRT(P168*($G$6-$E$6)*($F$6-$E$6)),$G$6-SQRT((1-P168)*($G$6-$E$6)*($G$6-$F$6))))</f>
        <v>0.959890759650073</v>
      </c>
      <c r="C168" s="37" t="n">
        <f aca="false">1+IF($G$7=$E$7,$F$7,IF(Q168&lt;($F$7-$E$7)/($G$7-$E$7),$E$7+SQRT(Q168*($G$7-$E$7)*($F$7-$E$7)),$G$7-SQRT((1-Q168)*($G$7-$E$7)*($G$7-$F$7))))</f>
        <v>0.904853311776042</v>
      </c>
      <c r="D168" s="37" t="n">
        <f aca="false">1+IF($G$8=$E$8,$F$8,IF(R168&lt;($F$8-$E$8)/($G$8-$E$8),$E$8+SQRT(R168*($G$8-$E$8)*($F$8-$E$8)),$G$8-SQRT((1-R168)*($G$8-$E$8)*($G$8-$F$8))))</f>
        <v>1.00333979931701</v>
      </c>
      <c r="E168" s="37" t="n">
        <f aca="false">1+IF($G$9=$E$9,$F$9,IF(S168&lt;($F$9-$E$9)/($G$9-$E$9),$E$9+SQRT(S168*($G$9-$E$9)*($F$9-$E$9)),$G$9-SQRT((1-S168)*($G$9-$E$9)*($G$9-$F$9))))</f>
        <v>1.00114826976589</v>
      </c>
      <c r="F168" s="37" t="n">
        <f aca="false">1+IF($G$10=$E$10,$F$10,IF(T168&lt;($F$10-$E$10)/($G$10-$E$10),$E$10+SQRT(T168*($G$10-$E$10)*($F$10-$E$10)),$G$10-SQRT((1-T168)*($G$10-$E$10)*($G$10-$F$10))))</f>
        <v>1.00401818418015</v>
      </c>
      <c r="G168" s="38" t="n">
        <f aca="false">IF($G$11=$E$11,$F$11,IF(U168&lt;($F$11-$E$11)/($G$11-$E$11),$E$11+SQRT(U168*($G$11-$E$11)*($F$11-$E$11)),$G$11-SQRT((1-U168)*($G$11-$E$11)*($G$11-$F$11))))</f>
        <v>0.103430039676153</v>
      </c>
      <c r="H168" s="39" t="n">
        <f aca="false">(('Business Case'!B11*$C168*'Business Case'!B12*$B168)-'Business Case'!B11*$C168*'Business Case'!B13*$D168-'Business Case'!B14*$E168)-MAX(0,(('Business Case'!B11*$C168*'Business Case'!B12*$B168)-'Business Case'!B11*$C168*'Business Case'!B13*$D168-'Business Case'!B14*$E168))*'Business Case'!$B$7-'Business Case'!$B$8*('Business Case'!B11*$C168*'Business Case'!B12*$B168)-'Business Case'!B15*$F168</f>
        <v>-2008036368.36031</v>
      </c>
      <c r="I168" s="39" t="n">
        <f aca="false">(('Business Case'!C11*$C168*'Business Case'!C12*$B168)-'Business Case'!C11*$C168*'Business Case'!C13*$D168-'Business Case'!C14*$E168)-MAX(0,(('Business Case'!C11*$C168*'Business Case'!C12*$B168)-'Business Case'!C11*$C168*'Business Case'!C13*$D168-'Business Case'!C14*$E168))*'Business Case'!$B$7-'Business Case'!$B$8*(('Business Case'!C11*$C168*'Business Case'!C12*$B168)-('Business Case'!B11*$C168*'Business Case'!B12*$B168))-'Business Case'!C15*$F168</f>
        <v>-41137365.2943726</v>
      </c>
      <c r="J168" s="39" t="n">
        <f aca="false">(('Business Case'!D11*$C168*'Business Case'!D12*$B168)-'Business Case'!D11*$C168*'Business Case'!D13*$D168-'Business Case'!D14*$E168)-MAX(0,(('Business Case'!D11*$C168*'Business Case'!D12*$B168)-'Business Case'!D11*$C168*'Business Case'!D13*$D168-'Business Case'!D14*$E168))*'Business Case'!$B$7-'Business Case'!$B$8*(('Business Case'!D11*$C168*'Business Case'!D12*$B168)-('Business Case'!C11*$C168*'Business Case'!C12*$B168))-'Business Case'!D15*$F168</f>
        <v>205516539.442985</v>
      </c>
      <c r="K168" s="39" t="n">
        <f aca="false">(('Business Case'!E11*$C168*'Business Case'!E12*$B168)-'Business Case'!E11*$C168*'Business Case'!E13*$D168-'Business Case'!E14*$E168)-MAX(0,(('Business Case'!E11*$C168*'Business Case'!E12*$B168)-'Business Case'!E11*$C168*'Business Case'!E13*$D168-'Business Case'!E14*$E168))*'Business Case'!$B$7-'Business Case'!$B$8*(('Business Case'!E11*$C168*'Business Case'!E12*$B168)-('Business Case'!D11*$C168*'Business Case'!D12*$B168))-'Business Case'!E15*$F168</f>
        <v>502371353.38935</v>
      </c>
      <c r="L168" s="39" t="n">
        <f aca="false">(('Business Case'!F11*$C168*'Business Case'!F12*$B168)-'Business Case'!F11*$C168*'Business Case'!F13*$D168-'Business Case'!F14*$E168)-MAX(0,(('Business Case'!F11*$C168*'Business Case'!F12*$B168)-'Business Case'!F11*$C168*'Business Case'!F13*$D168-'Business Case'!F14*$E168))*'Business Case'!$B$7-'Business Case'!$B$8*(('Business Case'!F11*$C168*'Business Case'!F12*$B168)-('Business Case'!E11*$C168*'Business Case'!E12*$B168))-'Business Case'!F15*$F168</f>
        <v>614606766.73714</v>
      </c>
      <c r="M168" s="39" t="n">
        <f aca="false">(('Business Case'!G11*$C168*'Business Case'!G12*$B168)-'Business Case'!G11*$C168*'Business Case'!G13*$D168-'Business Case'!G14*$E168)-MAX(0,(('Business Case'!G11*$C168*'Business Case'!G12*$B168)-'Business Case'!G11*$C168*'Business Case'!G13*$D168-'Business Case'!G14*$E168))*'Business Case'!$B$7-'Business Case'!$B$8*(('Business Case'!G11*$C168*'Business Case'!G12*$B168)-('Business Case'!F11*$C168*'Business Case'!F12*$B168))-'Business Case'!G15*$F168+'Business Case'!$B$8*('Business Case'!G11*$C168*'Business Case'!G12*$B168)</f>
        <v>779702714.798157</v>
      </c>
      <c r="N168" s="39" t="n">
        <f aca="false">IF(COUNT('Business Case'!B11:G11)=0,"",H168+NPV(G168,I168:M168))</f>
        <v>-611348230.240374</v>
      </c>
      <c r="P168" s="40" t="n">
        <f aca="true">RAND()</f>
        <v>0.165757573485403</v>
      </c>
      <c r="Q168" s="40" t="n">
        <f aca="true">RAND()</f>
        <v>0.157060242720055</v>
      </c>
      <c r="R168" s="40" t="n">
        <f aca="true">RAND()</f>
        <v>0.434924387619514</v>
      </c>
      <c r="S168" s="40" t="n">
        <f aca="true">RAND()</f>
        <v>0.348555695314899</v>
      </c>
      <c r="T168" s="40" t="n">
        <f aca="true">RAND()</f>
        <v>0.231822557359126</v>
      </c>
      <c r="U168" s="40" t="n">
        <f aca="true">RAND()</f>
        <v>0.54239402477691</v>
      </c>
    </row>
    <row r="169" customFormat="false" ht="15" hidden="false" customHeight="false" outlineLevel="0" collapsed="false">
      <c r="A169" s="36" t="n">
        <v>89</v>
      </c>
      <c r="B169" s="37" t="n">
        <f aca="false">1+IF($G$6=$E$6,$F$6,IF(P169&lt;($F$6-$E$6)/($G$6-$E$6),$E$6+SQRT(P169*($G$6-$E$6)*($F$6-$E$6)),$G$6-SQRT((1-P169)*($G$6-$E$6)*($G$6-$F$6))))</f>
        <v>0.975107321038685</v>
      </c>
      <c r="C169" s="37" t="n">
        <f aca="false">1+IF($G$7=$E$7,$F$7,IF(Q169&lt;($F$7-$E$7)/($G$7-$E$7),$E$7+SQRT(Q169*($G$7-$E$7)*($F$7-$E$7)),$G$7-SQRT((1-Q169)*($G$7-$E$7)*($G$7-$F$7))))</f>
        <v>0.882074967210328</v>
      </c>
      <c r="D169" s="37" t="n">
        <f aca="false">1+IF($G$8=$E$8,$F$8,IF(R169&lt;($F$8-$E$8)/($G$8-$E$8),$E$8+SQRT(R169*($G$8-$E$8)*($F$8-$E$8)),$G$8-SQRT((1-R169)*($G$8-$E$8)*($G$8-$F$8))))</f>
        <v>1.06229985190474</v>
      </c>
      <c r="E169" s="37" t="n">
        <f aca="false">1+IF($G$9=$E$9,$F$9,IF(S169&lt;($F$9-$E$9)/($G$9-$E$9),$E$9+SQRT(S169*($G$9-$E$9)*($F$9-$E$9)),$G$9-SQRT((1-S169)*($G$9-$E$9)*($G$9-$F$9))))</f>
        <v>0.970108054412191</v>
      </c>
      <c r="F169" s="37" t="n">
        <f aca="false">1+IF($G$10=$E$10,$F$10,IF(T169&lt;($F$10-$E$10)/($G$10-$E$10),$E$10+SQRT(T169*($G$10-$E$10)*($F$10-$E$10)),$G$10-SQRT((1-T169)*($G$10-$E$10)*($G$10-$F$10))))</f>
        <v>0.993288553459112</v>
      </c>
      <c r="G169" s="38" t="n">
        <f aca="false">IF($G$11=$E$11,$F$11,IF(U169&lt;($F$11-$E$11)/($G$11-$E$11),$E$11+SQRT(U169*($G$11-$E$11)*($F$11-$E$11)),$G$11-SQRT((1-U169)*($G$11-$E$11)*($G$11-$F$11))))</f>
        <v>0.102390009550254</v>
      </c>
      <c r="H169" s="39" t="n">
        <f aca="false">(('Business Case'!B11*$C169*'Business Case'!B12*$B169)-'Business Case'!B11*$C169*'Business Case'!B13*$D169-'Business Case'!B14*$E169)-MAX(0,(('Business Case'!B11*$C169*'Business Case'!B12*$B169)-'Business Case'!B11*$C169*'Business Case'!B13*$D169-'Business Case'!B14*$E169))*'Business Case'!$B$7-'Business Case'!$B$8*('Business Case'!B11*$C169*'Business Case'!B12*$B169)-'Business Case'!B15*$F169</f>
        <v>-1986577106.91822</v>
      </c>
      <c r="I169" s="39" t="n">
        <f aca="false">(('Business Case'!C11*$C169*'Business Case'!C12*$B169)-'Business Case'!C11*$C169*'Business Case'!C13*$D169-'Business Case'!C14*$E169)-MAX(0,(('Business Case'!C11*$C169*'Business Case'!C12*$B169)-'Business Case'!C11*$C169*'Business Case'!C13*$D169-'Business Case'!C14*$E169))*'Business Case'!$B$7-'Business Case'!$B$8*(('Business Case'!C11*$C169*'Business Case'!C12*$B169)-('Business Case'!B11*$C169*'Business Case'!B12*$B169))-'Business Case'!C15*$F169</f>
        <v>-57051781.3537446</v>
      </c>
      <c r="J169" s="39" t="n">
        <f aca="false">(('Business Case'!D11*$C169*'Business Case'!D12*$B169)-'Business Case'!D11*$C169*'Business Case'!D13*$D169-'Business Case'!D14*$E169)-MAX(0,(('Business Case'!D11*$C169*'Business Case'!D12*$B169)-'Business Case'!D11*$C169*'Business Case'!D13*$D169-'Business Case'!D14*$E169))*'Business Case'!$B$7-'Business Case'!$B$8*(('Business Case'!D11*$C169*'Business Case'!D12*$B169)-('Business Case'!C11*$C169*'Business Case'!C12*$B169))-'Business Case'!D15*$F169</f>
        <v>167763162.56257</v>
      </c>
      <c r="K169" s="39" t="n">
        <f aca="false">(('Business Case'!E11*$C169*'Business Case'!E12*$B169)-'Business Case'!E11*$C169*'Business Case'!E13*$D169-'Business Case'!E14*$E169)-MAX(0,(('Business Case'!E11*$C169*'Business Case'!E12*$B169)-'Business Case'!E11*$C169*'Business Case'!E13*$D169-'Business Case'!E14*$E169))*'Business Case'!$B$7-'Business Case'!$B$8*(('Business Case'!E11*$C169*'Business Case'!E12*$B169)-('Business Case'!D11*$C169*'Business Case'!D12*$B169))-'Business Case'!E15*$F169</f>
        <v>442242534.151839</v>
      </c>
      <c r="L169" s="39" t="n">
        <f aca="false">(('Business Case'!F11*$C169*'Business Case'!F12*$B169)-'Business Case'!F11*$C169*'Business Case'!F13*$D169-'Business Case'!F14*$E169)-MAX(0,(('Business Case'!F11*$C169*'Business Case'!F12*$B169)-'Business Case'!F11*$C169*'Business Case'!F13*$D169-'Business Case'!F14*$E169))*'Business Case'!$B$7-'Business Case'!$B$8*(('Business Case'!F11*$C169*'Business Case'!F12*$B169)-('Business Case'!E11*$C169*'Business Case'!E12*$B169))-'Business Case'!F15*$F169</f>
        <v>546906518.515099</v>
      </c>
      <c r="M169" s="39" t="n">
        <f aca="false">(('Business Case'!G11*$C169*'Business Case'!G12*$B169)-'Business Case'!G11*$C169*'Business Case'!G13*$D169-'Business Case'!G14*$E169)-MAX(0,(('Business Case'!G11*$C169*'Business Case'!G12*$B169)-'Business Case'!G11*$C169*'Business Case'!G13*$D169-'Business Case'!G14*$E169))*'Business Case'!$B$7-'Business Case'!$B$8*(('Business Case'!G11*$C169*'Business Case'!G12*$B169)-('Business Case'!F11*$C169*'Business Case'!F12*$B169))-'Business Case'!G15*$F169+'Business Case'!$B$8*('Business Case'!G11*$C169*'Business Case'!G12*$B169)</f>
        <v>710397701.99979</v>
      </c>
      <c r="N169" s="39" t="n">
        <f aca="false">IF(COUNT('Business Case'!B11:G11)=0,"",H169+NPV(G169,I169:M169))</f>
        <v>-763520436.297924</v>
      </c>
      <c r="P169" s="40" t="n">
        <f aca="true">RAND()</f>
        <v>0.316335086672986</v>
      </c>
      <c r="Q169" s="40" t="n">
        <f aca="true">RAND()</f>
        <v>0.0962328606082342</v>
      </c>
      <c r="R169" s="40" t="n">
        <f aca="true">RAND()</f>
        <v>0.969875457442887</v>
      </c>
      <c r="S169" s="40" t="n">
        <f aca="true">RAND()</f>
        <v>0.0539111802991502</v>
      </c>
      <c r="T169" s="40" t="n">
        <f aca="true">RAND()</f>
        <v>0.149911908846595</v>
      </c>
      <c r="U169" s="40" t="n">
        <f aca="true">RAND()</f>
        <v>0.483147060599778</v>
      </c>
    </row>
    <row r="170" customFormat="false" ht="15" hidden="false" customHeight="false" outlineLevel="0" collapsed="false">
      <c r="A170" s="36" t="n">
        <v>90</v>
      </c>
      <c r="B170" s="37" t="n">
        <f aca="false">1+IF($G$6=$E$6,$F$6,IF(P170&lt;($F$6-$E$6)/($G$6-$E$6),$E$6+SQRT(P170*($G$6-$E$6)*($F$6-$E$6)),$G$6-SQRT((1-P170)*($G$6-$E$6)*($G$6-$F$6))))</f>
        <v>0.976960421229658</v>
      </c>
      <c r="C170" s="37" t="n">
        <f aca="false">1+IF($G$7=$E$7,$F$7,IF(Q170&lt;($F$7-$E$7)/($G$7-$E$7),$E$7+SQRT(Q170*($G$7-$E$7)*($F$7-$E$7)),$G$7-SQRT((1-Q170)*($G$7-$E$7)*($G$7-$F$7))))</f>
        <v>0.963896261557448</v>
      </c>
      <c r="D170" s="37" t="n">
        <f aca="false">1+IF($G$8=$E$8,$F$8,IF(R170&lt;($F$8-$E$8)/($G$8-$E$8),$E$8+SQRT(R170*($G$8-$E$8)*($F$8-$E$8)),$G$8-SQRT((1-R170)*($G$8-$E$8)*($G$8-$F$8))))</f>
        <v>0.982960447134963</v>
      </c>
      <c r="E170" s="37" t="n">
        <f aca="false">1+IF($G$9=$E$9,$F$9,IF(S170&lt;($F$9-$E$9)/($G$9-$E$9),$E$9+SQRT(S170*($G$9-$E$9)*($F$9-$E$9)),$G$9-SQRT((1-S170)*($G$9-$E$9)*($G$9-$F$9))))</f>
        <v>1.07101564355106</v>
      </c>
      <c r="F170" s="37" t="n">
        <f aca="false">1+IF($G$10=$E$10,$F$10,IF(T170&lt;($F$10-$E$10)/($G$10-$E$10),$E$10+SQRT(T170*($G$10-$E$10)*($F$10-$E$10)),$G$10-SQRT((1-T170)*($G$10-$E$10)*($G$10-$F$10))))</f>
        <v>1.15494884199964</v>
      </c>
      <c r="G170" s="38" t="n">
        <f aca="false">IF($G$11=$E$11,$F$11,IF(U170&lt;($F$11-$E$11)/($G$11-$E$11),$E$11+SQRT(U170*($G$11-$E$11)*($F$11-$E$11)),$G$11-SQRT((1-U170)*($G$11-$E$11)*($G$11-$F$11))))</f>
        <v>0.103296641855404</v>
      </c>
      <c r="H170" s="39" t="n">
        <f aca="false">(('Business Case'!B11*$C170*'Business Case'!B12*$B170)-'Business Case'!B11*$C170*'Business Case'!B13*$D170-'Business Case'!B14*$E170)-MAX(0,(('Business Case'!B11*$C170*'Business Case'!B12*$B170)-'Business Case'!B11*$C170*'Business Case'!B13*$D170-'Business Case'!B14*$E170))*'Business Case'!$B$7-'Business Case'!$B$8*('Business Case'!B11*$C170*'Business Case'!B12*$B170)-'Business Case'!B15*$F170</f>
        <v>-2309897683.99928</v>
      </c>
      <c r="I170" s="39" t="n">
        <f aca="false">(('Business Case'!C11*$C170*'Business Case'!C12*$B170)-'Business Case'!C11*$C170*'Business Case'!C13*$D170-'Business Case'!C14*$E170)-MAX(0,(('Business Case'!C11*$C170*'Business Case'!C12*$B170)-'Business Case'!C11*$C170*'Business Case'!C13*$D170-'Business Case'!C14*$E170))*'Business Case'!$B$7-'Business Case'!$B$8*(('Business Case'!C11*$C170*'Business Case'!C12*$B170)-('Business Case'!B11*$C170*'Business Case'!B12*$B170))-'Business Case'!C15*$F170</f>
        <v>-30329574.4128141</v>
      </c>
      <c r="J170" s="39" t="n">
        <f aca="false">(('Business Case'!D11*$C170*'Business Case'!D12*$B170)-'Business Case'!D11*$C170*'Business Case'!D13*$D170-'Business Case'!D14*$E170)-MAX(0,(('Business Case'!D11*$C170*'Business Case'!D12*$B170)-'Business Case'!D11*$C170*'Business Case'!D13*$D170-'Business Case'!D14*$E170))*'Business Case'!$B$7-'Business Case'!$B$8*(('Business Case'!D11*$C170*'Business Case'!D12*$B170)-('Business Case'!C11*$C170*'Business Case'!C12*$B170))-'Business Case'!D15*$F170</f>
        <v>255951291.608731</v>
      </c>
      <c r="K170" s="39" t="n">
        <f aca="false">(('Business Case'!E11*$C170*'Business Case'!E12*$B170)-'Business Case'!E11*$C170*'Business Case'!E13*$D170-'Business Case'!E14*$E170)-MAX(0,(('Business Case'!E11*$C170*'Business Case'!E12*$B170)-'Business Case'!E11*$C170*'Business Case'!E13*$D170-'Business Case'!E14*$E170))*'Business Case'!$B$7-'Business Case'!$B$8*(('Business Case'!E11*$C170*'Business Case'!E12*$B170)-('Business Case'!D11*$C170*'Business Case'!D12*$B170))-'Business Case'!E15*$F170</f>
        <v>599979599.730258</v>
      </c>
      <c r="L170" s="39" t="n">
        <f aca="false">(('Business Case'!F11*$C170*'Business Case'!F12*$B170)-'Business Case'!F11*$C170*'Business Case'!F13*$D170-'Business Case'!F14*$E170)-MAX(0,(('Business Case'!F11*$C170*'Business Case'!F12*$B170)-'Business Case'!F11*$C170*'Business Case'!F13*$D170-'Business Case'!F14*$E170))*'Business Case'!$B$7-'Business Case'!$B$8*(('Business Case'!F11*$C170*'Business Case'!F12*$B170)-('Business Case'!E11*$C170*'Business Case'!E12*$B170))-'Business Case'!F15*$F170</f>
        <v>727951309.551729</v>
      </c>
      <c r="M170" s="39" t="n">
        <f aca="false">(('Business Case'!G11*$C170*'Business Case'!G12*$B170)-'Business Case'!G11*$C170*'Business Case'!G13*$D170-'Business Case'!G14*$E170)-MAX(0,(('Business Case'!G11*$C170*'Business Case'!G12*$B170)-'Business Case'!G11*$C170*'Business Case'!G13*$D170-'Business Case'!G14*$E170))*'Business Case'!$B$7-'Business Case'!$B$8*(('Business Case'!G11*$C170*'Business Case'!G12*$B170)-('Business Case'!F11*$C170*'Business Case'!F12*$B170))-'Business Case'!G15*$F170+'Business Case'!$B$8*('Business Case'!G11*$C170*'Business Case'!G12*$B170)</f>
        <v>906947459.196989</v>
      </c>
      <c r="N170" s="39" t="n">
        <f aca="false">IF(COUNT('Business Case'!B11:G11)=0,"",H170+NPV(G170,I170:M170))</f>
        <v>-634310560.939696</v>
      </c>
      <c r="P170" s="40" t="n">
        <f aca="true">RAND()</f>
        <v>0.337967665277094</v>
      </c>
      <c r="Q170" s="40" t="n">
        <f aca="true">RAND()</f>
        <v>0.383742636464393</v>
      </c>
      <c r="R170" s="40" t="n">
        <f aca="true">RAND()</f>
        <v>0.167137088513336</v>
      </c>
      <c r="S170" s="40" t="n">
        <f aca="true">RAND()</f>
        <v>0.943993805416046</v>
      </c>
      <c r="T170" s="40" t="n">
        <f aca="true">RAND()</f>
        <v>0.959407863256529</v>
      </c>
      <c r="U170" s="40" t="n">
        <f aca="true">RAND()</f>
        <v>0.534996377822265</v>
      </c>
    </row>
    <row r="171" customFormat="false" ht="15" hidden="false" customHeight="false" outlineLevel="0" collapsed="false">
      <c r="A171" s="36" t="n">
        <v>91</v>
      </c>
      <c r="B171" s="37" t="n">
        <f aca="false">1+IF($G$6=$E$6,$F$6,IF(P171&lt;($F$6-$E$6)/($G$6-$E$6),$E$6+SQRT(P171*($G$6-$E$6)*($F$6-$E$6)),$G$6-SQRT((1-P171)*($G$6-$E$6)*($G$6-$F$6))))</f>
        <v>1.01635860232042</v>
      </c>
      <c r="C171" s="37" t="n">
        <f aca="false">1+IF($G$7=$E$7,$F$7,IF(Q171&lt;($F$7-$E$7)/($G$7-$E$7),$E$7+SQRT(Q171*($G$7-$E$7)*($F$7-$E$7)),$G$7-SQRT((1-Q171)*($G$7-$E$7)*($G$7-$F$7))))</f>
        <v>0.939216332301656</v>
      </c>
      <c r="D171" s="37" t="n">
        <f aca="false">1+IF($G$8=$E$8,$F$8,IF(R171&lt;($F$8-$E$8)/($G$8-$E$8),$E$8+SQRT(R171*($G$8-$E$8)*($F$8-$E$8)),$G$8-SQRT((1-R171)*($G$8-$E$8)*($G$8-$F$8))))</f>
        <v>1.02186501363808</v>
      </c>
      <c r="E171" s="37" t="n">
        <f aca="false">1+IF($G$9=$E$9,$F$9,IF(S171&lt;($F$9-$E$9)/($G$9-$E$9),$E$9+SQRT(S171*($G$9-$E$9)*($F$9-$E$9)),$G$9-SQRT((1-S171)*($G$9-$E$9)*($G$9-$F$9))))</f>
        <v>1.08943251779856</v>
      </c>
      <c r="F171" s="37" t="n">
        <f aca="false">1+IF($G$10=$E$10,$F$10,IF(T171&lt;($F$10-$E$10)/($G$10-$E$10),$E$10+SQRT(T171*($G$10-$E$10)*($F$10-$E$10)),$G$10-SQRT((1-T171)*($G$10-$E$10)*($G$10-$F$10))))</f>
        <v>0.9827475139408</v>
      </c>
      <c r="G171" s="38" t="n">
        <f aca="false">IF($G$11=$E$11,$F$11,IF(U171&lt;($F$11-$E$11)/($G$11-$E$11),$E$11+SQRT(U171*($G$11-$E$11)*($F$11-$E$11)),$G$11-SQRT((1-U171)*($G$11-$E$11)*($G$11-$F$11))))</f>
        <v>0.102725455271011</v>
      </c>
      <c r="H171" s="39" t="n">
        <f aca="false">(('Business Case'!B11*$C171*'Business Case'!B12*$B171)-'Business Case'!B11*$C171*'Business Case'!B13*$D171-'Business Case'!B14*$E171)-MAX(0,(('Business Case'!B11*$C171*'Business Case'!B12*$B171)-'Business Case'!B11*$C171*'Business Case'!B13*$D171-'Business Case'!B14*$E171))*'Business Case'!$B$7-'Business Case'!$B$8*('Business Case'!B11*$C171*'Business Case'!B12*$B171)-'Business Case'!B15*$F171</f>
        <v>-1965495027.8816</v>
      </c>
      <c r="I171" s="39" t="n">
        <f aca="false">(('Business Case'!C11*$C171*'Business Case'!C12*$B171)-'Business Case'!C11*$C171*'Business Case'!C13*$D171-'Business Case'!C14*$E171)-MAX(0,(('Business Case'!C11*$C171*'Business Case'!C12*$B171)-'Business Case'!C11*$C171*'Business Case'!C13*$D171-'Business Case'!C14*$E171))*'Business Case'!$B$7-'Business Case'!$B$8*(('Business Case'!C11*$C171*'Business Case'!C12*$B171)-('Business Case'!B11*$C171*'Business Case'!B12*$B171))-'Business Case'!C15*$F171</f>
        <v>-12123676.1120321</v>
      </c>
      <c r="J171" s="39" t="n">
        <f aca="false">(('Business Case'!D11*$C171*'Business Case'!D12*$B171)-'Business Case'!D11*$C171*'Business Case'!D13*$D171-'Business Case'!D14*$E171)-MAX(0,(('Business Case'!D11*$C171*'Business Case'!D12*$B171)-'Business Case'!D11*$C171*'Business Case'!D13*$D171-'Business Case'!D14*$E171))*'Business Case'!$B$7-'Business Case'!$B$8*(('Business Case'!D11*$C171*'Business Case'!D12*$B171)-('Business Case'!C11*$C171*'Business Case'!C12*$B171))-'Business Case'!D15*$F171</f>
        <v>278430161.441448</v>
      </c>
      <c r="K171" s="39" t="n">
        <f aca="false">(('Business Case'!E11*$C171*'Business Case'!E12*$B171)-'Business Case'!E11*$C171*'Business Case'!E13*$D171-'Business Case'!E14*$E171)-MAX(0,(('Business Case'!E11*$C171*'Business Case'!E12*$B171)-'Business Case'!E11*$C171*'Business Case'!E13*$D171-'Business Case'!E14*$E171))*'Business Case'!$B$7-'Business Case'!$B$8*(('Business Case'!E11*$C171*'Business Case'!E12*$B171)-('Business Case'!D11*$C171*'Business Case'!D12*$B171))-'Business Case'!E15*$F171</f>
        <v>618121374.691967</v>
      </c>
      <c r="L171" s="39" t="n">
        <f aca="false">(('Business Case'!F11*$C171*'Business Case'!F12*$B171)-'Business Case'!F11*$C171*'Business Case'!F13*$D171-'Business Case'!F14*$E171)-MAX(0,(('Business Case'!F11*$C171*'Business Case'!F12*$B171)-'Business Case'!F11*$C171*'Business Case'!F13*$D171-'Business Case'!F14*$E171))*'Business Case'!$B$7-'Business Case'!$B$8*(('Business Case'!F11*$C171*'Business Case'!F12*$B171)-('Business Case'!E11*$C171*'Business Case'!E12*$B171))-'Business Case'!F15*$F171</f>
        <v>747962959.370112</v>
      </c>
      <c r="M171" s="39" t="n">
        <f aca="false">(('Business Case'!G11*$C171*'Business Case'!G12*$B171)-'Business Case'!G11*$C171*'Business Case'!G13*$D171-'Business Case'!G14*$E171)-MAX(0,(('Business Case'!G11*$C171*'Business Case'!G12*$B171)-'Business Case'!G11*$C171*'Business Case'!G13*$D171-'Business Case'!G14*$E171))*'Business Case'!$B$7-'Business Case'!$B$8*(('Business Case'!G11*$C171*'Business Case'!G12*$B171)-('Business Case'!F11*$C171*'Business Case'!F12*$B171))-'Business Case'!G15*$F171+'Business Case'!$B$8*('Business Case'!G11*$C171*'Business Case'!G12*$B171)</f>
        <v>929409639.585192</v>
      </c>
      <c r="N171" s="39" t="n">
        <f aca="false">IF(COUNT('Business Case'!B11:G11)=0,"",H171+NPV(G171,I171:M171))</f>
        <v>-210718216.980646</v>
      </c>
      <c r="P171" s="40" t="n">
        <f aca="true">RAND()</f>
        <v>0.883559232449176</v>
      </c>
      <c r="Q171" s="40" t="n">
        <f aca="true">RAND()</f>
        <v>0.276874102564644</v>
      </c>
      <c r="R171" s="40" t="n">
        <f aca="true">RAND()</f>
        <v>0.675031092374905</v>
      </c>
      <c r="S171" s="40" t="n">
        <f aca="true">RAND()</f>
        <v>0.992555221328151</v>
      </c>
      <c r="T171" s="40" t="n">
        <f aca="true">RAND()</f>
        <v>0.0857919735442317</v>
      </c>
      <c r="U171" s="40" t="n">
        <f aca="true">RAND()</f>
        <v>0.502650174010286</v>
      </c>
    </row>
    <row r="172" customFormat="false" ht="15" hidden="false" customHeight="false" outlineLevel="0" collapsed="false">
      <c r="A172" s="36" t="n">
        <v>92</v>
      </c>
      <c r="B172" s="37" t="n">
        <f aca="false">1+IF($G$6=$E$6,$F$6,IF(P172&lt;($F$6-$E$6)/($G$6-$E$6),$E$6+SQRT(P172*($G$6-$E$6)*($F$6-$E$6)),$G$6-SQRT((1-P172)*($G$6-$E$6)*($G$6-$F$6))))</f>
        <v>1.01976602187388</v>
      </c>
      <c r="C172" s="37" t="n">
        <f aca="false">1+IF($G$7=$E$7,$F$7,IF(Q172&lt;($F$7-$E$7)/($G$7-$E$7),$E$7+SQRT(Q172*($G$7-$E$7)*($F$7-$E$7)),$G$7-SQRT((1-Q172)*($G$7-$E$7)*($G$7-$F$7))))</f>
        <v>1.06507482306706</v>
      </c>
      <c r="D172" s="37" t="n">
        <f aca="false">1+IF($G$8=$E$8,$F$8,IF(R172&lt;($F$8-$E$8)/($G$8-$E$8),$E$8+SQRT(R172*($G$8-$E$8)*($F$8-$E$8)),$G$8-SQRT((1-R172)*($G$8-$E$8)*($G$8-$F$8))))</f>
        <v>0.997786501471327</v>
      </c>
      <c r="E172" s="37" t="n">
        <f aca="false">1+IF($G$9=$E$9,$F$9,IF(S172&lt;($F$9-$E$9)/($G$9-$E$9),$E$9+SQRT(S172*($G$9-$E$9)*($F$9-$E$9)),$G$9-SQRT((1-S172)*($G$9-$E$9)*($G$9-$F$9))))</f>
        <v>1.08725040158216</v>
      </c>
      <c r="F172" s="37" t="n">
        <f aca="false">1+IF($G$10=$E$10,$F$10,IF(T172&lt;($F$10-$E$10)/($G$10-$E$10),$E$10+SQRT(T172*($G$10-$E$10)*($F$10-$E$10)),$G$10-SQRT((1-T172)*($G$10-$E$10)*($G$10-$F$10))))</f>
        <v>1.03909777038703</v>
      </c>
      <c r="G172" s="38" t="n">
        <f aca="false">IF($G$11=$E$11,$F$11,IF(U172&lt;($F$11-$E$11)/($G$11-$E$11),$E$11+SQRT(U172*($G$11-$E$11)*($F$11-$E$11)),$G$11-SQRT((1-U172)*($G$11-$E$11)*($G$11-$F$11))))</f>
        <v>0.102020928680613</v>
      </c>
      <c r="H172" s="39" t="n">
        <f aca="false">(('Business Case'!B11*$C172*'Business Case'!B12*$B172)-'Business Case'!B11*$C172*'Business Case'!B13*$D172-'Business Case'!B14*$E172)-MAX(0,(('Business Case'!B11*$C172*'Business Case'!B12*$B172)-'Business Case'!B11*$C172*'Business Case'!B13*$D172-'Business Case'!B14*$E172))*'Business Case'!$B$7-'Business Case'!$B$8*('Business Case'!B11*$C172*'Business Case'!B12*$B172)-'Business Case'!B15*$F172</f>
        <v>-2078195540.77407</v>
      </c>
      <c r="I172" s="39" t="n">
        <f aca="false">(('Business Case'!C11*$C172*'Business Case'!C12*$B172)-'Business Case'!C11*$C172*'Business Case'!C13*$D172-'Business Case'!C14*$E172)-MAX(0,(('Business Case'!C11*$C172*'Business Case'!C12*$B172)-'Business Case'!C11*$C172*'Business Case'!C13*$D172-'Business Case'!C14*$E172))*'Business Case'!$B$7-'Business Case'!$B$8*(('Business Case'!C11*$C172*'Business Case'!C12*$B172)-('Business Case'!B11*$C172*'Business Case'!B12*$B172))-'Business Case'!C15*$F172</f>
        <v>30768464.0430235</v>
      </c>
      <c r="J172" s="39" t="n">
        <f aca="false">(('Business Case'!D11*$C172*'Business Case'!D12*$B172)-'Business Case'!D11*$C172*'Business Case'!D13*$D172-'Business Case'!D14*$E172)-MAX(0,(('Business Case'!D11*$C172*'Business Case'!D12*$B172)-'Business Case'!D11*$C172*'Business Case'!D13*$D172-'Business Case'!D14*$E172))*'Business Case'!$B$7-'Business Case'!$B$8*(('Business Case'!D11*$C172*'Business Case'!D12*$B172)-('Business Case'!C11*$C172*'Business Case'!C12*$B172))-'Business Case'!D15*$F172</f>
        <v>376358541.887773</v>
      </c>
      <c r="K172" s="39" t="n">
        <f aca="false">(('Business Case'!E11*$C172*'Business Case'!E12*$B172)-'Business Case'!E11*$C172*'Business Case'!E13*$D172-'Business Case'!E14*$E172)-MAX(0,(('Business Case'!E11*$C172*'Business Case'!E12*$B172)-'Business Case'!E11*$C172*'Business Case'!E13*$D172-'Business Case'!E14*$E172))*'Business Case'!$B$7-'Business Case'!$B$8*(('Business Case'!E11*$C172*'Business Case'!E12*$B172)-('Business Case'!D11*$C172*'Business Case'!D12*$B172))-'Business Case'!E15*$F172</f>
        <v>773903508.251875</v>
      </c>
      <c r="L172" s="39" t="n">
        <f aca="false">(('Business Case'!F11*$C172*'Business Case'!F12*$B172)-'Business Case'!F11*$C172*'Business Case'!F13*$D172-'Business Case'!F14*$E172)-MAX(0,(('Business Case'!F11*$C172*'Business Case'!F12*$B172)-'Business Case'!F11*$C172*'Business Case'!F13*$D172-'Business Case'!F14*$E172))*'Business Case'!$B$7-'Business Case'!$B$8*(('Business Case'!F11*$C172*'Business Case'!F12*$B172)-('Business Case'!E11*$C172*'Business Case'!E12*$B172))-'Business Case'!F15*$F172</f>
        <v>926636753.972152</v>
      </c>
      <c r="M172" s="39" t="n">
        <f aca="false">(('Business Case'!G11*$C172*'Business Case'!G12*$B172)-'Business Case'!G11*$C172*'Business Case'!G13*$D172-'Business Case'!G14*$E172)-MAX(0,(('Business Case'!G11*$C172*'Business Case'!G12*$B172)-'Business Case'!G11*$C172*'Business Case'!G13*$D172-'Business Case'!G14*$E172))*'Business Case'!$B$7-'Business Case'!$B$8*(('Business Case'!G11*$C172*'Business Case'!G12*$B172)-('Business Case'!F11*$C172*'Business Case'!F12*$B172))-'Business Case'!G15*$F172+'Business Case'!$B$8*('Business Case'!G11*$C172*'Business Case'!G12*$B172)</f>
        <v>1133087796.05163</v>
      </c>
      <c r="N172" s="39" t="n">
        <f aca="false">IF(COUNT('Business Case'!B11:G11)=0,"",H172+NPV(G172,I172:M172))</f>
        <v>163283524.62975</v>
      </c>
      <c r="P172" s="40" t="n">
        <f aca="true">RAND()</f>
        <v>0.914705443581582</v>
      </c>
      <c r="Q172" s="40" t="n">
        <f aca="true">RAND()</f>
        <v>0.862623129960183</v>
      </c>
      <c r="R172" s="40" t="n">
        <f aca="true">RAND()</f>
        <v>0.351315341979863</v>
      </c>
      <c r="S172" s="40" t="n">
        <f aca="true">RAND()</f>
        <v>0.989163182678924</v>
      </c>
      <c r="T172" s="40" t="n">
        <f aca="true">RAND()</f>
        <v>0.482209450111526</v>
      </c>
      <c r="U172" s="40" t="n">
        <f aca="true">RAND()</f>
        <v>0.461254990820689</v>
      </c>
    </row>
    <row r="173" customFormat="false" ht="15" hidden="false" customHeight="false" outlineLevel="0" collapsed="false">
      <c r="A173" s="36" t="n">
        <v>93</v>
      </c>
      <c r="B173" s="37" t="n">
        <f aca="false">1+IF($G$6=$E$6,$F$6,IF(P173&lt;($F$6-$E$6)/($G$6-$E$6),$E$6+SQRT(P173*($G$6-$E$6)*($F$6-$E$6)),$G$6-SQRT((1-P173)*($G$6-$E$6)*($G$6-$F$6))))</f>
        <v>0.961931234513651</v>
      </c>
      <c r="C173" s="37" t="n">
        <f aca="false">1+IF($G$7=$E$7,$F$7,IF(Q173&lt;($F$7-$E$7)/($G$7-$E$7),$E$7+SQRT(Q173*($G$7-$E$7)*($F$7-$E$7)),$G$7-SQRT((1-Q173)*($G$7-$E$7)*($G$7-$F$7))))</f>
        <v>0.914288034417194</v>
      </c>
      <c r="D173" s="37" t="n">
        <f aca="false">1+IF($G$8=$E$8,$F$8,IF(R173&lt;($F$8-$E$8)/($G$8-$E$8),$E$8+SQRT(R173*($G$8-$E$8)*($F$8-$E$8)),$G$8-SQRT((1-R173)*($G$8-$E$8)*($G$8-$F$8))))</f>
        <v>0.982561764073121</v>
      </c>
      <c r="E173" s="37" t="n">
        <f aca="false">1+IF($G$9=$E$9,$F$9,IF(S173&lt;($F$9-$E$9)/($G$9-$E$9),$E$9+SQRT(S173*($G$9-$E$9)*($F$9-$E$9)),$G$9-SQRT((1-S173)*($G$9-$E$9)*($G$9-$F$9))))</f>
        <v>0.974957105360697</v>
      </c>
      <c r="F173" s="37" t="n">
        <f aca="false">1+IF($G$10=$E$10,$F$10,IF(T173&lt;($F$10-$E$10)/($G$10-$E$10),$E$10+SQRT(T173*($G$10-$E$10)*($F$10-$E$10)),$G$10-SQRT((1-T173)*($G$10-$E$10)*($G$10-$F$10))))</f>
        <v>0.973739402906857</v>
      </c>
      <c r="G173" s="38" t="n">
        <f aca="false">IF($G$11=$E$11,$F$11,IF(U173&lt;($F$11-$E$11)/($G$11-$E$11),$E$11+SQRT(U173*($G$11-$E$11)*($F$11-$E$11)),$G$11-SQRT((1-U173)*($G$11-$E$11)*($G$11-$F$11))))</f>
        <v>0.117196765892916</v>
      </c>
      <c r="H173" s="39" t="n">
        <f aca="false">(('Business Case'!B11*$C173*'Business Case'!B12*$B173)-'Business Case'!B11*$C173*'Business Case'!B13*$D173-'Business Case'!B14*$E173)-MAX(0,(('Business Case'!B11*$C173*'Business Case'!B12*$B173)-'Business Case'!B11*$C173*'Business Case'!B13*$D173-'Business Case'!B14*$E173))*'Business Case'!$B$7-'Business Case'!$B$8*('Business Case'!B11*$C173*'Business Case'!B12*$B173)-'Business Case'!B15*$F173</f>
        <v>-1947478805.81371</v>
      </c>
      <c r="I173" s="39" t="n">
        <f aca="false">(('Business Case'!C11*$C173*'Business Case'!C12*$B173)-'Business Case'!C11*$C173*'Business Case'!C13*$D173-'Business Case'!C14*$E173)-MAX(0,(('Business Case'!C11*$C173*'Business Case'!C12*$B173)-'Business Case'!C11*$C173*'Business Case'!C13*$D173-'Business Case'!C14*$E173))*'Business Case'!$B$7-'Business Case'!$B$8*(('Business Case'!C11*$C173*'Business Case'!C12*$B173)-('Business Case'!B11*$C173*'Business Case'!B12*$B173))-'Business Case'!C15*$F173</f>
        <v>-21126437.8569234</v>
      </c>
      <c r="J173" s="39" t="n">
        <f aca="false">(('Business Case'!D11*$C173*'Business Case'!D12*$B173)-'Business Case'!D11*$C173*'Business Case'!D13*$D173-'Business Case'!D14*$E173)-MAX(0,(('Business Case'!D11*$C173*'Business Case'!D12*$B173)-'Business Case'!D11*$C173*'Business Case'!D13*$D173-'Business Case'!D14*$E173))*'Business Case'!$B$7-'Business Case'!$B$8*(('Business Case'!D11*$C173*'Business Case'!D12*$B173)-('Business Case'!C11*$C173*'Business Case'!C12*$B173))-'Business Case'!D15*$F173</f>
        <v>239352323.122002</v>
      </c>
      <c r="K173" s="39" t="n">
        <f aca="false">(('Business Case'!E11*$C173*'Business Case'!E12*$B173)-'Business Case'!E11*$C173*'Business Case'!E13*$D173-'Business Case'!E14*$E173)-MAX(0,(('Business Case'!E11*$C173*'Business Case'!E12*$B173)-'Business Case'!E11*$C173*'Business Case'!E13*$D173-'Business Case'!E14*$E173))*'Business Case'!$B$7-'Business Case'!$B$8*(('Business Case'!E11*$C173*'Business Case'!E12*$B173)-('Business Case'!D11*$C173*'Business Case'!D12*$B173))-'Business Case'!E15*$F173</f>
        <v>548518054.24627</v>
      </c>
      <c r="L173" s="39" t="n">
        <f aca="false">(('Business Case'!F11*$C173*'Business Case'!F12*$B173)-'Business Case'!F11*$C173*'Business Case'!F13*$D173-'Business Case'!F14*$E173)-MAX(0,(('Business Case'!F11*$C173*'Business Case'!F12*$B173)-'Business Case'!F11*$C173*'Business Case'!F13*$D173-'Business Case'!F14*$E173))*'Business Case'!$B$7-'Business Case'!$B$8*(('Business Case'!F11*$C173*'Business Case'!F12*$B173)-('Business Case'!E11*$C173*'Business Case'!E12*$B173))-'Business Case'!F15*$F173</f>
        <v>665739213.347826</v>
      </c>
      <c r="M173" s="39" t="n">
        <f aca="false">(('Business Case'!G11*$C173*'Business Case'!G12*$B173)-'Business Case'!G11*$C173*'Business Case'!G13*$D173-'Business Case'!G14*$E173)-MAX(0,(('Business Case'!G11*$C173*'Business Case'!G12*$B173)-'Business Case'!G11*$C173*'Business Case'!G13*$D173-'Business Case'!G14*$E173))*'Business Case'!$B$7-'Business Case'!$B$8*(('Business Case'!G11*$C173*'Business Case'!G12*$B173)-('Business Case'!F11*$C173*'Business Case'!F12*$B173))-'Business Case'!G15*$F173+'Business Case'!$B$8*('Business Case'!G11*$C173*'Business Case'!G12*$B173)</f>
        <v>832911193.278356</v>
      </c>
      <c r="N173" s="39" t="n">
        <f aca="false">IF(COUNT('Business Case'!B11:G11)=0,"",H173+NPV(G173,I173:M173))</f>
        <v>-475322352.915227</v>
      </c>
      <c r="P173" s="40" t="n">
        <f aca="true">RAND()</f>
        <v>0.183148794566541</v>
      </c>
      <c r="Q173" s="40" t="n">
        <f aca="true">RAND()</f>
        <v>0.186596497299224</v>
      </c>
      <c r="R173" s="40" t="n">
        <f aca="true">RAND()</f>
        <v>0.163118227623631</v>
      </c>
      <c r="S173" s="40" t="n">
        <f aca="true">RAND()</f>
        <v>0.0830476143979934</v>
      </c>
      <c r="T173" s="40" t="n">
        <f aca="true">RAND()</f>
        <v>0.0450847400299277</v>
      </c>
      <c r="U173" s="40" t="n">
        <f aca="true">RAND()</f>
        <v>0.986903130901469</v>
      </c>
    </row>
    <row r="174" customFormat="false" ht="15" hidden="false" customHeight="false" outlineLevel="0" collapsed="false">
      <c r="A174" s="36" t="n">
        <v>94</v>
      </c>
      <c r="B174" s="37" t="n">
        <f aca="false">1+IF($G$6=$E$6,$F$6,IF(P174&lt;($F$6-$E$6)/($G$6-$E$6),$E$6+SQRT(P174*($G$6-$E$6)*($F$6-$E$6)),$G$6-SQRT((1-P174)*($G$6-$E$6)*($G$6-$F$6))))</f>
        <v>1.01429305440149</v>
      </c>
      <c r="C174" s="37" t="n">
        <f aca="false">1+IF($G$7=$E$7,$F$7,IF(Q174&lt;($F$7-$E$7)/($G$7-$E$7),$E$7+SQRT(Q174*($G$7-$E$7)*($F$7-$E$7)),$G$7-SQRT((1-Q174)*($G$7-$E$7)*($G$7-$F$7))))</f>
        <v>0.925881804355666</v>
      </c>
      <c r="D174" s="37" t="n">
        <f aca="false">1+IF($G$8=$E$8,$F$8,IF(R174&lt;($F$8-$E$8)/($G$8-$E$8),$E$8+SQRT(R174*($G$8-$E$8)*($F$8-$E$8)),$G$8-SQRT((1-R174)*($G$8-$E$8)*($G$8-$F$8))))</f>
        <v>0.994419200300081</v>
      </c>
      <c r="E174" s="37" t="n">
        <f aca="false">1+IF($G$9=$E$9,$F$9,IF(S174&lt;($F$9-$E$9)/($G$9-$E$9),$E$9+SQRT(S174*($G$9-$E$9)*($F$9-$E$9)),$G$9-SQRT((1-S174)*($G$9-$E$9)*($G$9-$F$9))))</f>
        <v>0.991683953584858</v>
      </c>
      <c r="F174" s="37" t="n">
        <f aca="false">1+IF($G$10=$E$10,$F$10,IF(T174&lt;($F$10-$E$10)/($G$10-$E$10),$E$10+SQRT(T174*($G$10-$E$10)*($F$10-$E$10)),$G$10-SQRT((1-T174)*($G$10-$E$10)*($G$10-$F$10))))</f>
        <v>0.981889790391708</v>
      </c>
      <c r="G174" s="38" t="n">
        <f aca="false">IF($G$11=$E$11,$F$11,IF(U174&lt;($F$11-$E$11)/($G$11-$E$11),$E$11+SQRT(U174*($G$11-$E$11)*($F$11-$E$11)),$G$11-SQRT((1-U174)*($G$11-$E$11)*($G$11-$F$11))))</f>
        <v>0.0992719580962856</v>
      </c>
      <c r="H174" s="39" t="n">
        <f aca="false">(('Business Case'!B11*$C174*'Business Case'!B12*$B174)-'Business Case'!B11*$C174*'Business Case'!B13*$D174-'Business Case'!B14*$E174)-MAX(0,(('Business Case'!B11*$C174*'Business Case'!B12*$B174)-'Business Case'!B11*$C174*'Business Case'!B13*$D174-'Business Case'!B14*$E174))*'Business Case'!$B$7-'Business Case'!$B$8*('Business Case'!B11*$C174*'Business Case'!B12*$B174)-'Business Case'!B15*$F174</f>
        <v>-1963779580.78342</v>
      </c>
      <c r="I174" s="39" t="n">
        <f aca="false">(('Business Case'!C11*$C174*'Business Case'!C12*$B174)-'Business Case'!C11*$C174*'Business Case'!C13*$D174-'Business Case'!C14*$E174)-MAX(0,(('Business Case'!C11*$C174*'Business Case'!C12*$B174)-'Business Case'!C11*$C174*'Business Case'!C13*$D174-'Business Case'!C14*$E174))*'Business Case'!$B$7-'Business Case'!$B$8*(('Business Case'!C11*$C174*'Business Case'!C12*$B174)-('Business Case'!B11*$C174*'Business Case'!B12*$B174))-'Business Case'!C15*$F174</f>
        <v>9980773.00631364</v>
      </c>
      <c r="J174" s="39" t="n">
        <f aca="false">(('Business Case'!D11*$C174*'Business Case'!D12*$B174)-'Business Case'!D11*$C174*'Business Case'!D13*$D174-'Business Case'!D14*$E174)-MAX(0,(('Business Case'!D11*$C174*'Business Case'!D12*$B174)-'Business Case'!D11*$C174*'Business Case'!D13*$D174-'Business Case'!D14*$E174))*'Business Case'!$B$7-'Business Case'!$B$8*(('Business Case'!D11*$C174*'Business Case'!D12*$B174)-('Business Case'!C11*$C174*'Business Case'!C12*$B174))-'Business Case'!D15*$F174</f>
        <v>307851729.908671</v>
      </c>
      <c r="K174" s="39" t="n">
        <f aca="false">(('Business Case'!E11*$C174*'Business Case'!E12*$B174)-'Business Case'!E11*$C174*'Business Case'!E13*$D174-'Business Case'!E14*$E174)-MAX(0,(('Business Case'!E11*$C174*'Business Case'!E12*$B174)-'Business Case'!E11*$C174*'Business Case'!E13*$D174-'Business Case'!E14*$E174))*'Business Case'!$B$7-'Business Case'!$B$8*(('Business Case'!E11*$C174*'Business Case'!E12*$B174)-('Business Case'!D11*$C174*'Business Case'!D12*$B174))-'Business Case'!E15*$F174</f>
        <v>654817176.330614</v>
      </c>
      <c r="L174" s="39" t="n">
        <f aca="false">(('Business Case'!F11*$C174*'Business Case'!F12*$B174)-'Business Case'!F11*$C174*'Business Case'!F13*$D174-'Business Case'!F14*$E174)-MAX(0,(('Business Case'!F11*$C174*'Business Case'!F12*$B174)-'Business Case'!F11*$C174*'Business Case'!F13*$D174-'Business Case'!F14*$E174))*'Business Case'!$B$7-'Business Case'!$B$8*(('Business Case'!F11*$C174*'Business Case'!F12*$B174)-('Business Case'!E11*$C174*'Business Case'!E12*$B174))-'Business Case'!F15*$F174</f>
        <v>786563326.402804</v>
      </c>
      <c r="M174" s="39" t="n">
        <f aca="false">(('Business Case'!G11*$C174*'Business Case'!G12*$B174)-'Business Case'!G11*$C174*'Business Case'!G13*$D174-'Business Case'!G14*$E174)-MAX(0,(('Business Case'!G11*$C174*'Business Case'!G12*$B174)-'Business Case'!G11*$C174*'Business Case'!G13*$D174-'Business Case'!G14*$E174))*'Business Case'!$B$7-'Business Case'!$B$8*(('Business Case'!G11*$C174*'Business Case'!G12*$B174)-('Business Case'!F11*$C174*'Business Case'!F12*$B174))-'Business Case'!G15*$F174+'Business Case'!$B$8*('Business Case'!G11*$C174*'Business Case'!G12*$B174)</f>
        <v>965070397.478859</v>
      </c>
      <c r="N174" s="39" t="n">
        <f aca="false">IF(COUNT('Business Case'!B11:G11)=0,"",H174+NPV(G174,I174:M174))</f>
        <v>-67110389.4618175</v>
      </c>
      <c r="P174" s="40" t="n">
        <f aca="true">RAND()</f>
        <v>0.862323530832327</v>
      </c>
      <c r="Q174" s="40" t="n">
        <f aca="true">RAND()</f>
        <v>0.226374695254831</v>
      </c>
      <c r="R174" s="40" t="n">
        <f aca="true">RAND()</f>
        <v>0.303548516199797</v>
      </c>
      <c r="S174" s="40" t="n">
        <f aca="true">RAND()</f>
        <v>0.231673598195281</v>
      </c>
      <c r="T174" s="40" t="n">
        <f aca="true">RAND()</f>
        <v>0.0813566984981634</v>
      </c>
      <c r="U174" s="40" t="n">
        <f aca="true">RAND()</f>
        <v>0.286564023130921</v>
      </c>
    </row>
    <row r="175" customFormat="false" ht="15" hidden="false" customHeight="false" outlineLevel="0" collapsed="false">
      <c r="A175" s="36" t="n">
        <v>95</v>
      </c>
      <c r="B175" s="37" t="n">
        <f aca="false">1+IF($G$6=$E$6,$F$6,IF(P175&lt;($F$6-$E$6)/($G$6-$E$6),$E$6+SQRT(P175*($G$6-$E$6)*($F$6-$E$6)),$G$6-SQRT((1-P175)*($G$6-$E$6)*($G$6-$F$6))))</f>
        <v>0.956552408118548</v>
      </c>
      <c r="C175" s="37" t="n">
        <f aca="false">1+IF($G$7=$E$7,$F$7,IF(Q175&lt;($F$7-$E$7)/($G$7-$E$7),$E$7+SQRT(Q175*($G$7-$E$7)*($F$7-$E$7)),$G$7-SQRT((1-Q175)*($G$7-$E$7)*($G$7-$F$7))))</f>
        <v>1.00593503436493</v>
      </c>
      <c r="D175" s="37" t="n">
        <f aca="false">1+IF($G$8=$E$8,$F$8,IF(R175&lt;($F$8-$E$8)/($G$8-$E$8),$E$8+SQRT(R175*($G$8-$E$8)*($F$8-$E$8)),$G$8-SQRT((1-R175)*($G$8-$E$8)*($G$8-$F$8))))</f>
        <v>1.01375024392926</v>
      </c>
      <c r="E175" s="37" t="n">
        <f aca="false">1+IF($G$9=$E$9,$F$9,IF(S175&lt;($F$9-$E$9)/($G$9-$E$9),$E$9+SQRT(S175*($G$9-$E$9)*($F$9-$E$9)),$G$9-SQRT((1-S175)*($G$9-$E$9)*($G$9-$F$9))))</f>
        <v>0.998368172999656</v>
      </c>
      <c r="F175" s="37" t="n">
        <f aca="false">1+IF($G$10=$E$10,$F$10,IF(T175&lt;($F$10-$E$10)/($G$10-$E$10),$E$10+SQRT(T175*($G$10-$E$10)*($F$10-$E$10)),$G$10-SQRT((1-T175)*($G$10-$E$10)*($G$10-$F$10))))</f>
        <v>1.03801685889918</v>
      </c>
      <c r="G175" s="38" t="n">
        <f aca="false">IF($G$11=$E$11,$F$11,IF(U175&lt;($F$11-$E$11)/($G$11-$E$11),$E$11+SQRT(U175*($G$11-$E$11)*($F$11-$E$11)),$G$11-SQRT((1-U175)*($G$11-$E$11)*($G$11-$F$11))))</f>
        <v>0.112974184394104</v>
      </c>
      <c r="H175" s="39" t="n">
        <f aca="false">(('Business Case'!B11*$C175*'Business Case'!B12*$B175)-'Business Case'!B11*$C175*'Business Case'!B13*$D175-'Business Case'!B14*$E175)-MAX(0,(('Business Case'!B11*$C175*'Business Case'!B12*$B175)-'Business Case'!B11*$C175*'Business Case'!B13*$D175-'Business Case'!B14*$E175))*'Business Case'!$B$7-'Business Case'!$B$8*('Business Case'!B11*$C175*'Business Case'!B12*$B175)-'Business Case'!B15*$F175</f>
        <v>-2076033717.79837</v>
      </c>
      <c r="I175" s="39" t="n">
        <f aca="false">(('Business Case'!C11*$C175*'Business Case'!C12*$B175)-'Business Case'!C11*$C175*'Business Case'!C13*$D175-'Business Case'!C14*$E175)-MAX(0,(('Business Case'!C11*$C175*'Business Case'!C12*$B175)-'Business Case'!C11*$C175*'Business Case'!C13*$D175-'Business Case'!C14*$E175))*'Business Case'!$B$7-'Business Case'!$B$8*(('Business Case'!C11*$C175*'Business Case'!C12*$B175)-('Business Case'!B11*$C175*'Business Case'!B12*$B175))-'Business Case'!C15*$F175</f>
        <v>-29555379.8453991</v>
      </c>
      <c r="J175" s="39" t="n">
        <f aca="false">(('Business Case'!D11*$C175*'Business Case'!D12*$B175)-'Business Case'!D11*$C175*'Business Case'!D13*$D175-'Business Case'!D14*$E175)-MAX(0,(('Business Case'!D11*$C175*'Business Case'!D12*$B175)-'Business Case'!D11*$C175*'Business Case'!D13*$D175-'Business Case'!D14*$E175))*'Business Case'!$B$7-'Business Case'!$B$8*(('Business Case'!D11*$C175*'Business Case'!D12*$B175)-('Business Case'!C11*$C175*'Business Case'!C12*$B175))-'Business Case'!D15*$F175</f>
        <v>236540861.802641</v>
      </c>
      <c r="K175" s="39" t="n">
        <f aca="false">(('Business Case'!E11*$C175*'Business Case'!E12*$B175)-'Business Case'!E11*$C175*'Business Case'!E13*$D175-'Business Case'!E14*$E175)-MAX(0,(('Business Case'!E11*$C175*'Business Case'!E12*$B175)-'Business Case'!E11*$C175*'Business Case'!E13*$D175-'Business Case'!E14*$E175))*'Business Case'!$B$7-'Business Case'!$B$8*(('Business Case'!E11*$C175*'Business Case'!E12*$B175)-('Business Case'!D11*$C175*'Business Case'!D12*$B175))-'Business Case'!E15*$F175</f>
        <v>554537946.395639</v>
      </c>
      <c r="L175" s="39" t="n">
        <f aca="false">(('Business Case'!F11*$C175*'Business Case'!F12*$B175)-'Business Case'!F11*$C175*'Business Case'!F13*$D175-'Business Case'!F14*$E175)-MAX(0,(('Business Case'!F11*$C175*'Business Case'!F12*$B175)-'Business Case'!F11*$C175*'Business Case'!F13*$D175-'Business Case'!F14*$E175))*'Business Case'!$B$7-'Business Case'!$B$8*(('Business Case'!F11*$C175*'Business Case'!F12*$B175)-('Business Case'!E11*$C175*'Business Case'!E12*$B175))-'Business Case'!F15*$F175</f>
        <v>676491347.880299</v>
      </c>
      <c r="M175" s="39" t="n">
        <f aca="false">(('Business Case'!G11*$C175*'Business Case'!G12*$B175)-'Business Case'!G11*$C175*'Business Case'!G13*$D175-'Business Case'!G14*$E175)-MAX(0,(('Business Case'!G11*$C175*'Business Case'!G12*$B175)-'Business Case'!G11*$C175*'Business Case'!G13*$D175-'Business Case'!G14*$E175))*'Business Case'!$B$7-'Business Case'!$B$8*(('Business Case'!G11*$C175*'Business Case'!G12*$B175)-('Business Case'!F11*$C175*'Business Case'!F12*$B175))-'Business Case'!G15*$F175+'Business Case'!$B$8*('Business Case'!G11*$C175*'Business Case'!G12*$B175)</f>
        <v>859391946.357853</v>
      </c>
      <c r="N175" s="39" t="n">
        <f aca="false">IF(COUNT('Business Case'!B11:G11)=0,"",H175+NPV(G175,I175:M175))</f>
        <v>-565289730.399366</v>
      </c>
      <c r="P175" s="40" t="n">
        <f aca="true">RAND()</f>
        <v>0.139174847840096</v>
      </c>
      <c r="Q175" s="40" t="n">
        <f aca="true">RAND()</f>
        <v>0.60467210812507</v>
      </c>
      <c r="R175" s="40" t="n">
        <f aca="true">RAND()</f>
        <v>0.577977867362313</v>
      </c>
      <c r="S175" s="40" t="n">
        <f aca="true">RAND()</f>
        <v>0.311930687909949</v>
      </c>
      <c r="T175" s="40" t="n">
        <f aca="true">RAND()</f>
        <v>0.475229239982265</v>
      </c>
      <c r="U175" s="40" t="n">
        <f aca="true">RAND()</f>
        <v>0.917729858453247</v>
      </c>
    </row>
    <row r="176" customFormat="false" ht="15" hidden="false" customHeight="false" outlineLevel="0" collapsed="false">
      <c r="A176" s="36" t="n">
        <v>96</v>
      </c>
      <c r="B176" s="37" t="n">
        <f aca="false">1+IF($G$6=$E$6,$F$6,IF(P176&lt;($F$6-$E$6)/($G$6-$E$6),$E$6+SQRT(P176*($G$6-$E$6)*($F$6-$E$6)),$G$6-SQRT((1-P176)*($G$6-$E$6)*($G$6-$F$6))))</f>
        <v>1.01790487842794</v>
      </c>
      <c r="C176" s="37" t="n">
        <f aca="false">1+IF($G$7=$E$7,$F$7,IF(Q176&lt;($F$7-$E$7)/($G$7-$E$7),$E$7+SQRT(Q176*($G$7-$E$7)*($F$7-$E$7)),$G$7-SQRT((1-Q176)*($G$7-$E$7)*($G$7-$F$7))))</f>
        <v>0.893505847239355</v>
      </c>
      <c r="D176" s="37" t="n">
        <f aca="false">1+IF($G$8=$E$8,$F$8,IF(R176&lt;($F$8-$E$8)/($G$8-$E$8),$E$8+SQRT(R176*($G$8-$E$8)*($F$8-$E$8)),$G$8-SQRT((1-R176)*($G$8-$E$8)*($G$8-$F$8))))</f>
        <v>1.03256812492986</v>
      </c>
      <c r="E176" s="37" t="n">
        <f aca="false">1+IF($G$9=$E$9,$F$9,IF(S176&lt;($F$9-$E$9)/($G$9-$E$9),$E$9+SQRT(S176*($G$9-$E$9)*($F$9-$E$9)),$G$9-SQRT((1-S176)*($G$9-$E$9)*($G$9-$F$9))))</f>
        <v>1.03563968323055</v>
      </c>
      <c r="F176" s="37" t="n">
        <f aca="false">1+IF($G$10=$E$10,$F$10,IF(T176&lt;($F$10-$E$10)/($G$10-$E$10),$E$10+SQRT(T176*($G$10-$E$10)*($F$10-$E$10)),$G$10-SQRT((1-T176)*($G$10-$E$10)*($G$10-$F$10))))</f>
        <v>1.05085012835668</v>
      </c>
      <c r="G176" s="38" t="n">
        <f aca="false">IF($G$11=$E$11,$F$11,IF(U176&lt;($F$11-$E$11)/($G$11-$E$11),$E$11+SQRT(U176*($G$11-$E$11)*($F$11-$E$11)),$G$11-SQRT((1-U176)*($G$11-$E$11)*($G$11-$F$11))))</f>
        <v>0.0939397560302405</v>
      </c>
      <c r="H176" s="39" t="n">
        <f aca="false">(('Business Case'!B11*$C176*'Business Case'!B12*$B176)-'Business Case'!B11*$C176*'Business Case'!B13*$D176-'Business Case'!B14*$E176)-MAX(0,(('Business Case'!B11*$C176*'Business Case'!B12*$B176)-'Business Case'!B11*$C176*'Business Case'!B13*$D176-'Business Case'!B14*$E176))*'Business Case'!$B$7-'Business Case'!$B$8*('Business Case'!B11*$C176*'Business Case'!B12*$B176)-'Business Case'!B15*$F176</f>
        <v>-2101700256.71335</v>
      </c>
      <c r="I176" s="39" t="n">
        <f aca="false">(('Business Case'!C11*$C176*'Business Case'!C12*$B176)-'Business Case'!C11*$C176*'Business Case'!C13*$D176-'Business Case'!C14*$E176)-MAX(0,(('Business Case'!C11*$C176*'Business Case'!C12*$B176)-'Business Case'!C11*$C176*'Business Case'!C13*$D176-'Business Case'!C14*$E176))*'Business Case'!$B$7-'Business Case'!$B$8*(('Business Case'!C11*$C176*'Business Case'!C12*$B176)-('Business Case'!B11*$C176*'Business Case'!B12*$B176))-'Business Case'!C15*$F176</f>
        <v>-26852721.0156637</v>
      </c>
      <c r="J176" s="39" t="n">
        <f aca="false">(('Business Case'!D11*$C176*'Business Case'!D12*$B176)-'Business Case'!D11*$C176*'Business Case'!D13*$D176-'Business Case'!D14*$E176)-MAX(0,(('Business Case'!D11*$C176*'Business Case'!D12*$B176)-'Business Case'!D11*$C176*'Business Case'!D13*$D176-'Business Case'!D14*$E176))*'Business Case'!$B$7-'Business Case'!$B$8*(('Business Case'!D11*$C176*'Business Case'!D12*$B176)-('Business Case'!C11*$C176*'Business Case'!C12*$B176))-'Business Case'!D15*$F176</f>
        <v>245796219.088054</v>
      </c>
      <c r="K176" s="39" t="n">
        <f aca="false">(('Business Case'!E11*$C176*'Business Case'!E12*$B176)-'Business Case'!E11*$C176*'Business Case'!E13*$D176-'Business Case'!E14*$E176)-MAX(0,(('Business Case'!E11*$C176*'Business Case'!E12*$B176)-'Business Case'!E11*$C176*'Business Case'!E13*$D176-'Business Case'!E14*$E176))*'Business Case'!$B$7-'Business Case'!$B$8*(('Business Case'!E11*$C176*'Business Case'!E12*$B176)-('Business Case'!D11*$C176*'Business Case'!D12*$B176))-'Business Case'!E15*$F176</f>
        <v>570987665.609606</v>
      </c>
      <c r="L176" s="39" t="n">
        <f aca="false">(('Business Case'!F11*$C176*'Business Case'!F12*$B176)-'Business Case'!F11*$C176*'Business Case'!F13*$D176-'Business Case'!F14*$E176)-MAX(0,(('Business Case'!F11*$C176*'Business Case'!F12*$B176)-'Business Case'!F11*$C176*'Business Case'!F13*$D176-'Business Case'!F14*$E176))*'Business Case'!$B$7-'Business Case'!$B$8*(('Business Case'!F11*$C176*'Business Case'!F12*$B176)-('Business Case'!E11*$C176*'Business Case'!E12*$B176))-'Business Case'!F15*$F176</f>
        <v>693303102.529732</v>
      </c>
      <c r="M176" s="39" t="n">
        <f aca="false">(('Business Case'!G11*$C176*'Business Case'!G12*$B176)-'Business Case'!G11*$C176*'Business Case'!G13*$D176-'Business Case'!G14*$E176)-MAX(0,(('Business Case'!G11*$C176*'Business Case'!G12*$B176)-'Business Case'!G11*$C176*'Business Case'!G13*$D176-'Business Case'!G14*$E176))*'Business Case'!$B$7-'Business Case'!$B$8*(('Business Case'!G11*$C176*'Business Case'!G12*$B176)-('Business Case'!F11*$C176*'Business Case'!F12*$B176))-'Business Case'!G15*$F176+'Business Case'!$B$8*('Business Case'!G11*$C176*'Business Case'!G12*$B176)</f>
        <v>866181615.400275</v>
      </c>
      <c r="N176" s="39" t="n">
        <f aca="false">IF(COUNT('Business Case'!B11:G11)=0,"",H176+NPV(G176,I176:M176))</f>
        <v>-447681914.399493</v>
      </c>
      <c r="P176" s="40" t="n">
        <f aca="true">RAND()</f>
        <v>0.898292833899167</v>
      </c>
      <c r="Q176" s="40" t="n">
        <f aca="true">RAND()</f>
        <v>0.124904906684995</v>
      </c>
      <c r="R176" s="40" t="n">
        <f aca="true">RAND()</f>
        <v>0.783674733397179</v>
      </c>
      <c r="S176" s="40" t="n">
        <f aca="true">RAND()</f>
        <v>0.723849975022388</v>
      </c>
      <c r="T176" s="40" t="n">
        <f aca="true">RAND()</f>
        <v>0.555086315775607</v>
      </c>
      <c r="U176" s="40" t="n">
        <f aca="true">RAND()</f>
        <v>0.0517389252593883</v>
      </c>
    </row>
    <row r="177" customFormat="false" ht="15" hidden="false" customHeight="false" outlineLevel="0" collapsed="false">
      <c r="A177" s="36" t="n">
        <v>97</v>
      </c>
      <c r="B177" s="37" t="n">
        <f aca="false">1+IF($G$6=$E$6,$F$6,IF(P177&lt;($F$6-$E$6)/($G$6-$E$6),$E$6+SQRT(P177*($G$6-$E$6)*($F$6-$E$6)),$G$6-SQRT((1-P177)*($G$6-$E$6)*($G$6-$F$6))))</f>
        <v>0.969163745379311</v>
      </c>
      <c r="C177" s="37" t="n">
        <f aca="false">1+IF($G$7=$E$7,$F$7,IF(Q177&lt;($F$7-$E$7)/($G$7-$E$7),$E$7+SQRT(Q177*($G$7-$E$7)*($F$7-$E$7)),$G$7-SQRT((1-Q177)*($G$7-$E$7)*($G$7-$F$7))))</f>
        <v>0.941951949520072</v>
      </c>
      <c r="D177" s="37" t="n">
        <f aca="false">1+IF($G$8=$E$8,$F$8,IF(R177&lt;($F$8-$E$8)/($G$8-$E$8),$E$8+SQRT(R177*($G$8-$E$8)*($F$8-$E$8)),$G$8-SQRT((1-R177)*($G$8-$E$8)*($G$8-$F$8))))</f>
        <v>0.991270574923028</v>
      </c>
      <c r="E177" s="37" t="n">
        <f aca="false">1+IF($G$9=$E$9,$F$9,IF(S177&lt;($F$9-$E$9)/($G$9-$E$9),$E$9+SQRT(S177*($G$9-$E$9)*($F$9-$E$9)),$G$9-SQRT((1-S177)*($G$9-$E$9)*($G$9-$F$9))))</f>
        <v>0.989654029978852</v>
      </c>
      <c r="F177" s="37" t="n">
        <f aca="false">1+IF($G$10=$E$10,$F$10,IF(T177&lt;($F$10-$E$10)/($G$10-$E$10),$E$10+SQRT(T177*($G$10-$E$10)*($F$10-$E$10)),$G$10-SQRT((1-T177)*($G$10-$E$10)*($G$10-$F$10))))</f>
        <v>1.10617171946827</v>
      </c>
      <c r="G177" s="38" t="n">
        <f aca="false">IF($G$11=$E$11,$F$11,IF(U177&lt;($F$11-$E$11)/($G$11-$E$11),$E$11+SQRT(U177*($G$11-$E$11)*($F$11-$E$11)),$G$11-SQRT((1-U177)*($G$11-$E$11)*($G$11-$F$11))))</f>
        <v>0.101280536796084</v>
      </c>
      <c r="H177" s="39" t="n">
        <f aca="false">(('Business Case'!B11*$C177*'Business Case'!B12*$B177)-'Business Case'!B11*$C177*'Business Case'!B13*$D177-'Business Case'!B14*$E177)-MAX(0,(('Business Case'!B11*$C177*'Business Case'!B12*$B177)-'Business Case'!B11*$C177*'Business Case'!B13*$D177-'Business Case'!B14*$E177))*'Business Case'!$B$7-'Business Case'!$B$8*('Business Case'!B11*$C177*'Business Case'!B12*$B177)-'Business Case'!B15*$F177</f>
        <v>-2212343438.93654</v>
      </c>
      <c r="I177" s="39" t="n">
        <f aca="false">(('Business Case'!C11*$C177*'Business Case'!C12*$B177)-'Business Case'!C11*$C177*'Business Case'!C13*$D177-'Business Case'!C14*$E177)-MAX(0,(('Business Case'!C11*$C177*'Business Case'!C12*$B177)-'Business Case'!C11*$C177*'Business Case'!C13*$D177-'Business Case'!C14*$E177))*'Business Case'!$B$7-'Business Case'!$B$8*(('Business Case'!C11*$C177*'Business Case'!C12*$B177)-('Business Case'!B11*$C177*'Business Case'!B12*$B177))-'Business Case'!C15*$F177</f>
        <v>-28930202.7617308</v>
      </c>
      <c r="J177" s="39" t="n">
        <f aca="false">(('Business Case'!D11*$C177*'Business Case'!D12*$B177)-'Business Case'!D11*$C177*'Business Case'!D13*$D177-'Business Case'!D14*$E177)-MAX(0,(('Business Case'!D11*$C177*'Business Case'!D12*$B177)-'Business Case'!D11*$C177*'Business Case'!D13*$D177-'Business Case'!D14*$E177))*'Business Case'!$B$7-'Business Case'!$B$8*(('Business Case'!D11*$C177*'Business Case'!D12*$B177)-('Business Case'!C11*$C177*'Business Case'!C12*$B177))-'Business Case'!D15*$F177</f>
        <v>240810599.904599</v>
      </c>
      <c r="K177" s="39" t="n">
        <f aca="false">(('Business Case'!E11*$C177*'Business Case'!E12*$B177)-'Business Case'!E11*$C177*'Business Case'!E13*$D177-'Business Case'!E14*$E177)-MAX(0,(('Business Case'!E11*$C177*'Business Case'!E12*$B177)-'Business Case'!E11*$C177*'Business Case'!E13*$D177-'Business Case'!E14*$E177))*'Business Case'!$B$7-'Business Case'!$B$8*(('Business Case'!E11*$C177*'Business Case'!E12*$B177)-('Business Case'!D11*$C177*'Business Case'!D12*$B177))-'Business Case'!E15*$F177</f>
        <v>565859988.544343</v>
      </c>
      <c r="L177" s="39" t="n">
        <f aca="false">(('Business Case'!F11*$C177*'Business Case'!F12*$B177)-'Business Case'!F11*$C177*'Business Case'!F13*$D177-'Business Case'!F14*$E177)-MAX(0,(('Business Case'!F11*$C177*'Business Case'!F12*$B177)-'Business Case'!F11*$C177*'Business Case'!F13*$D177-'Business Case'!F14*$E177))*'Business Case'!$B$7-'Business Case'!$B$8*(('Business Case'!F11*$C177*'Business Case'!F12*$B177)-('Business Case'!E11*$C177*'Business Case'!E12*$B177))-'Business Case'!F15*$F177</f>
        <v>687323609.711947</v>
      </c>
      <c r="M177" s="39" t="n">
        <f aca="false">(('Business Case'!G11*$C177*'Business Case'!G12*$B177)-'Business Case'!G11*$C177*'Business Case'!G13*$D177-'Business Case'!G14*$E177)-MAX(0,(('Business Case'!G11*$C177*'Business Case'!G12*$B177)-'Business Case'!G11*$C177*'Business Case'!G13*$D177-'Business Case'!G14*$E177))*'Business Case'!$B$7-'Business Case'!$B$8*(('Business Case'!G11*$C177*'Business Case'!G12*$B177)-('Business Case'!F11*$C177*'Business Case'!F12*$B177))-'Business Case'!G15*$F177+'Business Case'!$B$8*('Business Case'!G11*$C177*'Business Case'!G12*$B177)</f>
        <v>860848721.245497</v>
      </c>
      <c r="N177" s="39" t="n">
        <f aca="false">IF(COUNT('Business Case'!B11:G11)=0,"",H177+NPV(G177,I177:M177))</f>
        <v>-617710329.521291</v>
      </c>
      <c r="P177" s="40" t="n">
        <f aca="true">RAND()</f>
        <v>0.251778527054349</v>
      </c>
      <c r="Q177" s="40" t="n">
        <f aca="true">RAND()</f>
        <v>0.287862228179272</v>
      </c>
      <c r="R177" s="40" t="n">
        <f aca="true">RAND()</f>
        <v>0.262040054534959</v>
      </c>
      <c r="S177" s="40" t="n">
        <f aca="true">RAND()</f>
        <v>0.209658945808493</v>
      </c>
      <c r="T177" s="40" t="n">
        <f aca="true">RAND()</f>
        <v>0.823925075449185</v>
      </c>
      <c r="U177" s="40" t="n">
        <f aca="true">RAND()</f>
        <v>0.415969495595404</v>
      </c>
    </row>
    <row r="178" customFormat="false" ht="15" hidden="false" customHeight="false" outlineLevel="0" collapsed="false">
      <c r="A178" s="36" t="n">
        <v>98</v>
      </c>
      <c r="B178" s="37" t="n">
        <f aca="false">1+IF($G$6=$E$6,$F$6,IF(P178&lt;($F$6-$E$6)/($G$6-$E$6),$E$6+SQRT(P178*($G$6-$E$6)*($F$6-$E$6)),$G$6-SQRT((1-P178)*($G$6-$E$6)*($G$6-$F$6))))</f>
        <v>1.02505097805759</v>
      </c>
      <c r="C178" s="37" t="n">
        <f aca="false">1+IF($G$7=$E$7,$F$7,IF(Q178&lt;($F$7-$E$7)/($G$7-$E$7),$E$7+SQRT(Q178*($G$7-$E$7)*($F$7-$E$7)),$G$7-SQRT((1-Q178)*($G$7-$E$7)*($G$7-$F$7))))</f>
        <v>1.02514176804707</v>
      </c>
      <c r="D178" s="37" t="n">
        <f aca="false">1+IF($G$8=$E$8,$F$8,IF(R178&lt;($F$8-$E$8)/($G$8-$E$8),$E$8+SQRT(R178*($G$8-$E$8)*($F$8-$E$8)),$G$8-SQRT((1-R178)*($G$8-$E$8)*($G$8-$F$8))))</f>
        <v>1.02431271891655</v>
      </c>
      <c r="E178" s="37" t="n">
        <f aca="false">1+IF($G$9=$E$9,$F$9,IF(S178&lt;($F$9-$E$9)/($G$9-$E$9),$E$9+SQRT(S178*($G$9-$E$9)*($F$9-$E$9)),$G$9-SQRT((1-S178)*($G$9-$E$9)*($G$9-$F$9))))</f>
        <v>0.993780688740472</v>
      </c>
      <c r="F178" s="37" t="n">
        <f aca="false">1+IF($G$10=$E$10,$F$10,IF(T178&lt;($F$10-$E$10)/($G$10-$E$10),$E$10+SQRT(T178*($G$10-$E$10)*($F$10-$E$10)),$G$10-SQRT((1-T178)*($G$10-$E$10)*($G$10-$F$10))))</f>
        <v>1.01442833668395</v>
      </c>
      <c r="G178" s="38" t="n">
        <f aca="false">IF($G$11=$E$11,$F$11,IF(U178&lt;($F$11-$E$11)/($G$11-$E$11),$E$11+SQRT(U178*($G$11-$E$11)*($F$11-$E$11)),$G$11-SQRT((1-U178)*($G$11-$E$11)*($G$11-$F$11))))</f>
        <v>0.102794710341418</v>
      </c>
      <c r="H178" s="39" t="n">
        <f aca="false">(('Business Case'!B11*$C178*'Business Case'!B12*$B178)-'Business Case'!B11*$C178*'Business Case'!B13*$D178-'Business Case'!B14*$E178)-MAX(0,(('Business Case'!B11*$C178*'Business Case'!B12*$B178)-'Business Case'!B11*$C178*'Business Case'!B13*$D178-'Business Case'!B14*$E178))*'Business Case'!$B$7-'Business Case'!$B$8*('Business Case'!B11*$C178*'Business Case'!B12*$B178)-'Business Case'!B15*$F178</f>
        <v>-2028856673.3679</v>
      </c>
      <c r="I178" s="39" t="n">
        <f aca="false">(('Business Case'!C11*$C178*'Business Case'!C12*$B178)-'Business Case'!C11*$C178*'Business Case'!C13*$D178-'Business Case'!C14*$E178)-MAX(0,(('Business Case'!C11*$C178*'Business Case'!C12*$B178)-'Business Case'!C11*$C178*'Business Case'!C13*$D178-'Business Case'!C14*$E178))*'Business Case'!$B$7-'Business Case'!$B$8*(('Business Case'!C11*$C178*'Business Case'!C12*$B178)-('Business Case'!B11*$C178*'Business Case'!B12*$B178))-'Business Case'!C15*$F178</f>
        <v>25916596.3294907</v>
      </c>
      <c r="J178" s="39" t="n">
        <f aca="false">(('Business Case'!D11*$C178*'Business Case'!D12*$B178)-'Business Case'!D11*$C178*'Business Case'!D13*$D178-'Business Case'!D14*$E178)-MAX(0,(('Business Case'!D11*$C178*'Business Case'!D12*$B178)-'Business Case'!D11*$C178*'Business Case'!D13*$D178-'Business Case'!D14*$E178))*'Business Case'!$B$7-'Business Case'!$B$8*(('Business Case'!D11*$C178*'Business Case'!D12*$B178)-('Business Case'!C11*$C178*'Business Case'!C12*$B178))-'Business Case'!D15*$F178</f>
        <v>349066282.39794</v>
      </c>
      <c r="K178" s="39" t="n">
        <f aca="false">(('Business Case'!E11*$C178*'Business Case'!E12*$B178)-'Business Case'!E11*$C178*'Business Case'!E13*$D178-'Business Case'!E14*$E178)-MAX(0,(('Business Case'!E11*$C178*'Business Case'!E12*$B178)-'Business Case'!E11*$C178*'Business Case'!E13*$D178-'Business Case'!E14*$E178))*'Business Case'!$B$7-'Business Case'!$B$8*(('Business Case'!E11*$C178*'Business Case'!E12*$B178)-('Business Case'!D11*$C178*'Business Case'!D12*$B178))-'Business Case'!E15*$F178</f>
        <v>722937385.300586</v>
      </c>
      <c r="L178" s="39" t="n">
        <f aca="false">(('Business Case'!F11*$C178*'Business Case'!F12*$B178)-'Business Case'!F11*$C178*'Business Case'!F13*$D178-'Business Case'!F14*$E178)-MAX(0,(('Business Case'!F11*$C178*'Business Case'!F12*$B178)-'Business Case'!F11*$C178*'Business Case'!F13*$D178-'Business Case'!F14*$E178))*'Business Case'!$B$7-'Business Case'!$B$8*(('Business Case'!F11*$C178*'Business Case'!F12*$B178)-('Business Case'!E11*$C178*'Business Case'!E12*$B178))-'Business Case'!F15*$F178</f>
        <v>866970375.41118</v>
      </c>
      <c r="M178" s="39" t="n">
        <f aca="false">(('Business Case'!G11*$C178*'Business Case'!G12*$B178)-'Business Case'!G11*$C178*'Business Case'!G13*$D178-'Business Case'!G14*$E178)-MAX(0,(('Business Case'!G11*$C178*'Business Case'!G12*$B178)-'Business Case'!G11*$C178*'Business Case'!G13*$D178-'Business Case'!G14*$E178))*'Business Case'!$B$7-'Business Case'!$B$8*(('Business Case'!G11*$C178*'Business Case'!G12*$B178)-('Business Case'!F11*$C178*'Business Case'!F12*$B178))-'Business Case'!G15*$F178+'Business Case'!$B$8*('Business Case'!G11*$C178*'Business Case'!G12*$B178)</f>
        <v>1066710729.89396</v>
      </c>
      <c r="N178" s="39" t="n">
        <f aca="false">IF(COUNT('Business Case'!B11:G11)=0,"",H178+NPV(G178,I178:M178))</f>
        <v>60868960.8039699</v>
      </c>
      <c r="P178" s="40" t="n">
        <f aca="true">RAND()</f>
        <v>0.953443071451132</v>
      </c>
      <c r="Q178" s="40" t="n">
        <f aca="true">RAND()</f>
        <v>0.703055655496905</v>
      </c>
      <c r="R178" s="40" t="n">
        <f aca="true">RAND()</f>
        <v>0.701819877455035</v>
      </c>
      <c r="S178" s="40" t="n">
        <f aca="true">RAND()</f>
        <v>0.25556649421201</v>
      </c>
      <c r="T178" s="40" t="n">
        <f aca="true">RAND()</f>
        <v>0.311263155482295</v>
      </c>
      <c r="U178" s="40" t="n">
        <f aca="true">RAND()</f>
        <v>0.506630012940472</v>
      </c>
    </row>
    <row r="179" customFormat="false" ht="15" hidden="false" customHeight="false" outlineLevel="0" collapsed="false">
      <c r="A179" s="36" t="n">
        <v>99</v>
      </c>
      <c r="B179" s="37" t="n">
        <f aca="false">1+IF($G$6=$E$6,$F$6,IF(P179&lt;($F$6-$E$6)/($G$6-$E$6),$E$6+SQRT(P179*($G$6-$E$6)*($F$6-$E$6)),$G$6-SQRT((1-P179)*($G$6-$E$6)*($G$6-$F$6))))</f>
        <v>0.967180477282074</v>
      </c>
      <c r="C179" s="37" t="n">
        <f aca="false">1+IF($G$7=$E$7,$F$7,IF(Q179&lt;($F$7-$E$7)/($G$7-$E$7),$E$7+SQRT(Q179*($G$7-$E$7)*($F$7-$E$7)),$G$7-SQRT((1-Q179)*($G$7-$E$7)*($G$7-$F$7))))</f>
        <v>0.980517657005785</v>
      </c>
      <c r="D179" s="37" t="n">
        <f aca="false">1+IF($G$8=$E$8,$F$8,IF(R179&lt;($F$8-$E$8)/($G$8-$E$8),$E$8+SQRT(R179*($G$8-$E$8)*($F$8-$E$8)),$G$8-SQRT((1-R179)*($G$8-$E$8)*($G$8-$F$8))))</f>
        <v>1.02449666503146</v>
      </c>
      <c r="E179" s="37" t="n">
        <f aca="false">1+IF($G$9=$E$9,$F$9,IF(S179&lt;($F$9-$E$9)/($G$9-$E$9),$E$9+SQRT(S179*($G$9-$E$9)*($F$9-$E$9)),$G$9-SQRT((1-S179)*($G$9-$E$9)*($G$9-$F$9))))</f>
        <v>1.00505998233632</v>
      </c>
      <c r="F179" s="37" t="n">
        <f aca="false">1+IF($G$10=$E$10,$F$10,IF(T179&lt;($F$10-$E$10)/($G$10-$E$10),$E$10+SQRT(T179*($G$10-$E$10)*($F$10-$E$10)),$G$10-SQRT((1-T179)*($G$10-$E$10)*($G$10-$F$10))))</f>
        <v>1.12927685393098</v>
      </c>
      <c r="G179" s="38" t="n">
        <f aca="false">IF($G$11=$E$11,$F$11,IF(U179&lt;($F$11-$E$11)/($G$11-$E$11),$E$11+SQRT(U179*($G$11-$E$11)*($F$11-$E$11)),$G$11-SQRT((1-U179)*($G$11-$E$11)*($G$11-$F$11))))</f>
        <v>0.0969178653711377</v>
      </c>
      <c r="H179" s="39" t="n">
        <f aca="false">(('Business Case'!B11*$C179*'Business Case'!B12*$B179)-'Business Case'!B11*$C179*'Business Case'!B13*$D179-'Business Case'!B14*$E179)-MAX(0,(('Business Case'!B11*$C179*'Business Case'!B12*$B179)-'Business Case'!B11*$C179*'Business Case'!B13*$D179-'Business Case'!B14*$E179))*'Business Case'!$B$7-'Business Case'!$B$8*('Business Case'!B11*$C179*'Business Case'!B12*$B179)-'Business Case'!B15*$F179</f>
        <v>-2258553707.86197</v>
      </c>
      <c r="I179" s="39" t="n">
        <f aca="false">(('Business Case'!C11*$C179*'Business Case'!C12*$B179)-'Business Case'!C11*$C179*'Business Case'!C13*$D179-'Business Case'!C14*$E179)-MAX(0,(('Business Case'!C11*$C179*'Business Case'!C12*$B179)-'Business Case'!C11*$C179*'Business Case'!C13*$D179-'Business Case'!C14*$E179))*'Business Case'!$B$7-'Business Case'!$B$8*(('Business Case'!C11*$C179*'Business Case'!C12*$B179)-('Business Case'!B11*$C179*'Business Case'!B12*$B179))-'Business Case'!C15*$F179</f>
        <v>-42494927.5282124</v>
      </c>
      <c r="J179" s="39" t="n">
        <f aca="false">(('Business Case'!D11*$C179*'Business Case'!D12*$B179)-'Business Case'!D11*$C179*'Business Case'!D13*$D179-'Business Case'!D14*$E179)-MAX(0,(('Business Case'!D11*$C179*'Business Case'!D12*$B179)-'Business Case'!D11*$C179*'Business Case'!D13*$D179-'Business Case'!D14*$E179))*'Business Case'!$B$7-'Business Case'!$B$8*(('Business Case'!D11*$C179*'Business Case'!D12*$B179)-('Business Case'!C11*$C179*'Business Case'!C12*$B179))-'Business Case'!D15*$F179</f>
        <v>220019177.664511</v>
      </c>
      <c r="K179" s="39" t="n">
        <f aca="false">(('Business Case'!E11*$C179*'Business Case'!E12*$B179)-'Business Case'!E11*$C179*'Business Case'!E13*$D179-'Business Case'!E14*$E179)-MAX(0,(('Business Case'!E11*$C179*'Business Case'!E12*$B179)-'Business Case'!E11*$C179*'Business Case'!E13*$D179-'Business Case'!E14*$E179))*'Business Case'!$B$7-'Business Case'!$B$8*(('Business Case'!E11*$C179*'Business Case'!E12*$B179)-('Business Case'!D11*$C179*'Business Case'!D12*$B179))-'Business Case'!E15*$F179</f>
        <v>538997125.553784</v>
      </c>
      <c r="L179" s="39" t="n">
        <f aca="false">(('Business Case'!F11*$C179*'Business Case'!F12*$B179)-'Business Case'!F11*$C179*'Business Case'!F13*$D179-'Business Case'!F14*$E179)-MAX(0,(('Business Case'!F11*$C179*'Business Case'!F12*$B179)-'Business Case'!F11*$C179*'Business Case'!F13*$D179-'Business Case'!F14*$E179))*'Business Case'!$B$7-'Business Case'!$B$8*(('Business Case'!F11*$C179*'Business Case'!F12*$B179)-('Business Case'!E11*$C179*'Business Case'!E12*$B179))-'Business Case'!F15*$F179</f>
        <v>659276372.5111</v>
      </c>
      <c r="M179" s="39" t="n">
        <f aca="false">(('Business Case'!G11*$C179*'Business Case'!G12*$B179)-'Business Case'!G11*$C179*'Business Case'!G13*$D179-'Business Case'!G14*$E179)-MAX(0,(('Business Case'!G11*$C179*'Business Case'!G12*$B179)-'Business Case'!G11*$C179*'Business Case'!G13*$D179-'Business Case'!G14*$E179))*'Business Case'!$B$7-'Business Case'!$B$8*(('Business Case'!G11*$C179*'Business Case'!G12*$B179)-('Business Case'!F11*$C179*'Business Case'!F12*$B179))-'Business Case'!G15*$F179+'Business Case'!$B$8*('Business Case'!G11*$C179*'Business Case'!G12*$B179)</f>
        <v>839536371.256347</v>
      </c>
      <c r="N179" s="39" t="n">
        <f aca="false">IF(COUNT('Business Case'!B11:G11)=0,"",H179+NPV(G179,I179:M179))</f>
        <v>-722029158.375939</v>
      </c>
      <c r="P179" s="40" t="n">
        <f aca="true">RAND()</f>
        <v>0.231874732975444</v>
      </c>
      <c r="Q179" s="40" t="n">
        <f aca="true">RAND()</f>
        <v>0.465523207012261</v>
      </c>
      <c r="R179" s="40" t="n">
        <f aca="true">RAND()</f>
        <v>0.7037865199394</v>
      </c>
      <c r="S179" s="40" t="n">
        <f aca="true">RAND()</f>
        <v>0.399092869734704</v>
      </c>
      <c r="T179" s="40" t="n">
        <f aca="true">RAND()</f>
        <v>0.899964732202011</v>
      </c>
      <c r="U179" s="40" t="n">
        <f aca="true">RAND()</f>
        <v>0.159522870977289</v>
      </c>
    </row>
    <row r="180" customFormat="false" ht="15" hidden="false" customHeight="false" outlineLevel="0" collapsed="false">
      <c r="A180" s="36" t="n">
        <v>100</v>
      </c>
      <c r="B180" s="37" t="n">
        <f aca="false">1+IF($G$6=$E$6,$F$6,IF(P180&lt;($F$6-$E$6)/($G$6-$E$6),$E$6+SQRT(P180*($G$6-$E$6)*($F$6-$E$6)),$G$6-SQRT((1-P180)*($G$6-$E$6)*($G$6-$F$6))))</f>
        <v>0.993529658396354</v>
      </c>
      <c r="C180" s="37" t="n">
        <f aca="false">1+IF($G$7=$E$7,$F$7,IF(Q180&lt;($F$7-$E$7)/($G$7-$E$7),$E$7+SQRT(Q180*($G$7-$E$7)*($F$7-$E$7)),$G$7-SQRT((1-Q180)*($G$7-$E$7)*($G$7-$F$7))))</f>
        <v>0.990048944773732</v>
      </c>
      <c r="D180" s="37" t="n">
        <f aca="false">1+IF($G$8=$E$8,$F$8,IF(R180&lt;($F$8-$E$8)/($G$8-$E$8),$E$8+SQRT(R180*($G$8-$E$8)*($F$8-$E$8)),$G$8-SQRT((1-R180)*($G$8-$E$8)*($G$8-$F$8))))</f>
        <v>1.01574169994462</v>
      </c>
      <c r="E180" s="37" t="n">
        <f aca="false">1+IF($G$9=$E$9,$F$9,IF(S180&lt;($F$9-$E$9)/($G$9-$E$9),$E$9+SQRT(S180*($G$9-$E$9)*($F$9-$E$9)),$G$9-SQRT((1-S180)*($G$9-$E$9)*($G$9-$F$9))))</f>
        <v>1.06627399484929</v>
      </c>
      <c r="F180" s="37" t="n">
        <f aca="false">1+IF($G$10=$E$10,$F$10,IF(T180&lt;($F$10-$E$10)/($G$10-$E$10),$E$10+SQRT(T180*($G$10-$E$10)*($F$10-$E$10)),$G$10-SQRT((1-T180)*($G$10-$E$10)*($G$10-$F$10))))</f>
        <v>1.02464371838688</v>
      </c>
      <c r="G180" s="38" t="n">
        <f aca="false">IF($G$11=$E$11,$F$11,IF(U180&lt;($F$11-$E$11)/($G$11-$E$11),$E$11+SQRT(U180*($G$11-$E$11)*($F$11-$E$11)),$G$11-SQRT((1-U180)*($G$11-$E$11)*($G$11-$F$11))))</f>
        <v>0.100884561808825</v>
      </c>
      <c r="H180" s="39" t="n">
        <f aca="false">(('Business Case'!B11*$C180*'Business Case'!B12*$B180)-'Business Case'!B11*$C180*'Business Case'!B13*$D180-'Business Case'!B14*$E180)-MAX(0,(('Business Case'!B11*$C180*'Business Case'!B12*$B180)-'Business Case'!B11*$C180*'Business Case'!B13*$D180-'Business Case'!B14*$E180))*'Business Case'!$B$7-'Business Case'!$B$8*('Business Case'!B11*$C180*'Business Case'!B12*$B180)-'Business Case'!B15*$F180</f>
        <v>-2049287436.77376</v>
      </c>
      <c r="I180" s="39" t="n">
        <f aca="false">(('Business Case'!C11*$C180*'Business Case'!C12*$B180)-'Business Case'!C11*$C180*'Business Case'!C13*$D180-'Business Case'!C14*$E180)-MAX(0,(('Business Case'!C11*$C180*'Business Case'!C12*$B180)-'Business Case'!C11*$C180*'Business Case'!C13*$D180-'Business Case'!C14*$E180))*'Business Case'!$B$7-'Business Case'!$B$8*(('Business Case'!C11*$C180*'Business Case'!C12*$B180)-('Business Case'!B11*$C180*'Business Case'!B12*$B180))-'Business Case'!C15*$F180</f>
        <v>-14210311.8366992</v>
      </c>
      <c r="J180" s="39" t="n">
        <f aca="false">(('Business Case'!D11*$C180*'Business Case'!D12*$B180)-'Business Case'!D11*$C180*'Business Case'!D13*$D180-'Business Case'!D14*$E180)-MAX(0,(('Business Case'!D11*$C180*'Business Case'!D12*$B180)-'Business Case'!D11*$C180*'Business Case'!D13*$D180-'Business Case'!D14*$E180))*'Business Case'!$B$7-'Business Case'!$B$8*(('Business Case'!D11*$C180*'Business Case'!D12*$B180)-('Business Case'!C11*$C180*'Business Case'!C12*$B180))-'Business Case'!D15*$F180</f>
        <v>276659962.829104</v>
      </c>
      <c r="K180" s="39" t="n">
        <f aca="false">(('Business Case'!E11*$C180*'Business Case'!E12*$B180)-'Business Case'!E11*$C180*'Business Case'!E13*$D180-'Business Case'!E14*$E180)-MAX(0,(('Business Case'!E11*$C180*'Business Case'!E12*$B180)-'Business Case'!E11*$C180*'Business Case'!E13*$D180-'Business Case'!E14*$E180))*'Business Case'!$B$7-'Business Case'!$B$8*(('Business Case'!E11*$C180*'Business Case'!E12*$B180)-('Business Case'!D11*$C180*'Business Case'!D12*$B180))-'Business Case'!E15*$F180</f>
        <v>618762423.414251</v>
      </c>
      <c r="L180" s="39" t="n">
        <f aca="false">(('Business Case'!F11*$C180*'Business Case'!F12*$B180)-'Business Case'!F11*$C180*'Business Case'!F13*$D180-'Business Case'!F14*$E180)-MAX(0,(('Business Case'!F11*$C180*'Business Case'!F12*$B180)-'Business Case'!F11*$C180*'Business Case'!F13*$D180-'Business Case'!F14*$E180))*'Business Case'!$B$7-'Business Case'!$B$8*(('Business Case'!F11*$C180*'Business Case'!F12*$B180)-('Business Case'!E11*$C180*'Business Case'!E12*$B180))-'Business Case'!F15*$F180</f>
        <v>749713883.367016</v>
      </c>
      <c r="M180" s="39" t="n">
        <f aca="false">(('Business Case'!G11*$C180*'Business Case'!G12*$B180)-'Business Case'!G11*$C180*'Business Case'!G13*$D180-'Business Case'!G14*$E180)-MAX(0,(('Business Case'!G11*$C180*'Business Case'!G12*$B180)-'Business Case'!G11*$C180*'Business Case'!G13*$D180-'Business Case'!G14*$E180))*'Business Case'!$B$7-'Business Case'!$B$8*(('Business Case'!G11*$C180*'Business Case'!G12*$B180)-('Business Case'!F11*$C180*'Business Case'!F12*$B180))-'Business Case'!G15*$F180+'Business Case'!$B$8*('Business Case'!G11*$C180*'Business Case'!G12*$B180)</f>
        <v>936684742.886583</v>
      </c>
      <c r="N180" s="39" t="n">
        <f aca="false">IF(COUNT('Business Case'!B11:G11)=0,"",H180+NPV(G180,I180:M180))</f>
        <v>-280457004.393604</v>
      </c>
      <c r="P180" s="40" t="n">
        <f aca="true">RAND()</f>
        <v>0.563188610821303</v>
      </c>
      <c r="Q180" s="40" t="n">
        <f aca="true">RAND()</f>
        <v>0.515980020137272</v>
      </c>
      <c r="R180" s="40" t="n">
        <f aca="true">RAND()</f>
        <v>0.602968353268483</v>
      </c>
      <c r="S180" s="40" t="n">
        <f aca="true">RAND()</f>
        <v>0.92417043843827</v>
      </c>
      <c r="T180" s="40" t="n">
        <f aca="true">RAND()</f>
        <v>0.385003489976394</v>
      </c>
      <c r="U180" s="40" t="n">
        <f aca="true">RAND()</f>
        <v>0.39100003793227</v>
      </c>
    </row>
    <row r="181" customFormat="false" ht="15" hidden="false" customHeight="false" outlineLevel="0" collapsed="false">
      <c r="A181" s="36" t="n">
        <v>101</v>
      </c>
      <c r="B181" s="37" t="n">
        <f aca="false">1+IF($G$6=$E$6,$F$6,IF(P181&lt;($F$6-$E$6)/($G$6-$E$6),$E$6+SQRT(P181*($G$6-$E$6)*($F$6-$E$6)),$G$6-SQRT((1-P181)*($G$6-$E$6)*($G$6-$F$6))))</f>
        <v>0.964647082585261</v>
      </c>
      <c r="C181" s="37" t="n">
        <f aca="false">1+IF($G$7=$E$7,$F$7,IF(Q181&lt;($F$7-$E$7)/($G$7-$E$7),$E$7+SQRT(Q181*($G$7-$E$7)*($F$7-$E$7)),$G$7-SQRT((1-Q181)*($G$7-$E$7)*($G$7-$F$7))))</f>
        <v>1.12646408036259</v>
      </c>
      <c r="D181" s="37" t="n">
        <f aca="false">1+IF($G$8=$E$8,$F$8,IF(R181&lt;($F$8-$E$8)/($G$8-$E$8),$E$8+SQRT(R181*($G$8-$E$8)*($F$8-$E$8)),$G$8-SQRT((1-R181)*($G$8-$E$8)*($G$8-$F$8))))</f>
        <v>1.03349228719749</v>
      </c>
      <c r="E181" s="37" t="n">
        <f aca="false">1+IF($G$9=$E$9,$F$9,IF(S181&lt;($F$9-$E$9)/($G$9-$E$9),$E$9+SQRT(S181*($G$9-$E$9)*($F$9-$E$9)),$G$9-SQRT((1-S181)*($G$9-$E$9)*($G$9-$F$9))))</f>
        <v>1.02971063378253</v>
      </c>
      <c r="F181" s="37" t="n">
        <f aca="false">1+IF($G$10=$E$10,$F$10,IF(T181&lt;($F$10-$E$10)/($G$10-$E$10),$E$10+SQRT(T181*($G$10-$E$10)*($F$10-$E$10)),$G$10-SQRT((1-T181)*($G$10-$E$10)*($G$10-$F$10))))</f>
        <v>1.02248466682035</v>
      </c>
      <c r="G181" s="38" t="n">
        <f aca="false">IF($G$11=$E$11,$F$11,IF(U181&lt;($F$11-$E$11)/($G$11-$E$11),$E$11+SQRT(U181*($G$11-$E$11)*($F$11-$E$11)),$G$11-SQRT((1-U181)*($G$11-$E$11)*($G$11-$F$11))))</f>
        <v>0.107488240207149</v>
      </c>
      <c r="H181" s="39" t="n">
        <f aca="false">(('Business Case'!B11*$C181*'Business Case'!B12*$B181)-'Business Case'!B11*$C181*'Business Case'!B13*$D181-'Business Case'!B14*$E181)-MAX(0,(('Business Case'!B11*$C181*'Business Case'!B12*$B181)-'Business Case'!B11*$C181*'Business Case'!B13*$D181-'Business Case'!B14*$E181))*'Business Case'!$B$7-'Business Case'!$B$8*('Business Case'!B11*$C181*'Business Case'!B12*$B181)-'Business Case'!B15*$F181</f>
        <v>-2044969333.6407</v>
      </c>
      <c r="I181" s="39" t="n">
        <f aca="false">(('Business Case'!C11*$C181*'Business Case'!C12*$B181)-'Business Case'!C11*$C181*'Business Case'!C13*$D181-'Business Case'!C14*$E181)-MAX(0,(('Business Case'!C11*$C181*'Business Case'!C12*$B181)-'Business Case'!C11*$C181*'Business Case'!C13*$D181-'Business Case'!C14*$E181))*'Business Case'!$B$7-'Business Case'!$B$8*(('Business Case'!C11*$C181*'Business Case'!C12*$B181)-('Business Case'!B11*$C181*'Business Case'!B12*$B181))-'Business Case'!C15*$F181</f>
        <v>-10941254.1219572</v>
      </c>
      <c r="J181" s="39" t="n">
        <f aca="false">(('Business Case'!D11*$C181*'Business Case'!D12*$B181)-'Business Case'!D11*$C181*'Business Case'!D13*$D181-'Business Case'!D14*$E181)-MAX(0,(('Business Case'!D11*$C181*'Business Case'!D12*$B181)-'Business Case'!D11*$C181*'Business Case'!D13*$D181-'Business Case'!D14*$E181))*'Business Case'!$B$7-'Business Case'!$B$8*(('Business Case'!D11*$C181*'Business Case'!D12*$B181)-('Business Case'!C11*$C181*'Business Case'!C12*$B181))-'Business Case'!D15*$F181</f>
        <v>283122243.131255</v>
      </c>
      <c r="K181" s="39" t="n">
        <f aca="false">(('Business Case'!E11*$C181*'Business Case'!E12*$B181)-'Business Case'!E11*$C181*'Business Case'!E13*$D181-'Business Case'!E14*$E181)-MAX(0,(('Business Case'!E11*$C181*'Business Case'!E12*$B181)-'Business Case'!E11*$C181*'Business Case'!E13*$D181-'Business Case'!E14*$E181))*'Business Case'!$B$7-'Business Case'!$B$8*(('Business Case'!E11*$C181*'Business Case'!E12*$B181)-('Business Case'!D11*$C181*'Business Case'!D12*$B181))-'Business Case'!E15*$F181</f>
        <v>628309973.725486</v>
      </c>
      <c r="L181" s="39" t="n">
        <f aca="false">(('Business Case'!F11*$C181*'Business Case'!F12*$B181)-'Business Case'!F11*$C181*'Business Case'!F13*$D181-'Business Case'!F14*$E181)-MAX(0,(('Business Case'!F11*$C181*'Business Case'!F12*$B181)-'Business Case'!F11*$C181*'Business Case'!F13*$D181-'Business Case'!F14*$E181))*'Business Case'!$B$7-'Business Case'!$B$8*(('Business Case'!F11*$C181*'Business Case'!F12*$B181)-('Business Case'!E11*$C181*'Business Case'!E12*$B181))-'Business Case'!F15*$F181</f>
        <v>763885427.856063</v>
      </c>
      <c r="M181" s="39" t="n">
        <f aca="false">(('Business Case'!G11*$C181*'Business Case'!G12*$B181)-'Business Case'!G11*$C181*'Business Case'!G13*$D181-'Business Case'!G14*$E181)-MAX(0,(('Business Case'!G11*$C181*'Business Case'!G12*$B181)-'Business Case'!G11*$C181*'Business Case'!G13*$D181-'Business Case'!G14*$E181))*'Business Case'!$B$7-'Business Case'!$B$8*(('Business Case'!G11*$C181*'Business Case'!G12*$B181)-('Business Case'!F11*$C181*'Business Case'!F12*$B181))-'Business Case'!G15*$F181+'Business Case'!$B$8*('Business Case'!G11*$C181*'Business Case'!G12*$B181)</f>
        <v>970434013.943347</v>
      </c>
      <c r="N181" s="39" t="n">
        <f aca="false">IF(COUNT('Business Case'!B11:G11)=0,"",H181+NPV(G181,I181:M181))</f>
        <v>-271227819.505245</v>
      </c>
      <c r="P181" s="40" t="n">
        <f aca="true">RAND()</f>
        <v>0.207641873268239</v>
      </c>
      <c r="Q181" s="40" t="n">
        <f aca="true">RAND()</f>
        <v>0.989448771177549</v>
      </c>
      <c r="R181" s="40" t="n">
        <f aca="true">RAND()</f>
        <v>0.792022370180719</v>
      </c>
      <c r="S181" s="40" t="n">
        <f aca="true">RAND()</f>
        <v>0.670626999783089</v>
      </c>
      <c r="T181" s="40" t="n">
        <f aca="true">RAND()</f>
        <v>0.369766129722341</v>
      </c>
      <c r="U181" s="40" t="n">
        <f aca="true">RAND()</f>
        <v>0.73909311147666</v>
      </c>
    </row>
    <row r="182" customFormat="false" ht="15" hidden="false" customHeight="false" outlineLevel="0" collapsed="false">
      <c r="A182" s="36" t="n">
        <v>102</v>
      </c>
      <c r="B182" s="37" t="n">
        <f aca="false">1+IF($G$6=$E$6,$F$6,IF(P182&lt;($F$6-$E$6)/($G$6-$E$6),$E$6+SQRT(P182*($G$6-$E$6)*($F$6-$E$6)),$G$6-SQRT((1-P182)*($G$6-$E$6)*($G$6-$F$6))))</f>
        <v>0.982974344685016</v>
      </c>
      <c r="C182" s="37" t="n">
        <f aca="false">1+IF($G$7=$E$7,$F$7,IF(Q182&lt;($F$7-$E$7)/($G$7-$E$7),$E$7+SQRT(Q182*($G$7-$E$7)*($F$7-$E$7)),$G$7-SQRT((1-Q182)*($G$7-$E$7)*($G$7-$F$7))))</f>
        <v>0.988799378771904</v>
      </c>
      <c r="D182" s="37" t="n">
        <f aca="false">1+IF($G$8=$E$8,$F$8,IF(R182&lt;($F$8-$E$8)/($G$8-$E$8),$E$8+SQRT(R182*($G$8-$E$8)*($F$8-$E$8)),$G$8-SQRT((1-R182)*($G$8-$E$8)*($G$8-$F$8))))</f>
        <v>1.05782062431282</v>
      </c>
      <c r="E182" s="37" t="n">
        <f aca="false">1+IF($G$9=$E$9,$F$9,IF(S182&lt;($F$9-$E$9)/($G$9-$E$9),$E$9+SQRT(S182*($G$9-$E$9)*($F$9-$E$9)),$G$9-SQRT((1-S182)*($G$9-$E$9)*($G$9-$F$9))))</f>
        <v>1.03798382740031</v>
      </c>
      <c r="F182" s="37" t="n">
        <f aca="false">1+IF($G$10=$E$10,$F$10,IF(T182&lt;($F$10-$E$10)/($G$10-$E$10),$E$10+SQRT(T182*($G$10-$E$10)*($F$10-$E$10)),$G$10-SQRT((1-T182)*($G$10-$E$10)*($G$10-$F$10))))</f>
        <v>1.00969081616178</v>
      </c>
      <c r="G182" s="38" t="n">
        <f aca="false">IF($G$11=$E$11,$F$11,IF(U182&lt;($F$11-$E$11)/($G$11-$E$11),$E$11+SQRT(U182*($G$11-$E$11)*($F$11-$E$11)),$G$11-SQRT((1-U182)*($G$11-$E$11)*($G$11-$F$11))))</f>
        <v>0.098179031513991</v>
      </c>
      <c r="H182" s="39" t="n">
        <f aca="false">(('Business Case'!B11*$C182*'Business Case'!B12*$B182)-'Business Case'!B11*$C182*'Business Case'!B13*$D182-'Business Case'!B14*$E182)-MAX(0,(('Business Case'!B11*$C182*'Business Case'!B12*$B182)-'Business Case'!B11*$C182*'Business Case'!B13*$D182-'Business Case'!B14*$E182))*'Business Case'!$B$7-'Business Case'!$B$8*('Business Case'!B11*$C182*'Business Case'!B12*$B182)-'Business Case'!B15*$F182</f>
        <v>-2019381632.32356</v>
      </c>
      <c r="I182" s="39" t="n">
        <f aca="false">(('Business Case'!C11*$C182*'Business Case'!C12*$B182)-'Business Case'!C11*$C182*'Business Case'!C13*$D182-'Business Case'!C14*$E182)-MAX(0,(('Business Case'!C11*$C182*'Business Case'!C12*$B182)-'Business Case'!C11*$C182*'Business Case'!C13*$D182-'Business Case'!C14*$E182))*'Business Case'!$B$7-'Business Case'!$B$8*(('Business Case'!C11*$C182*'Business Case'!C12*$B182)-('Business Case'!B11*$C182*'Business Case'!B12*$B182))-'Business Case'!C15*$F182</f>
        <v>-38302353.7437397</v>
      </c>
      <c r="J182" s="39" t="n">
        <f aca="false">(('Business Case'!D11*$C182*'Business Case'!D12*$B182)-'Business Case'!D11*$C182*'Business Case'!D13*$D182-'Business Case'!D14*$E182)-MAX(0,(('Business Case'!D11*$C182*'Business Case'!D12*$B182)-'Business Case'!D11*$C182*'Business Case'!D13*$D182-'Business Case'!D14*$E182))*'Business Case'!$B$7-'Business Case'!$B$8*(('Business Case'!D11*$C182*'Business Case'!D12*$B182)-('Business Case'!C11*$C182*'Business Case'!C12*$B182))-'Business Case'!D15*$F182</f>
        <v>222352309.989012</v>
      </c>
      <c r="K182" s="39" t="n">
        <f aca="false">(('Business Case'!E11*$C182*'Business Case'!E12*$B182)-'Business Case'!E11*$C182*'Business Case'!E13*$D182-'Business Case'!E14*$E182)-MAX(0,(('Business Case'!E11*$C182*'Business Case'!E12*$B182)-'Business Case'!E11*$C182*'Business Case'!E13*$D182-'Business Case'!E14*$E182))*'Business Case'!$B$7-'Business Case'!$B$8*(('Business Case'!E11*$C182*'Business Case'!E12*$B182)-('Business Case'!D11*$C182*'Business Case'!D12*$B182))-'Business Case'!E15*$F182</f>
        <v>533491514.529853</v>
      </c>
      <c r="L182" s="39" t="n">
        <f aca="false">(('Business Case'!F11*$C182*'Business Case'!F12*$B182)-'Business Case'!F11*$C182*'Business Case'!F13*$D182-'Business Case'!F14*$E182)-MAX(0,(('Business Case'!F11*$C182*'Business Case'!F12*$B182)-'Business Case'!F11*$C182*'Business Case'!F13*$D182-'Business Case'!F14*$E182))*'Business Case'!$B$7-'Business Case'!$B$8*(('Business Case'!F11*$C182*'Business Case'!F12*$B182)-('Business Case'!E11*$C182*'Business Case'!E12*$B182))-'Business Case'!F15*$F182</f>
        <v>653967492.84343</v>
      </c>
      <c r="M182" s="39" t="n">
        <f aca="false">(('Business Case'!G11*$C182*'Business Case'!G12*$B182)-'Business Case'!G11*$C182*'Business Case'!G13*$D182-'Business Case'!G14*$E182)-MAX(0,(('Business Case'!G11*$C182*'Business Case'!G12*$B182)-'Business Case'!G11*$C182*'Business Case'!G13*$D182-'Business Case'!G14*$E182))*'Business Case'!$B$7-'Business Case'!$B$8*(('Business Case'!G11*$C182*'Business Case'!G12*$B182)-('Business Case'!F11*$C182*'Business Case'!F12*$B182))-'Business Case'!G15*$F182+'Business Case'!$B$8*('Business Case'!G11*$C182*'Business Case'!G12*$B182)</f>
        <v>838718490.05806</v>
      </c>
      <c r="N182" s="39" t="n">
        <f aca="false">IF(COUNT('Business Case'!B11:G11)=0,"",H182+NPV(G182,I182:M182))</f>
        <v>-492321446.335676</v>
      </c>
      <c r="P182" s="40" t="n">
        <f aca="true">RAND()</f>
        <v>0.413100842552838</v>
      </c>
      <c r="Q182" s="40" t="n">
        <f aca="true">RAND()</f>
        <v>0.509217220352242</v>
      </c>
      <c r="R182" s="40" t="n">
        <f aca="true">RAND()</f>
        <v>0.952699547512206</v>
      </c>
      <c r="S182" s="40" t="n">
        <f aca="true">RAND()</f>
        <v>0.743599622405666</v>
      </c>
      <c r="T182" s="40" t="n">
        <f aca="true">RAND()</f>
        <v>0.275648290936608</v>
      </c>
      <c r="U182" s="40" t="n">
        <f aca="true">RAND()</f>
        <v>0.222988521689523</v>
      </c>
    </row>
    <row r="183" customFormat="false" ht="15" hidden="false" customHeight="false" outlineLevel="0" collapsed="false">
      <c r="A183" s="36" t="n">
        <v>103</v>
      </c>
      <c r="B183" s="37" t="n">
        <f aca="false">1+IF($G$6=$E$6,$F$6,IF(P183&lt;($F$6-$E$6)/($G$6-$E$6),$E$6+SQRT(P183*($G$6-$E$6)*($F$6-$E$6)),$G$6-SQRT((1-P183)*($G$6-$E$6)*($G$6-$F$6))))</f>
        <v>0.978122092511257</v>
      </c>
      <c r="C183" s="37" t="n">
        <f aca="false">1+IF($G$7=$E$7,$F$7,IF(Q183&lt;($F$7-$E$7)/($G$7-$E$7),$E$7+SQRT(Q183*($G$7-$E$7)*($F$7-$E$7)),$G$7-SQRT((1-Q183)*($G$7-$E$7)*($G$7-$F$7))))</f>
        <v>1.06086127367654</v>
      </c>
      <c r="D183" s="37" t="n">
        <f aca="false">1+IF($G$8=$E$8,$F$8,IF(R183&lt;($F$8-$E$8)/($G$8-$E$8),$E$8+SQRT(R183*($G$8-$E$8)*($F$8-$E$8)),$G$8-SQRT((1-R183)*($G$8-$E$8)*($G$8-$F$8))))</f>
        <v>0.986656465362615</v>
      </c>
      <c r="E183" s="37" t="n">
        <f aca="false">1+IF($G$9=$E$9,$F$9,IF(S183&lt;($F$9-$E$9)/($G$9-$E$9),$E$9+SQRT(S183*($G$9-$E$9)*($F$9-$E$9)),$G$9-SQRT((1-S183)*($G$9-$E$9)*($G$9-$F$9))))</f>
        <v>0.988160148700234</v>
      </c>
      <c r="F183" s="37" t="n">
        <f aca="false">1+IF($G$10=$E$10,$F$10,IF(T183&lt;($F$10-$E$10)/($G$10-$E$10),$E$10+SQRT(T183*($G$10-$E$10)*($F$10-$E$10)),$G$10-SQRT((1-T183)*($G$10-$E$10)*($G$10-$F$10))))</f>
        <v>0.989081357687102</v>
      </c>
      <c r="G183" s="38" t="n">
        <f aca="false">IF($G$11=$E$11,$F$11,IF(U183&lt;($F$11-$E$11)/($G$11-$E$11),$E$11+SQRT(U183*($G$11-$E$11)*($F$11-$E$11)),$G$11-SQRT((1-U183)*($G$11-$E$11)*($G$11-$F$11))))</f>
        <v>0.0966812557038262</v>
      </c>
      <c r="H183" s="39" t="n">
        <f aca="false">(('Business Case'!B11*$C183*'Business Case'!B12*$B183)-'Business Case'!B11*$C183*'Business Case'!B13*$D183-'Business Case'!B14*$E183)-MAX(0,(('Business Case'!B11*$C183*'Business Case'!B12*$B183)-'Business Case'!B11*$C183*'Business Case'!B13*$D183-'Business Case'!B14*$E183))*'Business Case'!$B$7-'Business Case'!$B$8*('Business Case'!B11*$C183*'Business Case'!B12*$B183)-'Business Case'!B15*$F183</f>
        <v>-1978162715.3742</v>
      </c>
      <c r="I183" s="39" t="n">
        <f aca="false">(('Business Case'!C11*$C183*'Business Case'!C12*$B183)-'Business Case'!C11*$C183*'Business Case'!C13*$D183-'Business Case'!C14*$E183)-MAX(0,(('Business Case'!C11*$C183*'Business Case'!C12*$B183)-'Business Case'!C11*$C183*'Business Case'!C13*$D183-'Business Case'!C14*$E183))*'Business Case'!$B$7-'Business Case'!$B$8*(('Business Case'!C11*$C183*'Business Case'!C12*$B183)-('Business Case'!B11*$C183*'Business Case'!B12*$B183))-'Business Case'!C15*$F183</f>
        <v>20865645.9739468</v>
      </c>
      <c r="J183" s="39" t="n">
        <f aca="false">(('Business Case'!D11*$C183*'Business Case'!D12*$B183)-'Business Case'!D11*$C183*'Business Case'!D13*$D183-'Business Case'!D14*$E183)-MAX(0,(('Business Case'!D11*$C183*'Business Case'!D12*$B183)-'Business Case'!D11*$C183*'Business Case'!D13*$D183-'Business Case'!D14*$E183))*'Business Case'!$B$7-'Business Case'!$B$8*(('Business Case'!D11*$C183*'Business Case'!D12*$B183)-('Business Case'!C11*$C183*'Business Case'!C12*$B183))-'Business Case'!D15*$F183</f>
        <v>334947672.707336</v>
      </c>
      <c r="K183" s="39" t="n">
        <f aca="false">(('Business Case'!E11*$C183*'Business Case'!E12*$B183)-'Business Case'!E11*$C183*'Business Case'!E13*$D183-'Business Case'!E14*$E183)-MAX(0,(('Business Case'!E11*$C183*'Business Case'!E12*$B183)-'Business Case'!E11*$C183*'Business Case'!E13*$D183-'Business Case'!E14*$E183))*'Business Case'!$B$7-'Business Case'!$B$8*(('Business Case'!E11*$C183*'Business Case'!E12*$B183)-('Business Case'!D11*$C183*'Business Case'!D12*$B183))-'Business Case'!E15*$F183</f>
        <v>698483767.32508</v>
      </c>
      <c r="L183" s="39" t="n">
        <f aca="false">(('Business Case'!F11*$C183*'Business Case'!F12*$B183)-'Business Case'!F11*$C183*'Business Case'!F13*$D183-'Business Case'!F14*$E183)-MAX(0,(('Business Case'!F11*$C183*'Business Case'!F12*$B183)-'Business Case'!F11*$C183*'Business Case'!F13*$D183-'Business Case'!F14*$E183))*'Business Case'!$B$7-'Business Case'!$B$8*(('Business Case'!F11*$C183*'Business Case'!F12*$B183)-('Business Case'!E11*$C183*'Business Case'!E12*$B183))-'Business Case'!F15*$F183</f>
        <v>839039024.133248</v>
      </c>
      <c r="M183" s="39" t="n">
        <f aca="false">(('Business Case'!G11*$C183*'Business Case'!G12*$B183)-'Business Case'!G11*$C183*'Business Case'!G13*$D183-'Business Case'!G14*$E183)-MAX(0,(('Business Case'!G11*$C183*'Business Case'!G12*$B183)-'Business Case'!G11*$C183*'Business Case'!G13*$D183-'Business Case'!G14*$E183))*'Business Case'!$B$7-'Business Case'!$B$8*(('Business Case'!G11*$C183*'Business Case'!G12*$B183)-('Business Case'!F11*$C183*'Business Case'!F12*$B183))-'Business Case'!G15*$F183+'Business Case'!$B$8*('Business Case'!G11*$C183*'Business Case'!G12*$B183)</f>
        <v>1036275887.56696</v>
      </c>
      <c r="N183" s="39" t="n">
        <f aca="false">IF(COUNT('Business Case'!B11:G11)=0,"",H183+NPV(G183,I183:M183))</f>
        <v>82201658.6162679</v>
      </c>
      <c r="P183" s="40" t="n">
        <f aca="true">RAND()</f>
        <v>0.351893503946578</v>
      </c>
      <c r="Q183" s="40" t="n">
        <f aca="true">RAND()</f>
        <v>0.848653094655848</v>
      </c>
      <c r="R183" s="40" t="n">
        <f aca="true">RAND()</f>
        <v>0.206722531212395</v>
      </c>
      <c r="S183" s="40" t="n">
        <f aca="true">RAND()</f>
        <v>0.194159593176532</v>
      </c>
      <c r="T183" s="40" t="n">
        <f aca="true">RAND()</f>
        <v>0.122188201493373</v>
      </c>
      <c r="U183" s="40" t="n">
        <f aca="true">RAND()</f>
        <v>0.148797259266368</v>
      </c>
    </row>
    <row r="184" customFormat="false" ht="15" hidden="false" customHeight="false" outlineLevel="0" collapsed="false">
      <c r="A184" s="36" t="n">
        <v>104</v>
      </c>
      <c r="B184" s="37" t="n">
        <f aca="false">1+IF($G$6=$E$6,$F$6,IF(P184&lt;($F$6-$E$6)/($G$6-$E$6),$E$6+SQRT(P184*($G$6-$E$6)*($F$6-$E$6)),$G$6-SQRT((1-P184)*($G$6-$E$6)*($G$6-$F$6))))</f>
        <v>0.955393464637341</v>
      </c>
      <c r="C184" s="37" t="n">
        <f aca="false">1+IF($G$7=$E$7,$F$7,IF(Q184&lt;($F$7-$E$7)/($G$7-$E$7),$E$7+SQRT(Q184*($G$7-$E$7)*($F$7-$E$7)),$G$7-SQRT((1-Q184)*($G$7-$E$7)*($G$7-$F$7))))</f>
        <v>1.06653712586772</v>
      </c>
      <c r="D184" s="37" t="n">
        <f aca="false">1+IF($G$8=$E$8,$F$8,IF(R184&lt;($F$8-$E$8)/($G$8-$E$8),$E$8+SQRT(R184*($G$8-$E$8)*($F$8-$E$8)),$G$8-SQRT((1-R184)*($G$8-$E$8)*($G$8-$F$8))))</f>
        <v>0.985916930420335</v>
      </c>
      <c r="E184" s="37" t="n">
        <f aca="false">1+IF($G$9=$E$9,$F$9,IF(S184&lt;($F$9-$E$9)/($G$9-$E$9),$E$9+SQRT(S184*($G$9-$E$9)*($F$9-$E$9)),$G$9-SQRT((1-S184)*($G$9-$E$9)*($G$9-$F$9))))</f>
        <v>1.02019899286098</v>
      </c>
      <c r="F184" s="37" t="n">
        <f aca="false">1+IF($G$10=$E$10,$F$10,IF(T184&lt;($F$10-$E$10)/($G$10-$E$10),$E$10+SQRT(T184*($G$10-$E$10)*($F$10-$E$10)),$G$10-SQRT((1-T184)*($G$10-$E$10)*($G$10-$F$10))))</f>
        <v>0.999271914114248</v>
      </c>
      <c r="G184" s="38" t="n">
        <f aca="false">IF($G$11=$E$11,$F$11,IF(U184&lt;($F$11-$E$11)/($G$11-$E$11),$E$11+SQRT(U184*($G$11-$E$11)*($F$11-$E$11)),$G$11-SQRT((1-U184)*($G$11-$E$11)*($G$11-$F$11))))</f>
        <v>0.1132814399825</v>
      </c>
      <c r="H184" s="39" t="n">
        <f aca="false">(('Business Case'!B11*$C184*'Business Case'!B12*$B184)-'Business Case'!B11*$C184*'Business Case'!B13*$D184-'Business Case'!B14*$E184)-MAX(0,(('Business Case'!B11*$C184*'Business Case'!B12*$B184)-'Business Case'!B11*$C184*'Business Case'!B13*$D184-'Business Case'!B14*$E184))*'Business Case'!$B$7-'Business Case'!$B$8*('Business Case'!B11*$C184*'Business Case'!B12*$B184)-'Business Case'!B15*$F184</f>
        <v>-1998543828.2285</v>
      </c>
      <c r="I184" s="39" t="n">
        <f aca="false">(('Business Case'!C11*$C184*'Business Case'!C12*$B184)-'Business Case'!C11*$C184*'Business Case'!C13*$D184-'Business Case'!C14*$E184)-MAX(0,(('Business Case'!C11*$C184*'Business Case'!C12*$B184)-'Business Case'!C11*$C184*'Business Case'!C13*$D184-'Business Case'!C14*$E184))*'Business Case'!$B$7-'Business Case'!$B$8*(('Business Case'!C11*$C184*'Business Case'!C12*$B184)-('Business Case'!B11*$C184*'Business Case'!B12*$B184))-'Business Case'!C15*$F184</f>
        <v>-1511362.19880317</v>
      </c>
      <c r="J184" s="39" t="n">
        <f aca="false">(('Business Case'!D11*$C184*'Business Case'!D12*$B184)-'Business Case'!D11*$C184*'Business Case'!D13*$D184-'Business Case'!D14*$E184)-MAX(0,(('Business Case'!D11*$C184*'Business Case'!D12*$B184)-'Business Case'!D11*$C184*'Business Case'!D13*$D184-'Business Case'!D14*$E184))*'Business Case'!$B$7-'Business Case'!$B$8*(('Business Case'!D11*$C184*'Business Case'!D12*$B184)-('Business Case'!C11*$C184*'Business Case'!C12*$B184))-'Business Case'!D15*$F184</f>
        <v>294799784.974725</v>
      </c>
      <c r="K184" s="39" t="n">
        <f aca="false">(('Business Case'!E11*$C184*'Business Case'!E12*$B184)-'Business Case'!E11*$C184*'Business Case'!E13*$D184-'Business Case'!E14*$E184)-MAX(0,(('Business Case'!E11*$C184*'Business Case'!E12*$B184)-'Business Case'!E11*$C184*'Business Case'!E13*$D184-'Business Case'!E14*$E184))*'Business Case'!$B$7-'Business Case'!$B$8*(('Business Case'!E11*$C184*'Business Case'!E12*$B184)-('Business Case'!D11*$C184*'Business Case'!D12*$B184))-'Business Case'!E15*$F184</f>
        <v>641074527.853965</v>
      </c>
      <c r="L184" s="39" t="n">
        <f aca="false">(('Business Case'!F11*$C184*'Business Case'!F12*$B184)-'Business Case'!F11*$C184*'Business Case'!F13*$D184-'Business Case'!F14*$E184)-MAX(0,(('Business Case'!F11*$C184*'Business Case'!F12*$B184)-'Business Case'!F11*$C184*'Business Case'!F13*$D184-'Business Case'!F14*$E184))*'Business Case'!$B$7-'Business Case'!$B$8*(('Business Case'!F11*$C184*'Business Case'!F12*$B184)-('Business Case'!E11*$C184*'Business Case'!E12*$B184))-'Business Case'!F15*$F184</f>
        <v>775060257.695857</v>
      </c>
      <c r="M184" s="39" t="n">
        <f aca="false">(('Business Case'!G11*$C184*'Business Case'!G12*$B184)-'Business Case'!G11*$C184*'Business Case'!G13*$D184-'Business Case'!G14*$E184)-MAX(0,(('Business Case'!G11*$C184*'Business Case'!G12*$B184)-'Business Case'!G11*$C184*'Business Case'!G13*$D184-'Business Case'!G14*$E184))*'Business Case'!$B$7-'Business Case'!$B$8*(('Business Case'!G11*$C184*'Business Case'!G12*$B184)-('Business Case'!F11*$C184*'Business Case'!F12*$B184))-'Business Case'!G15*$F184+'Business Case'!$B$8*('Business Case'!G11*$C184*'Business Case'!G12*$B184)</f>
        <v>968744668.674797</v>
      </c>
      <c r="N184" s="39" t="n">
        <f aca="false">IF(COUNT('Business Case'!B11:G11)=0,"",H184+NPV(G184,I184:M184))</f>
        <v>-226385188.322646</v>
      </c>
      <c r="P184" s="40" t="n">
        <f aca="true">RAND()</f>
        <v>0.130489306149449</v>
      </c>
      <c r="Q184" s="40" t="n">
        <f aca="true">RAND()</f>
        <v>0.867313307458658</v>
      </c>
      <c r="R184" s="40" t="n">
        <f aca="true">RAND()</f>
        <v>0.198465521664487</v>
      </c>
      <c r="S184" s="40" t="n">
        <f aca="true">RAND()</f>
        <v>0.575453283973253</v>
      </c>
      <c r="T184" s="40" t="n">
        <f aca="true">RAND()</f>
        <v>0.194217721638545</v>
      </c>
      <c r="U184" s="40" t="n">
        <f aca="true">RAND()</f>
        <v>0.924768252152093</v>
      </c>
    </row>
    <row r="185" customFormat="false" ht="15" hidden="false" customHeight="false" outlineLevel="0" collapsed="false">
      <c r="A185" s="36" t="n">
        <v>105</v>
      </c>
      <c r="B185" s="37" t="n">
        <f aca="false">1+IF($G$6=$E$6,$F$6,IF(P185&lt;($F$6-$E$6)/($G$6-$E$6),$E$6+SQRT(P185*($G$6-$E$6)*($F$6-$E$6)),$G$6-SQRT((1-P185)*($G$6-$E$6)*($G$6-$F$6))))</f>
        <v>0.954531210589542</v>
      </c>
      <c r="C185" s="37" t="n">
        <f aca="false">1+IF($G$7=$E$7,$F$7,IF(Q185&lt;($F$7-$E$7)/($G$7-$E$7),$E$7+SQRT(Q185*($G$7-$E$7)*($F$7-$E$7)),$G$7-SQRT((1-Q185)*($G$7-$E$7)*($G$7-$F$7))))</f>
        <v>1.00126295022146</v>
      </c>
      <c r="D185" s="37" t="n">
        <f aca="false">1+IF($G$8=$E$8,$F$8,IF(R185&lt;($F$8-$E$8)/($G$8-$E$8),$E$8+SQRT(R185*($G$8-$E$8)*($F$8-$E$8)),$G$8-SQRT((1-R185)*($G$8-$E$8)*($G$8-$F$8))))</f>
        <v>1.02185868247432</v>
      </c>
      <c r="E185" s="37" t="n">
        <f aca="false">1+IF($G$9=$E$9,$F$9,IF(S185&lt;($F$9-$E$9)/($G$9-$E$9),$E$9+SQRT(S185*($G$9-$E$9)*($F$9-$E$9)),$G$9-SQRT((1-S185)*($G$9-$E$9)*($G$9-$F$9))))</f>
        <v>1.04422865241225</v>
      </c>
      <c r="F185" s="37" t="n">
        <f aca="false">1+IF($G$10=$E$10,$F$10,IF(T185&lt;($F$10-$E$10)/($G$10-$E$10),$E$10+SQRT(T185*($G$10-$E$10)*($F$10-$E$10)),$G$10-SQRT((1-T185)*($G$10-$E$10)*($G$10-$F$10))))</f>
        <v>1.01279802845646</v>
      </c>
      <c r="G185" s="38" t="n">
        <f aca="false">IF($G$11=$E$11,$F$11,IF(U185&lt;($F$11-$E$11)/($G$11-$E$11),$E$11+SQRT(U185*($G$11-$E$11)*($F$11-$E$11)),$G$11-SQRT((1-U185)*($G$11-$E$11)*($G$11-$F$11))))</f>
        <v>0.10214324523903</v>
      </c>
      <c r="H185" s="39" t="n">
        <f aca="false">(('Business Case'!B11*$C185*'Business Case'!B12*$B185)-'Business Case'!B11*$C185*'Business Case'!B13*$D185-'Business Case'!B14*$E185)-MAX(0,(('Business Case'!B11*$C185*'Business Case'!B12*$B185)-'Business Case'!B11*$C185*'Business Case'!B13*$D185-'Business Case'!B14*$E185))*'Business Case'!$B$7-'Business Case'!$B$8*('Business Case'!B11*$C185*'Business Case'!B12*$B185)-'Business Case'!B15*$F185</f>
        <v>-2025596056.91291</v>
      </c>
      <c r="I185" s="39" t="n">
        <f aca="false">(('Business Case'!C11*$C185*'Business Case'!C12*$B185)-'Business Case'!C11*$C185*'Business Case'!C13*$D185-'Business Case'!C14*$E185)-MAX(0,(('Business Case'!C11*$C185*'Business Case'!C12*$B185)-'Business Case'!C11*$C185*'Business Case'!C13*$D185-'Business Case'!C14*$E185))*'Business Case'!$B$7-'Business Case'!$B$8*(('Business Case'!C11*$C185*'Business Case'!C12*$B185)-('Business Case'!B11*$C185*'Business Case'!B12*$B185))-'Business Case'!C15*$F185</f>
        <v>-40267868.2812008</v>
      </c>
      <c r="J185" s="39" t="n">
        <f aca="false">(('Business Case'!D11*$C185*'Business Case'!D12*$B185)-'Business Case'!D11*$C185*'Business Case'!D13*$D185-'Business Case'!D14*$E185)-MAX(0,(('Business Case'!D11*$C185*'Business Case'!D12*$B185)-'Business Case'!D11*$C185*'Business Case'!D13*$D185-'Business Case'!D14*$E185))*'Business Case'!$B$7-'Business Case'!$B$8*(('Business Case'!D11*$C185*'Business Case'!D12*$B185)-('Business Case'!C11*$C185*'Business Case'!C12*$B185))-'Business Case'!D15*$F185</f>
        <v>218778773.05016</v>
      </c>
      <c r="K185" s="39" t="n">
        <f aca="false">(('Business Case'!E11*$C185*'Business Case'!E12*$B185)-'Business Case'!E11*$C185*'Business Case'!E13*$D185-'Business Case'!E14*$E185)-MAX(0,(('Business Case'!E11*$C185*'Business Case'!E12*$B185)-'Business Case'!E11*$C185*'Business Case'!E13*$D185-'Business Case'!E14*$E185))*'Business Case'!$B$7-'Business Case'!$B$8*(('Business Case'!E11*$C185*'Business Case'!E12*$B185)-('Business Case'!D11*$C185*'Business Case'!D12*$B185))-'Business Case'!E15*$F185</f>
        <v>528465315.804344</v>
      </c>
      <c r="L185" s="39" t="n">
        <f aca="false">(('Business Case'!F11*$C185*'Business Case'!F12*$B185)-'Business Case'!F11*$C185*'Business Case'!F13*$D185-'Business Case'!F14*$E185)-MAX(0,(('Business Case'!F11*$C185*'Business Case'!F12*$B185)-'Business Case'!F11*$C185*'Business Case'!F13*$D185-'Business Case'!F14*$E185))*'Business Case'!$B$7-'Business Case'!$B$8*(('Business Case'!F11*$C185*'Business Case'!F12*$B185)-('Business Case'!E11*$C185*'Business Case'!E12*$B185))-'Business Case'!F15*$F185</f>
        <v>647844457.844061</v>
      </c>
      <c r="M185" s="39" t="n">
        <f aca="false">(('Business Case'!G11*$C185*'Business Case'!G12*$B185)-'Business Case'!G11*$C185*'Business Case'!G13*$D185-'Business Case'!G14*$E185)-MAX(0,(('Business Case'!G11*$C185*'Business Case'!G12*$B185)-'Business Case'!G11*$C185*'Business Case'!G13*$D185-'Business Case'!G14*$E185))*'Business Case'!$B$7-'Business Case'!$B$8*(('Business Case'!G11*$C185*'Business Case'!G12*$B185)-('Business Case'!F11*$C185*'Business Case'!F12*$B185))-'Business Case'!G15*$F185+'Business Case'!$B$8*('Business Case'!G11*$C185*'Business Case'!G12*$B185)</f>
        <v>829510896.621676</v>
      </c>
      <c r="N185" s="39" t="n">
        <f aca="false">IF(COUNT('Business Case'!B11:G11)=0,"",H185+NPV(G185,I185:M185))</f>
        <v>-538166514.679488</v>
      </c>
      <c r="P185" s="40" t="n">
        <f aca="true">RAND()</f>
        <v>0.124208802581178</v>
      </c>
      <c r="Q185" s="40" t="n">
        <f aca="true">RAND()</f>
        <v>0.578615048060481</v>
      </c>
      <c r="R185" s="40" t="n">
        <f aca="true">RAND()</f>
        <v>0.674960307344063</v>
      </c>
      <c r="S185" s="40" t="n">
        <f aca="true">RAND()</f>
        <v>0.792637119216396</v>
      </c>
      <c r="T185" s="40" t="n">
        <f aca="true">RAND()</f>
        <v>0.299108437004199</v>
      </c>
      <c r="U185" s="40" t="n">
        <f aca="true">RAND()</f>
        <v>0.468560515677644</v>
      </c>
    </row>
    <row r="186" customFormat="false" ht="15" hidden="false" customHeight="false" outlineLevel="0" collapsed="false">
      <c r="A186" s="36" t="n">
        <v>106</v>
      </c>
      <c r="B186" s="37" t="n">
        <f aca="false">1+IF($G$6=$E$6,$F$6,IF(P186&lt;($F$6-$E$6)/($G$6-$E$6),$E$6+SQRT(P186*($G$6-$E$6)*($F$6-$E$6)),$G$6-SQRT((1-P186)*($G$6-$E$6)*($G$6-$F$6))))</f>
        <v>0.976905650472407</v>
      </c>
      <c r="C186" s="37" t="n">
        <f aca="false">1+IF($G$7=$E$7,$F$7,IF(Q186&lt;($F$7-$E$7)/($G$7-$E$7),$E$7+SQRT(Q186*($G$7-$E$7)*($F$7-$E$7)),$G$7-SQRT((1-Q186)*($G$7-$E$7)*($G$7-$F$7))))</f>
        <v>1.11737289125045</v>
      </c>
      <c r="D186" s="37" t="n">
        <f aca="false">1+IF($G$8=$E$8,$F$8,IF(R186&lt;($F$8-$E$8)/($G$8-$E$8),$E$8+SQRT(R186*($G$8-$E$8)*($F$8-$E$8)),$G$8-SQRT((1-R186)*($G$8-$E$8)*($G$8-$F$8))))</f>
        <v>1.04547191672368</v>
      </c>
      <c r="E186" s="37" t="n">
        <f aca="false">1+IF($G$9=$E$9,$F$9,IF(S186&lt;($F$9-$E$9)/($G$9-$E$9),$E$9+SQRT(S186*($G$9-$E$9)*($F$9-$E$9)),$G$9-SQRT((1-S186)*($G$9-$E$9)*($G$9-$F$9))))</f>
        <v>0.993774663021861</v>
      </c>
      <c r="F186" s="37" t="n">
        <f aca="false">1+IF($G$10=$E$10,$F$10,IF(T186&lt;($F$10-$E$10)/($G$10-$E$10),$E$10+SQRT(T186*($G$10-$E$10)*($F$10-$E$10)),$G$10-SQRT((1-T186)*($G$10-$E$10)*($G$10-$F$10))))</f>
        <v>1.01835055916921</v>
      </c>
      <c r="G186" s="38" t="n">
        <f aca="false">IF($G$11=$E$11,$F$11,IF(U186&lt;($F$11-$E$11)/($G$11-$E$11),$E$11+SQRT(U186*($G$11-$E$11)*($F$11-$E$11)),$G$11-SQRT((1-U186)*($G$11-$E$11)*($G$11-$F$11))))</f>
        <v>0.105800658665605</v>
      </c>
      <c r="H186" s="39" t="n">
        <f aca="false">(('Business Case'!B11*$C186*'Business Case'!B12*$B186)-'Business Case'!B11*$C186*'Business Case'!B13*$D186-'Business Case'!B14*$E186)-MAX(0,(('Business Case'!B11*$C186*'Business Case'!B12*$B186)-'Business Case'!B11*$C186*'Business Case'!B13*$D186-'Business Case'!B14*$E186))*'Business Case'!$B$7-'Business Case'!$B$8*('Business Case'!B11*$C186*'Business Case'!B12*$B186)-'Business Case'!B15*$F186</f>
        <v>-2036701118.33842</v>
      </c>
      <c r="I186" s="39" t="n">
        <f aca="false">(('Business Case'!C11*$C186*'Business Case'!C12*$B186)-'Business Case'!C11*$C186*'Business Case'!C13*$D186-'Business Case'!C14*$E186)-MAX(0,(('Business Case'!C11*$C186*'Business Case'!C12*$B186)-'Business Case'!C11*$C186*'Business Case'!C13*$D186-'Business Case'!C14*$E186))*'Business Case'!$B$7-'Business Case'!$B$8*(('Business Case'!C11*$C186*'Business Case'!C12*$B186)-('Business Case'!B11*$C186*'Business Case'!B12*$B186))-'Business Case'!C15*$F186</f>
        <v>-3679715.07474779</v>
      </c>
      <c r="J186" s="39" t="n">
        <f aca="false">(('Business Case'!D11*$C186*'Business Case'!D12*$B186)-'Business Case'!D11*$C186*'Business Case'!D13*$D186-'Business Case'!D14*$E186)-MAX(0,(('Business Case'!D11*$C186*'Business Case'!D12*$B186)-'Business Case'!D11*$C186*'Business Case'!D13*$D186-'Business Case'!D14*$E186))*'Business Case'!$B$7-'Business Case'!$B$8*(('Business Case'!D11*$C186*'Business Case'!D12*$B186)-('Business Case'!C11*$C186*'Business Case'!C12*$B186))-'Business Case'!D15*$F186</f>
        <v>292377262.326208</v>
      </c>
      <c r="K186" s="39" t="n">
        <f aca="false">(('Business Case'!E11*$C186*'Business Case'!E12*$B186)-'Business Case'!E11*$C186*'Business Case'!E13*$D186-'Business Case'!E14*$E186)-MAX(0,(('Business Case'!E11*$C186*'Business Case'!E12*$B186)-'Business Case'!E11*$C186*'Business Case'!E13*$D186-'Business Case'!E14*$E186))*'Business Case'!$B$7-'Business Case'!$B$8*(('Business Case'!E11*$C186*'Business Case'!E12*$B186)-('Business Case'!D11*$C186*'Business Case'!D12*$B186))-'Business Case'!E15*$F186</f>
        <v>639351767.685624</v>
      </c>
      <c r="L186" s="39" t="n">
        <f aca="false">(('Business Case'!F11*$C186*'Business Case'!F12*$B186)-'Business Case'!F11*$C186*'Business Case'!F13*$D186-'Business Case'!F14*$E186)-MAX(0,(('Business Case'!F11*$C186*'Business Case'!F12*$B186)-'Business Case'!F11*$C186*'Business Case'!F13*$D186-'Business Case'!F14*$E186))*'Business Case'!$B$7-'Business Case'!$B$8*(('Business Case'!F11*$C186*'Business Case'!F12*$B186)-('Business Case'!E11*$C186*'Business Case'!E12*$B186))-'Business Case'!F15*$F186</f>
        <v>775762013.137324</v>
      </c>
      <c r="M186" s="39" t="n">
        <f aca="false">(('Business Case'!G11*$C186*'Business Case'!G12*$B186)-'Business Case'!G11*$C186*'Business Case'!G13*$D186-'Business Case'!G14*$E186)-MAX(0,(('Business Case'!G11*$C186*'Business Case'!G12*$B186)-'Business Case'!G11*$C186*'Business Case'!G13*$D186-'Business Case'!G14*$E186))*'Business Case'!$B$7-'Business Case'!$B$8*(('Business Case'!G11*$C186*'Business Case'!G12*$B186)-('Business Case'!F11*$C186*'Business Case'!F12*$B186))-'Business Case'!G15*$F186+'Business Case'!$B$8*('Business Case'!G11*$C186*'Business Case'!G12*$B186)</f>
        <v>983247237.886594</v>
      </c>
      <c r="N186" s="39" t="n">
        <f aca="false">IF(COUNT('Business Case'!B11:G11)=0,"",H186+NPV(G186,I186:M186))</f>
        <v>-214589696.939002</v>
      </c>
      <c r="P186" s="40" t="n">
        <f aca="true">RAND()</f>
        <v>0.337318026634137</v>
      </c>
      <c r="Q186" s="40" t="n">
        <f aca="true">RAND()</f>
        <v>0.979723271898001</v>
      </c>
      <c r="R186" s="40" t="n">
        <f aca="true">RAND()</f>
        <v>0.885366487044583</v>
      </c>
      <c r="S186" s="40" t="n">
        <f aca="true">RAND()</f>
        <v>0.255496149690327</v>
      </c>
      <c r="T186" s="40" t="n">
        <f aca="true">RAND()</f>
        <v>0.34006961291723</v>
      </c>
      <c r="U186" s="40" t="n">
        <f aca="true">RAND()</f>
        <v>0.663964509448925</v>
      </c>
    </row>
    <row r="187" customFormat="false" ht="15" hidden="false" customHeight="false" outlineLevel="0" collapsed="false">
      <c r="A187" s="36" t="n">
        <v>107</v>
      </c>
      <c r="B187" s="37" t="n">
        <f aca="false">1+IF($G$6=$E$6,$F$6,IF(P187&lt;($F$6-$E$6)/($G$6-$E$6),$E$6+SQRT(P187*($G$6-$E$6)*($F$6-$E$6)),$G$6-SQRT((1-P187)*($G$6-$E$6)*($G$6-$F$6))))</f>
        <v>1.00146411513794</v>
      </c>
      <c r="C187" s="37" t="n">
        <f aca="false">1+IF($G$7=$E$7,$F$7,IF(Q187&lt;($F$7-$E$7)/($G$7-$E$7),$E$7+SQRT(Q187*($G$7-$E$7)*($F$7-$E$7)),$G$7-SQRT((1-Q187)*($G$7-$E$7)*($G$7-$F$7))))</f>
        <v>1.07349408056</v>
      </c>
      <c r="D187" s="37" t="n">
        <f aca="false">1+IF($G$8=$E$8,$F$8,IF(R187&lt;($F$8-$E$8)/($G$8-$E$8),$E$8+SQRT(R187*($G$8-$E$8)*($F$8-$E$8)),$G$8-SQRT((1-R187)*($G$8-$E$8)*($G$8-$F$8))))</f>
        <v>0.991293263104432</v>
      </c>
      <c r="E187" s="37" t="n">
        <f aca="false">1+IF($G$9=$E$9,$F$9,IF(S187&lt;($F$9-$E$9)/($G$9-$E$9),$E$9+SQRT(S187*($G$9-$E$9)*($F$9-$E$9)),$G$9-SQRT((1-S187)*($G$9-$E$9)*($G$9-$F$9))))</f>
        <v>1.00908937571613</v>
      </c>
      <c r="F187" s="37" t="n">
        <f aca="false">1+IF($G$10=$E$10,$F$10,IF(T187&lt;($F$10-$E$10)/($G$10-$E$10),$E$10+SQRT(T187*($G$10-$E$10)*($F$10-$E$10)),$G$10-SQRT((1-T187)*($G$10-$E$10)*($G$10-$F$10))))</f>
        <v>1.02124812159522</v>
      </c>
      <c r="G187" s="38" t="n">
        <f aca="false">IF($G$11=$E$11,$F$11,IF(U187&lt;($F$11-$E$11)/($G$11-$E$11),$E$11+SQRT(U187*($G$11-$E$11)*($F$11-$E$11)),$G$11-SQRT((1-U187)*($G$11-$E$11)*($G$11-$F$11))))</f>
        <v>0.0996194977300415</v>
      </c>
      <c r="H187" s="39" t="n">
        <f aca="false">(('Business Case'!B11*$C187*'Business Case'!B12*$B187)-'Business Case'!B11*$C187*'Business Case'!B13*$D187-'Business Case'!B14*$E187)-MAX(0,(('Business Case'!B11*$C187*'Business Case'!B12*$B187)-'Business Case'!B11*$C187*'Business Case'!B13*$D187-'Business Case'!B14*$E187))*'Business Case'!$B$7-'Business Case'!$B$8*('Business Case'!B11*$C187*'Business Case'!B12*$B187)-'Business Case'!B15*$F187</f>
        <v>-2042496243.19044</v>
      </c>
      <c r="I187" s="39" t="n">
        <f aca="false">(('Business Case'!C11*$C187*'Business Case'!C12*$B187)-'Business Case'!C11*$C187*'Business Case'!C13*$D187-'Business Case'!C14*$E187)-MAX(0,(('Business Case'!C11*$C187*'Business Case'!C12*$B187)-'Business Case'!C11*$C187*'Business Case'!C13*$D187-'Business Case'!C14*$E187))*'Business Case'!$B$7-'Business Case'!$B$8*(('Business Case'!C11*$C187*'Business Case'!C12*$B187)-('Business Case'!B11*$C187*'Business Case'!B12*$B187))-'Business Case'!C15*$F187</f>
        <v>34449199.4655956</v>
      </c>
      <c r="J187" s="39" t="n">
        <f aca="false">(('Business Case'!D11*$C187*'Business Case'!D12*$B187)-'Business Case'!D11*$C187*'Business Case'!D13*$D187-'Business Case'!D14*$E187)-MAX(0,(('Business Case'!D11*$C187*'Business Case'!D12*$B187)-'Business Case'!D11*$C187*'Business Case'!D13*$D187-'Business Case'!D14*$E187))*'Business Case'!$B$7-'Business Case'!$B$8*(('Business Case'!D11*$C187*'Business Case'!D12*$B187)-('Business Case'!C11*$C187*'Business Case'!C12*$B187))-'Business Case'!D15*$F187</f>
        <v>370247131.363307</v>
      </c>
      <c r="K187" s="39" t="n">
        <f aca="false">(('Business Case'!E11*$C187*'Business Case'!E12*$B187)-'Business Case'!E11*$C187*'Business Case'!E13*$D187-'Business Case'!E14*$E187)-MAX(0,(('Business Case'!E11*$C187*'Business Case'!E12*$B187)-'Business Case'!E11*$C187*'Business Case'!E13*$D187-'Business Case'!E14*$E187))*'Business Case'!$B$7-'Business Case'!$B$8*(('Business Case'!E11*$C187*'Business Case'!E12*$B187)-('Business Case'!D11*$C187*'Business Case'!D12*$B187))-'Business Case'!E15*$F187</f>
        <v>757107469.340779</v>
      </c>
      <c r="L187" s="39" t="n">
        <f aca="false">(('Business Case'!F11*$C187*'Business Case'!F12*$B187)-'Business Case'!F11*$C187*'Business Case'!F13*$D187-'Business Case'!F14*$E187)-MAX(0,(('Business Case'!F11*$C187*'Business Case'!F12*$B187)-'Business Case'!F11*$C187*'Business Case'!F13*$D187-'Business Case'!F14*$E187))*'Business Case'!$B$7-'Business Case'!$B$8*(('Business Case'!F11*$C187*'Business Case'!F12*$B187)-('Business Case'!E11*$C187*'Business Case'!E12*$B187))-'Business Case'!F15*$F187</f>
        <v>906194387.337189</v>
      </c>
      <c r="M187" s="39" t="n">
        <f aca="false">(('Business Case'!G11*$C187*'Business Case'!G12*$B187)-'Business Case'!G11*$C187*'Business Case'!G13*$D187-'Business Case'!G14*$E187)-MAX(0,(('Business Case'!G11*$C187*'Business Case'!G12*$B187)-'Business Case'!G11*$C187*'Business Case'!G13*$D187-'Business Case'!G14*$E187))*'Business Case'!$B$7-'Business Case'!$B$8*(('Business Case'!G11*$C187*'Business Case'!G12*$B187)-('Business Case'!F11*$C187*'Business Case'!F12*$B187))-'Business Case'!G15*$F187+'Business Case'!$B$8*('Business Case'!G11*$C187*'Business Case'!G12*$B187)</f>
        <v>1110542894.50498</v>
      </c>
      <c r="N187" s="39" t="n">
        <f aca="false">IF(COUNT('Business Case'!B11:G11)=0,"",H187+NPV(G187,I187:M187))</f>
        <v>175003690.622392</v>
      </c>
      <c r="P187" s="40" t="n">
        <f aca="true">RAND()</f>
        <v>0.690621995395398</v>
      </c>
      <c r="Q187" s="40" t="n">
        <f aca="true">RAND()</f>
        <v>0.888511319821718</v>
      </c>
      <c r="R187" s="40" t="n">
        <f aca="true">RAND()</f>
        <v>0.262328242740284</v>
      </c>
      <c r="S187" s="40" t="n">
        <f aca="true">RAND()</f>
        <v>0.449017226154441</v>
      </c>
      <c r="T187" s="40" t="n">
        <f aca="true">RAND()</f>
        <v>0.360955319335243</v>
      </c>
      <c r="U187" s="40" t="n">
        <f aca="true">RAND()</f>
        <v>0.308449121927577</v>
      </c>
    </row>
    <row r="188" customFormat="false" ht="15" hidden="false" customHeight="false" outlineLevel="0" collapsed="false">
      <c r="A188" s="36" t="n">
        <v>108</v>
      </c>
      <c r="B188" s="37" t="n">
        <f aca="false">1+IF($G$6=$E$6,$F$6,IF(P188&lt;($F$6-$E$6)/($G$6-$E$6),$E$6+SQRT(P188*($G$6-$E$6)*($F$6-$E$6)),$G$6-SQRT((1-P188)*($G$6-$E$6)*($G$6-$F$6))))</f>
        <v>0.964124203821996</v>
      </c>
      <c r="C188" s="37" t="n">
        <f aca="false">1+IF($G$7=$E$7,$F$7,IF(Q188&lt;($F$7-$E$7)/($G$7-$E$7),$E$7+SQRT(Q188*($G$7-$E$7)*($F$7-$E$7)),$G$7-SQRT((1-Q188)*($G$7-$E$7)*($G$7-$F$7))))</f>
        <v>1.01324628458727</v>
      </c>
      <c r="D188" s="37" t="n">
        <f aca="false">1+IF($G$8=$E$8,$F$8,IF(R188&lt;($F$8-$E$8)/($G$8-$E$8),$E$8+SQRT(R188*($G$8-$E$8)*($F$8-$E$8)),$G$8-SQRT((1-R188)*($G$8-$E$8)*($G$8-$F$8))))</f>
        <v>0.993332485877662</v>
      </c>
      <c r="E188" s="37" t="n">
        <f aca="false">1+IF($G$9=$E$9,$F$9,IF(S188&lt;($F$9-$E$9)/($G$9-$E$9),$E$9+SQRT(S188*($G$9-$E$9)*($F$9-$E$9)),$G$9-SQRT((1-S188)*($G$9-$E$9)*($G$9-$F$9))))</f>
        <v>1.00294405551685</v>
      </c>
      <c r="F188" s="37" t="n">
        <f aca="false">1+IF($G$10=$E$10,$F$10,IF(T188&lt;($F$10-$E$10)/($G$10-$E$10),$E$10+SQRT(T188*($G$10-$E$10)*($F$10-$E$10)),$G$10-SQRT((1-T188)*($G$10-$E$10)*($G$10-$F$10))))</f>
        <v>1.05127468605559</v>
      </c>
      <c r="G188" s="38" t="n">
        <f aca="false">IF($G$11=$E$11,$F$11,IF(U188&lt;($F$11-$E$11)/($G$11-$E$11),$E$11+SQRT(U188*($G$11-$E$11)*($F$11-$E$11)),$G$11-SQRT((1-U188)*($G$11-$E$11)*($G$11-$F$11))))</f>
        <v>0.100314349504836</v>
      </c>
      <c r="H188" s="39" t="n">
        <f aca="false">(('Business Case'!B11*$C188*'Business Case'!B12*$B188)-'Business Case'!B11*$C188*'Business Case'!B13*$D188-'Business Case'!B14*$E188)-MAX(0,(('Business Case'!B11*$C188*'Business Case'!B12*$B188)-'Business Case'!B11*$C188*'Business Case'!B13*$D188-'Business Case'!B14*$E188))*'Business Case'!$B$7-'Business Case'!$B$8*('Business Case'!B11*$C188*'Business Case'!B12*$B188)-'Business Case'!B15*$F188</f>
        <v>-2102549372.11118</v>
      </c>
      <c r="I188" s="39" t="n">
        <f aca="false">(('Business Case'!C11*$C188*'Business Case'!C12*$B188)-'Business Case'!C11*$C188*'Business Case'!C13*$D188-'Business Case'!C14*$E188)-MAX(0,(('Business Case'!C11*$C188*'Business Case'!C12*$B188)-'Business Case'!C11*$C188*'Business Case'!C13*$D188-'Business Case'!C14*$E188))*'Business Case'!$B$7-'Business Case'!$B$8*(('Business Case'!C11*$C188*'Business Case'!C12*$B188)-('Business Case'!B11*$C188*'Business Case'!B12*$B188))-'Business Case'!C15*$F188</f>
        <v>-13483395.0094284</v>
      </c>
      <c r="J188" s="39" t="n">
        <f aca="false">(('Business Case'!D11*$C188*'Business Case'!D12*$B188)-'Business Case'!D11*$C188*'Business Case'!D13*$D188-'Business Case'!D14*$E188)-MAX(0,(('Business Case'!D11*$C188*'Business Case'!D12*$B188)-'Business Case'!D11*$C188*'Business Case'!D13*$D188-'Business Case'!D14*$E188))*'Business Case'!$B$7-'Business Case'!$B$8*(('Business Case'!D11*$C188*'Business Case'!D12*$B188)-('Business Case'!C11*$C188*'Business Case'!C12*$B188))-'Business Case'!D15*$F188</f>
        <v>271421573.943385</v>
      </c>
      <c r="K188" s="39" t="n">
        <f aca="false">(('Business Case'!E11*$C188*'Business Case'!E12*$B188)-'Business Case'!E11*$C188*'Business Case'!E13*$D188-'Business Case'!E14*$E188)-MAX(0,(('Business Case'!E11*$C188*'Business Case'!E12*$B188)-'Business Case'!E11*$C188*'Business Case'!E13*$D188-'Business Case'!E14*$E188))*'Business Case'!$B$7-'Business Case'!$B$8*(('Business Case'!E11*$C188*'Business Case'!E12*$B188)-('Business Case'!D11*$C188*'Business Case'!D12*$B188))-'Business Case'!E15*$F188</f>
        <v>608890277.198979</v>
      </c>
      <c r="L188" s="39" t="n">
        <f aca="false">(('Business Case'!F11*$C188*'Business Case'!F12*$B188)-'Business Case'!F11*$C188*'Business Case'!F13*$D188-'Business Case'!F14*$E188)-MAX(0,(('Business Case'!F11*$C188*'Business Case'!F12*$B188)-'Business Case'!F11*$C188*'Business Case'!F13*$D188-'Business Case'!F14*$E188))*'Business Case'!$B$7-'Business Case'!$B$8*(('Business Case'!F11*$C188*'Business Case'!F12*$B188)-('Business Case'!E11*$C188*'Business Case'!E12*$B188))-'Business Case'!F15*$F188</f>
        <v>737620100.624708</v>
      </c>
      <c r="M188" s="39" t="n">
        <f aca="false">(('Business Case'!G11*$C188*'Business Case'!G12*$B188)-'Business Case'!G11*$C188*'Business Case'!G13*$D188-'Business Case'!G14*$E188)-MAX(0,(('Business Case'!G11*$C188*'Business Case'!G12*$B188)-'Business Case'!G11*$C188*'Business Case'!G13*$D188-'Business Case'!G14*$E188))*'Business Case'!$B$7-'Business Case'!$B$8*(('Business Case'!G11*$C188*'Business Case'!G12*$B188)-('Business Case'!F11*$C188*'Business Case'!F12*$B188))-'Business Case'!G15*$F188+'Business Case'!$B$8*('Business Case'!G11*$C188*'Business Case'!G12*$B188)</f>
        <v>923308353.052726</v>
      </c>
      <c r="N188" s="39" t="n">
        <f aca="false">IF(COUNT('Business Case'!B11:G11)=0,"",H188+NPV(G188,I188:M188))</f>
        <v>-357827648.168754</v>
      </c>
      <c r="P188" s="40" t="n">
        <f aca="true">RAND()</f>
        <v>0.202806808638023</v>
      </c>
      <c r="Q188" s="40" t="n">
        <f aca="true">RAND()</f>
        <v>0.64377945372979</v>
      </c>
      <c r="R188" s="40" t="n">
        <f aca="true">RAND()</f>
        <v>0.288877589590429</v>
      </c>
      <c r="S188" s="40" t="n">
        <f aca="true">RAND()</f>
        <v>0.372009576032231</v>
      </c>
      <c r="T188" s="40" t="n">
        <f aca="true">RAND()</f>
        <v>0.557615619842746</v>
      </c>
      <c r="U188" s="40" t="n">
        <f aca="true">RAND()</f>
        <v>0.354125274303775</v>
      </c>
    </row>
    <row r="189" customFormat="false" ht="15" hidden="false" customHeight="false" outlineLevel="0" collapsed="false">
      <c r="A189" s="36" t="n">
        <v>109</v>
      </c>
      <c r="B189" s="37" t="n">
        <f aca="false">1+IF($G$6=$E$6,$F$6,IF(P189&lt;($F$6-$E$6)/($G$6-$E$6),$E$6+SQRT(P189*($G$6-$E$6)*($F$6-$E$6)),$G$6-SQRT((1-P189)*($G$6-$E$6)*($G$6-$F$6))))</f>
        <v>0.969683170521454</v>
      </c>
      <c r="C189" s="37" t="n">
        <f aca="false">1+IF($G$7=$E$7,$F$7,IF(Q189&lt;($F$7-$E$7)/($G$7-$E$7),$E$7+SQRT(Q189*($G$7-$E$7)*($F$7-$E$7)),$G$7-SQRT((1-Q189)*($G$7-$E$7)*($G$7-$F$7))))</f>
        <v>0.8414659271691</v>
      </c>
      <c r="D189" s="37" t="n">
        <f aca="false">1+IF($G$8=$E$8,$F$8,IF(R189&lt;($F$8-$E$8)/($G$8-$E$8),$E$8+SQRT(R189*($G$8-$E$8)*($F$8-$E$8)),$G$8-SQRT((1-R189)*($G$8-$E$8)*($G$8-$F$8))))</f>
        <v>0.978383980261575</v>
      </c>
      <c r="E189" s="37" t="n">
        <f aca="false">1+IF($G$9=$E$9,$F$9,IF(S189&lt;($F$9-$E$9)/($G$9-$E$9),$E$9+SQRT(S189*($G$9-$E$9)*($F$9-$E$9)),$G$9-SQRT((1-S189)*($G$9-$E$9)*($G$9-$F$9))))</f>
        <v>1.02337109412094</v>
      </c>
      <c r="F189" s="37" t="n">
        <f aca="false">1+IF($G$10=$E$10,$F$10,IF(T189&lt;($F$10-$E$10)/($G$10-$E$10),$E$10+SQRT(T189*($G$10-$E$10)*($F$10-$E$10)),$G$10-SQRT((1-T189)*($G$10-$E$10)*($G$10-$F$10))))</f>
        <v>1.01483178400272</v>
      </c>
      <c r="G189" s="38" t="n">
        <f aca="false">IF($G$11=$E$11,$F$11,IF(U189&lt;($F$11-$E$11)/($G$11-$E$11),$E$11+SQRT(U189*($G$11-$E$11)*($F$11-$E$11)),$G$11-SQRT((1-U189)*($G$11-$E$11)*($G$11-$F$11))))</f>
        <v>0.107090793058726</v>
      </c>
      <c r="H189" s="39" t="n">
        <f aca="false">(('Business Case'!B11*$C189*'Business Case'!B12*$B189)-'Business Case'!B11*$C189*'Business Case'!B13*$D189-'Business Case'!B14*$E189)-MAX(0,(('Business Case'!B11*$C189*'Business Case'!B12*$B189)-'Business Case'!B11*$C189*'Business Case'!B13*$D189-'Business Case'!B14*$E189))*'Business Case'!$B$7-'Business Case'!$B$8*('Business Case'!B11*$C189*'Business Case'!B12*$B189)-'Business Case'!B15*$F189</f>
        <v>-2029663568.00544</v>
      </c>
      <c r="I189" s="39" t="n">
        <f aca="false">(('Business Case'!C11*$C189*'Business Case'!C12*$B189)-'Business Case'!C11*$C189*'Business Case'!C13*$D189-'Business Case'!C14*$E189)-MAX(0,(('Business Case'!C11*$C189*'Business Case'!C12*$B189)-'Business Case'!C11*$C189*'Business Case'!C13*$D189-'Business Case'!C14*$E189))*'Business Case'!$B$7-'Business Case'!$B$8*(('Business Case'!C11*$C189*'Business Case'!C12*$B189)-('Business Case'!B11*$C189*'Business Case'!B12*$B189))-'Business Case'!C15*$F189</f>
        <v>-42431345.1111295</v>
      </c>
      <c r="J189" s="39" t="n">
        <f aca="false">(('Business Case'!D11*$C189*'Business Case'!D12*$B189)-'Business Case'!D11*$C189*'Business Case'!D13*$D189-'Business Case'!D14*$E189)-MAX(0,(('Business Case'!D11*$C189*'Business Case'!D12*$B189)-'Business Case'!D11*$C189*'Business Case'!D13*$D189-'Business Case'!D14*$E189))*'Business Case'!$B$7-'Business Case'!$B$8*(('Business Case'!D11*$C189*'Business Case'!D12*$B189)-('Business Case'!C11*$C189*'Business Case'!C12*$B189))-'Business Case'!D15*$F189</f>
        <v>204442983.009749</v>
      </c>
      <c r="K189" s="39" t="n">
        <f aca="false">(('Business Case'!E11*$C189*'Business Case'!E12*$B189)-'Business Case'!E11*$C189*'Business Case'!E13*$D189-'Business Case'!E14*$E189)-MAX(0,(('Business Case'!E11*$C189*'Business Case'!E12*$B189)-'Business Case'!E11*$C189*'Business Case'!E13*$D189-'Business Case'!E14*$E189))*'Business Case'!$B$7-'Business Case'!$B$8*(('Business Case'!E11*$C189*'Business Case'!E12*$B189)-('Business Case'!D11*$C189*'Business Case'!D12*$B189))-'Business Case'!E15*$F189</f>
        <v>502058900.330765</v>
      </c>
      <c r="L189" s="39" t="n">
        <f aca="false">(('Business Case'!F11*$C189*'Business Case'!F12*$B189)-'Business Case'!F11*$C189*'Business Case'!F13*$D189-'Business Case'!F14*$E189)-MAX(0,(('Business Case'!F11*$C189*'Business Case'!F12*$B189)-'Business Case'!F11*$C189*'Business Case'!F13*$D189-'Business Case'!F14*$E189))*'Business Case'!$B$7-'Business Case'!$B$8*(('Business Case'!F11*$C189*'Business Case'!F12*$B189)-('Business Case'!E11*$C189*'Business Case'!E12*$B189))-'Business Case'!F15*$F189</f>
        <v>612549759.86955</v>
      </c>
      <c r="M189" s="39" t="n">
        <f aca="false">(('Business Case'!G11*$C189*'Business Case'!G12*$B189)-'Business Case'!G11*$C189*'Business Case'!G13*$D189-'Business Case'!G14*$E189)-MAX(0,(('Business Case'!G11*$C189*'Business Case'!G12*$B189)-'Business Case'!G11*$C189*'Business Case'!G13*$D189-'Business Case'!G14*$E189))*'Business Case'!$B$7-'Business Case'!$B$8*(('Business Case'!G11*$C189*'Business Case'!G12*$B189)-('Business Case'!F11*$C189*'Business Case'!F12*$B189))-'Business Case'!G15*$F189+'Business Case'!$B$8*('Business Case'!G11*$C189*'Business Case'!G12*$B189)</f>
        <v>767646552.444592</v>
      </c>
      <c r="N189" s="39" t="n">
        <f aca="false">IF(COUNT('Business Case'!B11:G11)=0,"",H189+NPV(G189,I189:M189))</f>
        <v>-661842412.116602</v>
      </c>
      <c r="P189" s="40" t="n">
        <f aca="true">RAND()</f>
        <v>0.257126815944152</v>
      </c>
      <c r="Q189" s="40" t="n">
        <f aca="true">RAND()</f>
        <v>0.0245631873713298</v>
      </c>
      <c r="R189" s="40" t="n">
        <f aca="true">RAND()</f>
        <v>0.123946205459917</v>
      </c>
      <c r="S189" s="40" t="n">
        <f aca="true">RAND()</f>
        <v>0.608534052251898</v>
      </c>
      <c r="T189" s="40" t="n">
        <f aca="true">RAND()</f>
        <v>0.314254635687689</v>
      </c>
      <c r="U189" s="40" t="n">
        <f aca="true">RAND()</f>
        <v>0.72225396024561</v>
      </c>
    </row>
    <row r="190" customFormat="false" ht="15" hidden="false" customHeight="false" outlineLevel="0" collapsed="false">
      <c r="A190" s="36" t="n">
        <v>110</v>
      </c>
      <c r="B190" s="37" t="n">
        <f aca="false">1+IF($G$6=$E$6,$F$6,IF(P190&lt;($F$6-$E$6)/($G$6-$E$6),$E$6+SQRT(P190*($G$6-$E$6)*($F$6-$E$6)),$G$6-SQRT((1-P190)*($G$6-$E$6)*($G$6-$F$6))))</f>
        <v>0.955793153397309</v>
      </c>
      <c r="C190" s="37" t="n">
        <f aca="false">1+IF($G$7=$E$7,$F$7,IF(Q190&lt;($F$7-$E$7)/($G$7-$E$7),$E$7+SQRT(Q190*($G$7-$E$7)*($F$7-$E$7)),$G$7-SQRT((1-Q190)*($G$7-$E$7)*($G$7-$F$7))))</f>
        <v>0.983747114144315</v>
      </c>
      <c r="D190" s="37" t="n">
        <f aca="false">1+IF($G$8=$E$8,$F$8,IF(R190&lt;($F$8-$E$8)/($G$8-$E$8),$E$8+SQRT(R190*($G$8-$E$8)*($F$8-$E$8)),$G$8-SQRT((1-R190)*($G$8-$E$8)*($G$8-$F$8))))</f>
        <v>1.00331304076464</v>
      </c>
      <c r="E190" s="37" t="n">
        <f aca="false">1+IF($G$9=$E$9,$F$9,IF(S190&lt;($F$9-$E$9)/($G$9-$E$9),$E$9+SQRT(S190*($G$9-$E$9)*($F$9-$E$9)),$G$9-SQRT((1-S190)*($G$9-$E$9)*($G$9-$F$9))))</f>
        <v>1.00217705089125</v>
      </c>
      <c r="F190" s="37" t="n">
        <f aca="false">1+IF($G$10=$E$10,$F$10,IF(T190&lt;($F$10-$E$10)/($G$10-$E$10),$E$10+SQRT(T190*($G$10-$E$10)*($F$10-$E$10)),$G$10-SQRT((1-T190)*($G$10-$E$10)*($G$10-$F$10))))</f>
        <v>1.05880748192307</v>
      </c>
      <c r="G190" s="38" t="n">
        <f aca="false">IF($G$11=$E$11,$F$11,IF(U190&lt;($F$11-$E$11)/($G$11-$E$11),$E$11+SQRT(U190*($G$11-$E$11)*($F$11-$E$11)),$G$11-SQRT((1-U190)*($G$11-$E$11)*($G$11-$F$11))))</f>
        <v>0.0967132451313978</v>
      </c>
      <c r="H190" s="39" t="n">
        <f aca="false">(('Business Case'!B11*$C190*'Business Case'!B12*$B190)-'Business Case'!B11*$C190*'Business Case'!B13*$D190-'Business Case'!B14*$E190)-MAX(0,(('Business Case'!B11*$C190*'Business Case'!B12*$B190)-'Business Case'!B11*$C190*'Business Case'!B13*$D190-'Business Case'!B14*$E190))*'Business Case'!$B$7-'Business Case'!$B$8*('Business Case'!B11*$C190*'Business Case'!B12*$B190)-'Business Case'!B15*$F190</f>
        <v>-2117614963.84613</v>
      </c>
      <c r="I190" s="39" t="n">
        <f aca="false">(('Business Case'!C11*$C190*'Business Case'!C12*$B190)-'Business Case'!C11*$C190*'Business Case'!C13*$D190-'Business Case'!C14*$E190)-MAX(0,(('Business Case'!C11*$C190*'Business Case'!C12*$B190)-'Business Case'!C11*$C190*'Business Case'!C13*$D190-'Business Case'!C14*$E190))*'Business Case'!$B$7-'Business Case'!$B$8*(('Business Case'!C11*$C190*'Business Case'!C12*$B190)-('Business Case'!B11*$C190*'Business Case'!B12*$B190))-'Business Case'!C15*$F190</f>
        <v>-32261988.0734303</v>
      </c>
      <c r="J190" s="39" t="n">
        <f aca="false">(('Business Case'!D11*$C190*'Business Case'!D12*$B190)-'Business Case'!D11*$C190*'Business Case'!D13*$D190-'Business Case'!D14*$E190)-MAX(0,(('Business Case'!D11*$C190*'Business Case'!D12*$B190)-'Business Case'!D11*$C190*'Business Case'!D13*$D190-'Business Case'!D14*$E190))*'Business Case'!$B$7-'Business Case'!$B$8*(('Business Case'!D11*$C190*'Business Case'!D12*$B190)-('Business Case'!C11*$C190*'Business Case'!C12*$B190))-'Business Case'!D15*$F190</f>
        <v>232609362.612584</v>
      </c>
      <c r="K190" s="39" t="n">
        <f aca="false">(('Business Case'!E11*$C190*'Business Case'!E12*$B190)-'Business Case'!E11*$C190*'Business Case'!E13*$D190-'Business Case'!E14*$E190)-MAX(0,(('Business Case'!E11*$C190*'Business Case'!E12*$B190)-'Business Case'!E11*$C190*'Business Case'!E13*$D190-'Business Case'!E14*$E190))*'Business Case'!$B$7-'Business Case'!$B$8*(('Business Case'!E11*$C190*'Business Case'!E12*$B190)-('Business Case'!D11*$C190*'Business Case'!D12*$B190))-'Business Case'!E15*$F190</f>
        <v>550421087.394751</v>
      </c>
      <c r="L190" s="39" t="n">
        <f aca="false">(('Business Case'!F11*$C190*'Business Case'!F12*$B190)-'Business Case'!F11*$C190*'Business Case'!F13*$D190-'Business Case'!F14*$E190)-MAX(0,(('Business Case'!F11*$C190*'Business Case'!F12*$B190)-'Business Case'!F11*$C190*'Business Case'!F13*$D190-'Business Case'!F14*$E190))*'Business Case'!$B$7-'Business Case'!$B$8*(('Business Case'!F11*$C190*'Business Case'!F12*$B190)-('Business Case'!E11*$C190*'Business Case'!E12*$B190))-'Business Case'!F15*$F190</f>
        <v>671206880.243691</v>
      </c>
      <c r="M190" s="39" t="n">
        <f aca="false">(('Business Case'!G11*$C190*'Business Case'!G12*$B190)-'Business Case'!G11*$C190*'Business Case'!G13*$D190-'Business Case'!G14*$E190)-MAX(0,(('Business Case'!G11*$C190*'Business Case'!G12*$B190)-'Business Case'!G11*$C190*'Business Case'!G13*$D190-'Business Case'!G14*$E190))*'Business Case'!$B$7-'Business Case'!$B$8*(('Business Case'!G11*$C190*'Business Case'!G12*$B190)-('Business Case'!F11*$C190*'Business Case'!F12*$B190))-'Business Case'!G15*$F190+'Business Case'!$B$8*('Business Case'!G11*$C190*'Business Case'!G12*$B190)</f>
        <v>849931264.655165</v>
      </c>
      <c r="N190" s="39" t="n">
        <f aca="false">IF(COUNT('Business Case'!B11:G11)=0,"",H190+NPV(G190,I190:M190))</f>
        <v>-536710438.70638</v>
      </c>
      <c r="P190" s="40" t="n">
        <f aca="true">RAND()</f>
        <v>0.133453107304507</v>
      </c>
      <c r="Q190" s="40" t="n">
        <f aca="true">RAND()</f>
        <v>0.482328599376628</v>
      </c>
      <c r="R190" s="40" t="n">
        <f aca="true">RAND()</f>
        <v>0.43452983492639</v>
      </c>
      <c r="S190" s="40" t="n">
        <f aca="true">RAND()</f>
        <v>0.362044708511106</v>
      </c>
      <c r="T190" s="40" t="n">
        <f aca="true">RAND()</f>
        <v>0.601293456781901</v>
      </c>
      <c r="U190" s="40" t="n">
        <f aca="true">RAND()</f>
        <v>0.150225533980789</v>
      </c>
    </row>
    <row r="191" customFormat="false" ht="15" hidden="false" customHeight="false" outlineLevel="0" collapsed="false">
      <c r="A191" s="36" t="n">
        <v>111</v>
      </c>
      <c r="B191" s="37" t="n">
        <f aca="false">1+IF($G$6=$E$6,$F$6,IF(P191&lt;($F$6-$E$6)/($G$6-$E$6),$E$6+SQRT(P191*($G$6-$E$6)*($F$6-$E$6)),$G$6-SQRT((1-P191)*($G$6-$E$6)*($G$6-$F$6))))</f>
        <v>0.980359564026168</v>
      </c>
      <c r="C191" s="37" t="n">
        <f aca="false">1+IF($G$7=$E$7,$F$7,IF(Q191&lt;($F$7-$E$7)/($G$7-$E$7),$E$7+SQRT(Q191*($G$7-$E$7)*($F$7-$E$7)),$G$7-SQRT((1-Q191)*($G$7-$E$7)*($G$7-$F$7))))</f>
        <v>0.848450599404038</v>
      </c>
      <c r="D191" s="37" t="n">
        <f aca="false">1+IF($G$8=$E$8,$F$8,IF(R191&lt;($F$8-$E$8)/($G$8-$E$8),$E$8+SQRT(R191*($G$8-$E$8)*($F$8-$E$8)),$G$8-SQRT((1-R191)*($G$8-$E$8)*($G$8-$F$8))))</f>
        <v>1.03974302720602</v>
      </c>
      <c r="E191" s="37" t="n">
        <f aca="false">1+IF($G$9=$E$9,$F$9,IF(S191&lt;($F$9-$E$9)/($G$9-$E$9),$E$9+SQRT(S191*($G$9-$E$9)*($F$9-$E$9)),$G$9-SQRT((1-S191)*($G$9-$E$9)*($G$9-$F$9))))</f>
        <v>0.999496946822505</v>
      </c>
      <c r="F191" s="37" t="n">
        <f aca="false">1+IF($G$10=$E$10,$F$10,IF(T191&lt;($F$10-$E$10)/($G$10-$E$10),$E$10+SQRT(T191*($G$10-$E$10)*($F$10-$E$10)),$G$10-SQRT((1-T191)*($G$10-$E$10)*($G$10-$F$10))))</f>
        <v>1.03622520893937</v>
      </c>
      <c r="G191" s="38" t="n">
        <f aca="false">IF($G$11=$E$11,$F$11,IF(U191&lt;($F$11-$E$11)/($G$11-$E$11),$E$11+SQRT(U191*($G$11-$E$11)*($F$11-$E$11)),$G$11-SQRT((1-U191)*($G$11-$E$11)*($G$11-$F$11))))</f>
        <v>0.0998268809464808</v>
      </c>
      <c r="H191" s="39" t="n">
        <f aca="false">(('Business Case'!B11*$C191*'Business Case'!B12*$B191)-'Business Case'!B11*$C191*'Business Case'!B13*$D191-'Business Case'!B14*$E191)-MAX(0,(('Business Case'!B11*$C191*'Business Case'!B12*$B191)-'Business Case'!B11*$C191*'Business Case'!B13*$D191-'Business Case'!B14*$E191))*'Business Case'!$B$7-'Business Case'!$B$8*('Business Case'!B11*$C191*'Business Case'!B12*$B191)-'Business Case'!B15*$F191</f>
        <v>-2072450417.87875</v>
      </c>
      <c r="I191" s="39" t="n">
        <f aca="false">(('Business Case'!C11*$C191*'Business Case'!C12*$B191)-'Business Case'!C11*$C191*'Business Case'!C13*$D191-'Business Case'!C14*$E191)-MAX(0,(('Business Case'!C11*$C191*'Business Case'!C12*$B191)-'Business Case'!C11*$C191*'Business Case'!C13*$D191-'Business Case'!C14*$E191))*'Business Case'!$B$7-'Business Case'!$B$8*(('Business Case'!C11*$C191*'Business Case'!C12*$B191)-('Business Case'!B11*$C191*'Business Case'!B12*$B191))-'Business Case'!C15*$F191</f>
        <v>-59178415.0324211</v>
      </c>
      <c r="J191" s="39" t="n">
        <f aca="false">(('Business Case'!D11*$C191*'Business Case'!D12*$B191)-'Business Case'!D11*$C191*'Business Case'!D13*$D191-'Business Case'!D14*$E191)-MAX(0,(('Business Case'!D11*$C191*'Business Case'!D12*$B191)-'Business Case'!D11*$C191*'Business Case'!D13*$D191-'Business Case'!D14*$E191))*'Business Case'!$B$7-'Business Case'!$B$8*(('Business Case'!D11*$C191*'Business Case'!D12*$B191)-('Business Case'!C11*$C191*'Business Case'!C12*$B191))-'Business Case'!D15*$F191</f>
        <v>170513977.107632</v>
      </c>
      <c r="K191" s="39" t="n">
        <f aca="false">(('Business Case'!E11*$C191*'Business Case'!E12*$B191)-'Business Case'!E11*$C191*'Business Case'!E13*$D191-'Business Case'!E14*$E191)-MAX(0,(('Business Case'!E11*$C191*'Business Case'!E12*$B191)-'Business Case'!E11*$C191*'Business Case'!E13*$D191-'Business Case'!E14*$E191))*'Business Case'!$B$7-'Business Case'!$B$8*(('Business Case'!E11*$C191*'Business Case'!E12*$B191)-('Business Case'!D11*$C191*'Business Case'!D12*$B191))-'Business Case'!E15*$F191</f>
        <v>452017629.694653</v>
      </c>
      <c r="L191" s="39" t="n">
        <f aca="false">(('Business Case'!F11*$C191*'Business Case'!F12*$B191)-'Business Case'!F11*$C191*'Business Case'!F13*$D191-'Business Case'!F14*$E191)-MAX(0,(('Business Case'!F11*$C191*'Business Case'!F12*$B191)-'Business Case'!F11*$C191*'Business Case'!F13*$D191-'Business Case'!F14*$E191))*'Business Case'!$B$7-'Business Case'!$B$8*(('Business Case'!F11*$C191*'Business Case'!F12*$B191)-('Business Case'!E11*$C191*'Business Case'!E12*$B191))-'Business Case'!F15*$F191</f>
        <v>557328307.368255</v>
      </c>
      <c r="M191" s="39" t="n">
        <f aca="false">(('Business Case'!G11*$C191*'Business Case'!G12*$B191)-'Business Case'!G11*$C191*'Business Case'!G13*$D191-'Business Case'!G14*$E191)-MAX(0,(('Business Case'!G11*$C191*'Business Case'!G12*$B191)-'Business Case'!G11*$C191*'Business Case'!G13*$D191-'Business Case'!G14*$E191))*'Business Case'!$B$7-'Business Case'!$B$8*(('Business Case'!G11*$C191*'Business Case'!G12*$B191)-('Business Case'!F11*$C191*'Business Case'!F12*$B191))-'Business Case'!G15*$F191+'Business Case'!$B$8*('Business Case'!G11*$C191*'Business Case'!G12*$B191)</f>
        <v>715434315.649635</v>
      </c>
      <c r="N191" s="39" t="n">
        <f aca="false">IF(COUNT('Business Case'!B11:G11)=0,"",H191+NPV(G191,I191:M191))</f>
        <v>-820043890.840854</v>
      </c>
      <c r="P191" s="40" t="n">
        <f aca="true">RAND()</f>
        <v>0.379508017648862</v>
      </c>
      <c r="Q191" s="40" t="n">
        <f aca="true">RAND()</f>
        <v>0.033535151180151</v>
      </c>
      <c r="R191" s="40" t="n">
        <f aca="true">RAND()</f>
        <v>0.844170782833146</v>
      </c>
      <c r="S191" s="40" t="n">
        <f aca="true">RAND()</f>
        <v>0.326659699299988</v>
      </c>
      <c r="T191" s="40" t="n">
        <f aca="true">RAND()</f>
        <v>0.463556356260961</v>
      </c>
      <c r="U191" s="40" t="n">
        <f aca="true">RAND()</f>
        <v>0.321891963787693</v>
      </c>
    </row>
    <row r="192" customFormat="false" ht="15" hidden="false" customHeight="false" outlineLevel="0" collapsed="false">
      <c r="A192" s="36" t="n">
        <v>112</v>
      </c>
      <c r="B192" s="37" t="n">
        <f aca="false">1+IF($G$6=$E$6,$F$6,IF(P192&lt;($F$6-$E$6)/($G$6-$E$6),$E$6+SQRT(P192*($G$6-$E$6)*($F$6-$E$6)),$G$6-SQRT((1-P192)*($G$6-$E$6)*($G$6-$F$6))))</f>
        <v>0.970560593993101</v>
      </c>
      <c r="C192" s="37" t="n">
        <f aca="false">1+IF($G$7=$E$7,$F$7,IF(Q192&lt;($F$7-$E$7)/($G$7-$E$7),$E$7+SQRT(Q192*($G$7-$E$7)*($F$7-$E$7)),$G$7-SQRT((1-Q192)*($G$7-$E$7)*($G$7-$F$7))))</f>
        <v>0.86545957723994</v>
      </c>
      <c r="D192" s="37" t="n">
        <f aca="false">1+IF($G$8=$E$8,$F$8,IF(R192&lt;($F$8-$E$8)/($G$8-$E$8),$E$8+SQRT(R192*($G$8-$E$8)*($F$8-$E$8)),$G$8-SQRT((1-R192)*($G$8-$E$8)*($G$8-$F$8))))</f>
        <v>1.03649649392714</v>
      </c>
      <c r="E192" s="37" t="n">
        <f aca="false">1+IF($G$9=$E$9,$F$9,IF(S192&lt;($F$9-$E$9)/($G$9-$E$9),$E$9+SQRT(S192*($G$9-$E$9)*($F$9-$E$9)),$G$9-SQRT((1-S192)*($G$9-$E$9)*($G$9-$F$9))))</f>
        <v>1.0153004274428</v>
      </c>
      <c r="F192" s="37" t="n">
        <f aca="false">1+IF($G$10=$E$10,$F$10,IF(T192&lt;($F$10-$E$10)/($G$10-$E$10),$E$10+SQRT(T192*($G$10-$E$10)*($F$10-$E$10)),$G$10-SQRT((1-T192)*($G$10-$E$10)*($G$10-$F$10))))</f>
        <v>1.03502615324934</v>
      </c>
      <c r="G192" s="38" t="n">
        <f aca="false">IF($G$11=$E$11,$F$11,IF(U192&lt;($F$11-$E$11)/($G$11-$E$11),$E$11+SQRT(U192*($G$11-$E$11)*($F$11-$E$11)),$G$11-SQRT((1-U192)*($G$11-$E$11)*($G$11-$F$11))))</f>
        <v>0.0951807057851469</v>
      </c>
      <c r="H192" s="39" t="n">
        <f aca="false">(('Business Case'!B11*$C192*'Business Case'!B12*$B192)-'Business Case'!B11*$C192*'Business Case'!B13*$D192-'Business Case'!B14*$E192)-MAX(0,(('Business Case'!B11*$C192*'Business Case'!B12*$B192)-'Business Case'!B11*$C192*'Business Case'!B13*$D192-'Business Case'!B14*$E192))*'Business Case'!$B$7-'Business Case'!$B$8*('Business Case'!B11*$C192*'Business Case'!B12*$B192)-'Business Case'!B15*$F192</f>
        <v>-2070052306.49869</v>
      </c>
      <c r="I192" s="39" t="n">
        <f aca="false">(('Business Case'!C11*$C192*'Business Case'!C12*$B192)-'Business Case'!C11*$C192*'Business Case'!C13*$D192-'Business Case'!C14*$E192)-MAX(0,(('Business Case'!C11*$C192*'Business Case'!C12*$B192)-'Business Case'!C11*$C192*'Business Case'!C13*$D192-'Business Case'!C14*$E192))*'Business Case'!$B$7-'Business Case'!$B$8*(('Business Case'!C11*$C192*'Business Case'!C12*$B192)-('Business Case'!B11*$C192*'Business Case'!B12*$B192))-'Business Case'!C15*$F192</f>
        <v>-62633758.0252067</v>
      </c>
      <c r="J192" s="39" t="n">
        <f aca="false">(('Business Case'!D11*$C192*'Business Case'!D12*$B192)-'Business Case'!D11*$C192*'Business Case'!D13*$D192-'Business Case'!D14*$E192)-MAX(0,(('Business Case'!D11*$C192*'Business Case'!D12*$B192)-'Business Case'!D11*$C192*'Business Case'!D13*$D192-'Business Case'!D14*$E192))*'Business Case'!$B$7-'Business Case'!$B$8*(('Business Case'!D11*$C192*'Business Case'!D12*$B192)-('Business Case'!C11*$C192*'Business Case'!C12*$B192))-'Business Case'!D15*$F192</f>
        <v>166155433.093946</v>
      </c>
      <c r="K192" s="39" t="n">
        <f aca="false">(('Business Case'!E11*$C192*'Business Case'!E12*$B192)-'Business Case'!E11*$C192*'Business Case'!E13*$D192-'Business Case'!E14*$E192)-MAX(0,(('Business Case'!E11*$C192*'Business Case'!E12*$B192)-'Business Case'!E11*$C192*'Business Case'!E13*$D192-'Business Case'!E14*$E192))*'Business Case'!$B$7-'Business Case'!$B$8*(('Business Case'!E11*$C192*'Business Case'!E12*$B192)-('Business Case'!D11*$C192*'Business Case'!D12*$B192))-'Business Case'!E15*$F192</f>
        <v>446695931.875566</v>
      </c>
      <c r="L192" s="39" t="n">
        <f aca="false">(('Business Case'!F11*$C192*'Business Case'!F12*$B192)-'Business Case'!F11*$C192*'Business Case'!F13*$D192-'Business Case'!F14*$E192)-MAX(0,(('Business Case'!F11*$C192*'Business Case'!F12*$B192)-'Business Case'!F11*$C192*'Business Case'!F13*$D192-'Business Case'!F14*$E192))*'Business Case'!$B$7-'Business Case'!$B$8*(('Business Case'!F11*$C192*'Business Case'!F12*$B192)-('Business Case'!E11*$C192*'Business Case'!E12*$B192))-'Business Case'!F15*$F192</f>
        <v>551988737.606656</v>
      </c>
      <c r="M192" s="39" t="n">
        <f aca="false">(('Business Case'!G11*$C192*'Business Case'!G12*$B192)-'Business Case'!G11*$C192*'Business Case'!G13*$D192-'Business Case'!G14*$E192)-MAX(0,(('Business Case'!G11*$C192*'Business Case'!G12*$B192)-'Business Case'!G11*$C192*'Business Case'!G13*$D192-'Business Case'!G14*$E192))*'Business Case'!$B$7-'Business Case'!$B$8*(('Business Case'!G11*$C192*'Business Case'!G12*$B192)-('Business Case'!F11*$C192*'Business Case'!F12*$B192))-'Business Case'!G15*$F192+'Business Case'!$B$8*('Business Case'!G11*$C192*'Business Case'!G12*$B192)</f>
        <v>711652318.742537</v>
      </c>
      <c r="N192" s="39" t="n">
        <f aca="false">IF(COUNT('Business Case'!B11:G11)=0,"",H192+NPV(G192,I192:M192))</f>
        <v>-813269386.793789</v>
      </c>
      <c r="P192" s="40" t="n">
        <f aca="true">RAND()</f>
        <v>0.266288923430751</v>
      </c>
      <c r="Q192" s="40" t="n">
        <f aca="true">RAND()</f>
        <v>0.0612136607490232</v>
      </c>
      <c r="R192" s="40" t="n">
        <f aca="true">RAND()</f>
        <v>0.818023553785447</v>
      </c>
      <c r="S192" s="40" t="n">
        <f aca="true">RAND()</f>
        <v>0.521732160575177</v>
      </c>
      <c r="T192" s="40" t="n">
        <f aca="true">RAND()</f>
        <v>0.455672597765823</v>
      </c>
      <c r="U192" s="40" t="n">
        <f aca="true">RAND()</f>
        <v>0.0894657081075162</v>
      </c>
    </row>
    <row r="193" customFormat="false" ht="15" hidden="false" customHeight="false" outlineLevel="0" collapsed="false">
      <c r="A193" s="36" t="n">
        <v>113</v>
      </c>
      <c r="B193" s="37" t="n">
        <f aca="false">1+IF($G$6=$E$6,$F$6,IF(P193&lt;($F$6-$E$6)/($G$6-$E$6),$E$6+SQRT(P193*($G$6-$E$6)*($F$6-$E$6)),$G$6-SQRT((1-P193)*($G$6-$E$6)*($G$6-$F$6))))</f>
        <v>1.0043219974795</v>
      </c>
      <c r="C193" s="37" t="n">
        <f aca="false">1+IF($G$7=$E$7,$F$7,IF(Q193&lt;($F$7-$E$7)/($G$7-$E$7),$E$7+SQRT(Q193*($G$7-$E$7)*($F$7-$E$7)),$G$7-SQRT((1-Q193)*($G$7-$E$7)*($G$7-$F$7))))</f>
        <v>0.941874537423399</v>
      </c>
      <c r="D193" s="37" t="n">
        <f aca="false">1+IF($G$8=$E$8,$F$8,IF(R193&lt;($F$8-$E$8)/($G$8-$E$8),$E$8+SQRT(R193*($G$8-$E$8)*($F$8-$E$8)),$G$8-SQRT((1-R193)*($G$8-$E$8)*($G$8-$F$8))))</f>
        <v>1.03924581552757</v>
      </c>
      <c r="E193" s="37" t="n">
        <f aca="false">1+IF($G$9=$E$9,$F$9,IF(S193&lt;($F$9-$E$9)/($G$9-$E$9),$E$9+SQRT(S193*($G$9-$E$9)*($F$9-$E$9)),$G$9-SQRT((1-S193)*($G$9-$E$9)*($G$9-$F$9))))</f>
        <v>0.995163578118239</v>
      </c>
      <c r="F193" s="37" t="n">
        <f aca="false">1+IF($G$10=$E$10,$F$10,IF(T193&lt;($F$10-$E$10)/($G$10-$E$10),$E$10+SQRT(T193*($G$10-$E$10)*($F$10-$E$10)),$G$10-SQRT((1-T193)*($G$10-$E$10)*($G$10-$F$10))))</f>
        <v>0.995060826190872</v>
      </c>
      <c r="G193" s="38" t="n">
        <f aca="false">IF($G$11=$E$11,$F$11,IF(U193&lt;($F$11-$E$11)/($G$11-$E$11),$E$11+SQRT(U193*($G$11-$E$11)*($F$11-$E$11)),$G$11-SQRT((1-U193)*($G$11-$E$11)*($G$11-$F$11))))</f>
        <v>0.102725649764421</v>
      </c>
      <c r="H193" s="39" t="n">
        <f aca="false">(('Business Case'!B11*$C193*'Business Case'!B12*$B193)-'Business Case'!B11*$C193*'Business Case'!B13*$D193-'Business Case'!B14*$E193)-MAX(0,(('Business Case'!B11*$C193*'Business Case'!B12*$B193)-'Business Case'!B11*$C193*'Business Case'!B13*$D193-'Business Case'!B14*$E193))*'Business Case'!$B$7-'Business Case'!$B$8*('Business Case'!B11*$C193*'Business Case'!B12*$B193)-'Business Case'!B15*$F193</f>
        <v>-1990121652.38174</v>
      </c>
      <c r="I193" s="39" t="n">
        <f aca="false">(('Business Case'!C11*$C193*'Business Case'!C12*$B193)-'Business Case'!C11*$C193*'Business Case'!C13*$D193-'Business Case'!C14*$E193)-MAX(0,(('Business Case'!C11*$C193*'Business Case'!C12*$B193)-'Business Case'!C11*$C193*'Business Case'!C13*$D193-'Business Case'!C14*$E193))*'Business Case'!$B$7-'Business Case'!$B$8*(('Business Case'!C11*$C193*'Business Case'!C12*$B193)-('Business Case'!B11*$C193*'Business Case'!B12*$B193))-'Business Case'!C15*$F193</f>
        <v>-16346174.9403952</v>
      </c>
      <c r="J193" s="39" t="n">
        <f aca="false">(('Business Case'!D11*$C193*'Business Case'!D12*$B193)-'Business Case'!D11*$C193*'Business Case'!D13*$D193-'Business Case'!D14*$E193)-MAX(0,(('Business Case'!D11*$C193*'Business Case'!D12*$B193)-'Business Case'!D11*$C193*'Business Case'!D13*$D193-'Business Case'!D14*$E193))*'Business Case'!$B$7-'Business Case'!$B$8*(('Business Case'!D11*$C193*'Business Case'!D12*$B193)-('Business Case'!C11*$C193*'Business Case'!C12*$B193))-'Business Case'!D15*$F193</f>
        <v>257363798.76963</v>
      </c>
      <c r="K193" s="39" t="n">
        <f aca="false">(('Business Case'!E11*$C193*'Business Case'!E12*$B193)-'Business Case'!E11*$C193*'Business Case'!E13*$D193-'Business Case'!E14*$E193)-MAX(0,(('Business Case'!E11*$C193*'Business Case'!E12*$B193)-'Business Case'!E11*$C193*'Business Case'!E13*$D193-'Business Case'!E14*$E193))*'Business Case'!$B$7-'Business Case'!$B$8*(('Business Case'!E11*$C193*'Business Case'!E12*$B193)-('Business Case'!D11*$C193*'Business Case'!D12*$B193))-'Business Case'!E15*$F193</f>
        <v>580826813.7892</v>
      </c>
      <c r="L193" s="39" t="n">
        <f aca="false">(('Business Case'!F11*$C193*'Business Case'!F12*$B193)-'Business Case'!F11*$C193*'Business Case'!F13*$D193-'Business Case'!F14*$E193)-MAX(0,(('Business Case'!F11*$C193*'Business Case'!F12*$B193)-'Business Case'!F11*$C193*'Business Case'!F13*$D193-'Business Case'!F14*$E193))*'Business Case'!$B$7-'Business Case'!$B$8*(('Business Case'!F11*$C193*'Business Case'!F12*$B193)-('Business Case'!E11*$C193*'Business Case'!E12*$B193))-'Business Case'!F15*$F193</f>
        <v>704755341.841155</v>
      </c>
      <c r="M193" s="39" t="n">
        <f aca="false">(('Business Case'!G11*$C193*'Business Case'!G12*$B193)-'Business Case'!G11*$C193*'Business Case'!G13*$D193-'Business Case'!G14*$E193)-MAX(0,(('Business Case'!G11*$C193*'Business Case'!G12*$B193)-'Business Case'!G11*$C193*'Business Case'!G13*$D193-'Business Case'!G14*$E193))*'Business Case'!$B$7-'Business Case'!$B$8*(('Business Case'!G11*$C193*'Business Case'!G12*$B193)-('Business Case'!F11*$C193*'Business Case'!F12*$B193))-'Business Case'!G15*$F193+'Business Case'!$B$8*('Business Case'!G11*$C193*'Business Case'!G12*$B193)</f>
        <v>884560627.658528</v>
      </c>
      <c r="N193" s="39" t="n">
        <f aca="false">IF(COUNT('Business Case'!B11:G11)=0,"",H193+NPV(G193,I193:M193))</f>
        <v>-341038052.197225</v>
      </c>
      <c r="P193" s="40" t="n">
        <f aca="true">RAND()</f>
        <v>0.73480836169738</v>
      </c>
      <c r="Q193" s="40" t="n">
        <f aca="true">RAND()</f>
        <v>0.287548348130049</v>
      </c>
      <c r="R193" s="40" t="n">
        <f aca="true">RAND()</f>
        <v>0.840297735383415</v>
      </c>
      <c r="S193" s="40" t="n">
        <f aca="true">RAND()</f>
        <v>0.27196650512564</v>
      </c>
      <c r="T193" s="40" t="n">
        <f aca="true">RAND()</f>
        <v>0.162438244560319</v>
      </c>
      <c r="U193" s="40" t="n">
        <f aca="true">RAND()</f>
        <v>0.502661373230946</v>
      </c>
    </row>
    <row r="194" customFormat="false" ht="15" hidden="false" customHeight="false" outlineLevel="0" collapsed="false">
      <c r="A194" s="36" t="n">
        <v>114</v>
      </c>
      <c r="B194" s="37" t="n">
        <f aca="false">1+IF($G$6=$E$6,$F$6,IF(P194&lt;($F$6-$E$6)/($G$6-$E$6),$E$6+SQRT(P194*($G$6-$E$6)*($F$6-$E$6)),$G$6-SQRT((1-P194)*($G$6-$E$6)*($G$6-$F$6))))</f>
        <v>0.963712303122058</v>
      </c>
      <c r="C194" s="37" t="n">
        <f aca="false">1+IF($G$7=$E$7,$F$7,IF(Q194&lt;($F$7-$E$7)/($G$7-$E$7),$E$7+SQRT(Q194*($G$7-$E$7)*($F$7-$E$7)),$G$7-SQRT((1-Q194)*($G$7-$E$7)*($G$7-$F$7))))</f>
        <v>1.032196374499</v>
      </c>
      <c r="D194" s="37" t="n">
        <f aca="false">1+IF($G$8=$E$8,$F$8,IF(R194&lt;($F$8-$E$8)/($G$8-$E$8),$E$8+SQRT(R194*($G$8-$E$8)*($F$8-$E$8)),$G$8-SQRT((1-R194)*($G$8-$E$8)*($G$8-$F$8))))</f>
        <v>0.974906821269606</v>
      </c>
      <c r="E194" s="37" t="n">
        <f aca="false">1+IF($G$9=$E$9,$F$9,IF(S194&lt;($F$9-$E$9)/($G$9-$E$9),$E$9+SQRT(S194*($G$9-$E$9)*($F$9-$E$9)),$G$9-SQRT((1-S194)*($G$9-$E$9)*($G$9-$F$9))))</f>
        <v>0.994454663257113</v>
      </c>
      <c r="F194" s="37" t="n">
        <f aca="false">1+IF($G$10=$E$10,$F$10,IF(T194&lt;($F$10-$E$10)/($G$10-$E$10),$E$10+SQRT(T194*($G$10-$E$10)*($F$10-$E$10)),$G$10-SQRT((1-T194)*($G$10-$E$10)*($G$10-$F$10))))</f>
        <v>1.01271041536033</v>
      </c>
      <c r="G194" s="38" t="n">
        <f aca="false">IF($G$11=$E$11,$F$11,IF(U194&lt;($F$11-$E$11)/($G$11-$E$11),$E$11+SQRT(U194*($G$11-$E$11)*($F$11-$E$11)),$G$11-SQRT((1-U194)*($G$11-$E$11)*($G$11-$F$11))))</f>
        <v>0.103483984970948</v>
      </c>
      <c r="H194" s="39" t="n">
        <f aca="false">(('Business Case'!B11*$C194*'Business Case'!B12*$B194)-'Business Case'!B11*$C194*'Business Case'!B13*$D194-'Business Case'!B14*$E194)-MAX(0,(('Business Case'!B11*$C194*'Business Case'!B12*$B194)-'Business Case'!B11*$C194*'Business Case'!B13*$D194-'Business Case'!B14*$E194))*'Business Case'!$B$7-'Business Case'!$B$8*('Business Case'!B11*$C194*'Business Case'!B12*$B194)-'Business Case'!B15*$F194</f>
        <v>-2025420830.72065</v>
      </c>
      <c r="I194" s="39" t="n">
        <f aca="false">(('Business Case'!C11*$C194*'Business Case'!C12*$B194)-'Business Case'!C11*$C194*'Business Case'!C13*$D194-'Business Case'!C14*$E194)-MAX(0,(('Business Case'!C11*$C194*'Business Case'!C12*$B194)-'Business Case'!C11*$C194*'Business Case'!C13*$D194-'Business Case'!C14*$E194))*'Business Case'!$B$7-'Business Case'!$B$8*(('Business Case'!C11*$C194*'Business Case'!C12*$B194)-('Business Case'!B11*$C194*'Business Case'!B12*$B194))-'Business Case'!C15*$F194</f>
        <v>5371446.97858177</v>
      </c>
      <c r="J194" s="39" t="n">
        <f aca="false">(('Business Case'!D11*$C194*'Business Case'!D12*$B194)-'Business Case'!D11*$C194*'Business Case'!D13*$D194-'Business Case'!D14*$E194)-MAX(0,(('Business Case'!D11*$C194*'Business Case'!D12*$B194)-'Business Case'!D11*$C194*'Business Case'!D13*$D194-'Business Case'!D14*$E194))*'Business Case'!$B$7-'Business Case'!$B$8*(('Business Case'!D11*$C194*'Business Case'!D12*$B194)-('Business Case'!C11*$C194*'Business Case'!C12*$B194))-'Business Case'!D15*$F194</f>
        <v>304992728.110922</v>
      </c>
      <c r="K194" s="39" t="n">
        <f aca="false">(('Business Case'!E11*$C194*'Business Case'!E12*$B194)-'Business Case'!E11*$C194*'Business Case'!E13*$D194-'Business Case'!E14*$E194)-MAX(0,(('Business Case'!E11*$C194*'Business Case'!E12*$B194)-'Business Case'!E11*$C194*'Business Case'!E13*$D194-'Business Case'!E14*$E194))*'Business Case'!$B$7-'Business Case'!$B$8*(('Business Case'!E11*$C194*'Business Case'!E12*$B194)-('Business Case'!D11*$C194*'Business Case'!D12*$B194))-'Business Case'!E15*$F194</f>
        <v>655249530.011277</v>
      </c>
      <c r="L194" s="39" t="n">
        <f aca="false">(('Business Case'!F11*$C194*'Business Case'!F12*$B194)-'Business Case'!F11*$C194*'Business Case'!F13*$D194-'Business Case'!F14*$E194)-MAX(0,(('Business Case'!F11*$C194*'Business Case'!F12*$B194)-'Business Case'!F11*$C194*'Business Case'!F13*$D194-'Business Case'!F14*$E194))*'Business Case'!$B$7-'Business Case'!$B$8*(('Business Case'!F11*$C194*'Business Case'!F12*$B194)-('Business Case'!E11*$C194*'Business Case'!E12*$B194))-'Business Case'!F15*$F194</f>
        <v>789501516.723766</v>
      </c>
      <c r="M194" s="39" t="n">
        <f aca="false">(('Business Case'!G11*$C194*'Business Case'!G12*$B194)-'Business Case'!G11*$C194*'Business Case'!G13*$D194-'Business Case'!G14*$E194)-MAX(0,(('Business Case'!G11*$C194*'Business Case'!G12*$B194)-'Business Case'!G11*$C194*'Business Case'!G13*$D194-'Business Case'!G14*$E194))*'Business Case'!$B$7-'Business Case'!$B$8*(('Business Case'!G11*$C194*'Business Case'!G12*$B194)-('Business Case'!F11*$C194*'Business Case'!F12*$B194))-'Business Case'!G15*$F194+'Business Case'!$B$8*('Business Case'!G11*$C194*'Business Case'!G12*$B194)</f>
        <v>978581761.5665</v>
      </c>
      <c r="N194" s="39" t="n">
        <f aca="false">IF(COUNT('Business Case'!B11:G11)=0,"",H194+NPV(G194,I194:M194))</f>
        <v>-151878886.255197</v>
      </c>
      <c r="P194" s="40" t="n">
        <f aca="true">RAND()</f>
        <v>0.199038067107783</v>
      </c>
      <c r="Q194" s="40" t="n">
        <f aca="true">RAND()</f>
        <v>0.735662967977512</v>
      </c>
      <c r="R194" s="40" t="n">
        <f aca="true">RAND()</f>
        <v>0.0954384224240156</v>
      </c>
      <c r="S194" s="40" t="n">
        <f aca="true">RAND()</f>
        <v>0.263495611373776</v>
      </c>
      <c r="T194" s="40" t="n">
        <f aca="true">RAND()</f>
        <v>0.298452229709962</v>
      </c>
      <c r="U194" s="40" t="n">
        <f aca="true">RAND()</f>
        <v>0.545368745933548</v>
      </c>
    </row>
    <row r="195" customFormat="false" ht="15" hidden="false" customHeight="false" outlineLevel="0" collapsed="false">
      <c r="A195" s="36" t="n">
        <v>115</v>
      </c>
      <c r="B195" s="37" t="n">
        <f aca="false">1+IF($G$6=$E$6,$F$6,IF(P195&lt;($F$6-$E$6)/($G$6-$E$6),$E$6+SQRT(P195*($G$6-$E$6)*($F$6-$E$6)),$G$6-SQRT((1-P195)*($G$6-$E$6)*($G$6-$F$6))))</f>
        <v>0.994578213177105</v>
      </c>
      <c r="C195" s="37" t="n">
        <f aca="false">1+IF($G$7=$E$7,$F$7,IF(Q195&lt;($F$7-$E$7)/($G$7-$E$7),$E$7+SQRT(Q195*($G$7-$E$7)*($F$7-$E$7)),$G$7-SQRT((1-Q195)*($G$7-$E$7)*($G$7-$F$7))))</f>
        <v>0.980612297930471</v>
      </c>
      <c r="D195" s="37" t="n">
        <f aca="false">1+IF($G$8=$E$8,$F$8,IF(R195&lt;($F$8-$E$8)/($G$8-$E$8),$E$8+SQRT(R195*($G$8-$E$8)*($F$8-$E$8)),$G$8-SQRT((1-R195)*($G$8-$E$8)*($G$8-$F$8))))</f>
        <v>1.04316329979031</v>
      </c>
      <c r="E195" s="37" t="n">
        <f aca="false">1+IF($G$9=$E$9,$F$9,IF(S195&lt;($F$9-$E$9)/($G$9-$E$9),$E$9+SQRT(S195*($G$9-$E$9)*($F$9-$E$9)),$G$9-SQRT((1-S195)*($G$9-$E$9)*($G$9-$F$9))))</f>
        <v>1.02295103644194</v>
      </c>
      <c r="F195" s="37" t="n">
        <f aca="false">1+IF($G$10=$E$10,$F$10,IF(T195&lt;($F$10-$E$10)/($G$10-$E$10),$E$10+SQRT(T195*($G$10-$E$10)*($F$10-$E$10)),$G$10-SQRT((1-T195)*($G$10-$E$10)*($G$10-$F$10))))</f>
        <v>1.08429156377209</v>
      </c>
      <c r="G195" s="38" t="n">
        <f aca="false">IF($G$11=$E$11,$F$11,IF(U195&lt;($F$11-$E$11)/($G$11-$E$11),$E$11+SQRT(U195*($G$11-$E$11)*($F$11-$E$11)),$G$11-SQRT((1-U195)*($G$11-$E$11)*($G$11-$F$11))))</f>
        <v>0.095316991282723</v>
      </c>
      <c r="H195" s="39" t="n">
        <f aca="false">(('Business Case'!B11*$C195*'Business Case'!B12*$B195)-'Business Case'!B11*$C195*'Business Case'!B13*$D195-'Business Case'!B14*$E195)-MAX(0,(('Business Case'!B11*$C195*'Business Case'!B12*$B195)-'Business Case'!B11*$C195*'Business Case'!B13*$D195-'Business Case'!B14*$E195))*'Business Case'!$B$7-'Business Case'!$B$8*('Business Case'!B11*$C195*'Business Case'!B12*$B195)-'Business Case'!B15*$F195</f>
        <v>-2168583127.54418</v>
      </c>
      <c r="I195" s="39" t="n">
        <f aca="false">(('Business Case'!C11*$C195*'Business Case'!C12*$B195)-'Business Case'!C11*$C195*'Business Case'!C13*$D195-'Business Case'!C14*$E195)-MAX(0,(('Business Case'!C11*$C195*'Business Case'!C12*$B195)-'Business Case'!C11*$C195*'Business Case'!C13*$D195-'Business Case'!C14*$E195))*'Business Case'!$B$7-'Business Case'!$B$8*(('Business Case'!C11*$C195*'Business Case'!C12*$B195)-('Business Case'!B11*$C195*'Business Case'!B12*$B195))-'Business Case'!C15*$F195</f>
        <v>-29277589.4792648</v>
      </c>
      <c r="J195" s="39" t="n">
        <f aca="false">(('Business Case'!D11*$C195*'Business Case'!D12*$B195)-'Business Case'!D11*$C195*'Business Case'!D13*$D195-'Business Case'!D14*$E195)-MAX(0,(('Business Case'!D11*$C195*'Business Case'!D12*$B195)-'Business Case'!D11*$C195*'Business Case'!D13*$D195-'Business Case'!D14*$E195))*'Business Case'!$B$7-'Business Case'!$B$8*(('Business Case'!D11*$C195*'Business Case'!D12*$B195)-('Business Case'!C11*$C195*'Business Case'!C12*$B195))-'Business Case'!D15*$F195</f>
        <v>245896940.109338</v>
      </c>
      <c r="K195" s="39" t="n">
        <f aca="false">(('Business Case'!E11*$C195*'Business Case'!E12*$B195)-'Business Case'!E11*$C195*'Business Case'!E13*$D195-'Business Case'!E14*$E195)-MAX(0,(('Business Case'!E11*$C195*'Business Case'!E12*$B195)-'Business Case'!E11*$C195*'Business Case'!E13*$D195-'Business Case'!E14*$E195))*'Business Case'!$B$7-'Business Case'!$B$8*(('Business Case'!E11*$C195*'Business Case'!E12*$B195)-('Business Case'!D11*$C195*'Business Case'!D12*$B195))-'Business Case'!E15*$F195</f>
        <v>575286047.886545</v>
      </c>
      <c r="L195" s="39" t="n">
        <f aca="false">(('Business Case'!F11*$C195*'Business Case'!F12*$B195)-'Business Case'!F11*$C195*'Business Case'!F13*$D195-'Business Case'!F14*$E195)-MAX(0,(('Business Case'!F11*$C195*'Business Case'!F12*$B195)-'Business Case'!F11*$C195*'Business Case'!F13*$D195-'Business Case'!F14*$E195))*'Business Case'!$B$7-'Business Case'!$B$8*(('Business Case'!F11*$C195*'Business Case'!F12*$B195)-('Business Case'!E11*$C195*'Business Case'!E12*$B195))-'Business Case'!F15*$F195</f>
        <v>700717107.955155</v>
      </c>
      <c r="M195" s="39" t="n">
        <f aca="false">(('Business Case'!G11*$C195*'Business Case'!G12*$B195)-'Business Case'!G11*$C195*'Business Case'!G13*$D195-'Business Case'!G14*$E195)-MAX(0,(('Business Case'!G11*$C195*'Business Case'!G12*$B195)-'Business Case'!G11*$C195*'Business Case'!G13*$D195-'Business Case'!G14*$E195))*'Business Case'!$B$7-'Business Case'!$B$8*(('Business Case'!G11*$C195*'Business Case'!G12*$B195)-('Business Case'!F11*$C195*'Business Case'!F12*$B195))-'Business Case'!G15*$F195+'Business Case'!$B$8*('Business Case'!G11*$C195*'Business Case'!G12*$B195)</f>
        <v>886101300.753407</v>
      </c>
      <c r="N195" s="39" t="n">
        <f aca="false">IF(COUNT('Business Case'!B11:G11)=0,"",H195+NPV(G195,I195:M195))</f>
        <v>-503663478.601359</v>
      </c>
      <c r="P195" s="40" t="n">
        <f aca="true">RAND()</f>
        <v>0.579365612571839</v>
      </c>
      <c r="Q195" s="40" t="n">
        <f aca="true">RAND()</f>
        <v>0.466011459481786</v>
      </c>
      <c r="R195" s="40" t="n">
        <f aca="true">RAND()</f>
        <v>0.86952476131361</v>
      </c>
      <c r="S195" s="40" t="n">
        <f aca="true">RAND()</f>
        <v>0.604230480975273</v>
      </c>
      <c r="T195" s="40" t="n">
        <f aca="true">RAND()</f>
        <v>0.732231155713836</v>
      </c>
      <c r="U195" s="40" t="n">
        <f aca="true">RAND()</f>
        <v>0.0942346543351736</v>
      </c>
    </row>
    <row r="196" customFormat="false" ht="15" hidden="false" customHeight="false" outlineLevel="0" collapsed="false">
      <c r="A196" s="36" t="n">
        <v>116</v>
      </c>
      <c r="B196" s="37" t="n">
        <f aca="false">1+IF($G$6=$E$6,$F$6,IF(P196&lt;($F$6-$E$6)/($G$6-$E$6),$E$6+SQRT(P196*($G$6-$E$6)*($F$6-$E$6)),$G$6-SQRT((1-P196)*($G$6-$E$6)*($G$6-$F$6))))</f>
        <v>0.951097610685332</v>
      </c>
      <c r="C196" s="37" t="n">
        <f aca="false">1+IF($G$7=$E$7,$F$7,IF(Q196&lt;($F$7-$E$7)/($G$7-$E$7),$E$7+SQRT(Q196*($G$7-$E$7)*($F$7-$E$7)),$G$7-SQRT((1-Q196)*($G$7-$E$7)*($G$7-$F$7))))</f>
        <v>1.07975380464646</v>
      </c>
      <c r="D196" s="37" t="n">
        <f aca="false">1+IF($G$8=$E$8,$F$8,IF(R196&lt;($F$8-$E$8)/($G$8-$E$8),$E$8+SQRT(R196*($G$8-$E$8)*($F$8-$E$8)),$G$8-SQRT((1-R196)*($G$8-$E$8)*($G$8-$F$8))))</f>
        <v>1.04122090051983</v>
      </c>
      <c r="E196" s="37" t="n">
        <f aca="false">1+IF($G$9=$E$9,$F$9,IF(S196&lt;($F$9-$E$9)/($G$9-$E$9),$E$9+SQRT(S196*($G$9-$E$9)*($F$9-$E$9)),$G$9-SQRT((1-S196)*($G$9-$E$9)*($G$9-$F$9))))</f>
        <v>1.07136920717199</v>
      </c>
      <c r="F196" s="37" t="n">
        <f aca="false">1+IF($G$10=$E$10,$F$10,IF(T196&lt;($F$10-$E$10)/($G$10-$E$10),$E$10+SQRT(T196*($G$10-$E$10)*($F$10-$E$10)),$G$10-SQRT((1-T196)*($G$10-$E$10)*($G$10-$F$10))))</f>
        <v>1.0501117015642</v>
      </c>
      <c r="G196" s="38" t="n">
        <f aca="false">IF($G$11=$E$11,$F$11,IF(U196&lt;($F$11-$E$11)/($G$11-$E$11),$E$11+SQRT(U196*($G$11-$E$11)*($F$11-$E$11)),$G$11-SQRT((1-U196)*($G$11-$E$11)*($G$11-$F$11))))</f>
        <v>0.101396207806988</v>
      </c>
      <c r="H196" s="39" t="n">
        <f aca="false">(('Business Case'!B11*$C196*'Business Case'!B12*$B196)-'Business Case'!B11*$C196*'Business Case'!B13*$D196-'Business Case'!B14*$E196)-MAX(0,(('Business Case'!B11*$C196*'Business Case'!B12*$B196)-'Business Case'!B11*$C196*'Business Case'!B13*$D196-'Business Case'!B14*$E196))*'Business Case'!$B$7-'Business Case'!$B$8*('Business Case'!B11*$C196*'Business Case'!B12*$B196)-'Business Case'!B15*$F196</f>
        <v>-2100223403.1284</v>
      </c>
      <c r="I196" s="39" t="n">
        <f aca="false">(('Business Case'!C11*$C196*'Business Case'!C12*$B196)-'Business Case'!C11*$C196*'Business Case'!C13*$D196-'Business Case'!C14*$E196)-MAX(0,(('Business Case'!C11*$C196*'Business Case'!C12*$B196)-'Business Case'!C11*$C196*'Business Case'!C13*$D196-'Business Case'!C14*$E196))*'Business Case'!$B$7-'Business Case'!$B$8*(('Business Case'!C11*$C196*'Business Case'!C12*$B196)-('Business Case'!B11*$C196*'Business Case'!B12*$B196))-'Business Case'!C15*$F196</f>
        <v>-44982319.6182969</v>
      </c>
      <c r="J196" s="39" t="n">
        <f aca="false">(('Business Case'!D11*$C196*'Business Case'!D12*$B196)-'Business Case'!D11*$C196*'Business Case'!D13*$D196-'Business Case'!D14*$E196)-MAX(0,(('Business Case'!D11*$C196*'Business Case'!D12*$B196)-'Business Case'!D11*$C196*'Business Case'!D13*$D196-'Business Case'!D14*$E196))*'Business Case'!$B$7-'Business Case'!$B$8*(('Business Case'!D11*$C196*'Business Case'!D12*$B196)-('Business Case'!C11*$C196*'Business Case'!C12*$B196))-'Business Case'!D15*$F196</f>
        <v>220632385.691325</v>
      </c>
      <c r="K196" s="39" t="n">
        <f aca="false">(('Business Case'!E11*$C196*'Business Case'!E12*$B196)-'Business Case'!E11*$C196*'Business Case'!E13*$D196-'Business Case'!E14*$E196)-MAX(0,(('Business Case'!E11*$C196*'Business Case'!E12*$B196)-'Business Case'!E11*$C196*'Business Case'!E13*$D196-'Business Case'!E14*$E196))*'Business Case'!$B$7-'Business Case'!$B$8*(('Business Case'!E11*$C196*'Business Case'!E12*$B196)-('Business Case'!D11*$C196*'Business Case'!D12*$B196))-'Business Case'!E15*$F196</f>
        <v>538752676.079157</v>
      </c>
      <c r="L196" s="39" t="n">
        <f aca="false">(('Business Case'!F11*$C196*'Business Case'!F12*$B196)-'Business Case'!F11*$C196*'Business Case'!F13*$D196-'Business Case'!F14*$E196)-MAX(0,(('Business Case'!F11*$C196*'Business Case'!F12*$B196)-'Business Case'!F11*$C196*'Business Case'!F13*$D196-'Business Case'!F14*$E196))*'Business Case'!$B$7-'Business Case'!$B$8*(('Business Case'!F11*$C196*'Business Case'!F12*$B196)-('Business Case'!E11*$C196*'Business Case'!E12*$B196))-'Business Case'!F15*$F196</f>
        <v>662782346.856791</v>
      </c>
      <c r="M196" s="39" t="n">
        <f aca="false">(('Business Case'!G11*$C196*'Business Case'!G12*$B196)-'Business Case'!G11*$C196*'Business Case'!G13*$D196-'Business Case'!G14*$E196)-MAX(0,(('Business Case'!G11*$C196*'Business Case'!G12*$B196)-'Business Case'!G11*$C196*'Business Case'!G13*$D196-'Business Case'!G14*$E196))*'Business Case'!$B$7-'Business Case'!$B$8*(('Business Case'!G11*$C196*'Business Case'!G12*$B196)-('Business Case'!F11*$C196*'Business Case'!F12*$B196))-'Business Case'!G15*$F196+'Business Case'!$B$8*('Business Case'!G11*$C196*'Business Case'!G12*$B196)</f>
        <v>857985243.066142</v>
      </c>
      <c r="N196" s="39" t="n">
        <f aca="false">IF(COUNT('Business Case'!B11:G11)=0,"",H196+NPV(G196,I196:M196))</f>
        <v>-576178959.181917</v>
      </c>
      <c r="P196" s="40" t="n">
        <f aca="true">RAND()</f>
        <v>0.100735561493383</v>
      </c>
      <c r="Q196" s="40" t="n">
        <f aca="true">RAND()</f>
        <v>0.906008991206719</v>
      </c>
      <c r="R196" s="40" t="n">
        <f aca="true">RAND()</f>
        <v>0.855402061875673</v>
      </c>
      <c r="S196" s="40" t="n">
        <f aca="true">RAND()</f>
        <v>0.945351846802649</v>
      </c>
      <c r="T196" s="40" t="n">
        <f aca="true">RAND()</f>
        <v>0.55066995984041</v>
      </c>
      <c r="U196" s="40" t="n">
        <f aca="true">RAND()</f>
        <v>0.423164860065362</v>
      </c>
    </row>
    <row r="197" customFormat="false" ht="15" hidden="false" customHeight="false" outlineLevel="0" collapsed="false">
      <c r="A197" s="36" t="n">
        <v>117</v>
      </c>
      <c r="B197" s="37" t="n">
        <f aca="false">1+IF($G$6=$E$6,$F$6,IF(P197&lt;($F$6-$E$6)/($G$6-$E$6),$E$6+SQRT(P197*($G$6-$E$6)*($F$6-$E$6)),$G$6-SQRT((1-P197)*($G$6-$E$6)*($G$6-$F$6))))</f>
        <v>1.02060794639342</v>
      </c>
      <c r="C197" s="37" t="n">
        <f aca="false">1+IF($G$7=$E$7,$F$7,IF(Q197&lt;($F$7-$E$7)/($G$7-$E$7),$E$7+SQRT(Q197*($G$7-$E$7)*($F$7-$E$7)),$G$7-SQRT((1-Q197)*($G$7-$E$7)*($G$7-$F$7))))</f>
        <v>0.971153099159693</v>
      </c>
      <c r="D197" s="37" t="n">
        <f aca="false">1+IF($G$8=$E$8,$F$8,IF(R197&lt;($F$8-$E$8)/($G$8-$E$8),$E$8+SQRT(R197*($G$8-$E$8)*($F$8-$E$8)),$G$8-SQRT((1-R197)*($G$8-$E$8)*($G$8-$F$8))))</f>
        <v>1.00251112623888</v>
      </c>
      <c r="E197" s="37" t="n">
        <f aca="false">1+IF($G$9=$E$9,$F$9,IF(S197&lt;($F$9-$E$9)/($G$9-$E$9),$E$9+SQRT(S197*($G$9-$E$9)*($F$9-$E$9)),$G$9-SQRT((1-S197)*($G$9-$E$9)*($G$9-$F$9))))</f>
        <v>1.02711100441055</v>
      </c>
      <c r="F197" s="37" t="n">
        <f aca="false">1+IF($G$10=$E$10,$F$10,IF(T197&lt;($F$10-$E$10)/($G$10-$E$10),$E$10+SQRT(T197*($G$10-$E$10)*($F$10-$E$10)),$G$10-SQRT((1-T197)*($G$10-$E$10)*($G$10-$F$10))))</f>
        <v>1.03315814000106</v>
      </c>
      <c r="G197" s="38" t="n">
        <f aca="false">IF($G$11=$E$11,$F$11,IF(U197&lt;($F$11-$E$11)/($G$11-$E$11),$E$11+SQRT(U197*($G$11-$E$11)*($F$11-$E$11)),$G$11-SQRT((1-U197)*($G$11-$E$11)*($G$11-$F$11))))</f>
        <v>0.10404217746351</v>
      </c>
      <c r="H197" s="39" t="n">
        <f aca="false">(('Business Case'!B11*$C197*'Business Case'!B12*$B197)-'Business Case'!B11*$C197*'Business Case'!B13*$D197-'Business Case'!B14*$E197)-MAX(0,(('Business Case'!B11*$C197*'Business Case'!B12*$B197)-'Business Case'!B11*$C197*'Business Case'!B13*$D197-'Business Case'!B14*$E197))*'Business Case'!$B$7-'Business Case'!$B$8*('Business Case'!B11*$C197*'Business Case'!B12*$B197)-'Business Case'!B15*$F197</f>
        <v>-2066316280.00212</v>
      </c>
      <c r="I197" s="39" t="n">
        <f aca="false">(('Business Case'!C11*$C197*'Business Case'!C12*$B197)-'Business Case'!C11*$C197*'Business Case'!C13*$D197-'Business Case'!C14*$E197)-MAX(0,(('Business Case'!C11*$C197*'Business Case'!C12*$B197)-'Business Case'!C11*$C197*'Business Case'!C13*$D197-'Business Case'!C14*$E197))*'Business Case'!$B$7-'Business Case'!$B$8*(('Business Case'!C11*$C197*'Business Case'!C12*$B197)-('Business Case'!B11*$C197*'Business Case'!B12*$B197))-'Business Case'!C15*$F197</f>
        <v>12682603.4372963</v>
      </c>
      <c r="J197" s="39" t="n">
        <f aca="false">(('Business Case'!D11*$C197*'Business Case'!D12*$B197)-'Business Case'!D11*$C197*'Business Case'!D13*$D197-'Business Case'!D14*$E197)-MAX(0,(('Business Case'!D11*$C197*'Business Case'!D12*$B197)-'Business Case'!D11*$C197*'Business Case'!D13*$D197-'Business Case'!D14*$E197))*'Business Case'!$B$7-'Business Case'!$B$8*(('Business Case'!D11*$C197*'Business Case'!D12*$B197)-('Business Case'!C11*$C197*'Business Case'!C12*$B197))-'Business Case'!D15*$F197</f>
        <v>326118280.699336</v>
      </c>
      <c r="K197" s="39" t="n">
        <f aca="false">(('Business Case'!E11*$C197*'Business Case'!E12*$B197)-'Business Case'!E11*$C197*'Business Case'!E13*$D197-'Business Case'!E14*$E197)-MAX(0,(('Business Case'!E11*$C197*'Business Case'!E12*$B197)-'Business Case'!E11*$C197*'Business Case'!E13*$D197-'Business Case'!E14*$E197))*'Business Case'!$B$7-'Business Case'!$B$8*(('Business Case'!E11*$C197*'Business Case'!E12*$B197)-('Business Case'!D11*$C197*'Business Case'!D12*$B197))-'Business Case'!E15*$F197</f>
        <v>691211864.961428</v>
      </c>
      <c r="L197" s="39" t="n">
        <f aca="false">(('Business Case'!F11*$C197*'Business Case'!F12*$B197)-'Business Case'!F11*$C197*'Business Case'!F13*$D197-'Business Case'!F14*$E197)-MAX(0,(('Business Case'!F11*$C197*'Business Case'!F12*$B197)-'Business Case'!F11*$C197*'Business Case'!F13*$D197-'Business Case'!F14*$E197))*'Business Case'!$B$7-'Business Case'!$B$8*(('Business Case'!F11*$C197*'Business Case'!F12*$B197)-('Business Case'!E11*$C197*'Business Case'!E12*$B197))-'Business Case'!F15*$F197</f>
        <v>829945140.713745</v>
      </c>
      <c r="M197" s="39" t="n">
        <f aca="false">(('Business Case'!G11*$C197*'Business Case'!G12*$B197)-'Business Case'!G11*$C197*'Business Case'!G13*$D197-'Business Case'!G14*$E197)-MAX(0,(('Business Case'!G11*$C197*'Business Case'!G12*$B197)-'Business Case'!G11*$C197*'Business Case'!G13*$D197-'Business Case'!G14*$E197))*'Business Case'!$B$7-'Business Case'!$B$8*(('Business Case'!G11*$C197*'Business Case'!G12*$B197)-('Business Case'!F11*$C197*'Business Case'!F12*$B197))-'Business Case'!G15*$F197+'Business Case'!$B$8*('Business Case'!G11*$C197*'Business Case'!G12*$B197)</f>
        <v>1018346082.37108</v>
      </c>
      <c r="N197" s="39" t="n">
        <f aca="false">IF(COUNT('Business Case'!B11:G11)=0,"",H197+NPV(G197,I197:M197))</f>
        <v>-94215636.992568</v>
      </c>
      <c r="P197" s="40" t="n">
        <f aca="true">RAND()</f>
        <v>0.921655886858258</v>
      </c>
      <c r="Q197" s="40" t="n">
        <f aca="true">RAND()</f>
        <v>0.41847690502811</v>
      </c>
      <c r="R197" s="40" t="n">
        <f aca="true">RAND()</f>
        <v>0.422641773387737</v>
      </c>
      <c r="S197" s="40" t="n">
        <f aca="true">RAND()</f>
        <v>0.645812954797424</v>
      </c>
      <c r="T197" s="40" t="n">
        <f aca="true">RAND()</f>
        <v>0.443275875041895</v>
      </c>
      <c r="U197" s="40" t="n">
        <f aca="true">RAND()</f>
        <v>0.575579833156469</v>
      </c>
    </row>
    <row r="198" customFormat="false" ht="15" hidden="false" customHeight="false" outlineLevel="0" collapsed="false">
      <c r="A198" s="36" t="n">
        <v>118</v>
      </c>
      <c r="B198" s="37" t="n">
        <f aca="false">1+IF($G$6=$E$6,$F$6,IF(P198&lt;($F$6-$E$6)/($G$6-$E$6),$E$6+SQRT(P198*($G$6-$E$6)*($F$6-$E$6)),$G$6-SQRT((1-P198)*($G$6-$E$6)*($G$6-$F$6))))</f>
        <v>1.00124683896791</v>
      </c>
      <c r="C198" s="37" t="n">
        <f aca="false">1+IF($G$7=$E$7,$F$7,IF(Q198&lt;($F$7-$E$7)/($G$7-$E$7),$E$7+SQRT(Q198*($G$7-$E$7)*($F$7-$E$7)),$G$7-SQRT((1-Q198)*($G$7-$E$7)*($G$7-$F$7))))</f>
        <v>0.992357900890797</v>
      </c>
      <c r="D198" s="37" t="n">
        <f aca="false">1+IF($G$8=$E$8,$F$8,IF(R198&lt;($F$8-$E$8)/($G$8-$E$8),$E$8+SQRT(R198*($G$8-$E$8)*($F$8-$E$8)),$G$8-SQRT((1-R198)*($G$8-$E$8)*($G$8-$F$8))))</f>
        <v>0.95832044851966</v>
      </c>
      <c r="E198" s="37" t="n">
        <f aca="false">1+IF($G$9=$E$9,$F$9,IF(S198&lt;($F$9-$E$9)/($G$9-$E$9),$E$9+SQRT(S198*($G$9-$E$9)*($F$9-$E$9)),$G$9-SQRT((1-S198)*($G$9-$E$9)*($G$9-$F$9))))</f>
        <v>1.00093754895125</v>
      </c>
      <c r="F198" s="37" t="n">
        <f aca="false">1+IF($G$10=$E$10,$F$10,IF(T198&lt;($F$10-$E$10)/($G$10-$E$10),$E$10+SQRT(T198*($G$10-$E$10)*($F$10-$E$10)),$G$10-SQRT((1-T198)*($G$10-$E$10)*($G$10-$F$10))))</f>
        <v>1.08968060844297</v>
      </c>
      <c r="G198" s="38" t="n">
        <f aca="false">IF($G$11=$E$11,$F$11,IF(U198&lt;($F$11-$E$11)/($G$11-$E$11),$E$11+SQRT(U198*($G$11-$E$11)*($F$11-$E$11)),$G$11-SQRT((1-U198)*($G$11-$E$11)*($G$11-$F$11))))</f>
        <v>0.0980543785115279</v>
      </c>
      <c r="H198" s="39" t="n">
        <f aca="false">(('Business Case'!B11*$C198*'Business Case'!B12*$B198)-'Business Case'!B11*$C198*'Business Case'!B13*$D198-'Business Case'!B14*$E198)-MAX(0,(('Business Case'!B11*$C198*'Business Case'!B12*$B198)-'Business Case'!B11*$C198*'Business Case'!B13*$D198-'Business Case'!B14*$E198))*'Business Case'!$B$7-'Business Case'!$B$8*('Business Case'!B11*$C198*'Business Case'!B12*$B198)-'Business Case'!B15*$F198</f>
        <v>-2179361216.88595</v>
      </c>
      <c r="I198" s="39" t="n">
        <f aca="false">(('Business Case'!C11*$C198*'Business Case'!C12*$B198)-'Business Case'!C11*$C198*'Business Case'!C13*$D198-'Business Case'!C14*$E198)-MAX(0,(('Business Case'!C11*$C198*'Business Case'!C12*$B198)-'Business Case'!C11*$C198*'Business Case'!C13*$D198-'Business Case'!C14*$E198))*'Business Case'!$B$7-'Business Case'!$B$8*(('Business Case'!C11*$C198*'Business Case'!C12*$B198)-('Business Case'!B11*$C198*'Business Case'!B12*$B198))-'Business Case'!C15*$F198</f>
        <v>24182343.9099051</v>
      </c>
      <c r="J198" s="39" t="n">
        <f aca="false">(('Business Case'!D11*$C198*'Business Case'!D12*$B198)-'Business Case'!D11*$C198*'Business Case'!D13*$D198-'Business Case'!D14*$E198)-MAX(0,(('Business Case'!D11*$C198*'Business Case'!D12*$B198)-'Business Case'!D11*$C198*'Business Case'!D13*$D198-'Business Case'!D14*$E198))*'Business Case'!$B$7-'Business Case'!$B$8*(('Business Case'!D11*$C198*'Business Case'!D12*$B198)-('Business Case'!C11*$C198*'Business Case'!C12*$B198))-'Business Case'!D15*$F198</f>
        <v>351174043.883523</v>
      </c>
      <c r="K198" s="39" t="n">
        <f aca="false">(('Business Case'!E11*$C198*'Business Case'!E12*$B198)-'Business Case'!E11*$C198*'Business Case'!E13*$D198-'Business Case'!E14*$E198)-MAX(0,(('Business Case'!E11*$C198*'Business Case'!E12*$B198)-'Business Case'!E11*$C198*'Business Case'!E13*$D198-'Business Case'!E14*$E198))*'Business Case'!$B$7-'Business Case'!$B$8*(('Business Case'!E11*$C198*'Business Case'!E12*$B198)-('Business Case'!D11*$C198*'Business Case'!D12*$B198))-'Business Case'!E15*$F198</f>
        <v>732649774.27929</v>
      </c>
      <c r="L198" s="39" t="n">
        <f aca="false">(('Business Case'!F11*$C198*'Business Case'!F12*$B198)-'Business Case'!F11*$C198*'Business Case'!F13*$D198-'Business Case'!F14*$E198)-MAX(0,(('Business Case'!F11*$C198*'Business Case'!F12*$B198)-'Business Case'!F11*$C198*'Business Case'!F13*$D198-'Business Case'!F14*$E198))*'Business Case'!$B$7-'Business Case'!$B$8*(('Business Case'!F11*$C198*'Business Case'!F12*$B198)-('Business Case'!E11*$C198*'Business Case'!E12*$B198))-'Business Case'!F15*$F198</f>
        <v>875985658.109528</v>
      </c>
      <c r="M198" s="39" t="n">
        <f aca="false">(('Business Case'!G11*$C198*'Business Case'!G12*$B198)-'Business Case'!G11*$C198*'Business Case'!G13*$D198-'Business Case'!G14*$E198)-MAX(0,(('Business Case'!G11*$C198*'Business Case'!G12*$B198)-'Business Case'!G11*$C198*'Business Case'!G13*$D198-'Business Case'!G14*$E198))*'Business Case'!$B$7-'Business Case'!$B$8*(('Business Case'!G11*$C198*'Business Case'!G12*$B198)-('Business Case'!F11*$C198*'Business Case'!F12*$B198))-'Business Case'!G15*$F198+'Business Case'!$B$8*('Business Case'!G11*$C198*'Business Case'!G12*$B198)</f>
        <v>1064848235.89087</v>
      </c>
      <c r="N198" s="39" t="n">
        <f aca="false">IF(COUNT('Business Case'!B11:G11)=0,"",H198+NPV(G198,I198:M198))</f>
        <v>-43073317.8335373</v>
      </c>
      <c r="P198" s="40" t="n">
        <f aca="true">RAND()</f>
        <v>0.687123439587708</v>
      </c>
      <c r="Q198" s="40" t="n">
        <f aca="true">RAND()</f>
        <v>0.528593743358768</v>
      </c>
      <c r="R198" s="40" t="n">
        <f aca="true">RAND()</f>
        <v>0.0106507482412792</v>
      </c>
      <c r="S198" s="40" t="n">
        <f aca="true">RAND()</f>
        <v>0.345775386147606</v>
      </c>
      <c r="T198" s="40" t="n">
        <f aca="true">RAND()</f>
        <v>0.756592636929745</v>
      </c>
      <c r="U198" s="40" t="n">
        <f aca="true">RAND()</f>
        <v>0.216243377356539</v>
      </c>
    </row>
    <row r="199" customFormat="false" ht="15" hidden="false" customHeight="false" outlineLevel="0" collapsed="false">
      <c r="A199" s="36" t="n">
        <v>119</v>
      </c>
      <c r="B199" s="37" t="n">
        <f aca="false">1+IF($G$6=$E$6,$F$6,IF(P199&lt;($F$6-$E$6)/($G$6-$E$6),$E$6+SQRT(P199*($G$6-$E$6)*($F$6-$E$6)),$G$6-SQRT((1-P199)*($G$6-$E$6)*($G$6-$F$6))))</f>
        <v>0.951971328031323</v>
      </c>
      <c r="C199" s="37" t="n">
        <f aca="false">1+IF($G$7=$E$7,$F$7,IF(Q199&lt;($F$7-$E$7)/($G$7-$E$7),$E$7+SQRT(Q199*($G$7-$E$7)*($F$7-$E$7)),$G$7-SQRT((1-Q199)*($G$7-$E$7)*($G$7-$F$7))))</f>
        <v>1.03546383108332</v>
      </c>
      <c r="D199" s="37" t="n">
        <f aca="false">1+IF($G$8=$E$8,$F$8,IF(R199&lt;($F$8-$E$8)/($G$8-$E$8),$E$8+SQRT(R199*($G$8-$E$8)*($F$8-$E$8)),$G$8-SQRT((1-R199)*($G$8-$E$8)*($G$8-$F$8))))</f>
        <v>0.998357691236948</v>
      </c>
      <c r="E199" s="37" t="n">
        <f aca="false">1+IF($G$9=$E$9,$F$9,IF(S199&lt;($F$9-$E$9)/($G$9-$E$9),$E$9+SQRT(S199*($G$9-$E$9)*($F$9-$E$9)),$G$9-SQRT((1-S199)*($G$9-$E$9)*($G$9-$F$9))))</f>
        <v>0.990032421337771</v>
      </c>
      <c r="F199" s="37" t="n">
        <f aca="false">1+IF($G$10=$E$10,$F$10,IF(T199&lt;($F$10-$E$10)/($G$10-$E$10),$E$10+SQRT(T199*($G$10-$E$10)*($F$10-$E$10)),$G$10-SQRT((1-T199)*($G$10-$E$10)*($G$10-$F$10))))</f>
        <v>1.02245052192869</v>
      </c>
      <c r="G199" s="38" t="n">
        <f aca="false">IF($G$11=$E$11,$F$11,IF(U199&lt;($F$11-$E$11)/($G$11-$E$11),$E$11+SQRT(U199*($G$11-$E$11)*($F$11-$E$11)),$G$11-SQRT((1-U199)*($G$11-$E$11)*($G$11-$F$11))))</f>
        <v>0.0982407226106938</v>
      </c>
      <c r="H199" s="39" t="n">
        <f aca="false">(('Business Case'!B11*$C199*'Business Case'!B12*$B199)-'Business Case'!B11*$C199*'Business Case'!B13*$D199-'Business Case'!B14*$E199)-MAX(0,(('Business Case'!B11*$C199*'Business Case'!B12*$B199)-'Business Case'!B11*$C199*'Business Case'!B13*$D199-'Business Case'!B14*$E199))*'Business Case'!$B$7-'Business Case'!$B$8*('Business Case'!B11*$C199*'Business Case'!B12*$B199)-'Business Case'!B15*$F199</f>
        <v>-2044901043.85737</v>
      </c>
      <c r="I199" s="39" t="n">
        <f aca="false">(('Business Case'!C11*$C199*'Business Case'!C12*$B199)-'Business Case'!C11*$C199*'Business Case'!C13*$D199-'Business Case'!C14*$E199)-MAX(0,(('Business Case'!C11*$C199*'Business Case'!C12*$B199)-'Business Case'!C11*$C199*'Business Case'!C13*$D199-'Business Case'!C14*$E199))*'Business Case'!$B$7-'Business Case'!$B$8*(('Business Case'!C11*$C199*'Business Case'!C12*$B199)-('Business Case'!B11*$C199*'Business Case'!B12*$B199))-'Business Case'!C15*$F199</f>
        <v>-15946720.1494254</v>
      </c>
      <c r="J199" s="39" t="n">
        <f aca="false">(('Business Case'!D11*$C199*'Business Case'!D12*$B199)-'Business Case'!D11*$C199*'Business Case'!D13*$D199-'Business Case'!D14*$E199)-MAX(0,(('Business Case'!D11*$C199*'Business Case'!D12*$B199)-'Business Case'!D11*$C199*'Business Case'!D13*$D199-'Business Case'!D14*$E199))*'Business Case'!$B$7-'Business Case'!$B$8*(('Business Case'!D11*$C199*'Business Case'!D12*$B199)-('Business Case'!C11*$C199*'Business Case'!C12*$B199))-'Business Case'!D15*$F199</f>
        <v>262234562.784753</v>
      </c>
      <c r="K199" s="39" t="n">
        <f aca="false">(('Business Case'!E11*$C199*'Business Case'!E12*$B199)-'Business Case'!E11*$C199*'Business Case'!E13*$D199-'Business Case'!E14*$E199)-MAX(0,(('Business Case'!E11*$C199*'Business Case'!E12*$B199)-'Business Case'!E11*$C199*'Business Case'!E13*$D199-'Business Case'!E14*$E199))*'Business Case'!$B$7-'Business Case'!$B$8*(('Business Case'!E11*$C199*'Business Case'!E12*$B199)-('Business Case'!D11*$C199*'Business Case'!D12*$B199))-'Business Case'!E15*$F199</f>
        <v>591538371.815367</v>
      </c>
      <c r="L199" s="39" t="n">
        <f aca="false">(('Business Case'!F11*$C199*'Business Case'!F12*$B199)-'Business Case'!F11*$C199*'Business Case'!F13*$D199-'Business Case'!F14*$E199)-MAX(0,(('Business Case'!F11*$C199*'Business Case'!F12*$B199)-'Business Case'!F11*$C199*'Business Case'!F13*$D199-'Business Case'!F14*$E199))*'Business Case'!$B$7-'Business Case'!$B$8*(('Business Case'!F11*$C199*'Business Case'!F12*$B199)-('Business Case'!E11*$C199*'Business Case'!E12*$B199))-'Business Case'!F15*$F199</f>
        <v>718332359.844429</v>
      </c>
      <c r="M199" s="39" t="n">
        <f aca="false">(('Business Case'!G11*$C199*'Business Case'!G12*$B199)-'Business Case'!G11*$C199*'Business Case'!G13*$D199-'Business Case'!G14*$E199)-MAX(0,(('Business Case'!G11*$C199*'Business Case'!G12*$B199)-'Business Case'!G11*$C199*'Business Case'!G13*$D199-'Business Case'!G14*$E199))*'Business Case'!$B$7-'Business Case'!$B$8*(('Business Case'!G11*$C199*'Business Case'!G12*$B199)-('Business Case'!F11*$C199*'Business Case'!F12*$B199))-'Business Case'!G15*$F199+'Business Case'!$B$8*('Business Case'!G11*$C199*'Business Case'!G12*$B199)</f>
        <v>905700275.291612</v>
      </c>
      <c r="N199" s="39" t="n">
        <f aca="false">IF(COUNT('Business Case'!B11:G11)=0,"",H199+NPV(G199,I199:M199))</f>
        <v>-334763465.128912</v>
      </c>
      <c r="P199" s="40" t="n">
        <f aca="true">RAND()</f>
        <v>0.106475605842342</v>
      </c>
      <c r="Q199" s="40" t="n">
        <f aca="true">RAND()</f>
        <v>0.750123162093141</v>
      </c>
      <c r="R199" s="40" t="n">
        <f aca="true">RAND()</f>
        <v>0.359764046425839</v>
      </c>
      <c r="S199" s="40" t="n">
        <f aca="true">RAND()</f>
        <v>0.213679301088643</v>
      </c>
      <c r="T199" s="40" t="n">
        <f aca="true">RAND()</f>
        <v>0.369523656732088</v>
      </c>
      <c r="U199" s="40" t="n">
        <f aca="true">RAND()</f>
        <v>0.226365030488</v>
      </c>
    </row>
    <row r="200" customFormat="false" ht="15" hidden="false" customHeight="false" outlineLevel="0" collapsed="false">
      <c r="A200" s="36" t="n">
        <v>120</v>
      </c>
      <c r="B200" s="37" t="n">
        <f aca="false">1+IF($G$6=$E$6,$F$6,IF(P200&lt;($F$6-$E$6)/($G$6-$E$6),$E$6+SQRT(P200*($G$6-$E$6)*($F$6-$E$6)),$G$6-SQRT((1-P200)*($G$6-$E$6)*($G$6-$F$6))))</f>
        <v>1.00510145282732</v>
      </c>
      <c r="C200" s="37" t="n">
        <f aca="false">1+IF($G$7=$E$7,$F$7,IF(Q200&lt;($F$7-$E$7)/($G$7-$E$7),$E$7+SQRT(Q200*($G$7-$E$7)*($F$7-$E$7)),$G$7-SQRT((1-Q200)*($G$7-$E$7)*($G$7-$F$7))))</f>
        <v>1.00595173760569</v>
      </c>
      <c r="D200" s="37" t="n">
        <f aca="false">1+IF($G$8=$E$8,$F$8,IF(R200&lt;($F$8-$E$8)/($G$8-$E$8),$E$8+SQRT(R200*($G$8-$E$8)*($F$8-$E$8)),$G$8-SQRT((1-R200)*($G$8-$E$8)*($G$8-$F$8))))</f>
        <v>1.03705591472397</v>
      </c>
      <c r="E200" s="37" t="n">
        <f aca="false">1+IF($G$9=$E$9,$F$9,IF(S200&lt;($F$9-$E$9)/($G$9-$E$9),$E$9+SQRT(S200*($G$9-$E$9)*($F$9-$E$9)),$G$9-SQRT((1-S200)*($G$9-$E$9)*($G$9-$F$9))))</f>
        <v>1.00044706497806</v>
      </c>
      <c r="F200" s="37" t="n">
        <f aca="false">1+IF($G$10=$E$10,$F$10,IF(T200&lt;($F$10-$E$10)/($G$10-$E$10),$E$10+SQRT(T200*($G$10-$E$10)*($F$10-$E$10)),$G$10-SQRT((1-T200)*($G$10-$E$10)*($G$10-$F$10))))</f>
        <v>1.00023727563944</v>
      </c>
      <c r="G200" s="38" t="n">
        <f aca="false">IF($G$11=$E$11,$F$11,IF(U200&lt;($F$11-$E$11)/($G$11-$E$11),$E$11+SQRT(U200*($G$11-$E$11)*($F$11-$E$11)),$G$11-SQRT((1-U200)*($G$11-$E$11)*($G$11-$F$11))))</f>
        <v>0.0982228080312866</v>
      </c>
      <c r="H200" s="39" t="n">
        <f aca="false">(('Business Case'!B11*$C200*'Business Case'!B12*$B200)-'Business Case'!B11*$C200*'Business Case'!B13*$D200-'Business Case'!B14*$E200)-MAX(0,(('Business Case'!B11*$C200*'Business Case'!B12*$B200)-'Business Case'!B11*$C200*'Business Case'!B13*$D200-'Business Case'!B14*$E200))*'Business Case'!$B$7-'Business Case'!$B$8*('Business Case'!B11*$C200*'Business Case'!B12*$B200)-'Business Case'!B15*$F200</f>
        <v>-2000474551.27888</v>
      </c>
      <c r="I200" s="39" t="n">
        <f aca="false">(('Business Case'!C11*$C200*'Business Case'!C12*$B200)-'Business Case'!C11*$C200*'Business Case'!C13*$D200-'Business Case'!C14*$E200)-MAX(0,(('Business Case'!C11*$C200*'Business Case'!C12*$B200)-'Business Case'!C11*$C200*'Business Case'!C13*$D200-'Business Case'!C14*$E200))*'Business Case'!$B$7-'Business Case'!$B$8*(('Business Case'!C11*$C200*'Business Case'!C12*$B200)-('Business Case'!B11*$C200*'Business Case'!B12*$B200))-'Business Case'!C15*$F200</f>
        <v>-601023.555689439</v>
      </c>
      <c r="J200" s="39" t="n">
        <f aca="false">(('Business Case'!D11*$C200*'Business Case'!D12*$B200)-'Business Case'!D11*$C200*'Business Case'!D13*$D200-'Business Case'!D14*$E200)-MAX(0,(('Business Case'!D11*$C200*'Business Case'!D12*$B200)-'Business Case'!D11*$C200*'Business Case'!D13*$D200-'Business Case'!D14*$E200))*'Business Case'!$B$7-'Business Case'!$B$8*(('Business Case'!D11*$C200*'Business Case'!D12*$B200)-('Business Case'!C11*$C200*'Business Case'!C12*$B200))-'Business Case'!D15*$F200</f>
        <v>293499824.47694</v>
      </c>
      <c r="K200" s="39" t="n">
        <f aca="false">(('Business Case'!E11*$C200*'Business Case'!E12*$B200)-'Business Case'!E11*$C200*'Business Case'!E13*$D200-'Business Case'!E14*$E200)-MAX(0,(('Business Case'!E11*$C200*'Business Case'!E12*$B200)-'Business Case'!E11*$C200*'Business Case'!E13*$D200-'Business Case'!E14*$E200))*'Business Case'!$B$7-'Business Case'!$B$8*(('Business Case'!E11*$C200*'Business Case'!E12*$B200)-('Business Case'!D11*$C200*'Business Case'!D12*$B200))-'Business Case'!E15*$F200</f>
        <v>637612536.291541</v>
      </c>
      <c r="L200" s="39" t="n">
        <f aca="false">(('Business Case'!F11*$C200*'Business Case'!F12*$B200)-'Business Case'!F11*$C200*'Business Case'!F13*$D200-'Business Case'!F14*$E200)-MAX(0,(('Business Case'!F11*$C200*'Business Case'!F12*$B200)-'Business Case'!F11*$C200*'Business Case'!F13*$D200-'Business Case'!F14*$E200))*'Business Case'!$B$7-'Business Case'!$B$8*(('Business Case'!F11*$C200*'Business Case'!F12*$B200)-('Business Case'!E11*$C200*'Business Case'!E12*$B200))-'Business Case'!F15*$F200</f>
        <v>770589199.892081</v>
      </c>
      <c r="M200" s="39" t="n">
        <f aca="false">(('Business Case'!G11*$C200*'Business Case'!G12*$B200)-'Business Case'!G11*$C200*'Business Case'!G13*$D200-'Business Case'!G14*$E200)-MAX(0,(('Business Case'!G11*$C200*'Business Case'!G12*$B200)-'Business Case'!G11*$C200*'Business Case'!G13*$D200-'Business Case'!G14*$E200))*'Business Case'!$B$7-'Business Case'!$B$8*(('Business Case'!G11*$C200*'Business Case'!G12*$B200)-('Business Case'!F11*$C200*'Business Case'!F12*$B200))-'Business Case'!G15*$F200+'Business Case'!$B$8*('Business Case'!G11*$C200*'Business Case'!G12*$B200)</f>
        <v>962775961.63523</v>
      </c>
      <c r="N200" s="39" t="n">
        <f aca="false">IF(COUNT('Business Case'!B11:G11)=0,"",H200+NPV(G200,I200:M200))</f>
        <v>-143898405.278439</v>
      </c>
      <c r="P200" s="40" t="n">
        <f aca="true">RAND()</f>
        <v>0.746269042757594</v>
      </c>
      <c r="Q200" s="40" t="n">
        <f aca="true">RAND()</f>
        <v>0.604763773355819</v>
      </c>
      <c r="R200" s="40" t="n">
        <f aca="true">RAND()</f>
        <v>0.822673609596618</v>
      </c>
      <c r="S200" s="40" t="n">
        <f aca="true">RAND()</f>
        <v>0.339280875234437</v>
      </c>
      <c r="T200" s="40" t="n">
        <f aca="true">RAND()</f>
        <v>0.201897079120935</v>
      </c>
      <c r="U200" s="40" t="n">
        <f aca="true">RAND()</f>
        <v>0.225381906397971</v>
      </c>
    </row>
    <row r="201" customFormat="false" ht="15" hidden="false" customHeight="false" outlineLevel="0" collapsed="false">
      <c r="A201" s="36" t="n">
        <v>121</v>
      </c>
      <c r="B201" s="37" t="n">
        <f aca="false">1+IF($G$6=$E$6,$F$6,IF(P201&lt;($F$6-$E$6)/($G$6-$E$6),$E$6+SQRT(P201*($G$6-$E$6)*($F$6-$E$6)),$G$6-SQRT((1-P201)*($G$6-$E$6)*($G$6-$F$6))))</f>
        <v>0.976693497103569</v>
      </c>
      <c r="C201" s="37" t="n">
        <f aca="false">1+IF($G$7=$E$7,$F$7,IF(Q201&lt;($F$7-$E$7)/($G$7-$E$7),$E$7+SQRT(Q201*($G$7-$E$7)*($F$7-$E$7)),$G$7-SQRT((1-Q201)*($G$7-$E$7)*($G$7-$F$7))))</f>
        <v>1.03455283105185</v>
      </c>
      <c r="D201" s="37" t="n">
        <f aca="false">1+IF($G$8=$E$8,$F$8,IF(R201&lt;($F$8-$E$8)/($G$8-$E$8),$E$8+SQRT(R201*($G$8-$E$8)*($F$8-$E$8)),$G$8-SQRT((1-R201)*($G$8-$E$8)*($G$8-$F$8))))</f>
        <v>1.00296067703344</v>
      </c>
      <c r="E201" s="37" t="n">
        <f aca="false">1+IF($G$9=$E$9,$F$9,IF(S201&lt;($F$9-$E$9)/($G$9-$E$9),$E$9+SQRT(S201*($G$9-$E$9)*($F$9-$E$9)),$G$9-SQRT((1-S201)*($G$9-$E$9)*($G$9-$F$9))))</f>
        <v>0.994980052648288</v>
      </c>
      <c r="F201" s="37" t="n">
        <f aca="false">1+IF($G$10=$E$10,$F$10,IF(T201&lt;($F$10-$E$10)/($G$10-$E$10),$E$10+SQRT(T201*($G$10-$E$10)*($F$10-$E$10)),$G$10-SQRT((1-T201)*($G$10-$E$10)*($G$10-$F$10))))</f>
        <v>1.11511816207385</v>
      </c>
      <c r="G201" s="38" t="n">
        <f aca="false">IF($G$11=$E$11,$F$11,IF(U201&lt;($F$11-$E$11)/($G$11-$E$11),$E$11+SQRT(U201*($G$11-$E$11)*($F$11-$E$11)),$G$11-SQRT((1-U201)*($G$11-$E$11)*($G$11-$F$11))))</f>
        <v>0.104272720342223</v>
      </c>
      <c r="H201" s="39" t="n">
        <f aca="false">(('Business Case'!B11*$C201*'Business Case'!B12*$B201)-'Business Case'!B11*$C201*'Business Case'!B13*$D201-'Business Case'!B14*$E201)-MAX(0,(('Business Case'!B11*$C201*'Business Case'!B12*$B201)-'Business Case'!B11*$C201*'Business Case'!B13*$D201-'Business Case'!B14*$E201))*'Business Case'!$B$7-'Business Case'!$B$8*('Business Case'!B11*$C201*'Business Case'!B12*$B201)-'Business Case'!B15*$F201</f>
        <v>-2230236324.14769</v>
      </c>
      <c r="I201" s="39" t="n">
        <f aca="false">(('Business Case'!C11*$C201*'Business Case'!C12*$B201)-'Business Case'!C11*$C201*'Business Case'!C13*$D201-'Business Case'!C14*$E201)-MAX(0,(('Business Case'!C11*$C201*'Business Case'!C12*$B201)-'Business Case'!C11*$C201*'Business Case'!C13*$D201-'Business Case'!C14*$E201))*'Business Case'!$B$7-'Business Case'!$B$8*(('Business Case'!C11*$C201*'Business Case'!C12*$B201)-('Business Case'!B11*$C201*'Business Case'!B12*$B201))-'Business Case'!C15*$F201</f>
        <v>-8931577.47944233</v>
      </c>
      <c r="J201" s="39" t="n">
        <f aca="false">(('Business Case'!D11*$C201*'Business Case'!D12*$B201)-'Business Case'!D11*$C201*'Business Case'!D13*$D201-'Business Case'!D14*$E201)-MAX(0,(('Business Case'!D11*$C201*'Business Case'!D12*$B201)-'Business Case'!D11*$C201*'Business Case'!D13*$D201-'Business Case'!D14*$E201))*'Business Case'!$B$7-'Business Case'!$B$8*(('Business Case'!D11*$C201*'Business Case'!D12*$B201)-('Business Case'!C11*$C201*'Business Case'!C12*$B201))-'Business Case'!D15*$F201</f>
        <v>287516087.341405</v>
      </c>
      <c r="K201" s="39" t="n">
        <f aca="false">(('Business Case'!E11*$C201*'Business Case'!E12*$B201)-'Business Case'!E11*$C201*'Business Case'!E13*$D201-'Business Case'!E14*$E201)-MAX(0,(('Business Case'!E11*$C201*'Business Case'!E12*$B201)-'Business Case'!E11*$C201*'Business Case'!E13*$D201-'Business Case'!E14*$E201))*'Business Case'!$B$7-'Business Case'!$B$8*(('Business Case'!E11*$C201*'Business Case'!E12*$B201)-('Business Case'!D11*$C201*'Business Case'!D12*$B201))-'Business Case'!E15*$F201</f>
        <v>639719660.265944</v>
      </c>
      <c r="L201" s="39" t="n">
        <f aca="false">(('Business Case'!F11*$C201*'Business Case'!F12*$B201)-'Business Case'!F11*$C201*'Business Case'!F13*$D201-'Business Case'!F14*$E201)-MAX(0,(('Business Case'!F11*$C201*'Business Case'!F12*$B201)-'Business Case'!F11*$C201*'Business Case'!F13*$D201-'Business Case'!F14*$E201))*'Business Case'!$B$7-'Business Case'!$B$8*(('Business Case'!F11*$C201*'Business Case'!F12*$B201)-('Business Case'!E11*$C201*'Business Case'!E12*$B201))-'Business Case'!F15*$F201</f>
        <v>773456390.277106</v>
      </c>
      <c r="M201" s="39" t="n">
        <f aca="false">(('Business Case'!G11*$C201*'Business Case'!G12*$B201)-'Business Case'!G11*$C201*'Business Case'!G13*$D201-'Business Case'!G14*$E201)-MAX(0,(('Business Case'!G11*$C201*'Business Case'!G12*$B201)-'Business Case'!G11*$C201*'Business Case'!G13*$D201-'Business Case'!G14*$E201))*'Business Case'!$B$7-'Business Case'!$B$8*(('Business Case'!G11*$C201*'Business Case'!G12*$B201)-('Business Case'!F11*$C201*'Business Case'!F12*$B201))-'Business Case'!G15*$F201+'Business Case'!$B$8*('Business Case'!G11*$C201*'Business Case'!G12*$B201)</f>
        <v>965521019.833607</v>
      </c>
      <c r="N201" s="39" t="n">
        <f aca="false">IF(COUNT('Business Case'!B11:G11)=0,"",H201+NPV(G201,I201:M201))</f>
        <v>-419313956.063981</v>
      </c>
      <c r="P201" s="40" t="n">
        <f aca="true">RAND()</f>
        <v>0.334807563940868</v>
      </c>
      <c r="Q201" s="40" t="n">
        <f aca="true">RAND()</f>
        <v>0.746132403463937</v>
      </c>
      <c r="R201" s="40" t="n">
        <f aca="true">RAND()</f>
        <v>0.429321415082049</v>
      </c>
      <c r="S201" s="40" t="n">
        <f aca="true">RAND()</f>
        <v>0.269760684832367</v>
      </c>
      <c r="T201" s="40" t="n">
        <f aca="true">RAND()</f>
        <v>0.855901471805567</v>
      </c>
      <c r="U201" s="40" t="n">
        <f aca="true">RAND()</f>
        <v>0.5877544576101</v>
      </c>
    </row>
    <row r="202" customFormat="false" ht="15" hidden="false" customHeight="false" outlineLevel="0" collapsed="false">
      <c r="A202" s="36" t="n">
        <v>122</v>
      </c>
      <c r="B202" s="37" t="n">
        <f aca="false">1+IF($G$6=$E$6,$F$6,IF(P202&lt;($F$6-$E$6)/($G$6-$E$6),$E$6+SQRT(P202*($G$6-$E$6)*($F$6-$E$6)),$G$6-SQRT((1-P202)*($G$6-$E$6)*($G$6-$F$6))))</f>
        <v>0.949538615321156</v>
      </c>
      <c r="C202" s="37" t="n">
        <f aca="false">1+IF($G$7=$E$7,$F$7,IF(Q202&lt;($F$7-$E$7)/($G$7-$E$7),$E$7+SQRT(Q202*($G$7-$E$7)*($F$7-$E$7)),$G$7-SQRT((1-Q202)*($G$7-$E$7)*($G$7-$F$7))))</f>
        <v>0.942544529477867</v>
      </c>
      <c r="D202" s="37" t="n">
        <f aca="false">1+IF($G$8=$E$8,$F$8,IF(R202&lt;($F$8-$E$8)/($G$8-$E$8),$E$8+SQRT(R202*($G$8-$E$8)*($F$8-$E$8)),$G$8-SQRT((1-R202)*($G$8-$E$8)*($G$8-$F$8))))</f>
        <v>0.999378015548773</v>
      </c>
      <c r="E202" s="37" t="n">
        <f aca="false">1+IF($G$9=$E$9,$F$9,IF(S202&lt;($F$9-$E$9)/($G$9-$E$9),$E$9+SQRT(S202*($G$9-$E$9)*($F$9-$E$9)),$G$9-SQRT((1-S202)*($G$9-$E$9)*($G$9-$F$9))))</f>
        <v>1.01742383794027</v>
      </c>
      <c r="F202" s="37" t="n">
        <f aca="false">1+IF($G$10=$E$10,$F$10,IF(T202&lt;($F$10-$E$10)/($G$10-$E$10),$E$10+SQRT(T202*($G$10-$E$10)*($F$10-$E$10)),$G$10-SQRT((1-T202)*($G$10-$E$10)*($G$10-$F$10))))</f>
        <v>0.95408841781184</v>
      </c>
      <c r="G202" s="38" t="n">
        <f aca="false">IF($G$11=$E$11,$F$11,IF(U202&lt;($F$11-$E$11)/($G$11-$E$11),$E$11+SQRT(U202*($G$11-$E$11)*($F$11-$E$11)),$G$11-SQRT((1-U202)*($G$11-$E$11)*($G$11-$F$11))))</f>
        <v>0.0973665562591561</v>
      </c>
      <c r="H202" s="39" t="n">
        <f aca="false">(('Business Case'!B11*$C202*'Business Case'!B12*$B202)-'Business Case'!B11*$C202*'Business Case'!B13*$D202-'Business Case'!B14*$E202)-MAX(0,(('Business Case'!B11*$C202*'Business Case'!B12*$B202)-'Business Case'!B11*$C202*'Business Case'!B13*$D202-'Business Case'!B14*$E202))*'Business Case'!$B$7-'Business Case'!$B$8*('Business Case'!B11*$C202*'Business Case'!B12*$B202)-'Business Case'!B15*$F202</f>
        <v>-1908176835.62368</v>
      </c>
      <c r="I202" s="39" t="n">
        <f aca="false">(('Business Case'!C11*$C202*'Business Case'!C12*$B202)-'Business Case'!C11*$C202*'Business Case'!C13*$D202-'Business Case'!C14*$E202)-MAX(0,(('Business Case'!C11*$C202*'Business Case'!C12*$B202)-'Business Case'!C11*$C202*'Business Case'!C13*$D202-'Business Case'!C14*$E202))*'Business Case'!$B$7-'Business Case'!$B$8*(('Business Case'!C11*$C202*'Business Case'!C12*$B202)-('Business Case'!B11*$C202*'Business Case'!B12*$B202))-'Business Case'!C15*$F202</f>
        <v>-35634637.2308314</v>
      </c>
      <c r="J202" s="39" t="n">
        <f aca="false">(('Business Case'!D11*$C202*'Business Case'!D12*$B202)-'Business Case'!D11*$C202*'Business Case'!D13*$D202-'Business Case'!D14*$E202)-MAX(0,(('Business Case'!D11*$C202*'Business Case'!D12*$B202)-'Business Case'!D11*$C202*'Business Case'!D13*$D202-'Business Case'!D14*$E202))*'Business Case'!$B$7-'Business Case'!$B$8*(('Business Case'!D11*$C202*'Business Case'!D12*$B202)-('Business Case'!C11*$C202*'Business Case'!C12*$B202))-'Business Case'!D15*$F202</f>
        <v>215213126.110989</v>
      </c>
      <c r="K202" s="39" t="n">
        <f aca="false">(('Business Case'!E11*$C202*'Business Case'!E12*$B202)-'Business Case'!E11*$C202*'Business Case'!E13*$D202-'Business Case'!E14*$E202)-MAX(0,(('Business Case'!E11*$C202*'Business Case'!E12*$B202)-'Business Case'!E11*$C202*'Business Case'!E13*$D202-'Business Case'!E14*$E202))*'Business Case'!$B$7-'Business Case'!$B$8*(('Business Case'!E11*$C202*'Business Case'!E12*$B202)-('Business Case'!D11*$C202*'Business Case'!D12*$B202))-'Business Case'!E15*$F202</f>
        <v>513765310.343401</v>
      </c>
      <c r="L202" s="39" t="n">
        <f aca="false">(('Business Case'!F11*$C202*'Business Case'!F12*$B202)-'Business Case'!F11*$C202*'Business Case'!F13*$D202-'Business Case'!F14*$E202)-MAX(0,(('Business Case'!F11*$C202*'Business Case'!F12*$B202)-'Business Case'!F11*$C202*'Business Case'!F13*$D202-'Business Case'!F14*$E202))*'Business Case'!$B$7-'Business Case'!$B$8*(('Business Case'!F11*$C202*'Business Case'!F12*$B202)-('Business Case'!E11*$C202*'Business Case'!E12*$B202))-'Business Case'!F15*$F202</f>
        <v>628311824.148249</v>
      </c>
      <c r="M202" s="39" t="n">
        <f aca="false">(('Business Case'!G11*$C202*'Business Case'!G12*$B202)-'Business Case'!G11*$C202*'Business Case'!G13*$D202-'Business Case'!G14*$E202)-MAX(0,(('Business Case'!G11*$C202*'Business Case'!G12*$B202)-'Business Case'!G11*$C202*'Business Case'!G13*$D202-'Business Case'!G14*$E202))*'Business Case'!$B$7-'Business Case'!$B$8*(('Business Case'!G11*$C202*'Business Case'!G12*$B202)-('Business Case'!F11*$C202*'Business Case'!F12*$B202))-'Business Case'!G15*$F202+'Business Case'!$B$8*('Business Case'!G11*$C202*'Business Case'!G12*$B202)</f>
        <v>798430083.94824</v>
      </c>
      <c r="N202" s="39" t="n">
        <f aca="false">IF(COUNT('Business Case'!B11:G11)=0,"",H202+NPV(G202,I202:M202))</f>
        <v>-438128617.952632</v>
      </c>
      <c r="P202" s="40" t="n">
        <f aca="true">RAND()</f>
        <v>0.0908885203220021</v>
      </c>
      <c r="Q202" s="40" t="n">
        <f aca="true">RAND()</f>
        <v>0.29027061262952</v>
      </c>
      <c r="R202" s="40" t="n">
        <f aca="true">RAND()</f>
        <v>0.375105910697667</v>
      </c>
      <c r="S202" s="40" t="n">
        <f aca="true">RAND()</f>
        <v>0.54541183063235</v>
      </c>
      <c r="T202" s="40" t="n">
        <f aca="true">RAND()</f>
        <v>0.00133721281633357</v>
      </c>
      <c r="U202" s="40" t="n">
        <f aca="true">RAND()</f>
        <v>0.180887170397707</v>
      </c>
    </row>
    <row r="203" customFormat="false" ht="15" hidden="false" customHeight="false" outlineLevel="0" collapsed="false">
      <c r="A203" s="36" t="n">
        <v>123</v>
      </c>
      <c r="B203" s="37" t="n">
        <f aca="false">1+IF($G$6=$E$6,$F$6,IF(P203&lt;($F$6-$E$6)/($G$6-$E$6),$E$6+SQRT(P203*($G$6-$E$6)*($F$6-$E$6)),$G$6-SQRT((1-P203)*($G$6-$E$6)*($G$6-$F$6))))</f>
        <v>1.0020174481977</v>
      </c>
      <c r="C203" s="37" t="n">
        <f aca="false">1+IF($G$7=$E$7,$F$7,IF(Q203&lt;($F$7-$E$7)/($G$7-$E$7),$E$7+SQRT(Q203*($G$7-$E$7)*($F$7-$E$7)),$G$7-SQRT((1-Q203)*($G$7-$E$7)*($G$7-$F$7))))</f>
        <v>0.959658671737536</v>
      </c>
      <c r="D203" s="37" t="n">
        <f aca="false">1+IF($G$8=$E$8,$F$8,IF(R203&lt;($F$8-$E$8)/($G$8-$E$8),$E$8+SQRT(R203*($G$8-$E$8)*($F$8-$E$8)),$G$8-SQRT((1-R203)*($G$8-$E$8)*($G$8-$F$8))))</f>
        <v>0.976859540644542</v>
      </c>
      <c r="E203" s="37" t="n">
        <f aca="false">1+IF($G$9=$E$9,$F$9,IF(S203&lt;($F$9-$E$9)/($G$9-$E$9),$E$9+SQRT(S203*($G$9-$E$9)*($F$9-$E$9)),$G$9-SQRT((1-S203)*($G$9-$E$9)*($G$9-$F$9))))</f>
        <v>0.95986683745594</v>
      </c>
      <c r="F203" s="37" t="n">
        <f aca="false">1+IF($G$10=$E$10,$F$10,IF(T203&lt;($F$10-$E$10)/($G$10-$E$10),$E$10+SQRT(T203*($G$10-$E$10)*($F$10-$E$10)),$G$10-SQRT((1-T203)*($G$10-$E$10)*($G$10-$F$10))))</f>
        <v>0.967931880530601</v>
      </c>
      <c r="G203" s="38" t="n">
        <f aca="false">IF($G$11=$E$11,$F$11,IF(U203&lt;($F$11-$E$11)/($G$11-$E$11),$E$11+SQRT(U203*($G$11-$E$11)*($F$11-$E$11)),$G$11-SQRT((1-U203)*($G$11-$E$11)*($G$11-$F$11))))</f>
        <v>0.104546611637652</v>
      </c>
      <c r="H203" s="39" t="n">
        <f aca="false">(('Business Case'!B11*$C203*'Business Case'!B12*$B203)-'Business Case'!B11*$C203*'Business Case'!B13*$D203-'Business Case'!B14*$E203)-MAX(0,(('Business Case'!B11*$C203*'Business Case'!B12*$B203)-'Business Case'!B11*$C203*'Business Case'!B13*$D203-'Business Case'!B14*$E203))*'Business Case'!$B$7-'Business Case'!$B$8*('Business Case'!B11*$C203*'Business Case'!B12*$B203)-'Business Case'!B15*$F203</f>
        <v>-1935863761.0612</v>
      </c>
      <c r="I203" s="39" t="n">
        <f aca="false">(('Business Case'!C11*$C203*'Business Case'!C12*$B203)-'Business Case'!C11*$C203*'Business Case'!C13*$D203-'Business Case'!C14*$E203)-MAX(0,(('Business Case'!C11*$C203*'Business Case'!C12*$B203)-'Business Case'!C11*$C203*'Business Case'!C13*$D203-'Business Case'!C14*$E203))*'Business Case'!$B$7-'Business Case'!$B$8*(('Business Case'!C11*$C203*'Business Case'!C12*$B203)-('Business Case'!B11*$C203*'Business Case'!B12*$B203))-'Business Case'!C15*$F203</f>
        <v>24579708.9158167</v>
      </c>
      <c r="J203" s="39" t="n">
        <f aca="false">(('Business Case'!D11*$C203*'Business Case'!D12*$B203)-'Business Case'!D11*$C203*'Business Case'!D13*$D203-'Business Case'!D14*$E203)-MAX(0,(('Business Case'!D11*$C203*'Business Case'!D12*$B203)-'Business Case'!D11*$C203*'Business Case'!D13*$D203-'Business Case'!D14*$E203))*'Business Case'!$B$7-'Business Case'!$B$8*(('Business Case'!D11*$C203*'Business Case'!D12*$B203)-('Business Case'!C11*$C203*'Business Case'!C12*$B203))-'Business Case'!D15*$F203</f>
        <v>332294741.150138</v>
      </c>
      <c r="K203" s="39" t="n">
        <f aca="false">(('Business Case'!E11*$C203*'Business Case'!E12*$B203)-'Business Case'!E11*$C203*'Business Case'!E13*$D203-'Business Case'!E14*$E203)-MAX(0,(('Business Case'!E11*$C203*'Business Case'!E12*$B203)-'Business Case'!E11*$C203*'Business Case'!E13*$D203-'Business Case'!E14*$E203))*'Business Case'!$B$7-'Business Case'!$B$8*(('Business Case'!E11*$C203*'Business Case'!E12*$B203)-('Business Case'!D11*$C203*'Business Case'!D12*$B203))-'Business Case'!E15*$F203</f>
        <v>688406367.410988</v>
      </c>
      <c r="L203" s="39" t="n">
        <f aca="false">(('Business Case'!F11*$C203*'Business Case'!F12*$B203)-'Business Case'!F11*$C203*'Business Case'!F13*$D203-'Business Case'!F14*$E203)-MAX(0,(('Business Case'!F11*$C203*'Business Case'!F12*$B203)-'Business Case'!F11*$C203*'Business Case'!F13*$D203-'Business Case'!F14*$E203))*'Business Case'!$B$7-'Business Case'!$B$8*(('Business Case'!F11*$C203*'Business Case'!F12*$B203)-('Business Case'!E11*$C203*'Business Case'!E12*$B203))-'Business Case'!F15*$F203</f>
        <v>824210758.808569</v>
      </c>
      <c r="M203" s="39" t="n">
        <f aca="false">(('Business Case'!G11*$C203*'Business Case'!G12*$B203)-'Business Case'!G11*$C203*'Business Case'!G13*$D203-'Business Case'!G14*$E203)-MAX(0,(('Business Case'!G11*$C203*'Business Case'!G12*$B203)-'Business Case'!G11*$C203*'Business Case'!G13*$D203-'Business Case'!G14*$E203))*'Business Case'!$B$7-'Business Case'!$B$8*(('Business Case'!G11*$C203*'Business Case'!G12*$B203)-('Business Case'!F11*$C203*'Business Case'!F12*$B203))-'Business Case'!G15*$F203+'Business Case'!$B$8*('Business Case'!G11*$C203*'Business Case'!G12*$B203)</f>
        <v>1006990685.73234</v>
      </c>
      <c r="N203" s="39" t="n">
        <f aca="false">IF(COUNT('Business Case'!B11:G11)=0,"",H203+NPV(G203,I203:M203))</f>
        <v>35840132.5632072</v>
      </c>
      <c r="P203" s="40" t="n">
        <f aca="true">RAND()</f>
        <v>0.699442866372075</v>
      </c>
      <c r="Q203" s="40" t="n">
        <f aca="true">RAND()</f>
        <v>0.36415559229992</v>
      </c>
      <c r="R203" s="40" t="n">
        <f aca="true">RAND()</f>
        <v>0.110989988251658</v>
      </c>
      <c r="S203" s="40" t="n">
        <f aca="true">RAND()</f>
        <v>0.0129805975175908</v>
      </c>
      <c r="T203" s="40" t="n">
        <f aca="true">RAND()</f>
        <v>0.0257241871490994</v>
      </c>
      <c r="U203" s="40" t="n">
        <f aca="true">RAND()</f>
        <v>0.601987980204069</v>
      </c>
    </row>
    <row r="204" customFormat="false" ht="15" hidden="false" customHeight="false" outlineLevel="0" collapsed="false">
      <c r="A204" s="36" t="n">
        <v>124</v>
      </c>
      <c r="B204" s="37" t="n">
        <f aca="false">1+IF($G$6=$E$6,$F$6,IF(P204&lt;($F$6-$E$6)/($G$6-$E$6),$E$6+SQRT(P204*($G$6-$E$6)*($F$6-$E$6)),$G$6-SQRT((1-P204)*($G$6-$E$6)*($G$6-$F$6))))</f>
        <v>0.993381172882528</v>
      </c>
      <c r="C204" s="37" t="n">
        <f aca="false">1+IF($G$7=$E$7,$F$7,IF(Q204&lt;($F$7-$E$7)/($G$7-$E$7),$E$7+SQRT(Q204*($G$7-$E$7)*($F$7-$E$7)),$G$7-SQRT((1-Q204)*($G$7-$E$7)*($G$7-$F$7))))</f>
        <v>0.930090854886023</v>
      </c>
      <c r="D204" s="37" t="n">
        <f aca="false">1+IF($G$8=$E$8,$F$8,IF(R204&lt;($F$8-$E$8)/($G$8-$E$8),$E$8+SQRT(R204*($G$8-$E$8)*($F$8-$E$8)),$G$8-SQRT((1-R204)*($G$8-$E$8)*($G$8-$F$8))))</f>
        <v>1.0186382459878</v>
      </c>
      <c r="E204" s="37" t="n">
        <f aca="false">1+IF($G$9=$E$9,$F$9,IF(S204&lt;($F$9-$E$9)/($G$9-$E$9),$E$9+SQRT(S204*($G$9-$E$9)*($F$9-$E$9)),$G$9-SQRT((1-S204)*($G$9-$E$9)*($G$9-$F$9))))</f>
        <v>0.996854220729819</v>
      </c>
      <c r="F204" s="37" t="n">
        <f aca="false">1+IF($G$10=$E$10,$F$10,IF(T204&lt;($F$10-$E$10)/($G$10-$E$10),$E$10+SQRT(T204*($G$10-$E$10)*($F$10-$E$10)),$G$10-SQRT((1-T204)*($G$10-$E$10)*($G$10-$F$10))))</f>
        <v>1.01512300204987</v>
      </c>
      <c r="G204" s="38" t="n">
        <f aca="false">IF($G$11=$E$11,$F$11,IF(U204&lt;($F$11-$E$11)/($G$11-$E$11),$E$11+SQRT(U204*($G$11-$E$11)*($F$11-$E$11)),$G$11-SQRT((1-U204)*($G$11-$E$11)*($G$11-$F$11))))</f>
        <v>0.110857955663981</v>
      </c>
      <c r="H204" s="39" t="n">
        <f aca="false">(('Business Case'!B11*$C204*'Business Case'!B12*$B204)-'Business Case'!B11*$C204*'Business Case'!B13*$D204-'Business Case'!B14*$E204)-MAX(0,(('Business Case'!B11*$C204*'Business Case'!B12*$B204)-'Business Case'!B11*$C204*'Business Case'!B13*$D204-'Business Case'!B14*$E204))*'Business Case'!$B$7-'Business Case'!$B$8*('Business Case'!B11*$C204*'Business Case'!B12*$B204)-'Business Case'!B15*$F204</f>
        <v>-2030246004.09974</v>
      </c>
      <c r="I204" s="39" t="n">
        <f aca="false">(('Business Case'!C11*$C204*'Business Case'!C12*$B204)-'Business Case'!C11*$C204*'Business Case'!C13*$D204-'Business Case'!C14*$E204)-MAX(0,(('Business Case'!C11*$C204*'Business Case'!C12*$B204)-'Business Case'!C11*$C204*'Business Case'!C13*$D204-'Business Case'!C14*$E204))*'Business Case'!$B$7-'Business Case'!$B$8*(('Business Case'!C11*$C204*'Business Case'!C12*$B204)-('Business Case'!B11*$C204*'Business Case'!B12*$B204))-'Business Case'!C15*$F204</f>
        <v>-19399046.4734541</v>
      </c>
      <c r="J204" s="39" t="n">
        <f aca="false">(('Business Case'!D11*$C204*'Business Case'!D12*$B204)-'Business Case'!D11*$C204*'Business Case'!D13*$D204-'Business Case'!D14*$E204)-MAX(0,(('Business Case'!D11*$C204*'Business Case'!D12*$B204)-'Business Case'!D11*$C204*'Business Case'!D13*$D204-'Business Case'!D14*$E204))*'Business Case'!$B$7-'Business Case'!$B$8*(('Business Case'!D11*$C204*'Business Case'!D12*$B204)-('Business Case'!C11*$C204*'Business Case'!C12*$B204))-'Business Case'!D15*$F204</f>
        <v>252363654.591097</v>
      </c>
      <c r="K204" s="39" t="n">
        <f aca="false">(('Business Case'!E11*$C204*'Business Case'!E12*$B204)-'Business Case'!E11*$C204*'Business Case'!E13*$D204-'Business Case'!E14*$E204)-MAX(0,(('Business Case'!E11*$C204*'Business Case'!E12*$B204)-'Business Case'!E11*$C204*'Business Case'!E13*$D204-'Business Case'!E14*$E204))*'Business Case'!$B$7-'Business Case'!$B$8*(('Business Case'!E11*$C204*'Business Case'!E12*$B204)-('Business Case'!D11*$C204*'Business Case'!D12*$B204))-'Business Case'!E15*$F204</f>
        <v>574882505.758141</v>
      </c>
      <c r="L204" s="39" t="n">
        <f aca="false">(('Business Case'!F11*$C204*'Business Case'!F12*$B204)-'Business Case'!F11*$C204*'Business Case'!F13*$D204-'Business Case'!F14*$E204)-MAX(0,(('Business Case'!F11*$C204*'Business Case'!F12*$B204)-'Business Case'!F11*$C204*'Business Case'!F13*$D204-'Business Case'!F14*$E204))*'Business Case'!$B$7-'Business Case'!$B$8*(('Business Case'!F11*$C204*'Business Case'!F12*$B204)-('Business Case'!E11*$C204*'Business Case'!E12*$B204))-'Business Case'!F15*$F204</f>
        <v>697401257.543149</v>
      </c>
      <c r="M204" s="39" t="n">
        <f aca="false">(('Business Case'!G11*$C204*'Business Case'!G12*$B204)-'Business Case'!G11*$C204*'Business Case'!G13*$D204-'Business Case'!G14*$E204)-MAX(0,(('Business Case'!G11*$C204*'Business Case'!G12*$B204)-'Business Case'!G11*$C204*'Business Case'!G13*$D204-'Business Case'!G14*$E204))*'Business Case'!$B$7-'Business Case'!$B$8*(('Business Case'!G11*$C204*'Business Case'!G12*$B204)-('Business Case'!F11*$C204*'Business Case'!F12*$B204))-'Business Case'!G15*$F204+'Business Case'!$B$8*('Business Case'!G11*$C204*'Business Case'!G12*$B204)</f>
        <v>873022773.742353</v>
      </c>
      <c r="N204" s="39" t="n">
        <f aca="false">IF(COUNT('Business Case'!B11:G11)=0,"",H204+NPV(G204,I204:M204))</f>
        <v>-449744353.609187</v>
      </c>
      <c r="P204" s="40" t="n">
        <f aca="true">RAND()</f>
        <v>0.560916305584942</v>
      </c>
      <c r="Q204" s="40" t="n">
        <f aca="true">RAND()</f>
        <v>0.241766150356805</v>
      </c>
      <c r="R204" s="40" t="n">
        <f aca="true">RAND()</f>
        <v>0.637955302360217</v>
      </c>
      <c r="S204" s="40" t="n">
        <f aca="true">RAND()</f>
        <v>0.292709066693141</v>
      </c>
      <c r="T204" s="40" t="n">
        <f aca="true">RAND()</f>
        <v>0.316409912578969</v>
      </c>
      <c r="U204" s="40" t="n">
        <f aca="true">RAND()</f>
        <v>0.860705042263768</v>
      </c>
    </row>
    <row r="205" customFormat="false" ht="15" hidden="false" customHeight="false" outlineLevel="0" collapsed="false">
      <c r="A205" s="36" t="n">
        <v>125</v>
      </c>
      <c r="B205" s="37" t="n">
        <f aca="false">1+IF($G$6=$E$6,$F$6,IF(P205&lt;($F$6-$E$6)/($G$6-$E$6),$E$6+SQRT(P205*($G$6-$E$6)*($F$6-$E$6)),$G$6-SQRT((1-P205)*($G$6-$E$6)*($G$6-$F$6))))</f>
        <v>0.953348927597103</v>
      </c>
      <c r="C205" s="37" t="n">
        <f aca="false">1+IF($G$7=$E$7,$F$7,IF(Q205&lt;($F$7-$E$7)/($G$7-$E$7),$E$7+SQRT(Q205*($G$7-$E$7)*($F$7-$E$7)),$G$7-SQRT((1-Q205)*($G$7-$E$7)*($G$7-$F$7))))</f>
        <v>0.995914611597394</v>
      </c>
      <c r="D205" s="37" t="n">
        <f aca="false">1+IF($G$8=$E$8,$F$8,IF(R205&lt;($F$8-$E$8)/($G$8-$E$8),$E$8+SQRT(R205*($G$8-$E$8)*($F$8-$E$8)),$G$8-SQRT((1-R205)*($G$8-$E$8)*($G$8-$F$8))))</f>
        <v>1.02835654319338</v>
      </c>
      <c r="E205" s="37" t="n">
        <f aca="false">1+IF($G$9=$E$9,$F$9,IF(S205&lt;($F$9-$E$9)/($G$9-$E$9),$E$9+SQRT(S205*($G$9-$E$9)*($F$9-$E$9)),$G$9-SQRT((1-S205)*($G$9-$E$9)*($G$9-$F$9))))</f>
        <v>0.997143888916378</v>
      </c>
      <c r="F205" s="37" t="n">
        <f aca="false">1+IF($G$10=$E$10,$F$10,IF(T205&lt;($F$10-$E$10)/($G$10-$E$10),$E$10+SQRT(T205*($G$10-$E$10)*($F$10-$E$10)),$G$10-SQRT((1-T205)*($G$10-$E$10)*($G$10-$F$10))))</f>
        <v>1.01608914856649</v>
      </c>
      <c r="G205" s="38" t="n">
        <f aca="false">IF($G$11=$E$11,$F$11,IF(U205&lt;($F$11-$E$11)/($G$11-$E$11),$E$11+SQRT(U205*($G$11-$E$11)*($F$11-$E$11)),$G$11-SQRT((1-U205)*($G$11-$E$11)*($G$11-$F$11))))</f>
        <v>0.100588678100263</v>
      </c>
      <c r="H205" s="39" t="n">
        <f aca="false">(('Business Case'!B11*$C205*'Business Case'!B12*$B205)-'Business Case'!B11*$C205*'Business Case'!B13*$D205-'Business Case'!B14*$E205)-MAX(0,(('Business Case'!B11*$C205*'Business Case'!B12*$B205)-'Business Case'!B11*$C205*'Business Case'!B13*$D205-'Business Case'!B14*$E205))*'Business Case'!$B$7-'Business Case'!$B$8*('Business Case'!B11*$C205*'Business Case'!B12*$B205)-'Business Case'!B15*$F205</f>
        <v>-2032178297.13297</v>
      </c>
      <c r="I205" s="39" t="n">
        <f aca="false">(('Business Case'!C11*$C205*'Business Case'!C12*$B205)-'Business Case'!C11*$C205*'Business Case'!C13*$D205-'Business Case'!C14*$E205)-MAX(0,(('Business Case'!C11*$C205*'Business Case'!C12*$B205)-'Business Case'!C11*$C205*'Business Case'!C13*$D205-'Business Case'!C14*$E205))*'Business Case'!$B$7-'Business Case'!$B$8*(('Business Case'!C11*$C205*'Business Case'!C12*$B205)-('Business Case'!B11*$C205*'Business Case'!B12*$B205))-'Business Case'!C15*$F205</f>
        <v>-39236772.0485793</v>
      </c>
      <c r="J205" s="39" t="n">
        <f aca="false">(('Business Case'!D11*$C205*'Business Case'!D12*$B205)-'Business Case'!D11*$C205*'Business Case'!D13*$D205-'Business Case'!D14*$E205)-MAX(0,(('Business Case'!D11*$C205*'Business Case'!D12*$B205)-'Business Case'!D11*$C205*'Business Case'!D13*$D205-'Business Case'!D14*$E205))*'Business Case'!$B$7-'Business Case'!$B$8*(('Business Case'!D11*$C205*'Business Case'!D12*$B205)-('Business Case'!C11*$C205*'Business Case'!C12*$B205))-'Business Case'!D15*$F205</f>
        <v>214148933.70421</v>
      </c>
      <c r="K205" s="39" t="n">
        <f aca="false">(('Business Case'!E11*$C205*'Business Case'!E12*$B205)-'Business Case'!E11*$C205*'Business Case'!E13*$D205-'Business Case'!E14*$E205)-MAX(0,(('Business Case'!E11*$C205*'Business Case'!E12*$B205)-'Business Case'!E11*$C205*'Business Case'!E13*$D205-'Business Case'!E14*$E205))*'Business Case'!$B$7-'Business Case'!$B$8*(('Business Case'!E11*$C205*'Business Case'!E12*$B205)-('Business Case'!D11*$C205*'Business Case'!D12*$B205))-'Business Case'!E15*$F205</f>
        <v>518339096.885324</v>
      </c>
      <c r="L205" s="39" t="n">
        <f aca="false">(('Business Case'!F11*$C205*'Business Case'!F12*$B205)-'Business Case'!F11*$C205*'Business Case'!F13*$D205-'Business Case'!F14*$E205)-MAX(0,(('Business Case'!F11*$C205*'Business Case'!F12*$B205)-'Business Case'!F11*$C205*'Business Case'!F13*$D205-'Business Case'!F14*$E205))*'Business Case'!$B$7-'Business Case'!$B$8*(('Business Case'!F11*$C205*'Business Case'!F12*$B205)-('Business Case'!E11*$C205*'Business Case'!E12*$B205))-'Business Case'!F15*$F205</f>
        <v>635614133.430127</v>
      </c>
      <c r="M205" s="39" t="n">
        <f aca="false">(('Business Case'!G11*$C205*'Business Case'!G12*$B205)-'Business Case'!G11*$C205*'Business Case'!G13*$D205-'Business Case'!G14*$E205)-MAX(0,(('Business Case'!G11*$C205*'Business Case'!G12*$B205)-'Business Case'!G11*$C205*'Business Case'!G13*$D205-'Business Case'!G14*$E205))*'Business Case'!$B$7-'Business Case'!$B$8*(('Business Case'!G11*$C205*'Business Case'!G12*$B205)-('Business Case'!F11*$C205*'Business Case'!F12*$B205))-'Business Case'!G15*$F205+'Business Case'!$B$8*('Business Case'!G11*$C205*'Business Case'!G12*$B205)</f>
        <v>816086373.879768</v>
      </c>
      <c r="N205" s="39" t="n">
        <f aca="false">IF(COUNT('Business Case'!B11:G11)=0,"",H205+NPV(G205,I205:M205))</f>
        <v>-563647801.384769</v>
      </c>
      <c r="P205" s="40" t="n">
        <f aca="true">RAND()</f>
        <v>0.115849059570502</v>
      </c>
      <c r="Q205" s="40" t="n">
        <f aca="true">RAND()</f>
        <v>0.548321929105109</v>
      </c>
      <c r="R205" s="40" t="n">
        <f aca="true">RAND()</f>
        <v>0.743553208563691</v>
      </c>
      <c r="S205" s="40" t="n">
        <f aca="true">RAND()</f>
        <v>0.2963395016213</v>
      </c>
      <c r="T205" s="40" t="n">
        <f aca="true">RAND()</f>
        <v>0.323535974499991</v>
      </c>
      <c r="U205" s="40" t="n">
        <f aca="true">RAND()</f>
        <v>0.372000970174668</v>
      </c>
    </row>
    <row r="206" customFormat="false" ht="15" hidden="false" customHeight="false" outlineLevel="0" collapsed="false">
      <c r="A206" s="36" t="n">
        <v>126</v>
      </c>
      <c r="B206" s="37" t="n">
        <f aca="false">1+IF($G$6=$E$6,$F$6,IF(P206&lt;($F$6-$E$6)/($G$6-$E$6),$E$6+SQRT(P206*($G$6-$E$6)*($F$6-$E$6)),$G$6-SQRT((1-P206)*($G$6-$E$6)*($G$6-$F$6))))</f>
        <v>0.99001628342386</v>
      </c>
      <c r="C206" s="37" t="n">
        <f aca="false">1+IF($G$7=$E$7,$F$7,IF(Q206&lt;($F$7-$E$7)/($G$7-$E$7),$E$7+SQRT(Q206*($G$7-$E$7)*($F$7-$E$7)),$G$7-SQRT((1-Q206)*($G$7-$E$7)*($G$7-$F$7))))</f>
        <v>1.03443200376693</v>
      </c>
      <c r="D206" s="37" t="n">
        <f aca="false">1+IF($G$8=$E$8,$F$8,IF(R206&lt;($F$8-$E$8)/($G$8-$E$8),$E$8+SQRT(R206*($G$8-$E$8)*($F$8-$E$8)),$G$8-SQRT((1-R206)*($G$8-$E$8)*($G$8-$F$8))))</f>
        <v>1.01053147604364</v>
      </c>
      <c r="E206" s="37" t="n">
        <f aca="false">1+IF($G$9=$E$9,$F$9,IF(S206&lt;($F$9-$E$9)/($G$9-$E$9),$E$9+SQRT(S206*($G$9-$E$9)*($F$9-$E$9)),$G$9-SQRT((1-S206)*($G$9-$E$9)*($G$9-$F$9))))</f>
        <v>1.00656914038033</v>
      </c>
      <c r="F206" s="37" t="n">
        <f aca="false">1+IF($G$10=$E$10,$F$10,IF(T206&lt;($F$10-$E$10)/($G$10-$E$10),$E$10+SQRT(T206*($G$10-$E$10)*($F$10-$E$10)),$G$10-SQRT((1-T206)*($G$10-$E$10)*($G$10-$F$10))))</f>
        <v>1.02619959454272</v>
      </c>
      <c r="G206" s="38" t="n">
        <f aca="false">IF($G$11=$E$11,$F$11,IF(U206&lt;($F$11-$E$11)/($G$11-$E$11),$E$11+SQRT(U206*($G$11-$E$11)*($F$11-$E$11)),$G$11-SQRT((1-U206)*($G$11-$E$11)*($G$11-$F$11))))</f>
        <v>0.101652800814145</v>
      </c>
      <c r="H206" s="39" t="n">
        <f aca="false">(('Business Case'!B11*$C206*'Business Case'!B12*$B206)-'Business Case'!B11*$C206*'Business Case'!B13*$D206-'Business Case'!B14*$E206)-MAX(0,(('Business Case'!B11*$C206*'Business Case'!B12*$B206)-'Business Case'!B11*$C206*'Business Case'!B13*$D206-'Business Case'!B14*$E206))*'Business Case'!$B$7-'Business Case'!$B$8*('Business Case'!B11*$C206*'Business Case'!B12*$B206)-'Business Case'!B15*$F206</f>
        <v>-2052399189.08544</v>
      </c>
      <c r="I206" s="39" t="n">
        <f aca="false">(('Business Case'!C11*$C206*'Business Case'!C12*$B206)-'Business Case'!C11*$C206*'Business Case'!C13*$D206-'Business Case'!C14*$E206)-MAX(0,(('Business Case'!C11*$C206*'Business Case'!C12*$B206)-'Business Case'!C11*$C206*'Business Case'!C13*$D206-'Business Case'!C14*$E206))*'Business Case'!$B$7-'Business Case'!$B$8*(('Business Case'!C11*$C206*'Business Case'!C12*$B206)-('Business Case'!B11*$C206*'Business Case'!B12*$B206))-'Business Case'!C15*$F206</f>
        <v>4848336.95081598</v>
      </c>
      <c r="J206" s="39" t="n">
        <f aca="false">(('Business Case'!D11*$C206*'Business Case'!D12*$B206)-'Business Case'!D11*$C206*'Business Case'!D13*$D206-'Business Case'!D14*$E206)-MAX(0,(('Business Case'!D11*$C206*'Business Case'!D12*$B206)-'Business Case'!D11*$C206*'Business Case'!D13*$D206-'Business Case'!D14*$E206))*'Business Case'!$B$7-'Business Case'!$B$8*(('Business Case'!D11*$C206*'Business Case'!D12*$B206)-('Business Case'!C11*$C206*'Business Case'!C12*$B206))-'Business Case'!D15*$F206</f>
        <v>308540343.840384</v>
      </c>
      <c r="K206" s="39" t="n">
        <f aca="false">(('Business Case'!E11*$C206*'Business Case'!E12*$B206)-'Business Case'!E11*$C206*'Business Case'!E13*$D206-'Business Case'!E14*$E206)-MAX(0,(('Business Case'!E11*$C206*'Business Case'!E12*$B206)-'Business Case'!E11*$C206*'Business Case'!E13*$D206-'Business Case'!E14*$E206))*'Business Case'!$B$7-'Business Case'!$B$8*(('Business Case'!E11*$C206*'Business Case'!E12*$B206)-('Business Case'!D11*$C206*'Business Case'!D12*$B206))-'Business Case'!E15*$F206</f>
        <v>663542330.457088</v>
      </c>
      <c r="L206" s="39" t="n">
        <f aca="false">(('Business Case'!F11*$C206*'Business Case'!F12*$B206)-'Business Case'!F11*$C206*'Business Case'!F13*$D206-'Business Case'!F14*$E206)-MAX(0,(('Business Case'!F11*$C206*'Business Case'!F12*$B206)-'Business Case'!F11*$C206*'Business Case'!F13*$D206-'Business Case'!F14*$E206))*'Business Case'!$B$7-'Business Case'!$B$8*(('Business Case'!F11*$C206*'Business Case'!F12*$B206)-('Business Case'!E11*$C206*'Business Case'!E12*$B206))-'Business Case'!F15*$F206</f>
        <v>800166051.901876</v>
      </c>
      <c r="M206" s="39" t="n">
        <f aca="false">(('Business Case'!G11*$C206*'Business Case'!G12*$B206)-'Business Case'!G11*$C206*'Business Case'!G13*$D206-'Business Case'!G14*$E206)-MAX(0,(('Business Case'!G11*$C206*'Business Case'!G12*$B206)-'Business Case'!G11*$C206*'Business Case'!G13*$D206-'Business Case'!G14*$E206))*'Business Case'!$B$7-'Business Case'!$B$8*(('Business Case'!G11*$C206*'Business Case'!G12*$B206)-('Business Case'!F11*$C206*'Business Case'!F12*$B206))-'Business Case'!G15*$F206+'Business Case'!$B$8*('Business Case'!G11*$C206*'Business Case'!G12*$B206)</f>
        <v>994827840.550667</v>
      </c>
      <c r="N206" s="39" t="n">
        <f aca="false">IF(COUNT('Business Case'!B11:G11)=0,"",H206+NPV(G206,I206:M206))</f>
        <v>-141140286.31521</v>
      </c>
      <c r="P206" s="40" t="n">
        <f aca="true">RAND()</f>
        <v>0.510654160884399</v>
      </c>
      <c r="Q206" s="40" t="n">
        <f aca="true">RAND()</f>
        <v>0.745600728508041</v>
      </c>
      <c r="R206" s="40" t="n">
        <f aca="true">RAND()</f>
        <v>0.535973478781173</v>
      </c>
      <c r="S206" s="40" t="n">
        <f aca="true">RAND()</f>
        <v>0.41804496471529</v>
      </c>
      <c r="T206" s="40" t="n">
        <f aca="true">RAND()</f>
        <v>0.395868381257685</v>
      </c>
      <c r="U206" s="40" t="n">
        <f aca="true">RAND()</f>
        <v>0.438967136724298</v>
      </c>
    </row>
    <row r="207" customFormat="false" ht="15" hidden="false" customHeight="false" outlineLevel="0" collapsed="false">
      <c r="A207" s="36" t="n">
        <v>127</v>
      </c>
      <c r="B207" s="37" t="n">
        <f aca="false">1+IF($G$6=$E$6,$F$6,IF(P207&lt;($F$6-$E$6)/($G$6-$E$6),$E$6+SQRT(P207*($G$6-$E$6)*($F$6-$E$6)),$G$6-SQRT((1-P207)*($G$6-$E$6)*($G$6-$F$6))))</f>
        <v>0.980180366484509</v>
      </c>
      <c r="C207" s="37" t="n">
        <f aca="false">1+IF($G$7=$E$7,$F$7,IF(Q207&lt;($F$7-$E$7)/($G$7-$E$7),$E$7+SQRT(Q207*($G$7-$E$7)*($F$7-$E$7)),$G$7-SQRT((1-Q207)*($G$7-$E$7)*($G$7-$F$7))))</f>
        <v>0.915036398544277</v>
      </c>
      <c r="D207" s="37" t="n">
        <f aca="false">1+IF($G$8=$E$8,$F$8,IF(R207&lt;($F$8-$E$8)/($G$8-$E$8),$E$8+SQRT(R207*($G$8-$E$8)*($F$8-$E$8)),$G$8-SQRT((1-R207)*($G$8-$E$8)*($G$8-$F$8))))</f>
        <v>1.05245252729062</v>
      </c>
      <c r="E207" s="37" t="n">
        <f aca="false">1+IF($G$9=$E$9,$F$9,IF(S207&lt;($F$9-$E$9)/($G$9-$E$9),$E$9+SQRT(S207*($G$9-$E$9)*($F$9-$E$9)),$G$9-SQRT((1-S207)*($G$9-$E$9)*($G$9-$F$9))))</f>
        <v>1.01640205867006</v>
      </c>
      <c r="F207" s="37" t="n">
        <f aca="false">1+IF($G$10=$E$10,$F$10,IF(T207&lt;($F$10-$E$10)/($G$10-$E$10),$E$10+SQRT(T207*($G$10-$E$10)*($F$10-$E$10)),$G$10-SQRT((1-T207)*($G$10-$E$10)*($G$10-$F$10))))</f>
        <v>1.07089861633065</v>
      </c>
      <c r="G207" s="38" t="n">
        <f aca="false">IF($G$11=$E$11,$F$11,IF(U207&lt;($F$11-$E$11)/($G$11-$E$11),$E$11+SQRT(U207*($G$11-$E$11)*($F$11-$E$11)),$G$11-SQRT((1-U207)*($G$11-$E$11)*($G$11-$F$11))))</f>
        <v>0.0973761473406963</v>
      </c>
      <c r="H207" s="39" t="n">
        <f aca="false">(('Business Case'!B11*$C207*'Business Case'!B12*$B207)-'Business Case'!B11*$C207*'Business Case'!B13*$D207-'Business Case'!B14*$E207)-MAX(0,(('Business Case'!B11*$C207*'Business Case'!B12*$B207)-'Business Case'!B11*$C207*'Business Case'!B13*$D207-'Business Case'!B14*$E207))*'Business Case'!$B$7-'Business Case'!$B$8*('Business Case'!B11*$C207*'Business Case'!B12*$B207)-'Business Case'!B15*$F207</f>
        <v>-2141797232.6613</v>
      </c>
      <c r="I207" s="39" t="n">
        <f aca="false">(('Business Case'!C11*$C207*'Business Case'!C12*$B207)-'Business Case'!C11*$C207*'Business Case'!C13*$D207-'Business Case'!C14*$E207)-MAX(0,(('Business Case'!C11*$C207*'Business Case'!C12*$B207)-'Business Case'!C11*$C207*'Business Case'!C13*$D207-'Business Case'!C14*$E207))*'Business Case'!$B$7-'Business Case'!$B$8*(('Business Case'!C11*$C207*'Business Case'!C12*$B207)-('Business Case'!B11*$C207*'Business Case'!B12*$B207))-'Business Case'!C15*$F207</f>
        <v>-56486837.9031154</v>
      </c>
      <c r="J207" s="39" t="n">
        <f aca="false">(('Business Case'!D11*$C207*'Business Case'!D12*$B207)-'Business Case'!D11*$C207*'Business Case'!D13*$D207-'Business Case'!D14*$E207)-MAX(0,(('Business Case'!D11*$C207*'Business Case'!D12*$B207)-'Business Case'!D11*$C207*'Business Case'!D13*$D207-'Business Case'!D14*$E207))*'Business Case'!$B$7-'Business Case'!$B$8*(('Business Case'!D11*$C207*'Business Case'!D12*$B207)-('Business Case'!C11*$C207*'Business Case'!C12*$B207))-'Business Case'!D15*$F207</f>
        <v>185143891.504254</v>
      </c>
      <c r="K207" s="39" t="n">
        <f aca="false">(('Business Case'!E11*$C207*'Business Case'!E12*$B207)-'Business Case'!E11*$C207*'Business Case'!E13*$D207-'Business Case'!E14*$E207)-MAX(0,(('Business Case'!E11*$C207*'Business Case'!E12*$B207)-'Business Case'!E11*$C207*'Business Case'!E13*$D207-'Business Case'!E14*$E207))*'Business Case'!$B$7-'Business Case'!$B$8*(('Business Case'!E11*$C207*'Business Case'!E12*$B207)-('Business Case'!D11*$C207*'Business Case'!D12*$B207))-'Business Case'!E15*$F207</f>
        <v>480319551.728157</v>
      </c>
      <c r="L207" s="39" t="n">
        <f aca="false">(('Business Case'!F11*$C207*'Business Case'!F12*$B207)-'Business Case'!F11*$C207*'Business Case'!F13*$D207-'Business Case'!F14*$E207)-MAX(0,(('Business Case'!F11*$C207*'Business Case'!F12*$B207)-'Business Case'!F11*$C207*'Business Case'!F13*$D207-'Business Case'!F14*$E207))*'Business Case'!$B$7-'Business Case'!$B$8*(('Business Case'!F11*$C207*'Business Case'!F12*$B207)-('Business Case'!E11*$C207*'Business Case'!E12*$B207))-'Business Case'!F15*$F207</f>
        <v>591860016.820305</v>
      </c>
      <c r="M207" s="39" t="n">
        <f aca="false">(('Business Case'!G11*$C207*'Business Case'!G12*$B207)-'Business Case'!G11*$C207*'Business Case'!G13*$D207-'Business Case'!G14*$E207)-MAX(0,(('Business Case'!G11*$C207*'Business Case'!G12*$B207)-'Business Case'!G11*$C207*'Business Case'!G13*$D207-'Business Case'!G14*$E207))*'Business Case'!$B$7-'Business Case'!$B$8*(('Business Case'!G11*$C207*'Business Case'!G12*$B207)-('Business Case'!F11*$C207*'Business Case'!F12*$B207))-'Business Case'!G15*$F207+'Business Case'!$B$8*('Business Case'!G11*$C207*'Business Case'!G12*$B207)</f>
        <v>762342904.246944</v>
      </c>
      <c r="N207" s="39" t="n">
        <f aca="false">IF(COUNT('Business Case'!B11:G11)=0,"",H207+NPV(G207,I207:M207))</f>
        <v>-788892065.076299</v>
      </c>
      <c r="P207" s="40" t="n">
        <f aca="true">RAND()</f>
        <v>0.377257969813515</v>
      </c>
      <c r="Q207" s="40" t="n">
        <f aca="true">RAND()</f>
        <v>0.189048185571967</v>
      </c>
      <c r="R207" s="40" t="n">
        <f aca="true">RAND()</f>
        <v>0.927032379550559</v>
      </c>
      <c r="S207" s="40" t="n">
        <f aca="true">RAND()</f>
        <v>0.534092280359727</v>
      </c>
      <c r="T207" s="40" t="n">
        <f aca="true">RAND()</f>
        <v>0.666656654693179</v>
      </c>
      <c r="U207" s="40" t="n">
        <f aca="true">RAND()</f>
        <v>0.181358498638871</v>
      </c>
    </row>
    <row r="208" customFormat="false" ht="15" hidden="false" customHeight="false" outlineLevel="0" collapsed="false">
      <c r="A208" s="36" t="n">
        <v>128</v>
      </c>
      <c r="B208" s="37" t="n">
        <f aca="false">1+IF($G$6=$E$6,$F$6,IF(P208&lt;($F$6-$E$6)/($G$6-$E$6),$E$6+SQRT(P208*($G$6-$E$6)*($F$6-$E$6)),$G$6-SQRT((1-P208)*($G$6-$E$6)*($G$6-$F$6))))</f>
        <v>1.00264852437964</v>
      </c>
      <c r="C208" s="37" t="n">
        <f aca="false">1+IF($G$7=$E$7,$F$7,IF(Q208&lt;($F$7-$E$7)/($G$7-$E$7),$E$7+SQRT(Q208*($G$7-$E$7)*($F$7-$E$7)),$G$7-SQRT((1-Q208)*($G$7-$E$7)*($G$7-$F$7))))</f>
        <v>1.13696469950305</v>
      </c>
      <c r="D208" s="37" t="n">
        <f aca="false">1+IF($G$8=$E$8,$F$8,IF(R208&lt;($F$8-$E$8)/($G$8-$E$8),$E$8+SQRT(R208*($G$8-$E$8)*($F$8-$E$8)),$G$8-SQRT((1-R208)*($G$8-$E$8)*($G$8-$F$8))))</f>
        <v>1.0028737209396</v>
      </c>
      <c r="E208" s="37" t="n">
        <f aca="false">1+IF($G$9=$E$9,$F$9,IF(S208&lt;($F$9-$E$9)/($G$9-$E$9),$E$9+SQRT(S208*($G$9-$E$9)*($F$9-$E$9)),$G$9-SQRT((1-S208)*($G$9-$E$9)*($G$9-$F$9))))</f>
        <v>1.05456830101212</v>
      </c>
      <c r="F208" s="37" t="n">
        <f aca="false">1+IF($G$10=$E$10,$F$10,IF(T208&lt;($F$10-$E$10)/($G$10-$E$10),$E$10+SQRT(T208*($G$10-$E$10)*($F$10-$E$10)),$G$10-SQRT((1-T208)*($G$10-$E$10)*($G$10-$F$10))))</f>
        <v>1.02600005380243</v>
      </c>
      <c r="G208" s="38" t="n">
        <f aca="false">IF($G$11=$E$11,$F$11,IF(U208&lt;($F$11-$E$11)/($G$11-$E$11),$E$11+SQRT(U208*($G$11-$E$11)*($F$11-$E$11)),$G$11-SQRT((1-U208)*($G$11-$E$11)*($G$11-$F$11))))</f>
        <v>0.104525136813646</v>
      </c>
      <c r="H208" s="39" t="n">
        <f aca="false">(('Business Case'!B11*$C208*'Business Case'!B12*$B208)-'Business Case'!B11*$C208*'Business Case'!B13*$D208-'Business Case'!B14*$E208)-MAX(0,(('Business Case'!B11*$C208*'Business Case'!B12*$B208)-'Business Case'!B11*$C208*'Business Case'!B13*$D208-'Business Case'!B14*$E208))*'Business Case'!$B$7-'Business Case'!$B$8*('Business Case'!B11*$C208*'Business Case'!B12*$B208)-'Business Case'!B15*$F208</f>
        <v>-2052000107.60486</v>
      </c>
      <c r="I208" s="39" t="n">
        <f aca="false">(('Business Case'!C11*$C208*'Business Case'!C12*$B208)-'Business Case'!C11*$C208*'Business Case'!C13*$D208-'Business Case'!C14*$E208)-MAX(0,(('Business Case'!C11*$C208*'Business Case'!C12*$B208)-'Business Case'!C11*$C208*'Business Case'!C13*$D208-'Business Case'!C14*$E208))*'Business Case'!$B$7-'Business Case'!$B$8*(('Business Case'!C11*$C208*'Business Case'!C12*$B208)-('Business Case'!B11*$C208*'Business Case'!B12*$B208))-'Business Case'!C15*$F208</f>
        <v>38358856.8965161</v>
      </c>
      <c r="J208" s="39" t="n">
        <f aca="false">(('Business Case'!D11*$C208*'Business Case'!D12*$B208)-'Business Case'!D11*$C208*'Business Case'!D13*$D208-'Business Case'!D14*$E208)-MAX(0,(('Business Case'!D11*$C208*'Business Case'!D12*$B208)-'Business Case'!D11*$C208*'Business Case'!D13*$D208-'Business Case'!D14*$E208))*'Business Case'!$B$7-'Business Case'!$B$8*(('Business Case'!D11*$C208*'Business Case'!D12*$B208)-('Business Case'!C11*$C208*'Business Case'!C12*$B208))-'Business Case'!D15*$F208</f>
        <v>388373686.288562</v>
      </c>
      <c r="K208" s="39" t="n">
        <f aca="false">(('Business Case'!E11*$C208*'Business Case'!E12*$B208)-'Business Case'!E11*$C208*'Business Case'!E13*$D208-'Business Case'!E14*$E208)-MAX(0,(('Business Case'!E11*$C208*'Business Case'!E12*$B208)-'Business Case'!E11*$C208*'Business Case'!E13*$D208-'Business Case'!E14*$E208))*'Business Case'!$B$7-'Business Case'!$B$8*(('Business Case'!E11*$C208*'Business Case'!E12*$B208)-('Business Case'!D11*$C208*'Business Case'!D12*$B208))-'Business Case'!E15*$F208</f>
        <v>789688518.370729</v>
      </c>
      <c r="L208" s="39" t="n">
        <f aca="false">(('Business Case'!F11*$C208*'Business Case'!F12*$B208)-'Business Case'!F11*$C208*'Business Case'!F13*$D208-'Business Case'!F14*$E208)-MAX(0,(('Business Case'!F11*$C208*'Business Case'!F12*$B208)-'Business Case'!F11*$C208*'Business Case'!F13*$D208-'Business Case'!F14*$E208))*'Business Case'!$B$7-'Business Case'!$B$8*(('Business Case'!F11*$C208*'Business Case'!F12*$B208)-('Business Case'!E11*$C208*'Business Case'!E12*$B208))-'Business Case'!F15*$F208</f>
        <v>945757697.975654</v>
      </c>
      <c r="M208" s="39" t="n">
        <f aca="false">(('Business Case'!G11*$C208*'Business Case'!G12*$B208)-'Business Case'!G11*$C208*'Business Case'!G13*$D208-'Business Case'!G14*$E208)-MAX(0,(('Business Case'!G11*$C208*'Business Case'!G12*$B208)-'Business Case'!G11*$C208*'Business Case'!G13*$D208-'Business Case'!G14*$E208))*'Business Case'!$B$7-'Business Case'!$B$8*(('Business Case'!G11*$C208*'Business Case'!G12*$B208)-('Business Case'!F11*$C208*'Business Case'!F12*$B208))-'Business Case'!G15*$F208+'Business Case'!$B$8*('Business Case'!G11*$C208*'Business Case'!G12*$B208)</f>
        <v>1162444331.91732</v>
      </c>
      <c r="N208" s="39" t="n">
        <f aca="false">IF(COUNT('Business Case'!B11:G11)=0,"",H208+NPV(G208,I208:M208))</f>
        <v>229682423.75229</v>
      </c>
      <c r="P208" s="40" t="n">
        <f aca="true">RAND()</f>
        <v>0.709347347704525</v>
      </c>
      <c r="Q208" s="40" t="n">
        <f aca="true">RAND()</f>
        <v>0.996763446494364</v>
      </c>
      <c r="R208" s="40" t="n">
        <f aca="true">RAND()</f>
        <v>0.42803241137468</v>
      </c>
      <c r="S208" s="40" t="n">
        <f aca="true">RAND()</f>
        <v>0.862397381804969</v>
      </c>
      <c r="T208" s="40" t="n">
        <f aca="true">RAND()</f>
        <v>0.394480374464839</v>
      </c>
      <c r="U208" s="40" t="n">
        <f aca="true">RAND()</f>
        <v>0.600881015606056</v>
      </c>
    </row>
    <row r="209" customFormat="false" ht="15" hidden="false" customHeight="false" outlineLevel="0" collapsed="false">
      <c r="A209" s="36" t="n">
        <v>129</v>
      </c>
      <c r="B209" s="37" t="n">
        <f aca="false">1+IF($G$6=$E$6,$F$6,IF(P209&lt;($F$6-$E$6)/($G$6-$E$6),$E$6+SQRT(P209*($G$6-$E$6)*($F$6-$E$6)),$G$6-SQRT((1-P209)*($G$6-$E$6)*($G$6-$F$6))))</f>
        <v>0.988160737864962</v>
      </c>
      <c r="C209" s="37" t="n">
        <f aca="false">1+IF($G$7=$E$7,$F$7,IF(Q209&lt;($F$7-$E$7)/($G$7-$E$7),$E$7+SQRT(Q209*($G$7-$E$7)*($F$7-$E$7)),$G$7-SQRT((1-Q209)*($G$7-$E$7)*($G$7-$F$7))))</f>
        <v>1.05697117794843</v>
      </c>
      <c r="D209" s="37" t="n">
        <f aca="false">1+IF($G$8=$E$8,$F$8,IF(R209&lt;($F$8-$E$8)/($G$8-$E$8),$E$8+SQRT(R209*($G$8-$E$8)*($F$8-$E$8)),$G$8-SQRT((1-R209)*($G$8-$E$8)*($G$8-$F$8))))</f>
        <v>0.988273923145149</v>
      </c>
      <c r="E209" s="37" t="n">
        <f aca="false">1+IF($G$9=$E$9,$F$9,IF(S209&lt;($F$9-$E$9)/($G$9-$E$9),$E$9+SQRT(S209*($G$9-$E$9)*($F$9-$E$9)),$G$9-SQRT((1-S209)*($G$9-$E$9)*($G$9-$F$9))))</f>
        <v>0.982513720098964</v>
      </c>
      <c r="F209" s="37" t="n">
        <f aca="false">1+IF($G$10=$E$10,$F$10,IF(T209&lt;($F$10-$E$10)/($G$10-$E$10),$E$10+SQRT(T209*($G$10-$E$10)*($F$10-$E$10)),$G$10-SQRT((1-T209)*($G$10-$E$10)*($G$10-$F$10))))</f>
        <v>0.974292586148269</v>
      </c>
      <c r="G209" s="38" t="n">
        <f aca="false">IF($G$11=$E$11,$F$11,IF(U209&lt;($F$11-$E$11)/($G$11-$E$11),$E$11+SQRT(U209*($G$11-$E$11)*($F$11-$E$11)),$G$11-SQRT((1-U209)*($G$11-$E$11)*($G$11-$F$11))))</f>
        <v>0.0978812013642664</v>
      </c>
      <c r="H209" s="39" t="n">
        <f aca="false">(('Business Case'!B11*$C209*'Business Case'!B12*$B209)-'Business Case'!B11*$C209*'Business Case'!B13*$D209-'Business Case'!B14*$E209)-MAX(0,(('Business Case'!B11*$C209*'Business Case'!B12*$B209)-'Business Case'!B11*$C209*'Business Case'!B13*$D209-'Business Case'!B14*$E209))*'Business Case'!$B$7-'Business Case'!$B$8*('Business Case'!B11*$C209*'Business Case'!B12*$B209)-'Business Case'!B15*$F209</f>
        <v>-1948585172.29654</v>
      </c>
      <c r="I209" s="39" t="n">
        <f aca="false">(('Business Case'!C11*$C209*'Business Case'!C12*$B209)-'Business Case'!C11*$C209*'Business Case'!C13*$D209-'Business Case'!C14*$E209)-MAX(0,(('Business Case'!C11*$C209*'Business Case'!C12*$B209)-'Business Case'!C11*$C209*'Business Case'!C13*$D209-'Business Case'!C14*$E209))*'Business Case'!$B$7-'Business Case'!$B$8*(('Business Case'!C11*$C209*'Business Case'!C12*$B209)-('Business Case'!B11*$C209*'Business Case'!B12*$B209))-'Business Case'!C15*$F209</f>
        <v>29458560.1515349</v>
      </c>
      <c r="J209" s="39" t="n">
        <f aca="false">(('Business Case'!D11*$C209*'Business Case'!D12*$B209)-'Business Case'!D11*$C209*'Business Case'!D13*$D209-'Business Case'!D14*$E209)-MAX(0,(('Business Case'!D11*$C209*'Business Case'!D12*$B209)-'Business Case'!D11*$C209*'Business Case'!D13*$D209-'Business Case'!D14*$E209))*'Business Case'!$B$7-'Business Case'!$B$8*(('Business Case'!D11*$C209*'Business Case'!D12*$B209)-('Business Case'!C11*$C209*'Business Case'!C12*$B209))-'Business Case'!D15*$F209</f>
        <v>350204502.522296</v>
      </c>
      <c r="K209" s="39" t="n">
        <f aca="false">(('Business Case'!E11*$C209*'Business Case'!E12*$B209)-'Business Case'!E11*$C209*'Business Case'!E13*$D209-'Business Case'!E14*$E209)-MAX(0,(('Business Case'!E11*$C209*'Business Case'!E12*$B209)-'Business Case'!E11*$C209*'Business Case'!E13*$D209-'Business Case'!E14*$E209))*'Business Case'!$B$7-'Business Case'!$B$8*(('Business Case'!E11*$C209*'Business Case'!E12*$B209)-('Business Case'!D11*$C209*'Business Case'!D12*$B209))-'Business Case'!E15*$F209</f>
        <v>719665074.20047</v>
      </c>
      <c r="L209" s="39" t="n">
        <f aca="false">(('Business Case'!F11*$C209*'Business Case'!F12*$B209)-'Business Case'!F11*$C209*'Business Case'!F13*$D209-'Business Case'!F14*$E209)-MAX(0,(('Business Case'!F11*$C209*'Business Case'!F12*$B209)-'Business Case'!F11*$C209*'Business Case'!F13*$D209-'Business Case'!F14*$E209))*'Business Case'!$B$7-'Business Case'!$B$8*(('Business Case'!F11*$C209*'Business Case'!F12*$B209)-('Business Case'!E11*$C209*'Business Case'!E12*$B209))-'Business Case'!F15*$F209</f>
        <v>862676836.728274</v>
      </c>
      <c r="M209" s="39" t="n">
        <f aca="false">(('Business Case'!G11*$C209*'Business Case'!G12*$B209)-'Business Case'!G11*$C209*'Business Case'!G13*$D209-'Business Case'!G14*$E209)-MAX(0,(('Business Case'!G11*$C209*'Business Case'!G12*$B209)-'Business Case'!G11*$C209*'Business Case'!G13*$D209-'Business Case'!G14*$E209))*'Business Case'!$B$7-'Business Case'!$B$8*(('Business Case'!G11*$C209*'Business Case'!G12*$B209)-('Business Case'!F11*$C209*'Business Case'!F12*$B209))-'Business Case'!G15*$F209+'Business Case'!$B$8*('Business Case'!G11*$C209*'Business Case'!G12*$B209)</f>
        <v>1061207302.95147</v>
      </c>
      <c r="N209" s="39" t="n">
        <f aca="false">IF(COUNT('Business Case'!B11:G11)=0,"",H209+NPV(G209,I209:M209))</f>
        <v>171712697.256765</v>
      </c>
      <c r="P209" s="40" t="n">
        <f aca="true">RAND()</f>
        <v>0.483946477739179</v>
      </c>
      <c r="Q209" s="40" t="n">
        <f aca="true">RAND()</f>
        <v>0.835155014622806</v>
      </c>
      <c r="R209" s="40" t="n">
        <f aca="true">RAND()</f>
        <v>0.225368183526267</v>
      </c>
      <c r="S209" s="40" t="n">
        <f aca="true">RAND()</f>
        <v>0.140952265956503</v>
      </c>
      <c r="T209" s="40" t="n">
        <f aca="true">RAND()</f>
        <v>0.0472103793416866</v>
      </c>
      <c r="U209" s="40" t="n">
        <f aca="true">RAND()</f>
        <v>0.207044449813715</v>
      </c>
    </row>
    <row r="210" customFormat="false" ht="15" hidden="false" customHeight="false" outlineLevel="0" collapsed="false">
      <c r="A210" s="36" t="n">
        <v>130</v>
      </c>
      <c r="B210" s="37" t="n">
        <f aca="false">1+IF($G$6=$E$6,$F$6,IF(P210&lt;($F$6-$E$6)/($G$6-$E$6),$E$6+SQRT(P210*($G$6-$E$6)*($F$6-$E$6)),$G$6-SQRT((1-P210)*($G$6-$E$6)*($G$6-$F$6))))</f>
        <v>0.976014662197694</v>
      </c>
      <c r="C210" s="37" t="n">
        <f aca="false">1+IF($G$7=$E$7,$F$7,IF(Q210&lt;($F$7-$E$7)/($G$7-$E$7),$E$7+SQRT(Q210*($G$7-$E$7)*($F$7-$E$7)),$G$7-SQRT((1-Q210)*($G$7-$E$7)*($G$7-$F$7))))</f>
        <v>0.989512381961121</v>
      </c>
      <c r="D210" s="37" t="n">
        <f aca="false">1+IF($G$8=$E$8,$F$8,IF(R210&lt;($F$8-$E$8)/($G$8-$E$8),$E$8+SQRT(R210*($G$8-$E$8)*($F$8-$E$8)),$G$8-SQRT((1-R210)*($G$8-$E$8)*($G$8-$F$8))))</f>
        <v>0.973306586898418</v>
      </c>
      <c r="E210" s="37" t="n">
        <f aca="false">1+IF($G$9=$E$9,$F$9,IF(S210&lt;($F$9-$E$9)/($G$9-$E$9),$E$9+SQRT(S210*($G$9-$E$9)*($F$9-$E$9)),$G$9-SQRT((1-S210)*($G$9-$E$9)*($G$9-$F$9))))</f>
        <v>0.980179418768636</v>
      </c>
      <c r="F210" s="37" t="n">
        <f aca="false">1+IF($G$10=$E$10,$F$10,IF(T210&lt;($F$10-$E$10)/($G$10-$E$10),$E$10+SQRT(T210*($G$10-$E$10)*($F$10-$E$10)),$G$10-SQRT((1-T210)*($G$10-$E$10)*($G$10-$F$10))))</f>
        <v>1.04175083767162</v>
      </c>
      <c r="G210" s="38" t="n">
        <f aca="false">IF($G$11=$E$11,$F$11,IF(U210&lt;($F$11-$E$11)/($G$11-$E$11),$E$11+SQRT(U210*($G$11-$E$11)*($F$11-$E$11)),$G$11-SQRT((1-U210)*($G$11-$E$11)*($G$11-$F$11))))</f>
        <v>0.104169982977331</v>
      </c>
      <c r="H210" s="39" t="n">
        <f aca="false">(('Business Case'!B11*$C210*'Business Case'!B12*$B210)-'Business Case'!B11*$C210*'Business Case'!B13*$D210-'Business Case'!B14*$E210)-MAX(0,(('Business Case'!B11*$C210*'Business Case'!B12*$B210)-'Business Case'!B11*$C210*'Business Case'!B13*$D210-'Business Case'!B14*$E210))*'Business Case'!$B$7-'Business Case'!$B$8*('Business Case'!B11*$C210*'Business Case'!B12*$B210)-'Business Case'!B15*$F210</f>
        <v>-2083501675.34325</v>
      </c>
      <c r="I210" s="39" t="n">
        <f aca="false">(('Business Case'!C11*$C210*'Business Case'!C12*$B210)-'Business Case'!C11*$C210*'Business Case'!C13*$D210-'Business Case'!C14*$E210)-MAX(0,(('Business Case'!C11*$C210*'Business Case'!C12*$B210)-'Business Case'!C11*$C210*'Business Case'!C13*$D210-'Business Case'!C14*$E210))*'Business Case'!$B$7-'Business Case'!$B$8*(('Business Case'!C11*$C210*'Business Case'!C12*$B210)-('Business Case'!B11*$C210*'Business Case'!B12*$B210))-'Business Case'!C15*$F210</f>
        <v>4390045.8106924</v>
      </c>
      <c r="J210" s="39" t="n">
        <f aca="false">(('Business Case'!D11*$C210*'Business Case'!D12*$B210)-'Business Case'!D11*$C210*'Business Case'!D13*$D210-'Business Case'!D14*$E210)-MAX(0,(('Business Case'!D11*$C210*'Business Case'!D12*$B210)-'Business Case'!D11*$C210*'Business Case'!D13*$D210-'Business Case'!D14*$E210))*'Business Case'!$B$7-'Business Case'!$B$8*(('Business Case'!D11*$C210*'Business Case'!D12*$B210)-('Business Case'!C11*$C210*'Business Case'!C12*$B210))-'Business Case'!D15*$F210</f>
        <v>302402651.009983</v>
      </c>
      <c r="K210" s="39" t="n">
        <f aca="false">(('Business Case'!E11*$C210*'Business Case'!E12*$B210)-'Business Case'!E11*$C210*'Business Case'!E13*$D210-'Business Case'!E14*$E210)-MAX(0,(('Business Case'!E11*$C210*'Business Case'!E12*$B210)-'Business Case'!E11*$C210*'Business Case'!E13*$D210-'Business Case'!E14*$E210))*'Business Case'!$B$7-'Business Case'!$B$8*(('Business Case'!E11*$C210*'Business Case'!E12*$B210)-('Business Case'!D11*$C210*'Business Case'!D12*$B210))-'Business Case'!E15*$F210</f>
        <v>652502798.092856</v>
      </c>
      <c r="L210" s="39" t="n">
        <f aca="false">(('Business Case'!F11*$C210*'Business Case'!F12*$B210)-'Business Case'!F11*$C210*'Business Case'!F13*$D210-'Business Case'!F14*$E210)-MAX(0,(('Business Case'!F11*$C210*'Business Case'!F12*$B210)-'Business Case'!F11*$C210*'Business Case'!F13*$D210-'Business Case'!F14*$E210))*'Business Case'!$B$7-'Business Case'!$B$8*(('Business Case'!F11*$C210*'Business Case'!F12*$B210)-('Business Case'!E11*$C210*'Business Case'!E12*$B210))-'Business Case'!F15*$F210</f>
        <v>785217641.340977</v>
      </c>
      <c r="M210" s="39" t="n">
        <f aca="false">(('Business Case'!G11*$C210*'Business Case'!G12*$B210)-'Business Case'!G11*$C210*'Business Case'!G13*$D210-'Business Case'!G14*$E210)-MAX(0,(('Business Case'!G11*$C210*'Business Case'!G12*$B210)-'Business Case'!G11*$C210*'Business Case'!G13*$D210-'Business Case'!G14*$E210))*'Business Case'!$B$7-'Business Case'!$B$8*(('Business Case'!G11*$C210*'Business Case'!G12*$B210)-('Business Case'!F11*$C210*'Business Case'!F12*$B210))-'Business Case'!G15*$F210+'Business Case'!$B$8*('Business Case'!G11*$C210*'Business Case'!G12*$B210)</f>
        <v>968792836.340277</v>
      </c>
      <c r="N210" s="39" t="n">
        <f aca="false">IF(COUNT('Business Case'!B11:G11)=0,"",H210+NPV(G210,I210:M210))</f>
        <v>-228259658.666568</v>
      </c>
      <c r="P210" s="40" t="n">
        <f aca="true">RAND()</f>
        <v>0.32683774803352</v>
      </c>
      <c r="Q210" s="40" t="n">
        <f aca="true">RAND()</f>
        <v>0.513070613093971</v>
      </c>
      <c r="R210" s="40" t="n">
        <f aca="true">RAND()</f>
        <v>0.0835687681313101</v>
      </c>
      <c r="S210" s="40" t="n">
        <f aca="true">RAND()</f>
        <v>0.121439642295029</v>
      </c>
      <c r="T210" s="40" t="n">
        <f aca="true">RAND()</f>
        <v>0.499144052447344</v>
      </c>
      <c r="U210" s="40" t="n">
        <f aca="true">RAND()</f>
        <v>0.582350935103323</v>
      </c>
    </row>
    <row r="211" customFormat="false" ht="15" hidden="false" customHeight="false" outlineLevel="0" collapsed="false">
      <c r="A211" s="36" t="n">
        <v>131</v>
      </c>
      <c r="B211" s="37" t="n">
        <f aca="false">1+IF($G$6=$E$6,$F$6,IF(P211&lt;($F$6-$E$6)/($G$6-$E$6),$E$6+SQRT(P211*($G$6-$E$6)*($F$6-$E$6)),$G$6-SQRT((1-P211)*($G$6-$E$6)*($G$6-$F$6))))</f>
        <v>0.95037387702073</v>
      </c>
      <c r="C211" s="37" t="n">
        <f aca="false">1+IF($G$7=$E$7,$F$7,IF(Q211&lt;($F$7-$E$7)/($G$7-$E$7),$E$7+SQRT(Q211*($G$7-$E$7)*($F$7-$E$7)),$G$7-SQRT((1-Q211)*($G$7-$E$7)*($G$7-$F$7))))</f>
        <v>0.958576951255212</v>
      </c>
      <c r="D211" s="37" t="n">
        <f aca="false">1+IF($G$8=$E$8,$F$8,IF(R211&lt;($F$8-$E$8)/($G$8-$E$8),$E$8+SQRT(R211*($G$8-$E$8)*($F$8-$E$8)),$G$8-SQRT((1-R211)*($G$8-$E$8)*($G$8-$F$8))))</f>
        <v>0.984973132406855</v>
      </c>
      <c r="E211" s="37" t="n">
        <f aca="false">1+IF($G$9=$E$9,$F$9,IF(S211&lt;($F$9-$E$9)/($G$9-$E$9),$E$9+SQRT(S211*($G$9-$E$9)*($F$9-$E$9)),$G$9-SQRT((1-S211)*($G$9-$E$9)*($G$9-$F$9))))</f>
        <v>1.07133215120206</v>
      </c>
      <c r="F211" s="37" t="n">
        <f aca="false">1+IF($G$10=$E$10,$F$10,IF(T211&lt;($F$10-$E$10)/($G$10-$E$10),$E$10+SQRT(T211*($G$10-$E$10)*($F$10-$E$10)),$G$10-SQRT((1-T211)*($G$10-$E$10)*($G$10-$F$10))))</f>
        <v>1.12351225990144</v>
      </c>
      <c r="G211" s="38" t="n">
        <f aca="false">IF($G$11=$E$11,$F$11,IF(U211&lt;($F$11-$E$11)/($G$11-$E$11),$E$11+SQRT(U211*($G$11-$E$11)*($F$11-$E$11)),$G$11-SQRT((1-U211)*($G$11-$E$11)*($G$11-$F$11))))</f>
        <v>0.102516976548721</v>
      </c>
      <c r="H211" s="39" t="n">
        <f aca="false">(('Business Case'!B11*$C211*'Business Case'!B12*$B211)-'Business Case'!B11*$C211*'Business Case'!B13*$D211-'Business Case'!B14*$E211)-MAX(0,(('Business Case'!B11*$C211*'Business Case'!B12*$B211)-'Business Case'!B11*$C211*'Business Case'!B13*$D211-'Business Case'!B14*$E211))*'Business Case'!$B$7-'Business Case'!$B$8*('Business Case'!B11*$C211*'Business Case'!B12*$B211)-'Business Case'!B15*$F211</f>
        <v>-2247024519.80288</v>
      </c>
      <c r="I211" s="39" t="n">
        <f aca="false">(('Business Case'!C11*$C211*'Business Case'!C12*$B211)-'Business Case'!C11*$C211*'Business Case'!C13*$D211-'Business Case'!C14*$E211)-MAX(0,(('Business Case'!C11*$C211*'Business Case'!C12*$B211)-'Business Case'!C11*$C211*'Business Case'!C13*$D211-'Business Case'!C14*$E211))*'Business Case'!$B$7-'Business Case'!$B$8*(('Business Case'!C11*$C211*'Business Case'!C12*$B211)-('Business Case'!B11*$C211*'Business Case'!B12*$B211))-'Business Case'!C15*$F211</f>
        <v>-49082131.6732518</v>
      </c>
      <c r="J211" s="39" t="n">
        <f aca="false">(('Business Case'!D11*$C211*'Business Case'!D12*$B211)-'Business Case'!D11*$C211*'Business Case'!D13*$D211-'Business Case'!D14*$E211)-MAX(0,(('Business Case'!D11*$C211*'Business Case'!D12*$B211)-'Business Case'!D11*$C211*'Business Case'!D13*$D211-'Business Case'!D14*$E211))*'Business Case'!$B$7-'Business Case'!$B$8*(('Business Case'!D11*$C211*'Business Case'!D12*$B211)-('Business Case'!C11*$C211*'Business Case'!C12*$B211))-'Business Case'!D15*$F211</f>
        <v>213756971.17213</v>
      </c>
      <c r="K211" s="39" t="n">
        <f aca="false">(('Business Case'!E11*$C211*'Business Case'!E12*$B211)-'Business Case'!E11*$C211*'Business Case'!E13*$D211-'Business Case'!E14*$E211)-MAX(0,(('Business Case'!E11*$C211*'Business Case'!E12*$B211)-'Business Case'!E11*$C211*'Business Case'!E13*$D211-'Business Case'!E14*$E211))*'Business Case'!$B$7-'Business Case'!$B$8*(('Business Case'!E11*$C211*'Business Case'!E12*$B211)-('Business Case'!D11*$C211*'Business Case'!D12*$B211))-'Business Case'!E15*$F211</f>
        <v>532771687.012584</v>
      </c>
      <c r="L211" s="39" t="n">
        <f aca="false">(('Business Case'!F11*$C211*'Business Case'!F12*$B211)-'Business Case'!F11*$C211*'Business Case'!F13*$D211-'Business Case'!F14*$E211)-MAX(0,(('Business Case'!F11*$C211*'Business Case'!F12*$B211)-'Business Case'!F11*$C211*'Business Case'!F13*$D211-'Business Case'!F14*$E211))*'Business Case'!$B$7-'Business Case'!$B$8*(('Business Case'!F11*$C211*'Business Case'!F12*$B211)-('Business Case'!E11*$C211*'Business Case'!E12*$B211))-'Business Case'!F15*$F211</f>
        <v>651869105.712749</v>
      </c>
      <c r="M211" s="39" t="n">
        <f aca="false">(('Business Case'!G11*$C211*'Business Case'!G12*$B211)-'Business Case'!G11*$C211*'Business Case'!G13*$D211-'Business Case'!G14*$E211)-MAX(0,(('Business Case'!G11*$C211*'Business Case'!G12*$B211)-'Business Case'!G11*$C211*'Business Case'!G13*$D211-'Business Case'!G14*$E211))*'Business Case'!$B$7-'Business Case'!$B$8*(('Business Case'!G11*$C211*'Business Case'!G12*$B211)-('Business Case'!F11*$C211*'Business Case'!F12*$B211))-'Business Case'!G15*$F211+'Business Case'!$B$8*('Business Case'!G11*$C211*'Business Case'!G12*$B211)</f>
        <v>825033220.01379</v>
      </c>
      <c r="N211" s="39" t="n">
        <f aca="false">IF(COUNT('Business Case'!B11:G11)=0,"",H211+NPV(G211,I211:M211))</f>
        <v>-770502400.5836</v>
      </c>
      <c r="P211" s="40" t="n">
        <f aca="true">RAND()</f>
        <v>0.0961012922156697</v>
      </c>
      <c r="Q211" s="40" t="n">
        <f aca="true">RAND()</f>
        <v>0.359237849562825</v>
      </c>
      <c r="R211" s="40" t="n">
        <f aca="true">RAND()</f>
        <v>0.188172306207289</v>
      </c>
      <c r="S211" s="40" t="n">
        <f aca="true">RAND()</f>
        <v>0.945210296353239</v>
      </c>
      <c r="T211" s="40" t="n">
        <f aca="true">RAND()</f>
        <v>0.882992512292302</v>
      </c>
      <c r="U211" s="40" t="n">
        <f aca="true">RAND()</f>
        <v>0.490573151670071</v>
      </c>
    </row>
    <row r="212" customFormat="false" ht="15" hidden="false" customHeight="false" outlineLevel="0" collapsed="false">
      <c r="A212" s="36" t="n">
        <v>132</v>
      </c>
      <c r="B212" s="37" t="n">
        <f aca="false">1+IF($G$6=$E$6,$F$6,IF(P212&lt;($F$6-$E$6)/($G$6-$E$6),$E$6+SQRT(P212*($G$6-$E$6)*($F$6-$E$6)),$G$6-SQRT((1-P212)*($G$6-$E$6)*($G$6-$F$6))))</f>
        <v>1.0251069148833</v>
      </c>
      <c r="C212" s="37" t="n">
        <f aca="false">1+IF($G$7=$E$7,$F$7,IF(Q212&lt;($F$7-$E$7)/($G$7-$E$7),$E$7+SQRT(Q212*($G$7-$E$7)*($F$7-$E$7)),$G$7-SQRT((1-Q212)*($G$7-$E$7)*($G$7-$F$7))))</f>
        <v>0.960523660870747</v>
      </c>
      <c r="D212" s="37" t="n">
        <f aca="false">1+IF($G$8=$E$8,$F$8,IF(R212&lt;($F$8-$E$8)/($G$8-$E$8),$E$8+SQRT(R212*($G$8-$E$8)*($F$8-$E$8)),$G$8-SQRT((1-R212)*($G$8-$E$8)*($G$8-$F$8))))</f>
        <v>0.996418174608187</v>
      </c>
      <c r="E212" s="37" t="n">
        <f aca="false">1+IF($G$9=$E$9,$F$9,IF(S212&lt;($F$9-$E$9)/($G$9-$E$9),$E$9+SQRT(S212*($G$9-$E$9)*($F$9-$E$9)),$G$9-SQRT((1-S212)*($G$9-$E$9)*($G$9-$F$9))))</f>
        <v>1.00396991284511</v>
      </c>
      <c r="F212" s="37" t="n">
        <f aca="false">1+IF($G$10=$E$10,$F$10,IF(T212&lt;($F$10-$E$10)/($G$10-$E$10),$E$10+SQRT(T212*($G$10-$E$10)*($F$10-$E$10)),$G$10-SQRT((1-T212)*($G$10-$E$10)*($G$10-$F$10))))</f>
        <v>1.04629408893878</v>
      </c>
      <c r="G212" s="38" t="n">
        <f aca="false">IF($G$11=$E$11,$F$11,IF(U212&lt;($F$11-$E$11)/($G$11-$E$11),$E$11+SQRT(U212*($G$11-$E$11)*($F$11-$E$11)),$G$11-SQRT((1-U212)*($G$11-$E$11)*($G$11-$F$11))))</f>
        <v>0.108734657670844</v>
      </c>
      <c r="H212" s="39" t="n">
        <f aca="false">(('Business Case'!B11*$C212*'Business Case'!B12*$B212)-'Business Case'!B11*$C212*'Business Case'!B13*$D212-'Business Case'!B14*$E212)-MAX(0,(('Business Case'!B11*$C212*'Business Case'!B12*$B212)-'Business Case'!B11*$C212*'Business Case'!B13*$D212-'Business Case'!B14*$E212))*'Business Case'!$B$7-'Business Case'!$B$8*('Business Case'!B11*$C212*'Business Case'!B12*$B212)-'Business Case'!B15*$F212</f>
        <v>-2092588177.87755</v>
      </c>
      <c r="I212" s="39" t="n">
        <f aca="false">(('Business Case'!C11*$C212*'Business Case'!C12*$B212)-'Business Case'!C11*$C212*'Business Case'!C13*$D212-'Business Case'!C14*$E212)-MAX(0,(('Business Case'!C11*$C212*'Business Case'!C12*$B212)-'Business Case'!C11*$C212*'Business Case'!C13*$D212-'Business Case'!C14*$E212))*'Business Case'!$B$7-'Business Case'!$B$8*(('Business Case'!C11*$C212*'Business Case'!C12*$B212)-('Business Case'!B11*$C212*'Business Case'!B12*$B212))-'Business Case'!C15*$F212</f>
        <v>18102912.8934731</v>
      </c>
      <c r="J212" s="39" t="n">
        <f aca="false">(('Business Case'!D11*$C212*'Business Case'!D12*$B212)-'Business Case'!D11*$C212*'Business Case'!D13*$D212-'Business Case'!D14*$E212)-MAX(0,(('Business Case'!D11*$C212*'Business Case'!D12*$B212)-'Business Case'!D11*$C212*'Business Case'!D13*$D212-'Business Case'!D14*$E212))*'Business Case'!$B$7-'Business Case'!$B$8*(('Business Case'!D11*$C212*'Business Case'!D12*$B212)-('Business Case'!C11*$C212*'Business Case'!C12*$B212))-'Business Case'!D15*$F212</f>
        <v>334643465.202648</v>
      </c>
      <c r="K212" s="39" t="n">
        <f aca="false">(('Business Case'!E11*$C212*'Business Case'!E12*$B212)-'Business Case'!E11*$C212*'Business Case'!E13*$D212-'Business Case'!E14*$E212)-MAX(0,(('Business Case'!E11*$C212*'Business Case'!E12*$B212)-'Business Case'!E11*$C212*'Business Case'!E13*$D212-'Business Case'!E14*$E212))*'Business Case'!$B$7-'Business Case'!$B$8*(('Business Case'!E11*$C212*'Business Case'!E12*$B212)-('Business Case'!D11*$C212*'Business Case'!D12*$B212))-'Business Case'!E15*$F212</f>
        <v>703498721.958761</v>
      </c>
      <c r="L212" s="39" t="n">
        <f aca="false">(('Business Case'!F11*$C212*'Business Case'!F12*$B212)-'Business Case'!F11*$C212*'Business Case'!F13*$D212-'Business Case'!F14*$E212)-MAX(0,(('Business Case'!F11*$C212*'Business Case'!F12*$B212)-'Business Case'!F11*$C212*'Business Case'!F13*$D212-'Business Case'!F14*$E212))*'Business Case'!$B$7-'Business Case'!$B$8*(('Business Case'!F11*$C212*'Business Case'!F12*$B212)-('Business Case'!E11*$C212*'Business Case'!E12*$B212))-'Business Case'!F15*$F212</f>
        <v>843041378.671986</v>
      </c>
      <c r="M212" s="39" t="n">
        <f aca="false">(('Business Case'!G11*$C212*'Business Case'!G12*$B212)-'Business Case'!G11*$C212*'Business Case'!G13*$D212-'Business Case'!G14*$E212)-MAX(0,(('Business Case'!G11*$C212*'Business Case'!G12*$B212)-'Business Case'!G11*$C212*'Business Case'!G13*$D212-'Business Case'!G14*$E212))*'Business Case'!$B$7-'Business Case'!$B$8*(('Business Case'!G11*$C212*'Business Case'!G12*$B212)-('Business Case'!F11*$C212*'Business Case'!F12*$B212))-'Business Case'!G15*$F212+'Business Case'!$B$8*('Business Case'!G11*$C212*'Business Case'!G12*$B212)</f>
        <v>1030201644.69457</v>
      </c>
      <c r="N212" s="39" t="n">
        <f aca="false">IF(COUNT('Business Case'!B11:G11)=0,"",H212+NPV(G212,I212:M212))</f>
        <v>-115132755.815822</v>
      </c>
      <c r="P212" s="40" t="n">
        <f aca="true">RAND()</f>
        <v>0.953790836605558</v>
      </c>
      <c r="Q212" s="40" t="n">
        <f aca="true">RAND()</f>
        <v>0.368112081419236</v>
      </c>
      <c r="R212" s="40" t="n">
        <f aca="true">RAND()</f>
        <v>0.331484143685565</v>
      </c>
      <c r="S212" s="40" t="n">
        <f aca="true">RAND()</f>
        <v>0.385214824068253</v>
      </c>
      <c r="T212" s="40" t="n">
        <f aca="true">RAND()</f>
        <v>0.527489858096778</v>
      </c>
      <c r="U212" s="40" t="n">
        <f aca="true">RAND()</f>
        <v>0.788486770344889</v>
      </c>
    </row>
    <row r="213" customFormat="false" ht="15" hidden="false" customHeight="false" outlineLevel="0" collapsed="false">
      <c r="A213" s="36" t="n">
        <v>133</v>
      </c>
      <c r="B213" s="37" t="n">
        <f aca="false">1+IF($G$6=$E$6,$F$6,IF(P213&lt;($F$6-$E$6)/($G$6-$E$6),$E$6+SQRT(P213*($G$6-$E$6)*($F$6-$E$6)),$G$6-SQRT((1-P213)*($G$6-$E$6)*($G$6-$F$6))))</f>
        <v>1.01406789864343</v>
      </c>
      <c r="C213" s="37" t="n">
        <f aca="false">1+IF($G$7=$E$7,$F$7,IF(Q213&lt;($F$7-$E$7)/($G$7-$E$7),$E$7+SQRT(Q213*($G$7-$E$7)*($F$7-$E$7)),$G$7-SQRT((1-Q213)*($G$7-$E$7)*($G$7-$F$7))))</f>
        <v>0.921252103791493</v>
      </c>
      <c r="D213" s="37" t="n">
        <f aca="false">1+IF($G$8=$E$8,$F$8,IF(R213&lt;($F$8-$E$8)/($G$8-$E$8),$E$8+SQRT(R213*($G$8-$E$8)*($F$8-$E$8)),$G$8-SQRT((1-R213)*($G$8-$E$8)*($G$8-$F$8))))</f>
        <v>1.00841354705319</v>
      </c>
      <c r="E213" s="37" t="n">
        <f aca="false">1+IF($G$9=$E$9,$F$9,IF(S213&lt;($F$9-$E$9)/($G$9-$E$9),$E$9+SQRT(S213*($G$9-$E$9)*($F$9-$E$9)),$G$9-SQRT((1-S213)*($G$9-$E$9)*($G$9-$F$9))))</f>
        <v>1.01311531649066</v>
      </c>
      <c r="F213" s="37" t="n">
        <f aca="false">1+IF($G$10=$E$10,$F$10,IF(T213&lt;($F$10-$E$10)/($G$10-$E$10),$E$10+SQRT(T213*($G$10-$E$10)*($F$10-$E$10)),$G$10-SQRT((1-T213)*($G$10-$E$10)*($G$10-$F$10))))</f>
        <v>0.962466027785802</v>
      </c>
      <c r="G213" s="38" t="n">
        <f aca="false">IF($G$11=$E$11,$F$11,IF(U213&lt;($F$11-$E$11)/($G$11-$E$11),$E$11+SQRT(U213*($G$11-$E$11)*($F$11-$E$11)),$G$11-SQRT((1-U213)*($G$11-$E$11)*($G$11-$F$11))))</f>
        <v>0.107666074213042</v>
      </c>
      <c r="H213" s="39" t="n">
        <f aca="false">(('Business Case'!B11*$C213*'Business Case'!B12*$B213)-'Business Case'!B11*$C213*'Business Case'!B13*$D213-'Business Case'!B14*$E213)-MAX(0,(('Business Case'!B11*$C213*'Business Case'!B12*$B213)-'Business Case'!B11*$C213*'Business Case'!B13*$D213-'Business Case'!B14*$E213))*'Business Case'!$B$7-'Business Case'!$B$8*('Business Case'!B11*$C213*'Business Case'!B12*$B213)-'Business Case'!B15*$F213</f>
        <v>-1924932055.5716</v>
      </c>
      <c r="I213" s="39" t="n">
        <f aca="false">(('Business Case'!C11*$C213*'Business Case'!C12*$B213)-'Business Case'!C11*$C213*'Business Case'!C13*$D213-'Business Case'!C14*$E213)-MAX(0,(('Business Case'!C11*$C213*'Business Case'!C12*$B213)-'Business Case'!C11*$C213*'Business Case'!C13*$D213-'Business Case'!C14*$E213))*'Business Case'!$B$7-'Business Case'!$B$8*(('Business Case'!C11*$C213*'Business Case'!C12*$B213)-('Business Case'!B11*$C213*'Business Case'!B12*$B213))-'Business Case'!C15*$F213</f>
        <v>870614.518360809</v>
      </c>
      <c r="J213" s="39" t="n">
        <f aca="false">(('Business Case'!D11*$C213*'Business Case'!D12*$B213)-'Business Case'!D11*$C213*'Business Case'!D13*$D213-'Business Case'!D14*$E213)-MAX(0,(('Business Case'!D11*$C213*'Business Case'!D12*$B213)-'Business Case'!D11*$C213*'Business Case'!D13*$D213-'Business Case'!D14*$E213))*'Business Case'!$B$7-'Business Case'!$B$8*(('Business Case'!D11*$C213*'Business Case'!D12*$B213)-('Business Case'!C11*$C213*'Business Case'!C12*$B213))-'Business Case'!D15*$F213</f>
        <v>290482389.491331</v>
      </c>
      <c r="K213" s="39" t="n">
        <f aca="false">(('Business Case'!E11*$C213*'Business Case'!E12*$B213)-'Business Case'!E11*$C213*'Business Case'!E13*$D213-'Business Case'!E14*$E213)-MAX(0,(('Business Case'!E11*$C213*'Business Case'!E12*$B213)-'Business Case'!E11*$C213*'Business Case'!E13*$D213-'Business Case'!E14*$E213))*'Business Case'!$B$7-'Business Case'!$B$8*(('Business Case'!E11*$C213*'Business Case'!E12*$B213)-('Business Case'!D11*$C213*'Business Case'!D12*$B213))-'Business Case'!E15*$F213</f>
        <v>628217465.853592</v>
      </c>
      <c r="L213" s="39" t="n">
        <f aca="false">(('Business Case'!F11*$C213*'Business Case'!F12*$B213)-'Business Case'!F11*$C213*'Business Case'!F13*$D213-'Business Case'!F14*$E213)-MAX(0,(('Business Case'!F11*$C213*'Business Case'!F12*$B213)-'Business Case'!F11*$C213*'Business Case'!F13*$D213-'Business Case'!F14*$E213))*'Business Case'!$B$7-'Business Case'!$B$8*(('Business Case'!F11*$C213*'Business Case'!F12*$B213)-('Business Case'!E11*$C213*'Business Case'!E12*$B213))-'Business Case'!F15*$F213</f>
        <v>757041097.291953</v>
      </c>
      <c r="M213" s="39" t="n">
        <f aca="false">(('Business Case'!G11*$C213*'Business Case'!G12*$B213)-'Business Case'!G11*$C213*'Business Case'!G13*$D213-'Business Case'!G14*$E213)-MAX(0,(('Business Case'!G11*$C213*'Business Case'!G12*$B213)-'Business Case'!G11*$C213*'Business Case'!G13*$D213-'Business Case'!G14*$E213))*'Business Case'!$B$7-'Business Case'!$B$8*(('Business Case'!G11*$C213*'Business Case'!G12*$B213)-('Business Case'!F11*$C213*'Business Case'!F12*$B213))-'Business Case'!G15*$F213+'Business Case'!$B$8*('Business Case'!G11*$C213*'Business Case'!G12*$B213)</f>
        <v>934616149.419163</v>
      </c>
      <c r="N213" s="39" t="n">
        <f aca="false">IF(COUNT('Business Case'!B11:G11)=0,"",H213+NPV(G213,I213:M213))</f>
        <v>-161712450.137382</v>
      </c>
      <c r="P213" s="40" t="n">
        <f aca="true">RAND()</f>
        <v>0.859901274840098</v>
      </c>
      <c r="Q213" s="40" t="n">
        <f aca="true">RAND()</f>
        <v>0.210029609626613</v>
      </c>
      <c r="R213" s="40" t="n">
        <f aca="true">RAND()</f>
        <v>0.507248053316685</v>
      </c>
      <c r="S213" s="40" t="n">
        <f aca="true">RAND()</f>
        <v>0.496736784765496</v>
      </c>
      <c r="T213" s="40" t="n">
        <f aca="true">RAND()</f>
        <v>0.0124321479005101</v>
      </c>
      <c r="U213" s="40" t="n">
        <f aca="true">RAND()</f>
        <v>0.746457124469696</v>
      </c>
    </row>
    <row r="214" customFormat="false" ht="15" hidden="false" customHeight="false" outlineLevel="0" collapsed="false">
      <c r="A214" s="36" t="n">
        <v>134</v>
      </c>
      <c r="B214" s="37" t="n">
        <f aca="false">1+IF($G$6=$E$6,$F$6,IF(P214&lt;($F$6-$E$6)/($G$6-$E$6),$E$6+SQRT(P214*($G$6-$E$6)*($F$6-$E$6)),$G$6-SQRT((1-P214)*($G$6-$E$6)*($G$6-$F$6))))</f>
        <v>0.978439773631318</v>
      </c>
      <c r="C214" s="37" t="n">
        <f aca="false">1+IF($G$7=$E$7,$F$7,IF(Q214&lt;($F$7-$E$7)/($G$7-$E$7),$E$7+SQRT(Q214*($G$7-$E$7)*($F$7-$E$7)),$G$7-SQRT((1-Q214)*($G$7-$E$7)*($G$7-$F$7))))</f>
        <v>1.10415803587194</v>
      </c>
      <c r="D214" s="37" t="n">
        <f aca="false">1+IF($G$8=$E$8,$F$8,IF(R214&lt;($F$8-$E$8)/($G$8-$E$8),$E$8+SQRT(R214*($G$8-$E$8)*($F$8-$E$8)),$G$8-SQRT((1-R214)*($G$8-$E$8)*($G$8-$F$8))))</f>
        <v>1.06056297816809</v>
      </c>
      <c r="E214" s="37" t="n">
        <f aca="false">1+IF($G$9=$E$9,$F$9,IF(S214&lt;($F$9-$E$9)/($G$9-$E$9),$E$9+SQRT(S214*($G$9-$E$9)*($F$9-$E$9)),$G$9-SQRT((1-S214)*($G$9-$E$9)*($G$9-$F$9))))</f>
        <v>1.0096135299065</v>
      </c>
      <c r="F214" s="37" t="n">
        <f aca="false">1+IF($G$10=$E$10,$F$10,IF(T214&lt;($F$10-$E$10)/($G$10-$E$10),$E$10+SQRT(T214*($G$10-$E$10)*($F$10-$E$10)),$G$10-SQRT((1-T214)*($G$10-$E$10)*($G$10-$F$10))))</f>
        <v>1.0559850837121</v>
      </c>
      <c r="G214" s="38" t="n">
        <f aca="false">IF($G$11=$E$11,$F$11,IF(U214&lt;($F$11-$E$11)/($G$11-$E$11),$E$11+SQRT(U214*($G$11-$E$11)*($F$11-$E$11)),$G$11-SQRT((1-U214)*($G$11-$E$11)*($G$11-$F$11))))</f>
        <v>0.0982606574058619</v>
      </c>
      <c r="H214" s="39" t="n">
        <f aca="false">(('Business Case'!B11*$C214*'Business Case'!B12*$B214)-'Business Case'!B11*$C214*'Business Case'!B13*$D214-'Business Case'!B14*$E214)-MAX(0,(('Business Case'!B11*$C214*'Business Case'!B12*$B214)-'Business Case'!B11*$C214*'Business Case'!B13*$D214-'Business Case'!B14*$E214))*'Business Case'!$B$7-'Business Case'!$B$8*('Business Case'!B11*$C214*'Business Case'!B12*$B214)-'Business Case'!B15*$F214</f>
        <v>-2111970167.42419</v>
      </c>
      <c r="I214" s="39" t="n">
        <f aca="false">(('Business Case'!C11*$C214*'Business Case'!C12*$B214)-'Business Case'!C11*$C214*'Business Case'!C13*$D214-'Business Case'!C14*$E214)-MAX(0,(('Business Case'!C11*$C214*'Business Case'!C12*$B214)-'Business Case'!C11*$C214*'Business Case'!C13*$D214-'Business Case'!C14*$E214))*'Business Case'!$B$7-'Business Case'!$B$8*(('Business Case'!C11*$C214*'Business Case'!C12*$B214)-('Business Case'!B11*$C214*'Business Case'!B12*$B214))-'Business Case'!C15*$F214</f>
        <v>-19758055.0007215</v>
      </c>
      <c r="J214" s="39" t="n">
        <f aca="false">(('Business Case'!D11*$C214*'Business Case'!D12*$B214)-'Business Case'!D11*$C214*'Business Case'!D13*$D214-'Business Case'!D14*$E214)-MAX(0,(('Business Case'!D11*$C214*'Business Case'!D12*$B214)-'Business Case'!D11*$C214*'Business Case'!D13*$D214-'Business Case'!D14*$E214))*'Business Case'!$B$7-'Business Case'!$B$8*(('Business Case'!D11*$C214*'Business Case'!D12*$B214)-('Business Case'!C11*$C214*'Business Case'!C12*$B214))-'Business Case'!D15*$F214</f>
        <v>265654897.191213</v>
      </c>
      <c r="K214" s="39" t="n">
        <f aca="false">(('Business Case'!E11*$C214*'Business Case'!E12*$B214)-'Business Case'!E11*$C214*'Business Case'!E13*$D214-'Business Case'!E14*$E214)-MAX(0,(('Business Case'!E11*$C214*'Business Case'!E12*$B214)-'Business Case'!E11*$C214*'Business Case'!E13*$D214-'Business Case'!E14*$E214))*'Business Case'!$B$7-'Business Case'!$B$8*(('Business Case'!E11*$C214*'Business Case'!E12*$B214)-('Business Case'!D11*$C214*'Business Case'!D12*$B214))-'Business Case'!E15*$F214</f>
        <v>603867103.568753</v>
      </c>
      <c r="L214" s="39" t="n">
        <f aca="false">(('Business Case'!F11*$C214*'Business Case'!F12*$B214)-'Business Case'!F11*$C214*'Business Case'!F13*$D214-'Business Case'!F14*$E214)-MAX(0,(('Business Case'!F11*$C214*'Business Case'!F12*$B214)-'Business Case'!F11*$C214*'Business Case'!F13*$D214-'Business Case'!F14*$E214))*'Business Case'!$B$7-'Business Case'!$B$8*(('Business Case'!F11*$C214*'Business Case'!F12*$B214)-('Business Case'!E11*$C214*'Business Case'!E12*$B214))-'Business Case'!F15*$F214</f>
        <v>736341724.211893</v>
      </c>
      <c r="M214" s="39" t="n">
        <f aca="false">(('Business Case'!G11*$C214*'Business Case'!G12*$B214)-'Business Case'!G11*$C214*'Business Case'!G13*$D214-'Business Case'!G14*$E214)-MAX(0,(('Business Case'!G11*$C214*'Business Case'!G12*$B214)-'Business Case'!G11*$C214*'Business Case'!G13*$D214-'Business Case'!G14*$E214))*'Business Case'!$B$7-'Business Case'!$B$8*(('Business Case'!G11*$C214*'Business Case'!G12*$B214)-('Business Case'!F11*$C214*'Business Case'!F12*$B214))-'Business Case'!G15*$F214+'Business Case'!$B$8*('Business Case'!G11*$C214*'Business Case'!G12*$B214)</f>
        <v>941695058.730617</v>
      </c>
      <c r="N214" s="39" t="n">
        <f aca="false">IF(COUNT('Business Case'!B11:G11)=0,"",H214+NPV(G214,I214:M214))</f>
        <v>-358373430.740036</v>
      </c>
      <c r="P214" s="40" t="n">
        <f aca="true">RAND()</f>
        <v>0.35575074396663</v>
      </c>
      <c r="Q214" s="40" t="n">
        <f aca="true">RAND()</f>
        <v>0.95997170142631</v>
      </c>
      <c r="R214" s="40" t="n">
        <f aca="true">RAND()</f>
        <v>0.963673286760169</v>
      </c>
      <c r="S214" s="40" t="n">
        <f aca="true">RAND()</f>
        <v>0.455352401602414</v>
      </c>
      <c r="T214" s="40" t="n">
        <f aca="true">RAND()</f>
        <v>0.585194077731764</v>
      </c>
      <c r="U214" s="40" t="n">
        <f aca="true">RAND()</f>
        <v>0.227461535923403</v>
      </c>
    </row>
    <row r="215" customFormat="false" ht="15" hidden="false" customHeight="false" outlineLevel="0" collapsed="false">
      <c r="A215" s="36" t="n">
        <v>135</v>
      </c>
      <c r="B215" s="37" t="n">
        <f aca="false">1+IF($G$6=$E$6,$F$6,IF(P215&lt;($F$6-$E$6)/($G$6-$E$6),$E$6+SQRT(P215*($G$6-$E$6)*($F$6-$E$6)),$G$6-SQRT((1-P215)*($G$6-$E$6)*($G$6-$F$6))))</f>
        <v>0.969637496517537</v>
      </c>
      <c r="C215" s="37" t="n">
        <f aca="false">1+IF($G$7=$E$7,$F$7,IF(Q215&lt;($F$7-$E$7)/($G$7-$E$7),$E$7+SQRT(Q215*($G$7-$E$7)*($F$7-$E$7)),$G$7-SQRT((1-Q215)*($G$7-$E$7)*($G$7-$F$7))))</f>
        <v>1.01445180513402</v>
      </c>
      <c r="D215" s="37" t="n">
        <f aca="false">1+IF($G$8=$E$8,$F$8,IF(R215&lt;($F$8-$E$8)/($G$8-$E$8),$E$8+SQRT(R215*($G$8-$E$8)*($F$8-$E$8)),$G$8-SQRT((1-R215)*($G$8-$E$8)*($G$8-$F$8))))</f>
        <v>0.974259862826271</v>
      </c>
      <c r="E215" s="37" t="n">
        <f aca="false">1+IF($G$9=$E$9,$F$9,IF(S215&lt;($F$9-$E$9)/($G$9-$E$9),$E$9+SQRT(S215*($G$9-$E$9)*($F$9-$E$9)),$G$9-SQRT((1-S215)*($G$9-$E$9)*($G$9-$F$9))))</f>
        <v>1.03542153012566</v>
      </c>
      <c r="F215" s="37" t="n">
        <f aca="false">1+IF($G$10=$E$10,$F$10,IF(T215&lt;($F$10-$E$10)/($G$10-$E$10),$E$10+SQRT(T215*($G$10-$E$10)*($F$10-$E$10)),$G$10-SQRT((1-T215)*($G$10-$E$10)*($G$10-$F$10))))</f>
        <v>0.983691451069558</v>
      </c>
      <c r="G215" s="38" t="n">
        <f aca="false">IF($G$11=$E$11,$F$11,IF(U215&lt;($F$11-$E$11)/($G$11-$E$11),$E$11+SQRT(U215*($G$11-$E$11)*($F$11-$E$11)),$G$11-SQRT((1-U215)*($G$11-$E$11)*($G$11-$F$11))))</f>
        <v>0.101259533806777</v>
      </c>
      <c r="H215" s="39" t="n">
        <f aca="false">(('Business Case'!B11*$C215*'Business Case'!B12*$B215)-'Business Case'!B11*$C215*'Business Case'!B13*$D215-'Business Case'!B14*$E215)-MAX(0,(('Business Case'!B11*$C215*'Business Case'!B12*$B215)-'Business Case'!B11*$C215*'Business Case'!B13*$D215-'Business Case'!B14*$E215))*'Business Case'!$B$7-'Business Case'!$B$8*('Business Case'!B11*$C215*'Business Case'!B12*$B215)-'Business Case'!B15*$F215</f>
        <v>-1967382902.13912</v>
      </c>
      <c r="I215" s="39" t="n">
        <f aca="false">(('Business Case'!C11*$C215*'Business Case'!C12*$B215)-'Business Case'!C11*$C215*'Business Case'!C13*$D215-'Business Case'!C14*$E215)-MAX(0,(('Business Case'!C11*$C215*'Business Case'!C12*$B215)-'Business Case'!C11*$C215*'Business Case'!C13*$D215-'Business Case'!C14*$E215))*'Business Case'!$B$7-'Business Case'!$B$8*(('Business Case'!C11*$C215*'Business Case'!C12*$B215)-('Business Case'!B11*$C215*'Business Case'!B12*$B215))-'Business Case'!C15*$F215</f>
        <v>3131213.17451653</v>
      </c>
      <c r="J215" s="39" t="n">
        <f aca="false">(('Business Case'!D11*$C215*'Business Case'!D12*$B215)-'Business Case'!D11*$C215*'Business Case'!D13*$D215-'Business Case'!D14*$E215)-MAX(0,(('Business Case'!D11*$C215*'Business Case'!D12*$B215)-'Business Case'!D11*$C215*'Business Case'!D13*$D215-'Business Case'!D14*$E215))*'Business Case'!$B$7-'Business Case'!$B$8*(('Business Case'!D11*$C215*'Business Case'!D12*$B215)-('Business Case'!C11*$C215*'Business Case'!C12*$B215))-'Business Case'!D15*$F215</f>
        <v>302860955.409198</v>
      </c>
      <c r="K215" s="39" t="n">
        <f aca="false">(('Business Case'!E11*$C215*'Business Case'!E12*$B215)-'Business Case'!E11*$C215*'Business Case'!E13*$D215-'Business Case'!E14*$E215)-MAX(0,(('Business Case'!E11*$C215*'Business Case'!E12*$B215)-'Business Case'!E11*$C215*'Business Case'!E13*$D215-'Business Case'!E14*$E215))*'Business Case'!$B$7-'Business Case'!$B$8*(('Business Case'!E11*$C215*'Business Case'!E12*$B215)-('Business Case'!D11*$C215*'Business Case'!D12*$B215))-'Business Case'!E15*$F215</f>
        <v>651775270.197359</v>
      </c>
      <c r="L215" s="39" t="n">
        <f aca="false">(('Business Case'!F11*$C215*'Business Case'!F12*$B215)-'Business Case'!F11*$C215*'Business Case'!F13*$D215-'Business Case'!F14*$E215)-MAX(0,(('Business Case'!F11*$C215*'Business Case'!F12*$B215)-'Business Case'!F11*$C215*'Business Case'!F13*$D215-'Business Case'!F14*$E215))*'Business Case'!$B$7-'Business Case'!$B$8*(('Business Case'!F11*$C215*'Business Case'!F12*$B215)-('Business Case'!E11*$C215*'Business Case'!E12*$B215))-'Business Case'!F15*$F215</f>
        <v>785680145.855147</v>
      </c>
      <c r="M215" s="39" t="n">
        <f aca="false">(('Business Case'!G11*$C215*'Business Case'!G12*$B215)-'Business Case'!G11*$C215*'Business Case'!G13*$D215-'Business Case'!G14*$E215)-MAX(0,(('Business Case'!G11*$C215*'Business Case'!G12*$B215)-'Business Case'!G11*$C215*'Business Case'!G13*$D215-'Business Case'!G14*$E215))*'Business Case'!$B$7-'Business Case'!$B$8*(('Business Case'!G11*$C215*'Business Case'!G12*$B215)-('Business Case'!F11*$C215*'Business Case'!F12*$B215))-'Business Case'!G15*$F215+'Business Case'!$B$8*('Business Case'!G11*$C215*'Business Case'!G12*$B215)</f>
        <v>972652434.542732</v>
      </c>
      <c r="N215" s="39" t="n">
        <f aca="false">IF(COUNT('Business Case'!B11:G11)=0,"",H215+NPV(G215,I215:M215))</f>
        <v>-92129249.9945927</v>
      </c>
      <c r="P215" s="40" t="n">
        <f aca="true">RAND()</f>
        <v>0.256654277138384</v>
      </c>
      <c r="Q215" s="40" t="n">
        <f aca="true">RAND()</f>
        <v>0.650032130830007</v>
      </c>
      <c r="R215" s="40" t="n">
        <f aca="true">RAND()</f>
        <v>0.0905447606691495</v>
      </c>
      <c r="S215" s="40" t="n">
        <f aca="true">RAND()</f>
        <v>0.721974748579228</v>
      </c>
      <c r="T215" s="40" t="n">
        <f aca="true">RAND()</f>
        <v>0.0908091100137917</v>
      </c>
      <c r="U215" s="40" t="n">
        <f aca="true">RAND()</f>
        <v>0.414658211434472</v>
      </c>
    </row>
    <row r="216" customFormat="false" ht="15" hidden="false" customHeight="false" outlineLevel="0" collapsed="false">
      <c r="A216" s="36" t="n">
        <v>136</v>
      </c>
      <c r="B216" s="37" t="n">
        <f aca="false">1+IF($G$6=$E$6,$F$6,IF(P216&lt;($F$6-$E$6)/($G$6-$E$6),$E$6+SQRT(P216*($G$6-$E$6)*($F$6-$E$6)),$G$6-SQRT((1-P216)*($G$6-$E$6)*($G$6-$F$6))))</f>
        <v>0.982659418367251</v>
      </c>
      <c r="C216" s="37" t="n">
        <f aca="false">1+IF($G$7=$E$7,$F$7,IF(Q216&lt;($F$7-$E$7)/($G$7-$E$7),$E$7+SQRT(Q216*($G$7-$E$7)*($F$7-$E$7)),$G$7-SQRT((1-Q216)*($G$7-$E$7)*($G$7-$F$7))))</f>
        <v>1.09815354907324</v>
      </c>
      <c r="D216" s="37" t="n">
        <f aca="false">1+IF($G$8=$E$8,$F$8,IF(R216&lt;($F$8-$E$8)/($G$8-$E$8),$E$8+SQRT(R216*($G$8-$E$8)*($F$8-$E$8)),$G$8-SQRT((1-R216)*($G$8-$E$8)*($G$8-$F$8))))</f>
        <v>0.970944480494252</v>
      </c>
      <c r="E216" s="37" t="n">
        <f aca="false">1+IF($G$9=$E$9,$F$9,IF(S216&lt;($F$9-$E$9)/($G$9-$E$9),$E$9+SQRT(S216*($G$9-$E$9)*($F$9-$E$9)),$G$9-SQRT((1-S216)*($G$9-$E$9)*($G$9-$F$9))))</f>
        <v>0.983616368849113</v>
      </c>
      <c r="F216" s="37" t="n">
        <f aca="false">1+IF($G$10=$E$10,$F$10,IF(T216&lt;($F$10-$E$10)/($G$10-$E$10),$E$10+SQRT(T216*($G$10-$E$10)*($F$10-$E$10)),$G$10-SQRT((1-T216)*($G$10-$E$10)*($G$10-$F$10))))</f>
        <v>1.01087486663258</v>
      </c>
      <c r="G216" s="38" t="n">
        <f aca="false">IF($G$11=$E$11,$F$11,IF(U216&lt;($F$11-$E$11)/($G$11-$E$11),$E$11+SQRT(U216*($G$11-$E$11)*($F$11-$E$11)),$G$11-SQRT((1-U216)*($G$11-$E$11)*($G$11-$F$11))))</f>
        <v>0.0946835876583797</v>
      </c>
      <c r="H216" s="39" t="n">
        <f aca="false">(('Business Case'!B11*$C216*'Business Case'!B12*$B216)-'Business Case'!B11*$C216*'Business Case'!B13*$D216-'Business Case'!B14*$E216)-MAX(0,(('Business Case'!B11*$C216*'Business Case'!B12*$B216)-'Business Case'!B11*$C216*'Business Case'!B13*$D216-'Business Case'!B14*$E216))*'Business Case'!$B$7-'Business Case'!$B$8*('Business Case'!B11*$C216*'Business Case'!B12*$B216)-'Business Case'!B15*$F216</f>
        <v>-2021749733.26515</v>
      </c>
      <c r="I216" s="39" t="n">
        <f aca="false">(('Business Case'!C11*$C216*'Business Case'!C12*$B216)-'Business Case'!C11*$C216*'Business Case'!C13*$D216-'Business Case'!C14*$E216)-MAX(0,(('Business Case'!C11*$C216*'Business Case'!C12*$B216)-'Business Case'!C11*$C216*'Business Case'!C13*$D216-'Business Case'!C14*$E216))*'Business Case'!$B$7-'Business Case'!$B$8*(('Business Case'!C11*$C216*'Business Case'!C12*$B216)-('Business Case'!B11*$C216*'Business Case'!B12*$B216))-'Business Case'!C15*$F216</f>
        <v>41137983.6118706</v>
      </c>
      <c r="J216" s="39" t="n">
        <f aca="false">(('Business Case'!D11*$C216*'Business Case'!D12*$B216)-'Business Case'!D11*$C216*'Business Case'!D13*$D216-'Business Case'!D14*$E216)-MAX(0,(('Business Case'!D11*$C216*'Business Case'!D12*$B216)-'Business Case'!D11*$C216*'Business Case'!D13*$D216-'Business Case'!D14*$E216))*'Business Case'!$B$7-'Business Case'!$B$8*(('Business Case'!D11*$C216*'Business Case'!D12*$B216)-('Business Case'!C11*$C216*'Business Case'!C12*$B216))-'Business Case'!D15*$F216</f>
        <v>379174812.035026</v>
      </c>
      <c r="K216" s="39" t="n">
        <f aca="false">(('Business Case'!E11*$C216*'Business Case'!E12*$B216)-'Business Case'!E11*$C216*'Business Case'!E13*$D216-'Business Case'!E14*$E216)-MAX(0,(('Business Case'!E11*$C216*'Business Case'!E12*$B216)-'Business Case'!E11*$C216*'Business Case'!E13*$D216-'Business Case'!E14*$E216))*'Business Case'!$B$7-'Business Case'!$B$8*(('Business Case'!E11*$C216*'Business Case'!E12*$B216)-('Business Case'!D11*$C216*'Business Case'!D12*$B216))-'Business Case'!E15*$F216</f>
        <v>767755383.78981</v>
      </c>
      <c r="L216" s="39" t="n">
        <f aca="false">(('Business Case'!F11*$C216*'Business Case'!F12*$B216)-'Business Case'!F11*$C216*'Business Case'!F13*$D216-'Business Case'!F14*$E216)-MAX(0,(('Business Case'!F11*$C216*'Business Case'!F12*$B216)-'Business Case'!F11*$C216*'Business Case'!F13*$D216-'Business Case'!F14*$E216))*'Business Case'!$B$7-'Business Case'!$B$8*(('Business Case'!F11*$C216*'Business Case'!F12*$B216)-('Business Case'!E11*$C216*'Business Case'!E12*$B216))-'Business Case'!F15*$F216</f>
        <v>917728400.26265</v>
      </c>
      <c r="M216" s="39" t="n">
        <f aca="false">(('Business Case'!G11*$C216*'Business Case'!G12*$B216)-'Business Case'!G11*$C216*'Business Case'!G13*$D216-'Business Case'!G14*$E216)-MAX(0,(('Business Case'!G11*$C216*'Business Case'!G12*$B216)-'Business Case'!G11*$C216*'Business Case'!G13*$D216-'Business Case'!G14*$E216))*'Business Case'!$B$7-'Business Case'!$B$8*(('Business Case'!G11*$C216*'Business Case'!G12*$B216)-('Business Case'!F11*$C216*'Business Case'!F12*$B216))-'Business Case'!G15*$F216+'Business Case'!$B$8*('Business Case'!G11*$C216*'Business Case'!G12*$B216)</f>
        <v>1122845805.42082</v>
      </c>
      <c r="N216" s="39" t="n">
        <f aca="false">IF(COUNT('Business Case'!B11:G11)=0,"",H216+NPV(G216,I216:M216))</f>
        <v>270900698.522644</v>
      </c>
      <c r="P216" s="40" t="n">
        <f aca="true">RAND()</f>
        <v>0.408979448971063</v>
      </c>
      <c r="Q216" s="40" t="n">
        <f aca="true">RAND()</f>
        <v>0.948798962405693</v>
      </c>
      <c r="R216" s="40" t="n">
        <f aca="true">RAND()</f>
        <v>0.0674878866421691</v>
      </c>
      <c r="S216" s="40" t="n">
        <f aca="true">RAND()</f>
        <v>0.150674700613285</v>
      </c>
      <c r="T216" s="40" t="n">
        <f aca="true">RAND()</f>
        <v>0.284633678575085</v>
      </c>
      <c r="U216" s="40" t="n">
        <f aca="true">RAND()</f>
        <v>0.0731199778457549</v>
      </c>
    </row>
    <row r="217" customFormat="false" ht="15" hidden="false" customHeight="false" outlineLevel="0" collapsed="false">
      <c r="A217" s="36" t="n">
        <v>137</v>
      </c>
      <c r="B217" s="37" t="n">
        <f aca="false">1+IF($G$6=$E$6,$F$6,IF(P217&lt;($F$6-$E$6)/($G$6-$E$6),$E$6+SQRT(P217*($G$6-$E$6)*($F$6-$E$6)),$G$6-SQRT((1-P217)*($G$6-$E$6)*($G$6-$F$6))))</f>
        <v>0.993233801421383</v>
      </c>
      <c r="C217" s="37" t="n">
        <f aca="false">1+IF($G$7=$E$7,$F$7,IF(Q217&lt;($F$7-$E$7)/($G$7-$E$7),$E$7+SQRT(Q217*($G$7-$E$7)*($F$7-$E$7)),$G$7-SQRT((1-Q217)*($G$7-$E$7)*($G$7-$F$7))))</f>
        <v>1.03280051950472</v>
      </c>
      <c r="D217" s="37" t="n">
        <f aca="false">1+IF($G$8=$E$8,$F$8,IF(R217&lt;($F$8-$E$8)/($G$8-$E$8),$E$8+SQRT(R217*($G$8-$E$8)*($F$8-$E$8)),$G$8-SQRT((1-R217)*($G$8-$E$8)*($G$8-$F$8))))</f>
        <v>1.02533514272775</v>
      </c>
      <c r="E217" s="37" t="n">
        <f aca="false">1+IF($G$9=$E$9,$F$9,IF(S217&lt;($F$9-$E$9)/($G$9-$E$9),$E$9+SQRT(S217*($G$9-$E$9)*($F$9-$E$9)),$G$9-SQRT((1-S217)*($G$9-$E$9)*($G$9-$F$9))))</f>
        <v>0.964850966505502</v>
      </c>
      <c r="F217" s="37" t="n">
        <f aca="false">1+IF($G$10=$E$10,$F$10,IF(T217&lt;($F$10-$E$10)/($G$10-$E$10),$E$10+SQRT(T217*($G$10-$E$10)*($F$10-$E$10)),$G$10-SQRT((1-T217)*($G$10-$E$10)*($G$10-$F$10))))</f>
        <v>1.03628436633508</v>
      </c>
      <c r="G217" s="38" t="n">
        <f aca="false">IF($G$11=$E$11,$F$11,IF(U217&lt;($F$11-$E$11)/($G$11-$E$11),$E$11+SQRT(U217*($G$11-$E$11)*($F$11-$E$11)),$G$11-SQRT((1-U217)*($G$11-$E$11)*($G$11-$F$11))))</f>
        <v>0.0974200907664918</v>
      </c>
      <c r="H217" s="39" t="n">
        <f aca="false">(('Business Case'!B11*$C217*'Business Case'!B12*$B217)-'Business Case'!B11*$C217*'Business Case'!B13*$D217-'Business Case'!B14*$E217)-MAX(0,(('Business Case'!B11*$C217*'Business Case'!B12*$B217)-'Business Case'!B11*$C217*'Business Case'!B13*$D217-'Business Case'!B14*$E217))*'Business Case'!$B$7-'Business Case'!$B$8*('Business Case'!B11*$C217*'Business Case'!B12*$B217)-'Business Case'!B15*$F217</f>
        <v>-2072568732.67017</v>
      </c>
      <c r="I217" s="39" t="n">
        <f aca="false">(('Business Case'!C11*$C217*'Business Case'!C12*$B217)-'Business Case'!C11*$C217*'Business Case'!C13*$D217-'Business Case'!C14*$E217)-MAX(0,(('Business Case'!C11*$C217*'Business Case'!C12*$B217)-'Business Case'!C11*$C217*'Business Case'!C13*$D217-'Business Case'!C14*$E217))*'Business Case'!$B$7-'Business Case'!$B$8*(('Business Case'!C11*$C217*'Business Case'!C12*$B217)-('Business Case'!B11*$C217*'Business Case'!B12*$B217))-'Business Case'!C15*$F217</f>
        <v>4099627.81858644</v>
      </c>
      <c r="J217" s="39" t="n">
        <f aca="false">(('Business Case'!D11*$C217*'Business Case'!D12*$B217)-'Business Case'!D11*$C217*'Business Case'!D13*$D217-'Business Case'!D14*$E217)-MAX(0,(('Business Case'!D11*$C217*'Business Case'!D12*$B217)-'Business Case'!D11*$C217*'Business Case'!D13*$D217-'Business Case'!D14*$E217))*'Business Case'!$B$7-'Business Case'!$B$8*(('Business Case'!D11*$C217*'Business Case'!D12*$B217)-('Business Case'!C11*$C217*'Business Case'!C12*$B217))-'Business Case'!D15*$F217</f>
        <v>302207613.803066</v>
      </c>
      <c r="K217" s="39" t="n">
        <f aca="false">(('Business Case'!E11*$C217*'Business Case'!E12*$B217)-'Business Case'!E11*$C217*'Business Case'!E13*$D217-'Business Case'!E14*$E217)-MAX(0,(('Business Case'!E11*$C217*'Business Case'!E12*$B217)-'Business Case'!E11*$C217*'Business Case'!E13*$D217-'Business Case'!E14*$E217))*'Business Case'!$B$7-'Business Case'!$B$8*(('Business Case'!E11*$C217*'Business Case'!E12*$B217)-('Business Case'!D11*$C217*'Business Case'!D12*$B217))-'Business Case'!E15*$F217</f>
        <v>652129818.1043</v>
      </c>
      <c r="L217" s="39" t="n">
        <f aca="false">(('Business Case'!F11*$C217*'Business Case'!F12*$B217)-'Business Case'!F11*$C217*'Business Case'!F13*$D217-'Business Case'!F14*$E217)-MAX(0,(('Business Case'!F11*$C217*'Business Case'!F12*$B217)-'Business Case'!F11*$C217*'Business Case'!F13*$D217-'Business Case'!F14*$E217))*'Business Case'!$B$7-'Business Case'!$B$8*(('Business Case'!F11*$C217*'Business Case'!F12*$B217)-('Business Case'!E11*$C217*'Business Case'!E12*$B217))-'Business Case'!F15*$F217</f>
        <v>786951222.829328</v>
      </c>
      <c r="M217" s="39" t="n">
        <f aca="false">(('Business Case'!G11*$C217*'Business Case'!G12*$B217)-'Business Case'!G11*$C217*'Business Case'!G13*$D217-'Business Case'!G14*$E217)-MAX(0,(('Business Case'!G11*$C217*'Business Case'!G12*$B217)-'Business Case'!G11*$C217*'Business Case'!G13*$D217-'Business Case'!G14*$E217))*'Business Case'!$B$7-'Business Case'!$B$8*(('Business Case'!G11*$C217*'Business Case'!G12*$B217)-('Business Case'!F11*$C217*'Business Case'!F12*$B217))-'Business Case'!G15*$F217+'Business Case'!$B$8*('Business Case'!G11*$C217*'Business Case'!G12*$B217)</f>
        <v>981937641.178771</v>
      </c>
      <c r="N217" s="39" t="n">
        <f aca="false">IF(COUNT('Business Case'!B11:G11)=0,"",H217+NPV(G217,I217:M217))</f>
        <v>-165003539.399213</v>
      </c>
      <c r="P217" s="40" t="n">
        <f aca="true">RAND()</f>
        <v>0.558665590690261</v>
      </c>
      <c r="Q217" s="40" t="n">
        <f aca="true">RAND()</f>
        <v>0.738367271840712</v>
      </c>
      <c r="R217" s="40" t="n">
        <f aca="true">RAND()</f>
        <v>0.712668594173557</v>
      </c>
      <c r="S217" s="40" t="n">
        <f aca="true">RAND()</f>
        <v>0.0294068274863391</v>
      </c>
      <c r="T217" s="40" t="n">
        <f aca="true">RAND()</f>
        <v>0.463943825873898</v>
      </c>
      <c r="U217" s="40" t="n">
        <f aca="true">RAND()</f>
        <v>0.183525823276588</v>
      </c>
    </row>
    <row r="218" customFormat="false" ht="15" hidden="false" customHeight="false" outlineLevel="0" collapsed="false">
      <c r="A218" s="36" t="n">
        <v>138</v>
      </c>
      <c r="B218" s="37" t="n">
        <f aca="false">1+IF($G$6=$E$6,$F$6,IF(P218&lt;($F$6-$E$6)/($G$6-$E$6),$E$6+SQRT(P218*($G$6-$E$6)*($F$6-$E$6)),$G$6-SQRT((1-P218)*($G$6-$E$6)*($G$6-$F$6))))</f>
        <v>1.00311294945616</v>
      </c>
      <c r="C218" s="37" t="n">
        <f aca="false">1+IF($G$7=$E$7,$F$7,IF(Q218&lt;($F$7-$E$7)/($G$7-$E$7),$E$7+SQRT(Q218*($G$7-$E$7)*($F$7-$E$7)),$G$7-SQRT((1-Q218)*($G$7-$E$7)*($G$7-$F$7))))</f>
        <v>0.883821990452151</v>
      </c>
      <c r="D218" s="37" t="n">
        <f aca="false">1+IF($G$8=$E$8,$F$8,IF(R218&lt;($F$8-$E$8)/($G$8-$E$8),$E$8+SQRT(R218*($G$8-$E$8)*($F$8-$E$8)),$G$8-SQRT((1-R218)*($G$8-$E$8)*($G$8-$F$8))))</f>
        <v>1.02496538497099</v>
      </c>
      <c r="E218" s="37" t="n">
        <f aca="false">1+IF($G$9=$E$9,$F$9,IF(S218&lt;($F$9-$E$9)/($G$9-$E$9),$E$9+SQRT(S218*($G$9-$E$9)*($F$9-$E$9)),$G$9-SQRT((1-S218)*($G$9-$E$9)*($G$9-$F$9))))</f>
        <v>0.985942230558655</v>
      </c>
      <c r="F218" s="37" t="n">
        <f aca="false">1+IF($G$10=$E$10,$F$10,IF(T218&lt;($F$10-$E$10)/($G$10-$E$10),$E$10+SQRT(T218*($G$10-$E$10)*($F$10-$E$10)),$G$10-SQRT((1-T218)*($G$10-$E$10)*($G$10-$F$10))))</f>
        <v>1.00070396777808</v>
      </c>
      <c r="G218" s="38" t="n">
        <f aca="false">IF($G$11=$E$11,$F$11,IF(U218&lt;($F$11-$E$11)/($G$11-$E$11),$E$11+SQRT(U218*($G$11-$E$11)*($F$11-$E$11)),$G$11-SQRT((1-U218)*($G$11-$E$11)*($G$11-$F$11))))</f>
        <v>0.110122428239297</v>
      </c>
      <c r="H218" s="39" t="n">
        <f aca="false">(('Business Case'!B11*$C218*'Business Case'!B12*$B218)-'Business Case'!B11*$C218*'Business Case'!B13*$D218-'Business Case'!B14*$E218)-MAX(0,(('Business Case'!B11*$C218*'Business Case'!B12*$B218)-'Business Case'!B11*$C218*'Business Case'!B13*$D218-'Business Case'!B14*$E218))*'Business Case'!$B$7-'Business Case'!$B$8*('Business Case'!B11*$C218*'Business Case'!B12*$B218)-'Business Case'!B15*$F218</f>
        <v>-2001407935.55615</v>
      </c>
      <c r="I218" s="39" t="n">
        <f aca="false">(('Business Case'!C11*$C218*'Business Case'!C12*$B218)-'Business Case'!C11*$C218*'Business Case'!C13*$D218-'Business Case'!C14*$E218)-MAX(0,(('Business Case'!C11*$C218*'Business Case'!C12*$B218)-'Business Case'!C11*$C218*'Business Case'!C13*$D218-'Business Case'!C14*$E218))*'Business Case'!$B$7-'Business Case'!$B$8*(('Business Case'!C11*$C218*'Business Case'!C12*$B218)-('Business Case'!B11*$C218*'Business Case'!B12*$B218))-'Business Case'!C15*$F218</f>
        <v>-23805634.1614622</v>
      </c>
      <c r="J218" s="39" t="n">
        <f aca="false">(('Business Case'!D11*$C218*'Business Case'!D12*$B218)-'Business Case'!D11*$C218*'Business Case'!D13*$D218-'Business Case'!D14*$E218)-MAX(0,(('Business Case'!D11*$C218*'Business Case'!D12*$B218)-'Business Case'!D11*$C218*'Business Case'!D13*$D218-'Business Case'!D14*$E218))*'Business Case'!$B$7-'Business Case'!$B$8*(('Business Case'!D11*$C218*'Business Case'!D12*$B218)-('Business Case'!C11*$C218*'Business Case'!C12*$B218))-'Business Case'!D15*$F218</f>
        <v>238620072.664049</v>
      </c>
      <c r="K218" s="39" t="n">
        <f aca="false">(('Business Case'!E11*$C218*'Business Case'!E12*$B218)-'Business Case'!E11*$C218*'Business Case'!E13*$D218-'Business Case'!E14*$E218)-MAX(0,(('Business Case'!E11*$C218*'Business Case'!E12*$B218)-'Business Case'!E11*$C218*'Business Case'!E13*$D218-'Business Case'!E14*$E218))*'Business Case'!$B$7-'Business Case'!$B$8*(('Business Case'!E11*$C218*'Business Case'!E12*$B218)-('Business Case'!D11*$C218*'Business Case'!D12*$B218))-'Business Case'!E15*$F218</f>
        <v>551080977.878465</v>
      </c>
      <c r="L218" s="39" t="n">
        <f aca="false">(('Business Case'!F11*$C218*'Business Case'!F12*$B218)-'Business Case'!F11*$C218*'Business Case'!F13*$D218-'Business Case'!F14*$E218)-MAX(0,(('Business Case'!F11*$C218*'Business Case'!F12*$B218)-'Business Case'!F11*$C218*'Business Case'!F13*$D218-'Business Case'!F14*$E218))*'Business Case'!$B$7-'Business Case'!$B$8*(('Business Case'!F11*$C218*'Business Case'!F12*$B218)-('Business Case'!E11*$C218*'Business Case'!E12*$B218))-'Business Case'!F15*$F218</f>
        <v>669196186.169453</v>
      </c>
      <c r="M218" s="39" t="n">
        <f aca="false">(('Business Case'!G11*$C218*'Business Case'!G12*$B218)-'Business Case'!G11*$C218*'Business Case'!G13*$D218-'Business Case'!G14*$E218)-MAX(0,(('Business Case'!G11*$C218*'Business Case'!G12*$B218)-'Business Case'!G11*$C218*'Business Case'!G13*$D218-'Business Case'!G14*$E218))*'Business Case'!$B$7-'Business Case'!$B$8*(('Business Case'!G11*$C218*'Business Case'!G12*$B218)-('Business Case'!F11*$C218*'Business Case'!F12*$B218))-'Business Case'!G15*$F218+'Business Case'!$B$8*('Business Case'!G11*$C218*'Business Case'!G12*$B218)</f>
        <v>837716035.923112</v>
      </c>
      <c r="N218" s="39" t="n">
        <f aca="false">IF(COUNT('Business Case'!B11:G11)=0,"",H218+NPV(G218,I218:M218))</f>
        <v>-488917589.519444</v>
      </c>
      <c r="P218" s="40" t="n">
        <f aca="true">RAND()</f>
        <v>0.716530312953434</v>
      </c>
      <c r="Q218" s="40" t="n">
        <f aca="true">RAND()</f>
        <v>0.100373229762292</v>
      </c>
      <c r="R218" s="40" t="n">
        <f aca="true">RAND()</f>
        <v>0.708768379673881</v>
      </c>
      <c r="S218" s="40" t="n">
        <f aca="true">RAND()</f>
        <v>0.172245858337538</v>
      </c>
      <c r="T218" s="40" t="n">
        <f aca="true">RAND()</f>
        <v>0.205621830811964</v>
      </c>
      <c r="U218" s="40" t="n">
        <f aca="true">RAND()</f>
        <v>0.837389293520256</v>
      </c>
    </row>
    <row r="219" customFormat="false" ht="15" hidden="false" customHeight="false" outlineLevel="0" collapsed="false">
      <c r="A219" s="36" t="n">
        <v>139</v>
      </c>
      <c r="B219" s="37" t="n">
        <f aca="false">1+IF($G$6=$E$6,$F$6,IF(P219&lt;($F$6-$E$6)/($G$6-$E$6),$E$6+SQRT(P219*($G$6-$E$6)*($F$6-$E$6)),$G$6-SQRT((1-P219)*($G$6-$E$6)*($G$6-$F$6))))</f>
        <v>0.948835120430797</v>
      </c>
      <c r="C219" s="37" t="n">
        <f aca="false">1+IF($G$7=$E$7,$F$7,IF(Q219&lt;($F$7-$E$7)/($G$7-$E$7),$E$7+SQRT(Q219*($G$7-$E$7)*($F$7-$E$7)),$G$7-SQRT((1-Q219)*($G$7-$E$7)*($G$7-$F$7))))</f>
        <v>1.0251229602563</v>
      </c>
      <c r="D219" s="37" t="n">
        <f aca="false">1+IF($G$8=$E$8,$F$8,IF(R219&lt;($F$8-$E$8)/($G$8-$E$8),$E$8+SQRT(R219*($G$8-$E$8)*($F$8-$E$8)),$G$8-SQRT((1-R219)*($G$8-$E$8)*($G$8-$F$8))))</f>
        <v>1.00814640453536</v>
      </c>
      <c r="E219" s="37" t="n">
        <f aca="false">1+IF($G$9=$E$9,$F$9,IF(S219&lt;($F$9-$E$9)/($G$9-$E$9),$E$9+SQRT(S219*($G$9-$E$9)*($F$9-$E$9)),$G$9-SQRT((1-S219)*($G$9-$E$9)*($G$9-$F$9))))</f>
        <v>1.02085206904783</v>
      </c>
      <c r="F219" s="37" t="n">
        <f aca="false">1+IF($G$10=$E$10,$F$10,IF(T219&lt;($F$10-$E$10)/($G$10-$E$10),$E$10+SQRT(T219*($G$10-$E$10)*($F$10-$E$10)),$G$10-SQRT((1-T219)*($G$10-$E$10)*($G$10-$F$10))))</f>
        <v>1.04167899974753</v>
      </c>
      <c r="G219" s="38" t="n">
        <f aca="false">IF($G$11=$E$11,$F$11,IF(U219&lt;($F$11-$E$11)/($G$11-$E$11),$E$11+SQRT(U219*($G$11-$E$11)*($F$11-$E$11)),$G$11-SQRT((1-U219)*($G$11-$E$11)*($G$11-$F$11))))</f>
        <v>0.112502824579989</v>
      </c>
      <c r="H219" s="39" t="n">
        <f aca="false">(('Business Case'!B11*$C219*'Business Case'!B12*$B219)-'Business Case'!B11*$C219*'Business Case'!B13*$D219-'Business Case'!B14*$E219)-MAX(0,(('Business Case'!B11*$C219*'Business Case'!B12*$B219)-'Business Case'!B11*$C219*'Business Case'!B13*$D219-'Business Case'!B14*$E219))*'Business Case'!$B$7-'Business Case'!$B$8*('Business Case'!B11*$C219*'Business Case'!B12*$B219)-'Business Case'!B15*$F219</f>
        <v>-2083357999.49506</v>
      </c>
      <c r="I219" s="39" t="n">
        <f aca="false">(('Business Case'!C11*$C219*'Business Case'!C12*$B219)-'Business Case'!C11*$C219*'Business Case'!C13*$D219-'Business Case'!C14*$E219)-MAX(0,(('Business Case'!C11*$C219*'Business Case'!C12*$B219)-'Business Case'!C11*$C219*'Business Case'!C13*$D219-'Business Case'!C14*$E219))*'Business Case'!$B$7-'Business Case'!$B$8*(('Business Case'!C11*$C219*'Business Case'!C12*$B219)-('Business Case'!B11*$C219*'Business Case'!B12*$B219))-'Business Case'!C15*$F219</f>
        <v>-32123491.8909238</v>
      </c>
      <c r="J219" s="39" t="n">
        <f aca="false">(('Business Case'!D11*$C219*'Business Case'!D12*$B219)-'Business Case'!D11*$C219*'Business Case'!D13*$D219-'Business Case'!D14*$E219)-MAX(0,(('Business Case'!D11*$C219*'Business Case'!D12*$B219)-'Business Case'!D11*$C219*'Business Case'!D13*$D219-'Business Case'!D14*$E219))*'Business Case'!$B$7-'Business Case'!$B$8*(('Business Case'!D11*$C219*'Business Case'!D12*$B219)-('Business Case'!C11*$C219*'Business Case'!C12*$B219))-'Business Case'!D15*$F219</f>
        <v>235509431.492175</v>
      </c>
      <c r="K219" s="39" t="n">
        <f aca="false">(('Business Case'!E11*$C219*'Business Case'!E12*$B219)-'Business Case'!E11*$C219*'Business Case'!E13*$D219-'Business Case'!E14*$E219)-MAX(0,(('Business Case'!E11*$C219*'Business Case'!E12*$B219)-'Business Case'!E11*$C219*'Business Case'!E13*$D219-'Business Case'!E14*$E219))*'Business Case'!$B$7-'Business Case'!$B$8*(('Business Case'!E11*$C219*'Business Case'!E12*$B219)-('Business Case'!D11*$C219*'Business Case'!D12*$B219))-'Business Case'!E15*$F219</f>
        <v>555226304.86265</v>
      </c>
      <c r="L219" s="39" t="n">
        <f aca="false">(('Business Case'!F11*$C219*'Business Case'!F12*$B219)-'Business Case'!F11*$C219*'Business Case'!F13*$D219-'Business Case'!F14*$E219)-MAX(0,(('Business Case'!F11*$C219*'Business Case'!F12*$B219)-'Business Case'!F11*$C219*'Business Case'!F13*$D219-'Business Case'!F14*$E219))*'Business Case'!$B$7-'Business Case'!$B$8*(('Business Case'!F11*$C219*'Business Case'!F12*$B219)-('Business Case'!E11*$C219*'Business Case'!E12*$B219))-'Business Case'!F15*$F219</f>
        <v>678052846.710796</v>
      </c>
      <c r="M219" s="39" t="n">
        <f aca="false">(('Business Case'!G11*$C219*'Business Case'!G12*$B219)-'Business Case'!G11*$C219*'Business Case'!G13*$D219-'Business Case'!G14*$E219)-MAX(0,(('Business Case'!G11*$C219*'Business Case'!G12*$B219)-'Business Case'!G11*$C219*'Business Case'!G13*$D219-'Business Case'!G14*$E219))*'Business Case'!$B$7-'Business Case'!$B$8*(('Business Case'!G11*$C219*'Business Case'!G12*$B219)-('Business Case'!F11*$C219*'Business Case'!F12*$B219))-'Business Case'!G15*$F219+'Business Case'!$B$8*('Business Case'!G11*$C219*'Business Case'!G12*$B219)</f>
        <v>862938467.339913</v>
      </c>
      <c r="N219" s="39" t="n">
        <f aca="false">IF(COUNT('Business Case'!B11:G11)=0,"",H219+NPV(G219,I219:M219))</f>
        <v>-569678628.565733</v>
      </c>
      <c r="P219" s="40" t="n">
        <f aca="true">RAND()</f>
        <v>0.0866108510685977</v>
      </c>
      <c r="Q219" s="40" t="n">
        <f aca="true">RAND()</f>
        <v>0.702966189425736</v>
      </c>
      <c r="R219" s="40" t="n">
        <f aca="true">RAND()</f>
        <v>0.503563540269635</v>
      </c>
      <c r="S219" s="40" t="n">
        <f aca="true">RAND()</f>
        <v>0.582373668399388</v>
      </c>
      <c r="T219" s="40" t="n">
        <f aca="true">RAND()</f>
        <v>0.498689217581132</v>
      </c>
      <c r="U219" s="40" t="n">
        <f aca="true">RAND()</f>
        <v>0.90632060120264</v>
      </c>
    </row>
    <row r="220" customFormat="false" ht="15" hidden="false" customHeight="false" outlineLevel="0" collapsed="false">
      <c r="A220" s="36" t="n">
        <v>140</v>
      </c>
      <c r="B220" s="37" t="n">
        <f aca="false">1+IF($G$6=$E$6,$F$6,IF(P220&lt;($F$6-$E$6)/($G$6-$E$6),$E$6+SQRT(P220*($G$6-$E$6)*($F$6-$E$6)),$G$6-SQRT((1-P220)*($G$6-$E$6)*($G$6-$F$6))))</f>
        <v>0.975605457526553</v>
      </c>
      <c r="C220" s="37" t="n">
        <f aca="false">1+IF($G$7=$E$7,$F$7,IF(Q220&lt;($F$7-$E$7)/($G$7-$E$7),$E$7+SQRT(Q220*($G$7-$E$7)*($F$7-$E$7)),$G$7-SQRT((1-Q220)*($G$7-$E$7)*($G$7-$F$7))))</f>
        <v>0.909833753454319</v>
      </c>
      <c r="D220" s="37" t="n">
        <f aca="false">1+IF($G$8=$E$8,$F$8,IF(R220&lt;($F$8-$E$8)/($G$8-$E$8),$E$8+SQRT(R220*($G$8-$E$8)*($F$8-$E$8)),$G$8-SQRT((1-R220)*($G$8-$E$8)*($G$8-$F$8))))</f>
        <v>1.0025722071962</v>
      </c>
      <c r="E220" s="37" t="n">
        <f aca="false">1+IF($G$9=$E$9,$F$9,IF(S220&lt;($F$9-$E$9)/($G$9-$E$9),$E$9+SQRT(S220*($G$9-$E$9)*($F$9-$E$9)),$G$9-SQRT((1-S220)*($G$9-$E$9)*($G$9-$F$9))))</f>
        <v>1.07157979609455</v>
      </c>
      <c r="F220" s="37" t="n">
        <f aca="false">1+IF($G$10=$E$10,$F$10,IF(T220&lt;($F$10-$E$10)/($G$10-$E$10),$E$10+SQRT(T220*($G$10-$E$10)*($F$10-$E$10)),$G$10-SQRT((1-T220)*($G$10-$E$10)*($G$10-$F$10))))</f>
        <v>1.1198256332142</v>
      </c>
      <c r="G220" s="38" t="n">
        <f aca="false">IF($G$11=$E$11,$F$11,IF(U220&lt;($F$11-$E$11)/($G$11-$E$11),$E$11+SQRT(U220*($G$11-$E$11)*($F$11-$E$11)),$G$11-SQRT((1-U220)*($G$11-$E$11)*($G$11-$F$11))))</f>
        <v>0.114519017306499</v>
      </c>
      <c r="H220" s="39" t="n">
        <f aca="false">(('Business Case'!B11*$C220*'Business Case'!B12*$B220)-'Business Case'!B11*$C220*'Business Case'!B13*$D220-'Business Case'!B14*$E220)-MAX(0,(('Business Case'!B11*$C220*'Business Case'!B12*$B220)-'Business Case'!B11*$C220*'Business Case'!B13*$D220-'Business Case'!B14*$E220))*'Business Case'!$B$7-'Business Case'!$B$8*('Business Case'!B11*$C220*'Business Case'!B12*$B220)-'Business Case'!B15*$F220</f>
        <v>-2239651266.4284</v>
      </c>
      <c r="I220" s="39" t="n">
        <f aca="false">(('Business Case'!C11*$C220*'Business Case'!C12*$B220)-'Business Case'!C11*$C220*'Business Case'!C13*$D220-'Business Case'!C14*$E220)-MAX(0,(('Business Case'!C11*$C220*'Business Case'!C12*$B220)-'Business Case'!C11*$C220*'Business Case'!C13*$D220-'Business Case'!C14*$E220))*'Business Case'!$B$7-'Business Case'!$B$8*(('Business Case'!C11*$C220*'Business Case'!C12*$B220)-('Business Case'!B11*$C220*'Business Case'!B12*$B220))-'Business Case'!C15*$F220</f>
        <v>-50296469.1469522</v>
      </c>
      <c r="J220" s="39" t="n">
        <f aca="false">(('Business Case'!D11*$C220*'Business Case'!D12*$B220)-'Business Case'!D11*$C220*'Business Case'!D13*$D220-'Business Case'!D14*$E220)-MAX(0,(('Business Case'!D11*$C220*'Business Case'!D12*$B220)-'Business Case'!D11*$C220*'Business Case'!D13*$D220-'Business Case'!D14*$E220))*'Business Case'!$B$7-'Business Case'!$B$8*(('Business Case'!D11*$C220*'Business Case'!D12*$B220)-('Business Case'!C11*$C220*'Business Case'!C12*$B220))-'Business Case'!D15*$F220</f>
        <v>209783466.144329</v>
      </c>
      <c r="K220" s="39" t="n">
        <f aca="false">(('Business Case'!E11*$C220*'Business Case'!E12*$B220)-'Business Case'!E11*$C220*'Business Case'!E13*$D220-'Business Case'!E14*$E220)-MAX(0,(('Business Case'!E11*$C220*'Business Case'!E12*$B220)-'Business Case'!E11*$C220*'Business Case'!E13*$D220-'Business Case'!E14*$E220))*'Business Case'!$B$7-'Business Case'!$B$8*(('Business Case'!E11*$C220*'Business Case'!E12*$B220)-('Business Case'!D11*$C220*'Business Case'!D12*$B220))-'Business Case'!E15*$F220</f>
        <v>525854683.096321</v>
      </c>
      <c r="L220" s="39" t="n">
        <f aca="false">(('Business Case'!F11*$C220*'Business Case'!F12*$B220)-'Business Case'!F11*$C220*'Business Case'!F13*$D220-'Business Case'!F14*$E220)-MAX(0,(('Business Case'!F11*$C220*'Business Case'!F12*$B220)-'Business Case'!F11*$C220*'Business Case'!F13*$D220-'Business Case'!F14*$E220))*'Business Case'!$B$7-'Business Case'!$B$8*(('Business Case'!F11*$C220*'Business Case'!F12*$B220)-('Business Case'!E11*$C220*'Business Case'!E12*$B220))-'Business Case'!F15*$F220</f>
        <v>643224790.93486</v>
      </c>
      <c r="M220" s="39" t="n">
        <f aca="false">(('Business Case'!G11*$C220*'Business Case'!G12*$B220)-'Business Case'!G11*$C220*'Business Case'!G13*$D220-'Business Case'!G14*$E220)-MAX(0,(('Business Case'!G11*$C220*'Business Case'!G12*$B220)-'Business Case'!G11*$C220*'Business Case'!G13*$D220-'Business Case'!G14*$E220))*'Business Case'!$B$7-'Business Case'!$B$8*(('Business Case'!G11*$C220*'Business Case'!G12*$B220)-('Business Case'!F11*$C220*'Business Case'!F12*$B220))-'Business Case'!G15*$F220+'Business Case'!$B$8*('Business Case'!G11*$C220*'Business Case'!G12*$B220)</f>
        <v>811947169.346147</v>
      </c>
      <c r="N220" s="39" t="n">
        <f aca="false">IF(COUNT('Business Case'!B11:G11)=0,"",H220+NPV(G220,I220:M220))</f>
        <v>-847007400.937375</v>
      </c>
      <c r="P220" s="40" t="n">
        <f aca="true">RAND()</f>
        <v>0.32207988611847</v>
      </c>
      <c r="Q220" s="40" t="n">
        <f aca="true">RAND()</f>
        <v>0.172335048540917</v>
      </c>
      <c r="R220" s="40" t="n">
        <f aca="true">RAND()</f>
        <v>0.423551625147353</v>
      </c>
      <c r="S220" s="40" t="n">
        <f aca="true">RAND()</f>
        <v>0.946152800664833</v>
      </c>
      <c r="T220" s="40" t="n">
        <f aca="true">RAND()</f>
        <v>0.871441418209924</v>
      </c>
      <c r="U220" s="40" t="n">
        <f aca="true">RAND()</f>
        <v>0.949931381189246</v>
      </c>
    </row>
    <row r="221" customFormat="false" ht="15" hidden="false" customHeight="false" outlineLevel="0" collapsed="false">
      <c r="A221" s="36" t="n">
        <v>141</v>
      </c>
      <c r="B221" s="37" t="n">
        <f aca="false">1+IF($G$6=$E$6,$F$6,IF(P221&lt;($F$6-$E$6)/($G$6-$E$6),$E$6+SQRT(P221*($G$6-$E$6)*($F$6-$E$6)),$G$6-SQRT((1-P221)*($G$6-$E$6)*($G$6-$F$6))))</f>
        <v>1.01058292940452</v>
      </c>
      <c r="C221" s="37" t="n">
        <f aca="false">1+IF($G$7=$E$7,$F$7,IF(Q221&lt;($F$7-$E$7)/($G$7-$E$7),$E$7+SQRT(Q221*($G$7-$E$7)*($F$7-$E$7)),$G$7-SQRT((1-Q221)*($G$7-$E$7)*($G$7-$F$7))))</f>
        <v>0.989623909350982</v>
      </c>
      <c r="D221" s="37" t="n">
        <f aca="false">1+IF($G$8=$E$8,$F$8,IF(R221&lt;($F$8-$E$8)/($G$8-$E$8),$E$8+SQRT(R221*($G$8-$E$8)*($F$8-$E$8)),$G$8-SQRT((1-R221)*($G$8-$E$8)*($G$8-$F$8))))</f>
        <v>0.9718264651191</v>
      </c>
      <c r="E221" s="37" t="n">
        <f aca="false">1+IF($G$9=$E$9,$F$9,IF(S221&lt;($F$9-$E$9)/($G$9-$E$9),$E$9+SQRT(S221*($G$9-$E$9)*($F$9-$E$9)),$G$9-SQRT((1-S221)*($G$9-$E$9)*($G$9-$F$9))))</f>
        <v>1.04306474346493</v>
      </c>
      <c r="F221" s="37" t="n">
        <f aca="false">1+IF($G$10=$E$10,$F$10,IF(T221&lt;($F$10-$E$10)/($G$10-$E$10),$E$10+SQRT(T221*($G$10-$E$10)*($F$10-$E$10)),$G$10-SQRT((1-T221)*($G$10-$E$10)*($G$10-$F$10))))</f>
        <v>1.02837109635558</v>
      </c>
      <c r="G221" s="38" t="n">
        <f aca="false">IF($G$11=$E$11,$F$11,IF(U221&lt;($F$11-$E$11)/($G$11-$E$11),$E$11+SQRT(U221*($G$11-$E$11)*($F$11-$E$11)),$G$11-SQRT((1-U221)*($G$11-$E$11)*($G$11-$F$11))))</f>
        <v>0.0995553600958108</v>
      </c>
      <c r="H221" s="39" t="n">
        <f aca="false">(('Business Case'!B11*$C221*'Business Case'!B12*$B221)-'Business Case'!B11*$C221*'Business Case'!B13*$D221-'Business Case'!B14*$E221)-MAX(0,(('Business Case'!B11*$C221*'Business Case'!B12*$B221)-'Business Case'!B11*$C221*'Business Case'!B13*$D221-'Business Case'!B14*$E221))*'Business Case'!$B$7-'Business Case'!$B$8*('Business Case'!B11*$C221*'Business Case'!B12*$B221)-'Business Case'!B15*$F221</f>
        <v>-2056742192.71116</v>
      </c>
      <c r="I221" s="39" t="n">
        <f aca="false">(('Business Case'!C11*$C221*'Business Case'!C12*$B221)-'Business Case'!C11*$C221*'Business Case'!C13*$D221-'Business Case'!C14*$E221)-MAX(0,(('Business Case'!C11*$C221*'Business Case'!C12*$B221)-'Business Case'!C11*$C221*'Business Case'!C13*$D221-'Business Case'!C14*$E221))*'Business Case'!$B$7-'Business Case'!$B$8*(('Business Case'!C11*$C221*'Business Case'!C12*$B221)-('Business Case'!B11*$C221*'Business Case'!B12*$B221))-'Business Case'!C15*$F221</f>
        <v>23810201.9815142</v>
      </c>
      <c r="J221" s="39" t="n">
        <f aca="false">(('Business Case'!D11*$C221*'Business Case'!D12*$B221)-'Business Case'!D11*$C221*'Business Case'!D13*$D221-'Business Case'!D14*$E221)-MAX(0,(('Business Case'!D11*$C221*'Business Case'!D12*$B221)-'Business Case'!D11*$C221*'Business Case'!D13*$D221-'Business Case'!D14*$E221))*'Business Case'!$B$7-'Business Case'!$B$8*(('Business Case'!D11*$C221*'Business Case'!D12*$B221)-('Business Case'!C11*$C221*'Business Case'!C12*$B221))-'Business Case'!D15*$F221</f>
        <v>350626350.119283</v>
      </c>
      <c r="K221" s="39" t="n">
        <f aca="false">(('Business Case'!E11*$C221*'Business Case'!E12*$B221)-'Business Case'!E11*$C221*'Business Case'!E13*$D221-'Business Case'!E14*$E221)-MAX(0,(('Business Case'!E11*$C221*'Business Case'!E12*$B221)-'Business Case'!E11*$C221*'Business Case'!E13*$D221-'Business Case'!E14*$E221))*'Business Case'!$B$7-'Business Case'!$B$8*(('Business Case'!E11*$C221*'Business Case'!E12*$B221)-('Business Case'!D11*$C221*'Business Case'!D12*$B221))-'Business Case'!E15*$F221</f>
        <v>728861053.074831</v>
      </c>
      <c r="L221" s="39" t="n">
        <f aca="false">(('Business Case'!F11*$C221*'Business Case'!F12*$B221)-'Business Case'!F11*$C221*'Business Case'!F13*$D221-'Business Case'!F14*$E221)-MAX(0,(('Business Case'!F11*$C221*'Business Case'!F12*$B221)-'Business Case'!F11*$C221*'Business Case'!F13*$D221-'Business Case'!F14*$E221))*'Business Case'!$B$7-'Business Case'!$B$8*(('Business Case'!F11*$C221*'Business Case'!F12*$B221)-('Business Case'!E11*$C221*'Business Case'!E12*$B221))-'Business Case'!F15*$F221</f>
        <v>872363122.454076</v>
      </c>
      <c r="M221" s="39" t="n">
        <f aca="false">(('Business Case'!G11*$C221*'Business Case'!G12*$B221)-'Business Case'!G11*$C221*'Business Case'!G13*$D221-'Business Case'!G14*$E221)-MAX(0,(('Business Case'!G11*$C221*'Business Case'!G12*$B221)-'Business Case'!G11*$C221*'Business Case'!G13*$D221-'Business Case'!G14*$E221))*'Business Case'!$B$7-'Business Case'!$B$8*(('Business Case'!G11*$C221*'Business Case'!G12*$B221)-('Business Case'!F11*$C221*'Business Case'!F12*$B221))-'Business Case'!G15*$F221+'Business Case'!$B$8*('Business Case'!G11*$C221*'Business Case'!G12*$B221)</f>
        <v>1062461565.78735</v>
      </c>
      <c r="N221" s="39" t="n">
        <f aca="false">IF(COUNT('Business Case'!B11:G11)=0,"",H221+NPV(G221,I221:M221))</f>
        <v>61029234.4345243</v>
      </c>
      <c r="P221" s="40" t="n">
        <f aca="true">RAND()</f>
        <v>0.819715824495919</v>
      </c>
      <c r="Q221" s="40" t="n">
        <f aca="true">RAND()</f>
        <v>0.513674671393561</v>
      </c>
      <c r="R221" s="40" t="n">
        <f aca="true">RAND()</f>
        <v>0.0732914737838891</v>
      </c>
      <c r="S221" s="40" t="n">
        <f aca="true">RAND()</f>
        <v>0.783891770885733</v>
      </c>
      <c r="T221" s="40" t="n">
        <f aca="true">RAND()</f>
        <v>0.410870388676281</v>
      </c>
      <c r="U221" s="40" t="n">
        <f aca="true">RAND()</f>
        <v>0.304349688535376</v>
      </c>
    </row>
    <row r="222" customFormat="false" ht="15" hidden="false" customHeight="false" outlineLevel="0" collapsed="false">
      <c r="A222" s="36" t="n">
        <v>142</v>
      </c>
      <c r="B222" s="37" t="n">
        <f aca="false">1+IF($G$6=$E$6,$F$6,IF(P222&lt;($F$6-$E$6)/($G$6-$E$6),$E$6+SQRT(P222*($G$6-$E$6)*($F$6-$E$6)),$G$6-SQRT((1-P222)*($G$6-$E$6)*($G$6-$F$6))))</f>
        <v>0.941280203753278</v>
      </c>
      <c r="C222" s="37" t="n">
        <f aca="false">1+IF($G$7=$E$7,$F$7,IF(Q222&lt;($F$7-$E$7)/($G$7-$E$7),$E$7+SQRT(Q222*($G$7-$E$7)*($F$7-$E$7)),$G$7-SQRT((1-Q222)*($G$7-$E$7)*($G$7-$F$7))))</f>
        <v>1.03107234290633</v>
      </c>
      <c r="D222" s="37" t="n">
        <f aca="false">1+IF($G$8=$E$8,$F$8,IF(R222&lt;($F$8-$E$8)/($G$8-$E$8),$E$8+SQRT(R222*($G$8-$E$8)*($F$8-$E$8)),$G$8-SQRT((1-R222)*($G$8-$E$8)*($G$8-$F$8))))</f>
        <v>1.02762809089207</v>
      </c>
      <c r="E222" s="37" t="n">
        <f aca="false">1+IF($G$9=$E$9,$F$9,IF(S222&lt;($F$9-$E$9)/($G$9-$E$9),$E$9+SQRT(S222*($G$9-$E$9)*($F$9-$E$9)),$G$9-SQRT((1-S222)*($G$9-$E$9)*($G$9-$F$9))))</f>
        <v>1.03961336098697</v>
      </c>
      <c r="F222" s="37" t="n">
        <f aca="false">1+IF($G$10=$E$10,$F$10,IF(T222&lt;($F$10-$E$10)/($G$10-$E$10),$E$10+SQRT(T222*($G$10-$E$10)*($F$10-$E$10)),$G$10-SQRT((1-T222)*($G$10-$E$10)*($G$10-$F$10))))</f>
        <v>1.04712973255556</v>
      </c>
      <c r="G222" s="38" t="n">
        <f aca="false">IF($G$11=$E$11,$F$11,IF(U222&lt;($F$11-$E$11)/($G$11-$E$11),$E$11+SQRT(U222*($G$11-$E$11)*($F$11-$E$11)),$G$11-SQRT((1-U222)*($G$11-$E$11)*($G$11-$F$11))))</f>
        <v>0.0992650478232706</v>
      </c>
      <c r="H222" s="39" t="n">
        <f aca="false">(('Business Case'!B11*$C222*'Business Case'!B12*$B222)-'Business Case'!B11*$C222*'Business Case'!B13*$D222-'Business Case'!B14*$E222)-MAX(0,(('Business Case'!B11*$C222*'Business Case'!B12*$B222)-'Business Case'!B11*$C222*'Business Case'!B13*$D222-'Business Case'!B14*$E222))*'Business Case'!$B$7-'Business Case'!$B$8*('Business Case'!B11*$C222*'Business Case'!B12*$B222)-'Business Case'!B15*$F222</f>
        <v>-2094259465.11112</v>
      </c>
      <c r="I222" s="39" t="n">
        <f aca="false">(('Business Case'!C11*$C222*'Business Case'!C12*$B222)-'Business Case'!C11*$C222*'Business Case'!C13*$D222-'Business Case'!C14*$E222)-MAX(0,(('Business Case'!C11*$C222*'Business Case'!C12*$B222)-'Business Case'!C11*$C222*'Business Case'!C13*$D222-'Business Case'!C14*$E222))*'Business Case'!$B$7-'Business Case'!$B$8*(('Business Case'!C11*$C222*'Business Case'!C12*$B222)-('Business Case'!B11*$C222*'Business Case'!B12*$B222))-'Business Case'!C15*$F222</f>
        <v>-50335259.9723981</v>
      </c>
      <c r="J222" s="39" t="n">
        <f aca="false">(('Business Case'!D11*$C222*'Business Case'!D12*$B222)-'Business Case'!D11*$C222*'Business Case'!D13*$D222-'Business Case'!D14*$E222)-MAX(0,(('Business Case'!D11*$C222*'Business Case'!D12*$B222)-'Business Case'!D11*$C222*'Business Case'!D13*$D222-'Business Case'!D14*$E222))*'Business Case'!$B$7-'Business Case'!$B$8*(('Business Case'!D11*$C222*'Business Case'!D12*$B222)-('Business Case'!C11*$C222*'Business Case'!C12*$B222))-'Business Case'!D15*$F222</f>
        <v>202187643.986297</v>
      </c>
      <c r="K222" s="39" t="n">
        <f aca="false">(('Business Case'!E11*$C222*'Business Case'!E12*$B222)-'Business Case'!E11*$C222*'Business Case'!E13*$D222-'Business Case'!E14*$E222)-MAX(0,(('Business Case'!E11*$C222*'Business Case'!E12*$B222)-'Business Case'!E11*$C222*'Business Case'!E13*$D222-'Business Case'!E14*$E222))*'Business Case'!$B$7-'Business Case'!$B$8*(('Business Case'!E11*$C222*'Business Case'!E12*$B222)-('Business Case'!D11*$C222*'Business Case'!D12*$B222))-'Business Case'!E15*$F222</f>
        <v>507067034.572771</v>
      </c>
      <c r="L222" s="39" t="n">
        <f aca="false">(('Business Case'!F11*$C222*'Business Case'!F12*$B222)-'Business Case'!F11*$C222*'Business Case'!F13*$D222-'Business Case'!F14*$E222)-MAX(0,(('Business Case'!F11*$C222*'Business Case'!F12*$B222)-'Business Case'!F11*$C222*'Business Case'!F13*$D222-'Business Case'!F14*$E222))*'Business Case'!$B$7-'Business Case'!$B$8*(('Business Case'!F11*$C222*'Business Case'!F12*$B222)-('Business Case'!E11*$C222*'Business Case'!E12*$B222))-'Business Case'!F15*$F222</f>
        <v>624782783.054463</v>
      </c>
      <c r="M222" s="39" t="n">
        <f aca="false">(('Business Case'!G11*$C222*'Business Case'!G12*$B222)-'Business Case'!G11*$C222*'Business Case'!G13*$D222-'Business Case'!G14*$E222)-MAX(0,(('Business Case'!G11*$C222*'Business Case'!G12*$B222)-'Business Case'!G11*$C222*'Business Case'!G13*$D222-'Business Case'!G14*$E222))*'Business Case'!$B$7-'Business Case'!$B$8*(('Business Case'!G11*$C222*'Business Case'!G12*$B222)-('Business Case'!F11*$C222*'Business Case'!F12*$B222))-'Business Case'!G15*$F222+'Business Case'!$B$8*('Business Case'!G11*$C222*'Business Case'!G12*$B222)</f>
        <v>809260742.446159</v>
      </c>
      <c r="N222" s="39" t="n">
        <f aca="false">IF(COUNT('Business Case'!B11:G11)=0,"",H222+NPV(G222,I222:M222))</f>
        <v>-658950339.142763</v>
      </c>
      <c r="P222" s="40" t="n">
        <f aca="true">RAND()</f>
        <v>0.0471715699771878</v>
      </c>
      <c r="Q222" s="40" t="n">
        <f aca="true">RAND()</f>
        <v>0.730594521489717</v>
      </c>
      <c r="R222" s="40" t="n">
        <f aca="true">RAND()</f>
        <v>0.736267609268323</v>
      </c>
      <c r="S222" s="40" t="n">
        <f aca="true">RAND()</f>
        <v>0.756896921914018</v>
      </c>
      <c r="T222" s="40" t="n">
        <f aca="true">RAND()</f>
        <v>0.532613626629316</v>
      </c>
      <c r="U222" s="40" t="n">
        <f aca="true">RAND()</f>
        <v>0.286137037224968</v>
      </c>
    </row>
    <row r="223" customFormat="false" ht="15" hidden="false" customHeight="false" outlineLevel="0" collapsed="false">
      <c r="A223" s="36" t="n">
        <v>143</v>
      </c>
      <c r="B223" s="37" t="n">
        <f aca="false">1+IF($G$6=$E$6,$F$6,IF(P223&lt;($F$6-$E$6)/($G$6-$E$6),$E$6+SQRT(P223*($G$6-$E$6)*($F$6-$E$6)),$G$6-SQRT((1-P223)*($G$6-$E$6)*($G$6-$F$6))))</f>
        <v>0.969874179179093</v>
      </c>
      <c r="C223" s="37" t="n">
        <f aca="false">1+IF($G$7=$E$7,$F$7,IF(Q223&lt;($F$7-$E$7)/($G$7-$E$7),$E$7+SQRT(Q223*($G$7-$E$7)*($F$7-$E$7)),$G$7-SQRT((1-Q223)*($G$7-$E$7)*($G$7-$F$7))))</f>
        <v>1.02802671570799</v>
      </c>
      <c r="D223" s="37" t="n">
        <f aca="false">1+IF($G$8=$E$8,$F$8,IF(R223&lt;($F$8-$E$8)/($G$8-$E$8),$E$8+SQRT(R223*($G$8-$E$8)*($F$8-$E$8)),$G$8-SQRT((1-R223)*($G$8-$E$8)*($G$8-$F$8))))</f>
        <v>1.05105090527836</v>
      </c>
      <c r="E223" s="37" t="n">
        <f aca="false">1+IF($G$9=$E$9,$F$9,IF(S223&lt;($F$9-$E$9)/($G$9-$E$9),$E$9+SQRT(S223*($G$9-$E$9)*($F$9-$E$9)),$G$9-SQRT((1-S223)*($G$9-$E$9)*($G$9-$F$9))))</f>
        <v>1.0070922850003</v>
      </c>
      <c r="F223" s="37" t="n">
        <f aca="false">1+IF($G$10=$E$10,$F$10,IF(T223&lt;($F$10-$E$10)/($G$10-$E$10),$E$10+SQRT(T223*($G$10-$E$10)*($F$10-$E$10)),$G$10-SQRT((1-T223)*($G$10-$E$10)*($G$10-$F$10))))</f>
        <v>0.976598758131082</v>
      </c>
      <c r="G223" s="38" t="n">
        <f aca="false">IF($G$11=$E$11,$F$11,IF(U223&lt;($F$11-$E$11)/($G$11-$E$11),$E$11+SQRT(U223*($G$11-$E$11)*($F$11-$E$11)),$G$11-SQRT((1-U223)*($G$11-$E$11)*($G$11-$F$11))))</f>
        <v>0.104094852670823</v>
      </c>
      <c r="H223" s="39" t="n">
        <f aca="false">(('Business Case'!B11*$C223*'Business Case'!B12*$B223)-'Business Case'!B11*$C223*'Business Case'!B13*$D223-'Business Case'!B14*$E223)-MAX(0,(('Business Case'!B11*$C223*'Business Case'!B12*$B223)-'Business Case'!B11*$C223*'Business Case'!B13*$D223-'Business Case'!B14*$E223))*'Business Case'!$B$7-'Business Case'!$B$8*('Business Case'!B11*$C223*'Business Case'!B12*$B223)-'Business Case'!B15*$F223</f>
        <v>-1953197516.26216</v>
      </c>
      <c r="I223" s="39" t="n">
        <f aca="false">(('Business Case'!C11*$C223*'Business Case'!C12*$B223)-'Business Case'!C11*$C223*'Business Case'!C13*$D223-'Business Case'!C14*$E223)-MAX(0,(('Business Case'!C11*$C223*'Business Case'!C12*$B223)-'Business Case'!C11*$C223*'Business Case'!C13*$D223-'Business Case'!C14*$E223))*'Business Case'!$B$7-'Business Case'!$B$8*(('Business Case'!C11*$C223*'Business Case'!C12*$B223)-('Business Case'!B11*$C223*'Business Case'!B12*$B223))-'Business Case'!C15*$F223</f>
        <v>-29028560.0199137</v>
      </c>
      <c r="J223" s="39" t="n">
        <f aca="false">(('Business Case'!D11*$C223*'Business Case'!D12*$B223)-'Business Case'!D11*$C223*'Business Case'!D13*$D223-'Business Case'!D14*$E223)-MAX(0,(('Business Case'!D11*$C223*'Business Case'!D12*$B223)-'Business Case'!D11*$C223*'Business Case'!D13*$D223-'Business Case'!D14*$E223))*'Business Case'!$B$7-'Business Case'!$B$8*(('Business Case'!D11*$C223*'Business Case'!D12*$B223)-('Business Case'!C11*$C223*'Business Case'!C12*$B223))-'Business Case'!D15*$F223</f>
        <v>234498691.137308</v>
      </c>
      <c r="K223" s="39" t="n">
        <f aca="false">(('Business Case'!E11*$C223*'Business Case'!E12*$B223)-'Business Case'!E11*$C223*'Business Case'!E13*$D223-'Business Case'!E14*$E223)-MAX(0,(('Business Case'!E11*$C223*'Business Case'!E12*$B223)-'Business Case'!E11*$C223*'Business Case'!E13*$D223-'Business Case'!E14*$E223))*'Business Case'!$B$7-'Business Case'!$B$8*(('Business Case'!E11*$C223*'Business Case'!E12*$B223)-('Business Case'!D11*$C223*'Business Case'!D12*$B223))-'Business Case'!E15*$F223</f>
        <v>546855880.201084</v>
      </c>
      <c r="L223" s="39" t="n">
        <f aca="false">(('Business Case'!F11*$C223*'Business Case'!F12*$B223)-'Business Case'!F11*$C223*'Business Case'!F13*$D223-'Business Case'!F14*$E223)-MAX(0,(('Business Case'!F11*$C223*'Business Case'!F12*$B223)-'Business Case'!F11*$C223*'Business Case'!F13*$D223-'Business Case'!F14*$E223))*'Business Case'!$B$7-'Business Case'!$B$8*(('Business Case'!F11*$C223*'Business Case'!F12*$B223)-('Business Case'!E11*$C223*'Business Case'!E12*$B223))-'Business Case'!F15*$F223</f>
        <v>669156572.211481</v>
      </c>
      <c r="M223" s="39" t="n">
        <f aca="false">(('Business Case'!G11*$C223*'Business Case'!G12*$B223)-'Business Case'!G11*$C223*'Business Case'!G13*$D223-'Business Case'!G14*$E223)-MAX(0,(('Business Case'!G11*$C223*'Business Case'!G12*$B223)-'Business Case'!G11*$C223*'Business Case'!G13*$D223-'Business Case'!G14*$E223))*'Business Case'!$B$7-'Business Case'!$B$8*(('Business Case'!G11*$C223*'Business Case'!G12*$B223)-('Business Case'!F11*$C223*'Business Case'!F12*$B223))-'Business Case'!G15*$F223+'Business Case'!$B$8*('Business Case'!G11*$C223*'Business Case'!G12*$B223)</f>
        <v>858677084.480425</v>
      </c>
      <c r="N223" s="39" t="n">
        <f aca="false">IF(COUNT('Business Case'!B11:G11)=0,"",H223+NPV(G223,I223:M223))</f>
        <v>-407159911.909304</v>
      </c>
      <c r="P223" s="40" t="n">
        <f aca="true">RAND()</f>
        <v>0.259107682165448</v>
      </c>
      <c r="Q223" s="40" t="n">
        <f aca="true">RAND()</f>
        <v>0.716619388933717</v>
      </c>
      <c r="R223" s="40" t="n">
        <f aca="true">RAND()</f>
        <v>0.919418261038215</v>
      </c>
      <c r="S223" s="40" t="n">
        <f aca="true">RAND()</f>
        <v>0.424543766235632</v>
      </c>
      <c r="T223" s="40" t="n">
        <f aca="true">RAND()</f>
        <v>0.0565995147292634</v>
      </c>
      <c r="U223" s="40" t="n">
        <f aca="true">RAND()</f>
        <v>0.578377147395268</v>
      </c>
    </row>
    <row r="224" customFormat="false" ht="15" hidden="false" customHeight="false" outlineLevel="0" collapsed="false">
      <c r="A224" s="36" t="n">
        <v>144</v>
      </c>
      <c r="B224" s="37" t="n">
        <f aca="false">1+IF($G$6=$E$6,$F$6,IF(P224&lt;($F$6-$E$6)/($G$6-$E$6),$E$6+SQRT(P224*($G$6-$E$6)*($F$6-$E$6)),$G$6-SQRT((1-P224)*($G$6-$E$6)*($G$6-$F$6))))</f>
        <v>0.96398810047369</v>
      </c>
      <c r="C224" s="37" t="n">
        <f aca="false">1+IF($G$7=$E$7,$F$7,IF(Q224&lt;($F$7-$E$7)/($G$7-$E$7),$E$7+SQRT(Q224*($G$7-$E$7)*($F$7-$E$7)),$G$7-SQRT((1-Q224)*($G$7-$E$7)*($G$7-$F$7))))</f>
        <v>0.943245545808038</v>
      </c>
      <c r="D224" s="37" t="n">
        <f aca="false">1+IF($G$8=$E$8,$F$8,IF(R224&lt;($F$8-$E$8)/($G$8-$E$8),$E$8+SQRT(R224*($G$8-$E$8)*($F$8-$E$8)),$G$8-SQRT((1-R224)*($G$8-$E$8)*($G$8-$F$8))))</f>
        <v>1.01432009436045</v>
      </c>
      <c r="E224" s="37" t="n">
        <f aca="false">1+IF($G$9=$E$9,$F$9,IF(S224&lt;($F$9-$E$9)/($G$9-$E$9),$E$9+SQRT(S224*($G$9-$E$9)*($F$9-$E$9)),$G$9-SQRT((1-S224)*($G$9-$E$9)*($G$9-$F$9))))</f>
        <v>1.01962705455147</v>
      </c>
      <c r="F224" s="37" t="n">
        <f aca="false">1+IF($G$10=$E$10,$F$10,IF(T224&lt;($F$10-$E$10)/($G$10-$E$10),$E$10+SQRT(T224*($G$10-$E$10)*($F$10-$E$10)),$G$10-SQRT((1-T224)*($G$10-$E$10)*($G$10-$F$10))))</f>
        <v>1.17295675572087</v>
      </c>
      <c r="G224" s="38" t="n">
        <f aca="false">IF($G$11=$E$11,$F$11,IF(U224&lt;($F$11-$E$11)/($G$11-$E$11),$E$11+SQRT(U224*($G$11-$E$11)*($F$11-$E$11)),$G$11-SQRT((1-U224)*($G$11-$E$11)*($G$11-$F$11))))</f>
        <v>0.107218089513661</v>
      </c>
      <c r="H224" s="39" t="n">
        <f aca="false">(('Business Case'!B11*$C224*'Business Case'!B12*$B224)-'Business Case'!B11*$C224*'Business Case'!B13*$D224-'Business Case'!B14*$E224)-MAX(0,(('Business Case'!B11*$C224*'Business Case'!B12*$B224)-'Business Case'!B11*$C224*'Business Case'!B13*$D224-'Business Case'!B14*$E224))*'Business Case'!$B$7-'Business Case'!$B$8*('Business Case'!B11*$C224*'Business Case'!B12*$B224)-'Business Case'!B15*$F224</f>
        <v>-2345913511.44175</v>
      </c>
      <c r="I224" s="39" t="n">
        <f aca="false">(('Business Case'!C11*$C224*'Business Case'!C12*$B224)-'Business Case'!C11*$C224*'Business Case'!C13*$D224-'Business Case'!C14*$E224)-MAX(0,(('Business Case'!C11*$C224*'Business Case'!C12*$B224)-'Business Case'!C11*$C224*'Business Case'!C13*$D224-'Business Case'!C14*$E224))*'Business Case'!$B$7-'Business Case'!$B$8*(('Business Case'!C11*$C224*'Business Case'!C12*$B224)-('Business Case'!B11*$C224*'Business Case'!B12*$B224))-'Business Case'!C15*$F224</f>
        <v>-54440811.8859497</v>
      </c>
      <c r="J224" s="39" t="n">
        <f aca="false">(('Business Case'!D11*$C224*'Business Case'!D12*$B224)-'Business Case'!D11*$C224*'Business Case'!D13*$D224-'Business Case'!D14*$E224)-MAX(0,(('Business Case'!D11*$C224*'Business Case'!D12*$B224)-'Business Case'!D11*$C224*'Business Case'!D13*$D224-'Business Case'!D14*$E224))*'Business Case'!$B$7-'Business Case'!$B$8*(('Business Case'!D11*$C224*'Business Case'!D12*$B224)-('Business Case'!C11*$C224*'Business Case'!C12*$B224))-'Business Case'!D15*$F224</f>
        <v>200541963.623445</v>
      </c>
      <c r="K224" s="39" t="n">
        <f aca="false">(('Business Case'!E11*$C224*'Business Case'!E12*$B224)-'Business Case'!E11*$C224*'Business Case'!E13*$D224-'Business Case'!E14*$E224)-MAX(0,(('Business Case'!E11*$C224*'Business Case'!E12*$B224)-'Business Case'!E11*$C224*'Business Case'!E13*$D224-'Business Case'!E14*$E224))*'Business Case'!$B$7-'Business Case'!$B$8*(('Business Case'!E11*$C224*'Business Case'!E12*$B224)-('Business Case'!D11*$C224*'Business Case'!D12*$B224))-'Business Case'!E15*$F224</f>
        <v>514172576.918884</v>
      </c>
      <c r="L224" s="39" t="n">
        <f aca="false">(('Business Case'!F11*$C224*'Business Case'!F12*$B224)-'Business Case'!F11*$C224*'Business Case'!F13*$D224-'Business Case'!F14*$E224)-MAX(0,(('Business Case'!F11*$C224*'Business Case'!F12*$B224)-'Business Case'!F11*$C224*'Business Case'!F13*$D224-'Business Case'!F14*$E224))*'Business Case'!$B$7-'Business Case'!$B$8*(('Business Case'!F11*$C224*'Business Case'!F12*$B224)-('Business Case'!E11*$C224*'Business Case'!E12*$B224))-'Business Case'!F15*$F224</f>
        <v>630591465.199374</v>
      </c>
      <c r="M224" s="39" t="n">
        <f aca="false">(('Business Case'!G11*$C224*'Business Case'!G12*$B224)-'Business Case'!G11*$C224*'Business Case'!G13*$D224-'Business Case'!G14*$E224)-MAX(0,(('Business Case'!G11*$C224*'Business Case'!G12*$B224)-'Business Case'!G11*$C224*'Business Case'!G13*$D224-'Business Case'!G14*$E224))*'Business Case'!$B$7-'Business Case'!$B$8*(('Business Case'!G11*$C224*'Business Case'!G12*$B224)-('Business Case'!F11*$C224*'Business Case'!F12*$B224))-'Business Case'!G15*$F224+'Business Case'!$B$8*('Business Case'!G11*$C224*'Business Case'!G12*$B224)</f>
        <v>803426928.974847</v>
      </c>
      <c r="N224" s="39" t="n">
        <f aca="false">IF(COUNT('Business Case'!B11:G11)=0,"",H224+NPV(G224,I224:M224))</f>
        <v>-950304398.994616</v>
      </c>
      <c r="P224" s="40" t="n">
        <f aca="true">RAND()</f>
        <v>0.201557602425356</v>
      </c>
      <c r="Q224" s="40" t="n">
        <f aca="true">RAND()</f>
        <v>0.293132662769181</v>
      </c>
      <c r="R224" s="40" t="n">
        <f aca="true">RAND()</f>
        <v>0.585206730305706</v>
      </c>
      <c r="S224" s="40" t="n">
        <f aca="true">RAND()</f>
        <v>0.56934597599519</v>
      </c>
      <c r="T224" s="40" t="n">
        <f aca="true">RAND()</f>
        <v>0.98537325877719</v>
      </c>
      <c r="U224" s="40" t="n">
        <f aca="true">RAND()</f>
        <v>0.72770460719871</v>
      </c>
    </row>
    <row r="225" customFormat="false" ht="15" hidden="false" customHeight="false" outlineLevel="0" collapsed="false">
      <c r="A225" s="36" t="n">
        <v>145</v>
      </c>
      <c r="B225" s="37" t="n">
        <f aca="false">1+IF($G$6=$E$6,$F$6,IF(P225&lt;($F$6-$E$6)/($G$6-$E$6),$E$6+SQRT(P225*($G$6-$E$6)*($F$6-$E$6)),$G$6-SQRT((1-P225)*($G$6-$E$6)*($G$6-$F$6))))</f>
        <v>0.965496786749005</v>
      </c>
      <c r="C225" s="37" t="n">
        <f aca="false">1+IF($G$7=$E$7,$F$7,IF(Q225&lt;($F$7-$E$7)/($G$7-$E$7),$E$7+SQRT(Q225*($G$7-$E$7)*($F$7-$E$7)),$G$7-SQRT((1-Q225)*($G$7-$E$7)*($G$7-$F$7))))</f>
        <v>0.874778333503981</v>
      </c>
      <c r="D225" s="37" t="n">
        <f aca="false">1+IF($G$8=$E$8,$F$8,IF(R225&lt;($F$8-$E$8)/($G$8-$E$8),$E$8+SQRT(R225*($G$8-$E$8)*($F$8-$E$8)),$G$8-SQRT((1-R225)*($G$8-$E$8)*($G$8-$F$8))))</f>
        <v>1.02172449638859</v>
      </c>
      <c r="E225" s="37" t="n">
        <f aca="false">1+IF($G$9=$E$9,$F$9,IF(S225&lt;($F$9-$E$9)/($G$9-$E$9),$E$9+SQRT(S225*($G$9-$E$9)*($F$9-$E$9)),$G$9-SQRT((1-S225)*($G$9-$E$9)*($G$9-$F$9))))</f>
        <v>1.01088465919236</v>
      </c>
      <c r="F225" s="37" t="n">
        <f aca="false">1+IF($G$10=$E$10,$F$10,IF(T225&lt;($F$10-$E$10)/($G$10-$E$10),$E$10+SQRT(T225*($G$10-$E$10)*($F$10-$E$10)),$G$10-SQRT((1-T225)*($G$10-$E$10)*($G$10-$F$10))))</f>
        <v>1.04081274890871</v>
      </c>
      <c r="G225" s="38" t="n">
        <f aca="false">IF($G$11=$E$11,$F$11,IF(U225&lt;($F$11-$E$11)/($G$11-$E$11),$E$11+SQRT(U225*($G$11-$E$11)*($F$11-$E$11)),$G$11-SQRT((1-U225)*($G$11-$E$11)*($G$11-$F$11))))</f>
        <v>0.10083586826021</v>
      </c>
      <c r="H225" s="39" t="n">
        <f aca="false">(('Business Case'!B11*$C225*'Business Case'!B12*$B225)-'Business Case'!B11*$C225*'Business Case'!B13*$D225-'Business Case'!B14*$E225)-MAX(0,(('Business Case'!B11*$C225*'Business Case'!B12*$B225)-'Business Case'!B11*$C225*'Business Case'!B13*$D225-'Business Case'!B14*$E225))*'Business Case'!$B$7-'Business Case'!$B$8*('Business Case'!B11*$C225*'Business Case'!B12*$B225)-'Business Case'!B15*$F225</f>
        <v>-2081625497.81742</v>
      </c>
      <c r="I225" s="39" t="n">
        <f aca="false">(('Business Case'!C11*$C225*'Business Case'!C12*$B225)-'Business Case'!C11*$C225*'Business Case'!C13*$D225-'Business Case'!C14*$E225)-MAX(0,(('Business Case'!C11*$C225*'Business Case'!C12*$B225)-'Business Case'!C11*$C225*'Business Case'!C13*$D225-'Business Case'!C14*$E225))*'Business Case'!$B$7-'Business Case'!$B$8*(('Business Case'!C11*$C225*'Business Case'!C12*$B225)-('Business Case'!B11*$C225*'Business Case'!B12*$B225))-'Business Case'!C15*$F225</f>
        <v>-57373361.2101164</v>
      </c>
      <c r="J225" s="39" t="n">
        <f aca="false">(('Business Case'!D11*$C225*'Business Case'!D12*$B225)-'Business Case'!D11*$C225*'Business Case'!D13*$D225-'Business Case'!D14*$E225)-MAX(0,(('Business Case'!D11*$C225*'Business Case'!D12*$B225)-'Business Case'!D11*$C225*'Business Case'!D13*$D225-'Business Case'!D14*$E225))*'Business Case'!$B$7-'Business Case'!$B$8*(('Business Case'!D11*$C225*'Business Case'!D12*$B225)-('Business Case'!C11*$C225*'Business Case'!C12*$B225))-'Business Case'!D15*$F225</f>
        <v>176866190.546591</v>
      </c>
      <c r="K225" s="39" t="n">
        <f aca="false">(('Business Case'!E11*$C225*'Business Case'!E12*$B225)-'Business Case'!E11*$C225*'Business Case'!E13*$D225-'Business Case'!E14*$E225)-MAX(0,(('Business Case'!E11*$C225*'Business Case'!E12*$B225)-'Business Case'!E11*$C225*'Business Case'!E13*$D225-'Business Case'!E14*$E225))*'Business Case'!$B$7-'Business Case'!$B$8*(('Business Case'!E11*$C225*'Business Case'!E12*$B225)-('Business Case'!D11*$C225*'Business Case'!D12*$B225))-'Business Case'!E15*$F225</f>
        <v>463146379.748735</v>
      </c>
      <c r="L225" s="39" t="n">
        <f aca="false">(('Business Case'!F11*$C225*'Business Case'!F12*$B225)-'Business Case'!F11*$C225*'Business Case'!F13*$D225-'Business Case'!F14*$E225)-MAX(0,(('Business Case'!F11*$C225*'Business Case'!F12*$B225)-'Business Case'!F11*$C225*'Business Case'!F13*$D225-'Business Case'!F14*$E225))*'Business Case'!$B$7-'Business Case'!$B$8*(('Business Case'!F11*$C225*'Business Case'!F12*$B225)-('Business Case'!E11*$C225*'Business Case'!E12*$B225))-'Business Case'!F15*$F225</f>
        <v>570415456.693504</v>
      </c>
      <c r="M225" s="39" t="n">
        <f aca="false">(('Business Case'!G11*$C225*'Business Case'!G12*$B225)-'Business Case'!G11*$C225*'Business Case'!G13*$D225-'Business Case'!G14*$E225)-MAX(0,(('Business Case'!G11*$C225*'Business Case'!G12*$B225)-'Business Case'!G11*$C225*'Business Case'!G13*$D225-'Business Case'!G14*$E225))*'Business Case'!$B$7-'Business Case'!$B$8*(('Business Case'!G11*$C225*'Business Case'!G12*$B225)-('Business Case'!F11*$C225*'Business Case'!F12*$B225))-'Business Case'!G15*$F225+'Business Case'!$B$8*('Business Case'!G11*$C225*'Business Case'!G12*$B225)</f>
        <v>730956201.669104</v>
      </c>
      <c r="N225" s="39" t="n">
        <f aca="false">IF(COUNT('Business Case'!B11:G11)=0,"",H225+NPV(G225,I225:M225))</f>
        <v>-800053018.323159</v>
      </c>
      <c r="P225" s="40" t="n">
        <f aca="true">RAND()</f>
        <v>0.215620583800465</v>
      </c>
      <c r="Q225" s="40" t="n">
        <f aca="true">RAND()</f>
        <v>0.0798828451661793</v>
      </c>
      <c r="R225" s="40" t="n">
        <f aca="true">RAND()</f>
        <v>0.673458238349661</v>
      </c>
      <c r="S225" s="40" t="n">
        <f aca="true">RAND()</f>
        <v>0.470563735515857</v>
      </c>
      <c r="T225" s="40" t="n">
        <f aca="true">RAND()</f>
        <v>0.493188381799961</v>
      </c>
      <c r="U225" s="40" t="n">
        <f aca="true">RAND()</f>
        <v>0.387893424433308</v>
      </c>
    </row>
    <row r="226" customFormat="false" ht="15" hidden="false" customHeight="false" outlineLevel="0" collapsed="false">
      <c r="A226" s="36" t="n">
        <v>146</v>
      </c>
      <c r="B226" s="37" t="n">
        <f aca="false">1+IF($G$6=$E$6,$F$6,IF(P226&lt;($F$6-$E$6)/($G$6-$E$6),$E$6+SQRT(P226*($G$6-$E$6)*($F$6-$E$6)),$G$6-SQRT((1-P226)*($G$6-$E$6)*($G$6-$F$6))))</f>
        <v>0.979205808674127</v>
      </c>
      <c r="C226" s="37" t="n">
        <f aca="false">1+IF($G$7=$E$7,$F$7,IF(Q226&lt;($F$7-$E$7)/($G$7-$E$7),$E$7+SQRT(Q226*($G$7-$E$7)*($F$7-$E$7)),$G$7-SQRT((1-Q226)*($G$7-$E$7)*($G$7-$F$7))))</f>
        <v>0.8855256563806</v>
      </c>
      <c r="D226" s="37" t="n">
        <f aca="false">1+IF($G$8=$E$8,$F$8,IF(R226&lt;($F$8-$E$8)/($G$8-$E$8),$E$8+SQRT(R226*($G$8-$E$8)*($F$8-$E$8)),$G$8-SQRT((1-R226)*($G$8-$E$8)*($G$8-$F$8))))</f>
        <v>0.976896553719763</v>
      </c>
      <c r="E226" s="37" t="n">
        <f aca="false">1+IF($G$9=$E$9,$F$9,IF(S226&lt;($F$9-$E$9)/($G$9-$E$9),$E$9+SQRT(S226*($G$9-$E$9)*($F$9-$E$9)),$G$9-SQRT((1-S226)*($G$9-$E$9)*($G$9-$F$9))))</f>
        <v>1.00940756980237</v>
      </c>
      <c r="F226" s="37" t="n">
        <f aca="false">1+IF($G$10=$E$10,$F$10,IF(T226&lt;($F$10-$E$10)/($G$10-$E$10),$E$10+SQRT(T226*($G$10-$E$10)*($F$10-$E$10)),$G$10-SQRT((1-T226)*($G$10-$E$10)*($G$10-$F$10))))</f>
        <v>1.19452574046302</v>
      </c>
      <c r="G226" s="38" t="n">
        <f aca="false">IF($G$11=$E$11,$F$11,IF(U226&lt;($F$11-$E$11)/($G$11-$E$11),$E$11+SQRT(U226*($G$11-$E$11)*($F$11-$E$11)),$G$11-SQRT((1-U226)*($G$11-$E$11)*($G$11-$F$11))))</f>
        <v>0.11571468105787</v>
      </c>
      <c r="H226" s="39" t="n">
        <f aca="false">(('Business Case'!B11*$C226*'Business Case'!B12*$B226)-'Business Case'!B11*$C226*'Business Case'!B13*$D226-'Business Case'!B14*$E226)-MAX(0,(('Business Case'!B11*$C226*'Business Case'!B12*$B226)-'Business Case'!B11*$C226*'Business Case'!B13*$D226-'Business Case'!B14*$E226))*'Business Case'!$B$7-'Business Case'!$B$8*('Business Case'!B11*$C226*'Business Case'!B12*$B226)-'Business Case'!B15*$F226</f>
        <v>-2389051480.92604</v>
      </c>
      <c r="I226" s="39" t="n">
        <f aca="false">(('Business Case'!C11*$C226*'Business Case'!C12*$B226)-'Business Case'!C11*$C226*'Business Case'!C13*$D226-'Business Case'!C14*$E226)-MAX(0,(('Business Case'!C11*$C226*'Business Case'!C12*$B226)-'Business Case'!C11*$C226*'Business Case'!C13*$D226-'Business Case'!C14*$E226))*'Business Case'!$B$7-'Business Case'!$B$8*(('Business Case'!C11*$C226*'Business Case'!C12*$B226)-('Business Case'!B11*$C226*'Business Case'!B12*$B226))-'Business Case'!C15*$F226</f>
        <v>-40559438.1067562</v>
      </c>
      <c r="J226" s="39" t="n">
        <f aca="false">(('Business Case'!D11*$C226*'Business Case'!D12*$B226)-'Business Case'!D11*$C226*'Business Case'!D13*$D226-'Business Case'!D14*$E226)-MAX(0,(('Business Case'!D11*$C226*'Business Case'!D12*$B226)-'Business Case'!D11*$C226*'Business Case'!D13*$D226-'Business Case'!D14*$E226))*'Business Case'!$B$7-'Business Case'!$B$8*(('Business Case'!D11*$C226*'Business Case'!D12*$B226)-('Business Case'!C11*$C226*'Business Case'!C12*$B226))-'Business Case'!D15*$F226</f>
        <v>226822533.415862</v>
      </c>
      <c r="K226" s="39" t="n">
        <f aca="false">(('Business Case'!E11*$C226*'Business Case'!E12*$B226)-'Business Case'!E11*$C226*'Business Case'!E13*$D226-'Business Case'!E14*$E226)-MAX(0,(('Business Case'!E11*$C226*'Business Case'!E12*$B226)-'Business Case'!E11*$C226*'Business Case'!E13*$D226-'Business Case'!E14*$E226))*'Business Case'!$B$7-'Business Case'!$B$8*(('Business Case'!E11*$C226*'Business Case'!E12*$B226)-('Business Case'!D11*$C226*'Business Case'!D12*$B226))-'Business Case'!E15*$F226</f>
        <v>553930791.961631</v>
      </c>
      <c r="L226" s="39" t="n">
        <f aca="false">(('Business Case'!F11*$C226*'Business Case'!F12*$B226)-'Business Case'!F11*$C226*'Business Case'!F13*$D226-'Business Case'!F14*$E226)-MAX(0,(('Business Case'!F11*$C226*'Business Case'!F12*$B226)-'Business Case'!F11*$C226*'Business Case'!F13*$D226-'Business Case'!F14*$E226))*'Business Case'!$B$7-'Business Case'!$B$8*(('Business Case'!F11*$C226*'Business Case'!F12*$B226)-('Business Case'!E11*$C226*'Business Case'!E12*$B226))-'Business Case'!F15*$F226</f>
        <v>673025501.907288</v>
      </c>
      <c r="M226" s="39" t="n">
        <f aca="false">(('Business Case'!G11*$C226*'Business Case'!G12*$B226)-'Business Case'!G11*$C226*'Business Case'!G13*$D226-'Business Case'!G14*$E226)-MAX(0,(('Business Case'!G11*$C226*'Business Case'!G12*$B226)-'Business Case'!G11*$C226*'Business Case'!G13*$D226-'Business Case'!G14*$E226))*'Business Case'!$B$7-'Business Case'!$B$8*(('Business Case'!G11*$C226*'Business Case'!G12*$B226)-('Business Case'!F11*$C226*'Business Case'!F12*$B226))-'Business Case'!G15*$F226+'Business Case'!$B$8*('Business Case'!G11*$C226*'Business Case'!G12*$B226)</f>
        <v>837846125.483597</v>
      </c>
      <c r="N226" s="39" t="n">
        <f aca="false">IF(COUNT('Business Case'!B11:G11)=0,"",H226+NPV(G226,I226:M226))</f>
        <v>-925407587.368121</v>
      </c>
      <c r="P226" s="40" t="n">
        <f aca="true">RAND()</f>
        <v>0.365138310495553</v>
      </c>
      <c r="Q226" s="40" t="n">
        <f aca="true">RAND()</f>
        <v>0.10449482713332</v>
      </c>
      <c r="R226" s="40" t="n">
        <f aca="true">RAND()</f>
        <v>0.111296092615399</v>
      </c>
      <c r="S226" s="40" t="n">
        <f aca="true">RAND()</f>
        <v>0.452867439392547</v>
      </c>
      <c r="T226" s="40" t="n">
        <f aca="true">RAND()</f>
        <v>0.999400649650436</v>
      </c>
      <c r="U226" s="40" t="n">
        <f aca="true">RAND()</f>
        <v>0.969393402607032</v>
      </c>
    </row>
    <row r="227" customFormat="false" ht="15" hidden="false" customHeight="false" outlineLevel="0" collapsed="false">
      <c r="A227" s="36" t="n">
        <v>147</v>
      </c>
      <c r="B227" s="37" t="n">
        <f aca="false">1+IF($G$6=$E$6,$F$6,IF(P227&lt;($F$6-$E$6)/($G$6-$E$6),$E$6+SQRT(P227*($G$6-$E$6)*($F$6-$E$6)),$G$6-SQRT((1-P227)*($G$6-$E$6)*($G$6-$F$6))))</f>
        <v>1.01265666521706</v>
      </c>
      <c r="C227" s="37" t="n">
        <f aca="false">1+IF($G$7=$E$7,$F$7,IF(Q227&lt;($F$7-$E$7)/($G$7-$E$7),$E$7+SQRT(Q227*($G$7-$E$7)*($F$7-$E$7)),$G$7-SQRT((1-Q227)*($G$7-$E$7)*($G$7-$F$7))))</f>
        <v>1.03027011010677</v>
      </c>
      <c r="D227" s="37" t="n">
        <f aca="false">1+IF($G$8=$E$8,$F$8,IF(R227&lt;($F$8-$E$8)/($G$8-$E$8),$E$8+SQRT(R227*($G$8-$E$8)*($F$8-$E$8)),$G$8-SQRT((1-R227)*($G$8-$E$8)*($G$8-$F$8))))</f>
        <v>0.965637601278795</v>
      </c>
      <c r="E227" s="37" t="n">
        <f aca="false">1+IF($G$9=$E$9,$F$9,IF(S227&lt;($F$9-$E$9)/($G$9-$E$9),$E$9+SQRT(S227*($G$9-$E$9)*($F$9-$E$9)),$G$9-SQRT((1-S227)*($G$9-$E$9)*($G$9-$F$9))))</f>
        <v>1.04679413177056</v>
      </c>
      <c r="F227" s="37" t="n">
        <f aca="false">1+IF($G$10=$E$10,$F$10,IF(T227&lt;($F$10-$E$10)/($G$10-$E$10),$E$10+SQRT(T227*($G$10-$E$10)*($F$10-$E$10)),$G$10-SQRT((1-T227)*($G$10-$E$10)*($G$10-$F$10))))</f>
        <v>1.16350775400515</v>
      </c>
      <c r="G227" s="38" t="n">
        <f aca="false">IF($G$11=$E$11,$F$11,IF(U227&lt;($F$11-$E$11)/($G$11-$E$11),$E$11+SQRT(U227*($G$11-$E$11)*($F$11-$E$11)),$G$11-SQRT((1-U227)*($G$11-$E$11)*($G$11-$F$11))))</f>
        <v>0.097598620363279</v>
      </c>
      <c r="H227" s="39" t="n">
        <f aca="false">(('Business Case'!B11*$C227*'Business Case'!B12*$B227)-'Business Case'!B11*$C227*'Business Case'!B13*$D227-'Business Case'!B14*$E227)-MAX(0,(('Business Case'!B11*$C227*'Business Case'!B12*$B227)-'Business Case'!B11*$C227*'Business Case'!B13*$D227-'Business Case'!B14*$E227))*'Business Case'!$B$7-'Business Case'!$B$8*('Business Case'!B11*$C227*'Business Case'!B12*$B227)-'Business Case'!B15*$F227</f>
        <v>-2327015508.0103</v>
      </c>
      <c r="I227" s="39" t="n">
        <f aca="false">(('Business Case'!C11*$C227*'Business Case'!C12*$B227)-'Business Case'!C11*$C227*'Business Case'!C13*$D227-'Business Case'!C14*$E227)-MAX(0,(('Business Case'!C11*$C227*'Business Case'!C12*$B227)-'Business Case'!C11*$C227*'Business Case'!C13*$D227-'Business Case'!C14*$E227))*'Business Case'!$B$7-'Business Case'!$B$8*(('Business Case'!C11*$C227*'Business Case'!C12*$B227)-('Business Case'!B11*$C227*'Business Case'!B12*$B227))-'Business Case'!C15*$F227</f>
        <v>25963235.4495538</v>
      </c>
      <c r="J227" s="39" t="n">
        <f aca="false">(('Business Case'!D11*$C227*'Business Case'!D12*$B227)-'Business Case'!D11*$C227*'Business Case'!D13*$D227-'Business Case'!D14*$E227)-MAX(0,(('Business Case'!D11*$C227*'Business Case'!D12*$B227)-'Business Case'!D11*$C227*'Business Case'!D13*$D227-'Business Case'!D14*$E227))*'Business Case'!$B$7-'Business Case'!$B$8*(('Business Case'!D11*$C227*'Business Case'!D12*$B227)-('Business Case'!C11*$C227*'Business Case'!C12*$B227))-'Business Case'!D15*$F227</f>
        <v>371216556.740985</v>
      </c>
      <c r="K227" s="39" t="n">
        <f aca="false">(('Business Case'!E11*$C227*'Business Case'!E12*$B227)-'Business Case'!E11*$C227*'Business Case'!E13*$D227-'Business Case'!E14*$E227)-MAX(0,(('Business Case'!E11*$C227*'Business Case'!E12*$B227)-'Business Case'!E11*$C227*'Business Case'!E13*$D227-'Business Case'!E14*$E227))*'Business Case'!$B$7-'Business Case'!$B$8*(('Business Case'!E11*$C227*'Business Case'!E12*$B227)-('Business Case'!D11*$C227*'Business Case'!D12*$B227))-'Business Case'!E15*$F227</f>
        <v>774645265.732673</v>
      </c>
      <c r="L227" s="39" t="n">
        <f aca="false">(('Business Case'!F11*$C227*'Business Case'!F12*$B227)-'Business Case'!F11*$C227*'Business Case'!F13*$D227-'Business Case'!F14*$E227)-MAX(0,(('Business Case'!F11*$C227*'Business Case'!F12*$B227)-'Business Case'!F11*$C227*'Business Case'!F13*$D227-'Business Case'!F14*$E227))*'Business Case'!$B$7-'Business Case'!$B$8*(('Business Case'!F11*$C227*'Business Case'!F12*$B227)-('Business Case'!E11*$C227*'Business Case'!E12*$B227))-'Business Case'!F15*$F227</f>
        <v>925786496.098874</v>
      </c>
      <c r="M227" s="39" t="n">
        <f aca="false">(('Business Case'!G11*$C227*'Business Case'!G12*$B227)-'Business Case'!G11*$C227*'Business Case'!G13*$D227-'Business Case'!G14*$E227)-MAX(0,(('Business Case'!G11*$C227*'Business Case'!G12*$B227)-'Business Case'!G11*$C227*'Business Case'!G13*$D227-'Business Case'!G14*$E227))*'Business Case'!$B$7-'Business Case'!$B$8*(('Business Case'!G11*$C227*'Business Case'!G12*$B227)-('Business Case'!F11*$C227*'Business Case'!F12*$B227))-'Business Case'!G15*$F227+'Business Case'!$B$8*('Business Case'!G11*$C227*'Business Case'!G12*$B227)</f>
        <v>1124098840.74536</v>
      </c>
      <c r="N227" s="39" t="n">
        <f aca="false">IF(COUNT('Business Case'!B11:G11)=0,"",H227+NPV(G227,I227:M227))</f>
        <v>-65873371.2536402</v>
      </c>
      <c r="P227" s="40" t="n">
        <f aca="true">RAND()</f>
        <v>0.844237925614158</v>
      </c>
      <c r="Q227" s="40" t="n">
        <f aca="true">RAND()</f>
        <v>0.726947685069632</v>
      </c>
      <c r="R227" s="40" t="n">
        <f aca="true">RAND()</f>
        <v>0.0376207036545469</v>
      </c>
      <c r="S227" s="40" t="n">
        <f aca="true">RAND()</f>
        <v>0.811275705730093</v>
      </c>
      <c r="T227" s="40" t="n">
        <f aca="true">RAND()</f>
        <v>0.97336631964503</v>
      </c>
      <c r="U227" s="40" t="n">
        <f aca="true">RAND()</f>
        <v>0.192463438084129</v>
      </c>
    </row>
    <row r="228" customFormat="false" ht="15" hidden="false" customHeight="false" outlineLevel="0" collapsed="false">
      <c r="A228" s="36" t="n">
        <v>148</v>
      </c>
      <c r="B228" s="37" t="n">
        <f aca="false">1+IF($G$6=$E$6,$F$6,IF(P228&lt;($F$6-$E$6)/($G$6-$E$6),$E$6+SQRT(P228*($G$6-$E$6)*($F$6-$E$6)),$G$6-SQRT((1-P228)*($G$6-$E$6)*($G$6-$F$6))))</f>
        <v>0.970853739257407</v>
      </c>
      <c r="C228" s="37" t="n">
        <f aca="false">1+IF($G$7=$E$7,$F$7,IF(Q228&lt;($F$7-$E$7)/($G$7-$E$7),$E$7+SQRT(Q228*($G$7-$E$7)*($F$7-$E$7)),$G$7-SQRT((1-Q228)*($G$7-$E$7)*($G$7-$F$7))))</f>
        <v>0.942000409263657</v>
      </c>
      <c r="D228" s="37" t="n">
        <f aca="false">1+IF($G$8=$E$8,$F$8,IF(R228&lt;($F$8-$E$8)/($G$8-$E$8),$E$8+SQRT(R228*($G$8-$E$8)*($F$8-$E$8)),$G$8-SQRT((1-R228)*($G$8-$E$8)*($G$8-$F$8))))</f>
        <v>1.04628870053941</v>
      </c>
      <c r="E228" s="37" t="n">
        <f aca="false">1+IF($G$9=$E$9,$F$9,IF(S228&lt;($F$9-$E$9)/($G$9-$E$9),$E$9+SQRT(S228*($G$9-$E$9)*($F$9-$E$9)),$G$9-SQRT((1-S228)*($G$9-$E$9)*($G$9-$F$9))))</f>
        <v>1.02134496766094</v>
      </c>
      <c r="F228" s="37" t="n">
        <f aca="false">1+IF($G$10=$E$10,$F$10,IF(T228&lt;($F$10-$E$10)/($G$10-$E$10),$E$10+SQRT(T228*($G$10-$E$10)*($F$10-$E$10)),$G$10-SQRT((1-T228)*($G$10-$E$10)*($G$10-$F$10))))</f>
        <v>1.06554296754787</v>
      </c>
      <c r="G228" s="38" t="n">
        <f aca="false">IF($G$11=$E$11,$F$11,IF(U228&lt;($F$11-$E$11)/($G$11-$E$11),$E$11+SQRT(U228*($G$11-$E$11)*($F$11-$E$11)),$G$11-SQRT((1-U228)*($G$11-$E$11)*($G$11-$F$11))))</f>
        <v>0.101601243851233</v>
      </c>
      <c r="H228" s="39" t="n">
        <f aca="false">(('Business Case'!B11*$C228*'Business Case'!B12*$B228)-'Business Case'!B11*$C228*'Business Case'!B13*$D228-'Business Case'!B14*$E228)-MAX(0,(('Business Case'!B11*$C228*'Business Case'!B12*$B228)-'Business Case'!B11*$C228*'Business Case'!B13*$D228-'Business Case'!B14*$E228))*'Business Case'!$B$7-'Business Case'!$B$8*('Business Case'!B11*$C228*'Business Case'!B12*$B228)-'Business Case'!B15*$F228</f>
        <v>-2131085935.09575</v>
      </c>
      <c r="I228" s="39" t="n">
        <f aca="false">(('Business Case'!C11*$C228*'Business Case'!C12*$B228)-'Business Case'!C11*$C228*'Business Case'!C13*$D228-'Business Case'!C14*$E228)-MAX(0,(('Business Case'!C11*$C228*'Business Case'!C12*$B228)-'Business Case'!C11*$C228*'Business Case'!C13*$D228-'Business Case'!C14*$E228))*'Business Case'!$B$7-'Business Case'!$B$8*(('Business Case'!C11*$C228*'Business Case'!C12*$B228)-('Business Case'!B11*$C228*'Business Case'!B12*$B228))-'Business Case'!C15*$F228</f>
        <v>-54672249.7992075</v>
      </c>
      <c r="J228" s="39" t="n">
        <f aca="false">(('Business Case'!D11*$C228*'Business Case'!D12*$B228)-'Business Case'!D11*$C228*'Business Case'!D13*$D228-'Business Case'!D14*$E228)-MAX(0,(('Business Case'!D11*$C228*'Business Case'!D12*$B228)-'Business Case'!D11*$C228*'Business Case'!D13*$D228-'Business Case'!D14*$E228))*'Business Case'!$B$7-'Business Case'!$B$8*(('Business Case'!D11*$C228*'Business Case'!D12*$B228)-('Business Case'!C11*$C228*'Business Case'!C12*$B228))-'Business Case'!D15*$F228</f>
        <v>189855044.643816</v>
      </c>
      <c r="K228" s="39" t="n">
        <f aca="false">(('Business Case'!E11*$C228*'Business Case'!E12*$B228)-'Business Case'!E11*$C228*'Business Case'!E13*$D228-'Business Case'!E14*$E228)-MAX(0,(('Business Case'!E11*$C228*'Business Case'!E12*$B228)-'Business Case'!E11*$C228*'Business Case'!E13*$D228-'Business Case'!E14*$E228))*'Business Case'!$B$7-'Business Case'!$B$8*(('Business Case'!E11*$C228*'Business Case'!E12*$B228)-('Business Case'!D11*$C228*'Business Case'!D12*$B228))-'Business Case'!E15*$F228</f>
        <v>487659487.464232</v>
      </c>
      <c r="L228" s="39" t="n">
        <f aca="false">(('Business Case'!F11*$C228*'Business Case'!F12*$B228)-'Business Case'!F11*$C228*'Business Case'!F13*$D228-'Business Case'!F14*$E228)-MAX(0,(('Business Case'!F11*$C228*'Business Case'!F12*$B228)-'Business Case'!F11*$C228*'Business Case'!F13*$D228-'Business Case'!F14*$E228))*'Business Case'!$B$7-'Business Case'!$B$8*(('Business Case'!F11*$C228*'Business Case'!F12*$B228)-('Business Case'!E11*$C228*'Business Case'!E12*$B228))-'Business Case'!F15*$F228</f>
        <v>600775247.669279</v>
      </c>
      <c r="M228" s="39" t="n">
        <f aca="false">(('Business Case'!G11*$C228*'Business Case'!G12*$B228)-'Business Case'!G11*$C228*'Business Case'!G13*$D228-'Business Case'!G14*$E228)-MAX(0,(('Business Case'!G11*$C228*'Business Case'!G12*$B228)-'Business Case'!G11*$C228*'Business Case'!G13*$D228-'Business Case'!G14*$E228))*'Business Case'!$B$7-'Business Case'!$B$8*(('Business Case'!G11*$C228*'Business Case'!G12*$B228)-('Business Case'!F11*$C228*'Business Case'!F12*$B228))-'Business Case'!G15*$F228+'Business Case'!$B$8*('Business Case'!G11*$C228*'Business Case'!G12*$B228)</f>
        <v>774611888.984826</v>
      </c>
      <c r="N228" s="39" t="n">
        <f aca="false">IF(COUNT('Business Case'!B11:G11)=0,"",H228+NPV(G228,I228:M228))</f>
        <v>-774031586.969867</v>
      </c>
      <c r="P228" s="40" t="n">
        <f aca="true">RAND()</f>
        <v>0.269385707964623</v>
      </c>
      <c r="Q228" s="40" t="n">
        <f aca="true">RAND()</f>
        <v>0.28805880330066</v>
      </c>
      <c r="R228" s="40" t="n">
        <f aca="true">RAND()</f>
        <v>0.89072579698833</v>
      </c>
      <c r="S228" s="40" t="n">
        <f aca="true">RAND()</f>
        <v>0.587559059182711</v>
      </c>
      <c r="T228" s="40" t="n">
        <f aca="true">RAND()</f>
        <v>0.638426128483359</v>
      </c>
      <c r="U228" s="40" t="n">
        <f aca="true">RAND()</f>
        <v>0.435809620297004</v>
      </c>
    </row>
    <row r="229" customFormat="false" ht="15" hidden="false" customHeight="false" outlineLevel="0" collapsed="false">
      <c r="A229" s="36" t="n">
        <v>149</v>
      </c>
      <c r="B229" s="37" t="n">
        <f aca="false">1+IF($G$6=$E$6,$F$6,IF(P229&lt;($F$6-$E$6)/($G$6-$E$6),$E$6+SQRT(P229*($G$6-$E$6)*($F$6-$E$6)),$G$6-SQRT((1-P229)*($G$6-$E$6)*($G$6-$F$6))))</f>
        <v>0.992767271730122</v>
      </c>
      <c r="C229" s="37" t="n">
        <f aca="false">1+IF($G$7=$E$7,$F$7,IF(Q229&lt;($F$7-$E$7)/($G$7-$E$7),$E$7+SQRT(Q229*($G$7-$E$7)*($F$7-$E$7)),$G$7-SQRT((1-Q229)*($G$7-$E$7)*($G$7-$F$7))))</f>
        <v>0.915121663458646</v>
      </c>
      <c r="D229" s="37" t="n">
        <f aca="false">1+IF($G$8=$E$8,$F$8,IF(R229&lt;($F$8-$E$8)/($G$8-$E$8),$E$8+SQRT(R229*($G$8-$E$8)*($F$8-$E$8)),$G$8-SQRT((1-R229)*($G$8-$E$8)*($G$8-$F$8))))</f>
        <v>1.05557488395806</v>
      </c>
      <c r="E229" s="37" t="n">
        <f aca="false">1+IF($G$9=$E$9,$F$9,IF(S229&lt;($F$9-$E$9)/($G$9-$E$9),$E$9+SQRT(S229*($G$9-$E$9)*($F$9-$E$9)),$G$9-SQRT((1-S229)*($G$9-$E$9)*($G$9-$F$9))))</f>
        <v>1.06800059646791</v>
      </c>
      <c r="F229" s="37" t="n">
        <f aca="false">1+IF($G$10=$E$10,$F$10,IF(T229&lt;($F$10-$E$10)/($G$10-$E$10),$E$10+SQRT(T229*($G$10-$E$10)*($F$10-$E$10)),$G$10-SQRT((1-T229)*($G$10-$E$10)*($G$10-$F$10))))</f>
        <v>1.02903515039554</v>
      </c>
      <c r="G229" s="38" t="n">
        <f aca="false">IF($G$11=$E$11,$F$11,IF(U229&lt;($F$11-$E$11)/($G$11-$E$11),$E$11+SQRT(U229*($G$11-$E$11)*($F$11-$E$11)),$G$11-SQRT((1-U229)*($G$11-$E$11)*($G$11-$F$11))))</f>
        <v>0.109687678893813</v>
      </c>
      <c r="H229" s="39" t="n">
        <f aca="false">(('Business Case'!B11*$C229*'Business Case'!B12*$B229)-'Business Case'!B11*$C229*'Business Case'!B13*$D229-'Business Case'!B14*$E229)-MAX(0,(('Business Case'!B11*$C229*'Business Case'!B12*$B229)-'Business Case'!B11*$C229*'Business Case'!B13*$D229-'Business Case'!B14*$E229))*'Business Case'!$B$7-'Business Case'!$B$8*('Business Case'!B11*$C229*'Business Case'!B12*$B229)-'Business Case'!B15*$F229</f>
        <v>-2058070300.79108</v>
      </c>
      <c r="I229" s="39" t="n">
        <f aca="false">(('Business Case'!C11*$C229*'Business Case'!C12*$B229)-'Business Case'!C11*$C229*'Business Case'!C13*$D229-'Business Case'!C14*$E229)-MAX(0,(('Business Case'!C11*$C229*'Business Case'!C12*$B229)-'Business Case'!C11*$C229*'Business Case'!C13*$D229-'Business Case'!C14*$E229))*'Business Case'!$B$7-'Business Case'!$B$8*(('Business Case'!C11*$C229*'Business Case'!C12*$B229)-('Business Case'!B11*$C229*'Business Case'!B12*$B229))-'Business Case'!C15*$F229</f>
        <v>-52244947.9435794</v>
      </c>
      <c r="J229" s="39" t="n">
        <f aca="false">(('Business Case'!D11*$C229*'Business Case'!D12*$B229)-'Business Case'!D11*$C229*'Business Case'!D13*$D229-'Business Case'!D14*$E229)-MAX(0,(('Business Case'!D11*$C229*'Business Case'!D12*$B229)-'Business Case'!D11*$C229*'Business Case'!D13*$D229-'Business Case'!D14*$E229))*'Business Case'!$B$7-'Business Case'!$B$8*(('Business Case'!D11*$C229*'Business Case'!D12*$B229)-('Business Case'!C11*$C229*'Business Case'!C12*$B229))-'Business Case'!D15*$F229</f>
        <v>197380091.047105</v>
      </c>
      <c r="K229" s="39" t="n">
        <f aca="false">(('Business Case'!E11*$C229*'Business Case'!E12*$B229)-'Business Case'!E11*$C229*'Business Case'!E13*$D229-'Business Case'!E14*$E229)-MAX(0,(('Business Case'!E11*$C229*'Business Case'!E12*$B229)-'Business Case'!E11*$C229*'Business Case'!E13*$D229-'Business Case'!E14*$E229))*'Business Case'!$B$7-'Business Case'!$B$8*(('Business Case'!E11*$C229*'Business Case'!E12*$B229)-('Business Case'!D11*$C229*'Business Case'!D12*$B229))-'Business Case'!E15*$F229</f>
        <v>498456887.557566</v>
      </c>
      <c r="L229" s="39" t="n">
        <f aca="false">(('Business Case'!F11*$C229*'Business Case'!F12*$B229)-'Business Case'!F11*$C229*'Business Case'!F13*$D229-'Business Case'!F14*$E229)-MAX(0,(('Business Case'!F11*$C229*'Business Case'!F12*$B229)-'Business Case'!F11*$C229*'Business Case'!F13*$D229-'Business Case'!F14*$E229))*'Business Case'!$B$7-'Business Case'!$B$8*(('Business Case'!F11*$C229*'Business Case'!F12*$B229)-('Business Case'!E11*$C229*'Business Case'!E12*$B229))-'Business Case'!F15*$F229</f>
        <v>613063091.93911</v>
      </c>
      <c r="M229" s="39" t="n">
        <f aca="false">(('Business Case'!G11*$C229*'Business Case'!G12*$B229)-'Business Case'!G11*$C229*'Business Case'!G13*$D229-'Business Case'!G14*$E229)-MAX(0,(('Business Case'!G11*$C229*'Business Case'!G12*$B229)-'Business Case'!G11*$C229*'Business Case'!G13*$D229-'Business Case'!G14*$E229))*'Business Case'!$B$7-'Business Case'!$B$8*(('Business Case'!G11*$C229*'Business Case'!G12*$B229)-('Business Case'!F11*$C229*'Business Case'!F12*$B229))-'Business Case'!G15*$F229+'Business Case'!$B$8*('Business Case'!G11*$C229*'Business Case'!G12*$B229)</f>
        <v>785751311.221345</v>
      </c>
      <c r="N229" s="39" t="n">
        <f aca="false">IF(COUNT('Business Case'!B11:G11)=0,"",H229+NPV(G229,I229:M229))</f>
        <v>-708827344.699437</v>
      </c>
      <c r="P229" s="40" t="n">
        <f aca="true">RAND()</f>
        <v>0.55157039948389</v>
      </c>
      <c r="Q229" s="40" t="n">
        <f aca="true">RAND()</f>
        <v>0.189328534249796</v>
      </c>
      <c r="R229" s="40" t="n">
        <f aca="true">RAND()</f>
        <v>0.942635933301718</v>
      </c>
      <c r="S229" s="40" t="n">
        <f aca="true">RAND()</f>
        <v>0.931735878239365</v>
      </c>
      <c r="T229" s="40" t="n">
        <f aca="true">RAND()</f>
        <v>0.41542040399447</v>
      </c>
      <c r="U229" s="40" t="n">
        <f aca="true">RAND()</f>
        <v>0.822760055671477</v>
      </c>
    </row>
    <row r="230" customFormat="false" ht="15" hidden="false" customHeight="false" outlineLevel="0" collapsed="false">
      <c r="A230" s="36" t="n">
        <v>150</v>
      </c>
      <c r="B230" s="37" t="n">
        <f aca="false">1+IF($G$6=$E$6,$F$6,IF(P230&lt;($F$6-$E$6)/($G$6-$E$6),$E$6+SQRT(P230*($G$6-$E$6)*($F$6-$E$6)),$G$6-SQRT((1-P230)*($G$6-$E$6)*($G$6-$F$6))))</f>
        <v>0.993403503056854</v>
      </c>
      <c r="C230" s="37" t="n">
        <f aca="false">1+IF($G$7=$E$7,$F$7,IF(Q230&lt;($F$7-$E$7)/($G$7-$E$7),$E$7+SQRT(Q230*($G$7-$E$7)*($F$7-$E$7)),$G$7-SQRT((1-Q230)*($G$7-$E$7)*($G$7-$F$7))))</f>
        <v>1.01036860542078</v>
      </c>
      <c r="D230" s="37" t="n">
        <f aca="false">1+IF($G$8=$E$8,$F$8,IF(R230&lt;($F$8-$E$8)/($G$8-$E$8),$E$8+SQRT(R230*($G$8-$E$8)*($F$8-$E$8)),$G$8-SQRT((1-R230)*($G$8-$E$8)*($G$8-$F$8))))</f>
        <v>1.0744793356309</v>
      </c>
      <c r="E230" s="37" t="n">
        <f aca="false">1+IF($G$9=$E$9,$F$9,IF(S230&lt;($F$9-$E$9)/($G$9-$E$9),$E$9+SQRT(S230*($G$9-$E$9)*($F$9-$E$9)),$G$9-SQRT((1-S230)*($G$9-$E$9)*($G$9-$F$9))))</f>
        <v>1.01388185135749</v>
      </c>
      <c r="F230" s="37" t="n">
        <f aca="false">1+IF($G$10=$E$10,$F$10,IF(T230&lt;($F$10-$E$10)/($G$10-$E$10),$E$10+SQRT(T230*($G$10-$E$10)*($F$10-$E$10)),$G$10-SQRT((1-T230)*($G$10-$E$10)*($G$10-$F$10))))</f>
        <v>1.07705314600774</v>
      </c>
      <c r="G230" s="38" t="n">
        <f aca="false">IF($G$11=$E$11,$F$11,IF(U230&lt;($F$11-$E$11)/($G$11-$E$11),$E$11+SQRT(U230*($G$11-$E$11)*($F$11-$E$11)),$G$11-SQRT((1-U230)*($G$11-$E$11)*($G$11-$F$11))))</f>
        <v>0.10792653680366</v>
      </c>
      <c r="H230" s="39" t="n">
        <f aca="false">(('Business Case'!B11*$C230*'Business Case'!B12*$B230)-'Business Case'!B11*$C230*'Business Case'!B13*$D230-'Business Case'!B14*$E230)-MAX(0,(('Business Case'!B11*$C230*'Business Case'!B12*$B230)-'Business Case'!B11*$C230*'Business Case'!B13*$D230-'Business Case'!B14*$E230))*'Business Case'!$B$7-'Business Case'!$B$8*('Business Case'!B11*$C230*'Business Case'!B12*$B230)-'Business Case'!B15*$F230</f>
        <v>-2154106292.01548</v>
      </c>
      <c r="I230" s="39" t="n">
        <f aca="false">(('Business Case'!C11*$C230*'Business Case'!C12*$B230)-'Business Case'!C11*$C230*'Business Case'!C13*$D230-'Business Case'!C14*$E230)-MAX(0,(('Business Case'!C11*$C230*'Business Case'!C12*$B230)-'Business Case'!C11*$C230*'Business Case'!C13*$D230-'Business Case'!C14*$E230))*'Business Case'!$B$7-'Business Case'!$B$8*(('Business Case'!C11*$C230*'Business Case'!C12*$B230)-('Business Case'!B11*$C230*'Business Case'!B12*$B230))-'Business Case'!C15*$F230</f>
        <v>-37556394.0829333</v>
      </c>
      <c r="J230" s="39" t="n">
        <f aca="false">(('Business Case'!D11*$C230*'Business Case'!D12*$B230)-'Business Case'!D11*$C230*'Business Case'!D13*$D230-'Business Case'!D14*$E230)-MAX(0,(('Business Case'!D11*$C230*'Business Case'!D12*$B230)-'Business Case'!D11*$C230*'Business Case'!D13*$D230-'Business Case'!D14*$E230))*'Business Case'!$B$7-'Business Case'!$B$8*(('Business Case'!D11*$C230*'Business Case'!D12*$B230)-('Business Case'!C11*$C230*'Business Case'!C12*$B230))-'Business Case'!D15*$F230</f>
        <v>228798526.128213</v>
      </c>
      <c r="K230" s="39" t="n">
        <f aca="false">(('Business Case'!E11*$C230*'Business Case'!E12*$B230)-'Business Case'!E11*$C230*'Business Case'!E13*$D230-'Business Case'!E14*$E230)-MAX(0,(('Business Case'!E11*$C230*'Business Case'!E12*$B230)-'Business Case'!E11*$C230*'Business Case'!E13*$D230-'Business Case'!E14*$E230))*'Business Case'!$B$7-'Business Case'!$B$8*(('Business Case'!E11*$C230*'Business Case'!E12*$B230)-('Business Case'!D11*$C230*'Business Case'!D12*$B230))-'Business Case'!E15*$F230</f>
        <v>549006103.639746</v>
      </c>
      <c r="L230" s="39" t="n">
        <f aca="false">(('Business Case'!F11*$C230*'Business Case'!F12*$B230)-'Business Case'!F11*$C230*'Business Case'!F13*$D230-'Business Case'!F14*$E230)-MAX(0,(('Business Case'!F11*$C230*'Business Case'!F12*$B230)-'Business Case'!F11*$C230*'Business Case'!F13*$D230-'Business Case'!F14*$E230))*'Business Case'!$B$7-'Business Case'!$B$8*(('Business Case'!F11*$C230*'Business Case'!F12*$B230)-('Business Case'!E11*$C230*'Business Case'!E12*$B230))-'Business Case'!F15*$F230</f>
        <v>672479077.330309</v>
      </c>
      <c r="M230" s="39" t="n">
        <f aca="false">(('Business Case'!G11*$C230*'Business Case'!G12*$B230)-'Business Case'!G11*$C230*'Business Case'!G13*$D230-'Business Case'!G14*$E230)-MAX(0,(('Business Case'!G11*$C230*'Business Case'!G12*$B230)-'Business Case'!G11*$C230*'Business Case'!G13*$D230-'Business Case'!G14*$E230))*'Business Case'!$B$7-'Business Case'!$B$8*(('Business Case'!G11*$C230*'Business Case'!G12*$B230)-('Business Case'!F11*$C230*'Business Case'!F12*$B230))-'Business Case'!G15*$F230+'Business Case'!$B$8*('Business Case'!G11*$C230*'Business Case'!G12*$B230)</f>
        <v>863263078.907967</v>
      </c>
      <c r="N230" s="39" t="n">
        <f aca="false">IF(COUNT('Business Case'!B11:G11)=0,"",H230+NPV(G230,I230:M230))</f>
        <v>-634499233.291457</v>
      </c>
      <c r="P230" s="40" t="n">
        <f aca="true">RAND()</f>
        <v>0.561257735522666</v>
      </c>
      <c r="Q230" s="40" t="n">
        <f aca="true">RAND()</f>
        <v>0.628629974245017</v>
      </c>
      <c r="R230" s="40" t="n">
        <f aca="true">RAND()</f>
        <v>0.99706944855036</v>
      </c>
      <c r="S230" s="40" t="n">
        <f aca="true">RAND()</f>
        <v>0.50557763162578</v>
      </c>
      <c r="T230" s="40" t="n">
        <f aca="true">RAND()</f>
        <v>0.697681421868121</v>
      </c>
      <c r="U230" s="40" t="n">
        <f aca="true">RAND()</f>
        <v>0.757052477411055</v>
      </c>
    </row>
    <row r="231" customFormat="false" ht="15" hidden="false" customHeight="false" outlineLevel="0" collapsed="false">
      <c r="A231" s="36" t="n">
        <v>151</v>
      </c>
      <c r="B231" s="37" t="n">
        <f aca="false">1+IF($G$6=$E$6,$F$6,IF(P231&lt;($F$6-$E$6)/($G$6-$E$6),$E$6+SQRT(P231*($G$6-$E$6)*($F$6-$E$6)),$G$6-SQRT((1-P231)*($G$6-$E$6)*($G$6-$F$6))))</f>
        <v>0.964648224827921</v>
      </c>
      <c r="C231" s="37" t="n">
        <f aca="false">1+IF($G$7=$E$7,$F$7,IF(Q231&lt;($F$7-$E$7)/($G$7-$E$7),$E$7+SQRT(Q231*($G$7-$E$7)*($F$7-$E$7)),$G$7-SQRT((1-Q231)*($G$7-$E$7)*($G$7-$F$7))))</f>
        <v>0.906737262275288</v>
      </c>
      <c r="D231" s="37" t="n">
        <f aca="false">1+IF($G$8=$E$8,$F$8,IF(R231&lt;($F$8-$E$8)/($G$8-$E$8),$E$8+SQRT(R231*($G$8-$E$8)*($F$8-$E$8)),$G$8-SQRT((1-R231)*($G$8-$E$8)*($G$8-$F$8))))</f>
        <v>1.03853171793119</v>
      </c>
      <c r="E231" s="37" t="n">
        <f aca="false">1+IF($G$9=$E$9,$F$9,IF(S231&lt;($F$9-$E$9)/($G$9-$E$9),$E$9+SQRT(S231*($G$9-$E$9)*($F$9-$E$9)),$G$9-SQRT((1-S231)*($G$9-$E$9)*($G$9-$F$9))))</f>
        <v>1.00016123675976</v>
      </c>
      <c r="F231" s="37" t="n">
        <f aca="false">1+IF($G$10=$E$10,$F$10,IF(T231&lt;($F$10-$E$10)/($G$10-$E$10),$E$10+SQRT(T231*($G$10-$E$10)*($F$10-$E$10)),$G$10-SQRT((1-T231)*($G$10-$E$10)*($G$10-$F$10))))</f>
        <v>1.05489597620053</v>
      </c>
      <c r="G231" s="38" t="n">
        <f aca="false">IF($G$11=$E$11,$F$11,IF(U231&lt;($F$11-$E$11)/($G$11-$E$11),$E$11+SQRT(U231*($G$11-$E$11)*($F$11-$E$11)),$G$11-SQRT((1-U231)*($G$11-$E$11)*($G$11-$F$11))))</f>
        <v>0.0918114294895741</v>
      </c>
      <c r="H231" s="39" t="n">
        <f aca="false">(('Business Case'!B11*$C231*'Business Case'!B12*$B231)-'Business Case'!B11*$C231*'Business Case'!B13*$D231-'Business Case'!B14*$E231)-MAX(0,(('Business Case'!B11*$C231*'Business Case'!B12*$B231)-'Business Case'!B11*$C231*'Business Case'!B13*$D231-'Business Case'!B14*$E231))*'Business Case'!$B$7-'Business Case'!$B$8*('Business Case'!B11*$C231*'Business Case'!B12*$B231)-'Business Case'!B15*$F231</f>
        <v>-2109791952.40106</v>
      </c>
      <c r="I231" s="39" t="n">
        <f aca="false">(('Business Case'!C11*$C231*'Business Case'!C12*$B231)-'Business Case'!C11*$C231*'Business Case'!C13*$D231-'Business Case'!C14*$E231)-MAX(0,(('Business Case'!C11*$C231*'Business Case'!C12*$B231)-'Business Case'!C11*$C231*'Business Case'!C13*$D231-'Business Case'!C14*$E231))*'Business Case'!$B$7-'Business Case'!$B$8*(('Business Case'!C11*$C231*'Business Case'!C12*$B231)-('Business Case'!B11*$C231*'Business Case'!B12*$B231))-'Business Case'!C15*$F231</f>
        <v>-58690603.1820426</v>
      </c>
      <c r="J231" s="39" t="n">
        <f aca="false">(('Business Case'!D11*$C231*'Business Case'!D12*$B231)-'Business Case'!D11*$C231*'Business Case'!D13*$D231-'Business Case'!D14*$E231)-MAX(0,(('Business Case'!D11*$C231*'Business Case'!D12*$B231)-'Business Case'!D11*$C231*'Business Case'!D13*$D231-'Business Case'!D14*$E231))*'Business Case'!$B$7-'Business Case'!$B$8*(('Business Case'!D11*$C231*'Business Case'!D12*$B231)-('Business Case'!C11*$C231*'Business Case'!C12*$B231))-'Business Case'!D15*$F231</f>
        <v>175674859.427573</v>
      </c>
      <c r="K231" s="39" t="n">
        <f aca="false">(('Business Case'!E11*$C231*'Business Case'!E12*$B231)-'Business Case'!E11*$C231*'Business Case'!E13*$D231-'Business Case'!E14*$E231)-MAX(0,(('Business Case'!E11*$C231*'Business Case'!E12*$B231)-'Business Case'!E11*$C231*'Business Case'!E13*$D231-'Business Case'!E14*$E231))*'Business Case'!$B$7-'Business Case'!$B$8*(('Business Case'!E11*$C231*'Business Case'!E12*$B231)-('Business Case'!D11*$C231*'Business Case'!D12*$B231))-'Business Case'!E15*$F231</f>
        <v>462785120.847214</v>
      </c>
      <c r="L231" s="39" t="n">
        <f aca="false">(('Business Case'!F11*$C231*'Business Case'!F12*$B231)-'Business Case'!F11*$C231*'Business Case'!F13*$D231-'Business Case'!F14*$E231)-MAX(0,(('Business Case'!F11*$C231*'Business Case'!F12*$B231)-'Business Case'!F11*$C231*'Business Case'!F13*$D231-'Business Case'!F14*$E231))*'Business Case'!$B$7-'Business Case'!$B$8*(('Business Case'!F11*$C231*'Business Case'!F12*$B231)-('Business Case'!E11*$C231*'Business Case'!E12*$B231))-'Business Case'!F15*$F231</f>
        <v>571135968.586664</v>
      </c>
      <c r="M231" s="39" t="n">
        <f aca="false">(('Business Case'!G11*$C231*'Business Case'!G12*$B231)-'Business Case'!G11*$C231*'Business Case'!G13*$D231-'Business Case'!G14*$E231)-MAX(0,(('Business Case'!G11*$C231*'Business Case'!G12*$B231)-'Business Case'!G11*$C231*'Business Case'!G13*$D231-'Business Case'!G14*$E231))*'Business Case'!$B$7-'Business Case'!$B$8*(('Business Case'!G11*$C231*'Business Case'!G12*$B231)-('Business Case'!F11*$C231*'Business Case'!F12*$B231))-'Business Case'!G15*$F231+'Business Case'!$B$8*('Business Case'!G11*$C231*'Business Case'!G12*$B231)</f>
        <v>737395616.369344</v>
      </c>
      <c r="N231" s="39" t="n">
        <f aca="false">IF(COUNT('Business Case'!B11:G11)=0,"",H231+NPV(G231,I231:M231))</f>
        <v>-783373424.784513</v>
      </c>
      <c r="P231" s="40" t="n">
        <f aca="true">RAND()</f>
        <v>0.207652497946306</v>
      </c>
      <c r="Q231" s="40" t="n">
        <f aca="true">RAND()</f>
        <v>0.162754902257481</v>
      </c>
      <c r="R231" s="40" t="n">
        <f aca="true">RAND()</f>
        <v>0.834652075217465</v>
      </c>
      <c r="S231" s="40" t="n">
        <f aca="true">RAND()</f>
        <v>0.335481423643939</v>
      </c>
      <c r="T231" s="40" t="n">
        <f aca="true">RAND()</f>
        <v>0.578896445544045</v>
      </c>
      <c r="U231" s="40" t="n">
        <f aca="true">RAND()</f>
        <v>0.0109375893189956</v>
      </c>
    </row>
    <row r="232" customFormat="false" ht="15" hidden="false" customHeight="false" outlineLevel="0" collapsed="false">
      <c r="A232" s="36" t="n">
        <v>152</v>
      </c>
      <c r="B232" s="37" t="n">
        <f aca="false">1+IF($G$6=$E$6,$F$6,IF(P232&lt;($F$6-$E$6)/($G$6-$E$6),$E$6+SQRT(P232*($G$6-$E$6)*($F$6-$E$6)),$G$6-SQRT((1-P232)*($G$6-$E$6)*($G$6-$F$6))))</f>
        <v>1.00834439517851</v>
      </c>
      <c r="C232" s="37" t="n">
        <f aca="false">1+IF($G$7=$E$7,$F$7,IF(Q232&lt;($F$7-$E$7)/($G$7-$E$7),$E$7+SQRT(Q232*($G$7-$E$7)*($F$7-$E$7)),$G$7-SQRT((1-Q232)*($G$7-$E$7)*($G$7-$F$7))))</f>
        <v>0.919404831964948</v>
      </c>
      <c r="D232" s="37" t="n">
        <f aca="false">1+IF($G$8=$E$8,$F$8,IF(R232&lt;($F$8-$E$8)/($G$8-$E$8),$E$8+SQRT(R232*($G$8-$E$8)*($F$8-$E$8)),$G$8-SQRT((1-R232)*($G$8-$E$8)*($G$8-$F$8))))</f>
        <v>0.991414360178862</v>
      </c>
      <c r="E232" s="37" t="n">
        <f aca="false">1+IF($G$9=$E$9,$F$9,IF(S232&lt;($F$9-$E$9)/($G$9-$E$9),$E$9+SQRT(S232*($G$9-$E$9)*($F$9-$E$9)),$G$9-SQRT((1-S232)*($G$9-$E$9)*($G$9-$F$9))))</f>
        <v>1.03792480618247</v>
      </c>
      <c r="F232" s="37" t="n">
        <f aca="false">1+IF($G$10=$E$10,$F$10,IF(T232&lt;($F$10-$E$10)/($G$10-$E$10),$E$10+SQRT(T232*($G$10-$E$10)*($F$10-$E$10)),$G$10-SQRT((1-T232)*($G$10-$E$10)*($G$10-$F$10))))</f>
        <v>1.01073152342845</v>
      </c>
      <c r="G232" s="38" t="n">
        <f aca="false">IF($G$11=$E$11,$F$11,IF(U232&lt;($F$11-$E$11)/($G$11-$E$11),$E$11+SQRT(U232*($G$11-$E$11)*($F$11-$E$11)),$G$11-SQRT((1-U232)*($G$11-$E$11)*($G$11-$F$11))))</f>
        <v>0.106824151026705</v>
      </c>
      <c r="H232" s="39" t="n">
        <f aca="false">(('Business Case'!B11*$C232*'Business Case'!B12*$B232)-'Business Case'!B11*$C232*'Business Case'!B13*$D232-'Business Case'!B14*$E232)-MAX(0,(('Business Case'!B11*$C232*'Business Case'!B12*$B232)-'Business Case'!B11*$C232*'Business Case'!B13*$D232-'Business Case'!B14*$E232))*'Business Case'!$B$7-'Business Case'!$B$8*('Business Case'!B11*$C232*'Business Case'!B12*$B232)-'Business Case'!B15*$F232</f>
        <v>-2021463046.85691</v>
      </c>
      <c r="I232" s="39" t="n">
        <f aca="false">(('Business Case'!C11*$C232*'Business Case'!C12*$B232)-'Business Case'!C11*$C232*'Business Case'!C13*$D232-'Business Case'!C14*$E232)-MAX(0,(('Business Case'!C11*$C232*'Business Case'!C12*$B232)-'Business Case'!C11*$C232*'Business Case'!C13*$D232-'Business Case'!C14*$E232))*'Business Case'!$B$7-'Business Case'!$B$8*(('Business Case'!C11*$C232*'Business Case'!C12*$B232)-('Business Case'!B11*$C232*'Business Case'!B12*$B232))-'Business Case'!C15*$F232</f>
        <v>-4003931.58035204</v>
      </c>
      <c r="J232" s="39" t="n">
        <f aca="false">(('Business Case'!D11*$C232*'Business Case'!D12*$B232)-'Business Case'!D11*$C232*'Business Case'!D13*$D232-'Business Case'!D14*$E232)-MAX(0,(('Business Case'!D11*$C232*'Business Case'!D12*$B232)-'Business Case'!D11*$C232*'Business Case'!D13*$D232-'Business Case'!D14*$E232))*'Business Case'!$B$7-'Business Case'!$B$8*(('Business Case'!D11*$C232*'Business Case'!D12*$B232)-('Business Case'!C11*$C232*'Business Case'!C12*$B232))-'Business Case'!D15*$F232</f>
        <v>288717853.226834</v>
      </c>
      <c r="K232" s="39" t="n">
        <f aca="false">(('Business Case'!E11*$C232*'Business Case'!E12*$B232)-'Business Case'!E11*$C232*'Business Case'!E13*$D232-'Business Case'!E14*$E232)-MAX(0,(('Business Case'!E11*$C232*'Business Case'!E12*$B232)-'Business Case'!E11*$C232*'Business Case'!E13*$D232-'Business Case'!E14*$E232))*'Business Case'!$B$7-'Business Case'!$B$8*(('Business Case'!E11*$C232*'Business Case'!E12*$B232)-('Business Case'!D11*$C232*'Business Case'!D12*$B232))-'Business Case'!E15*$F232</f>
        <v>631976214.205442</v>
      </c>
      <c r="L232" s="39" t="n">
        <f aca="false">(('Business Case'!F11*$C232*'Business Case'!F12*$B232)-'Business Case'!F11*$C232*'Business Case'!F13*$D232-'Business Case'!F14*$E232)-MAX(0,(('Business Case'!F11*$C232*'Business Case'!F12*$B232)-'Business Case'!F11*$C232*'Business Case'!F13*$D232-'Business Case'!F14*$E232))*'Business Case'!$B$7-'Business Case'!$B$8*(('Business Case'!F11*$C232*'Business Case'!F12*$B232)-('Business Case'!E11*$C232*'Business Case'!E12*$B232))-'Business Case'!F15*$F232</f>
        <v>761589913.544867</v>
      </c>
      <c r="M232" s="39" t="n">
        <f aca="false">(('Business Case'!G11*$C232*'Business Case'!G12*$B232)-'Business Case'!G11*$C232*'Business Case'!G13*$D232-'Business Case'!G14*$E232)-MAX(0,(('Business Case'!G11*$C232*'Business Case'!G12*$B232)-'Business Case'!G11*$C232*'Business Case'!G13*$D232-'Business Case'!G14*$E232))*'Business Case'!$B$7-'Business Case'!$B$8*(('Business Case'!G11*$C232*'Business Case'!G12*$B232)-('Business Case'!F11*$C232*'Business Case'!F12*$B232))-'Business Case'!G15*$F232+'Business Case'!$B$8*('Business Case'!G11*$C232*'Business Case'!G12*$B232)</f>
        <v>937808654.431864</v>
      </c>
      <c r="N232" s="39" t="n">
        <f aca="false">IF(COUNT('Business Case'!B11:G11)=0,"",H232+NPV(G232,I232:M232))</f>
        <v>-251279303.408808</v>
      </c>
      <c r="P232" s="40" t="n">
        <f aca="true">RAND()</f>
        <v>0.791233892371978</v>
      </c>
      <c r="Q232" s="40" t="n">
        <f aca="true">RAND()</f>
        <v>0.203678769951108</v>
      </c>
      <c r="R232" s="40" t="n">
        <f aca="true">RAND()</f>
        <v>0.263869112157617</v>
      </c>
      <c r="S232" s="40" t="n">
        <f aca="true">RAND()</f>
        <v>0.743111354167776</v>
      </c>
      <c r="T232" s="40" t="n">
        <f aca="true">RAND()</f>
        <v>0.283548875525715</v>
      </c>
      <c r="U232" s="40" t="n">
        <f aca="true">RAND()</f>
        <v>0.710661673054867</v>
      </c>
    </row>
    <row r="233" customFormat="false" ht="15" hidden="false" customHeight="false" outlineLevel="0" collapsed="false">
      <c r="A233" s="36" t="n">
        <v>153</v>
      </c>
      <c r="B233" s="37" t="n">
        <f aca="false">1+IF($G$6=$E$6,$F$6,IF(P233&lt;($F$6-$E$6)/($G$6-$E$6),$E$6+SQRT(P233*($G$6-$E$6)*($F$6-$E$6)),$G$6-SQRT((1-P233)*($G$6-$E$6)*($G$6-$F$6))))</f>
        <v>1.01819313830817</v>
      </c>
      <c r="C233" s="37" t="n">
        <f aca="false">1+IF($G$7=$E$7,$F$7,IF(Q233&lt;($F$7-$E$7)/($G$7-$E$7),$E$7+SQRT(Q233*($G$7-$E$7)*($F$7-$E$7)),$G$7-SQRT((1-Q233)*($G$7-$E$7)*($G$7-$F$7))))</f>
        <v>1.05138561239251</v>
      </c>
      <c r="D233" s="37" t="n">
        <f aca="false">1+IF($G$8=$E$8,$F$8,IF(R233&lt;($F$8-$E$8)/($G$8-$E$8),$E$8+SQRT(R233*($G$8-$E$8)*($F$8-$E$8)),$G$8-SQRT((1-R233)*($G$8-$E$8)*($G$8-$F$8))))</f>
        <v>1.04113717002758</v>
      </c>
      <c r="E233" s="37" t="n">
        <f aca="false">1+IF($G$9=$E$9,$F$9,IF(S233&lt;($F$9-$E$9)/($G$9-$E$9),$E$9+SQRT(S233*($G$9-$E$9)*($F$9-$E$9)),$G$9-SQRT((1-S233)*($G$9-$E$9)*($G$9-$F$9))))</f>
        <v>1.00468224269011</v>
      </c>
      <c r="F233" s="37" t="n">
        <f aca="false">1+IF($G$10=$E$10,$F$10,IF(T233&lt;($F$10-$E$10)/($G$10-$E$10),$E$10+SQRT(T233*($G$10-$E$10)*($F$10-$E$10)),$G$10-SQRT((1-T233)*($G$10-$E$10)*($G$10-$F$10))))</f>
        <v>0.977033452856766</v>
      </c>
      <c r="G233" s="38" t="n">
        <f aca="false">IF($G$11=$E$11,$F$11,IF(U233&lt;($F$11-$E$11)/($G$11-$E$11),$E$11+SQRT(U233*($G$11-$E$11)*($F$11-$E$11)),$G$11-SQRT((1-U233)*($G$11-$E$11)*($G$11-$F$11))))</f>
        <v>0.102487426713678</v>
      </c>
      <c r="H233" s="39" t="n">
        <f aca="false">(('Business Case'!B11*$C233*'Business Case'!B12*$B233)-'Business Case'!B11*$C233*'Business Case'!B13*$D233-'Business Case'!B14*$E233)-MAX(0,(('Business Case'!B11*$C233*'Business Case'!B12*$B233)-'Business Case'!B11*$C233*'Business Case'!B13*$D233-'Business Case'!B14*$E233))*'Business Case'!$B$7-'Business Case'!$B$8*('Business Case'!B11*$C233*'Business Case'!B12*$B233)-'Business Case'!B15*$F233</f>
        <v>-1954066905.71353</v>
      </c>
      <c r="I233" s="39" t="n">
        <f aca="false">(('Business Case'!C11*$C233*'Business Case'!C12*$B233)-'Business Case'!C11*$C233*'Business Case'!C13*$D233-'Business Case'!C14*$E233)-MAX(0,(('Business Case'!C11*$C233*'Business Case'!C12*$B233)-'Business Case'!C11*$C233*'Business Case'!C13*$D233-'Business Case'!C14*$E233))*'Business Case'!$B$7-'Business Case'!$B$8*(('Business Case'!C11*$C233*'Business Case'!C12*$B233)-('Business Case'!B11*$C233*'Business Case'!B12*$B233))-'Business Case'!C15*$F233</f>
        <v>20396753.3206969</v>
      </c>
      <c r="J233" s="39" t="n">
        <f aca="false">(('Business Case'!D11*$C233*'Business Case'!D12*$B233)-'Business Case'!D11*$C233*'Business Case'!D13*$D233-'Business Case'!D14*$E233)-MAX(0,(('Business Case'!D11*$C233*'Business Case'!D12*$B233)-'Business Case'!D11*$C233*'Business Case'!D13*$D233-'Business Case'!D14*$E233))*'Business Case'!$B$7-'Business Case'!$B$8*(('Business Case'!D11*$C233*'Business Case'!D12*$B233)-('Business Case'!C11*$C233*'Business Case'!C12*$B233))-'Business Case'!D15*$F233</f>
        <v>336858092.70421</v>
      </c>
      <c r="K233" s="39" t="n">
        <f aca="false">(('Business Case'!E11*$C233*'Business Case'!E12*$B233)-'Business Case'!E11*$C233*'Business Case'!E13*$D233-'Business Case'!E14*$E233)-MAX(0,(('Business Case'!E11*$C233*'Business Case'!E12*$B233)-'Business Case'!E11*$C233*'Business Case'!E13*$D233-'Business Case'!E14*$E233))*'Business Case'!$B$7-'Business Case'!$B$8*(('Business Case'!E11*$C233*'Business Case'!E12*$B233)-('Business Case'!D11*$C233*'Business Case'!D12*$B233))-'Business Case'!E15*$F233</f>
        <v>702171104.730561</v>
      </c>
      <c r="L233" s="39" t="n">
        <f aca="false">(('Business Case'!F11*$C233*'Business Case'!F12*$B233)-'Business Case'!F11*$C233*'Business Case'!F13*$D233-'Business Case'!F14*$E233)-MAX(0,(('Business Case'!F11*$C233*'Business Case'!F12*$B233)-'Business Case'!F11*$C233*'Business Case'!F13*$D233-'Business Case'!F14*$E233))*'Business Case'!$B$7-'Business Case'!$B$8*(('Business Case'!F11*$C233*'Business Case'!F12*$B233)-('Business Case'!E11*$C233*'Business Case'!E12*$B233))-'Business Case'!F15*$F233</f>
        <v>844655168.436136</v>
      </c>
      <c r="M233" s="39" t="n">
        <f aca="false">(('Business Case'!G11*$C233*'Business Case'!G12*$B233)-'Business Case'!G11*$C233*'Business Case'!G13*$D233-'Business Case'!G14*$E233)-MAX(0,(('Business Case'!G11*$C233*'Business Case'!G12*$B233)-'Business Case'!G11*$C233*'Business Case'!G13*$D233-'Business Case'!G14*$E233))*'Business Case'!$B$7-'Business Case'!$B$8*(('Business Case'!G11*$C233*'Business Case'!G12*$B233)-('Business Case'!F11*$C233*'Business Case'!F12*$B233))-'Business Case'!G15*$F233+'Business Case'!$B$8*('Business Case'!G11*$C233*'Business Case'!G12*$B233)</f>
        <v>1048138396.61369</v>
      </c>
      <c r="N233" s="39" t="n">
        <f aca="false">IF(COUNT('Business Case'!B11:G11)=0,"",H233+NPV(G233,I233:M233))</f>
        <v>80787577.3078928</v>
      </c>
      <c r="P233" s="40" t="n">
        <f aca="true">RAND()</f>
        <v>0.900929329823583</v>
      </c>
      <c r="Q233" s="40" t="n">
        <f aca="true">RAND()</f>
        <v>0.814765762986656</v>
      </c>
      <c r="R233" s="40" t="n">
        <f aca="true">RAND()</f>
        <v>0.854776966012975</v>
      </c>
      <c r="S233" s="40" t="n">
        <f aca="true">RAND()</f>
        <v>0.394301676094151</v>
      </c>
      <c r="T233" s="40" t="n">
        <f aca="true">RAND()</f>
        <v>0.0584646058687196</v>
      </c>
      <c r="U233" s="40" t="n">
        <f aca="true">RAND()</f>
        <v>0.488849628152007</v>
      </c>
    </row>
    <row r="234" customFormat="false" ht="15" hidden="false" customHeight="false" outlineLevel="0" collapsed="false">
      <c r="A234" s="36" t="n">
        <v>154</v>
      </c>
      <c r="B234" s="37" t="n">
        <f aca="false">1+IF($G$6=$E$6,$F$6,IF(P234&lt;($F$6-$E$6)/($G$6-$E$6),$E$6+SQRT(P234*($G$6-$E$6)*($F$6-$E$6)),$G$6-SQRT((1-P234)*($G$6-$E$6)*($G$6-$F$6))))</f>
        <v>0.975693302695995</v>
      </c>
      <c r="C234" s="37" t="n">
        <f aca="false">1+IF($G$7=$E$7,$F$7,IF(Q234&lt;($F$7-$E$7)/($G$7-$E$7),$E$7+SQRT(Q234*($G$7-$E$7)*($F$7-$E$7)),$G$7-SQRT((1-Q234)*($G$7-$E$7)*($G$7-$F$7))))</f>
        <v>1.02357131092863</v>
      </c>
      <c r="D234" s="37" t="n">
        <f aca="false">1+IF($G$8=$E$8,$F$8,IF(R234&lt;($F$8-$E$8)/($G$8-$E$8),$E$8+SQRT(R234*($G$8-$E$8)*($F$8-$E$8)),$G$8-SQRT((1-R234)*($G$8-$E$8)*($G$8-$F$8))))</f>
        <v>1.02306138371423</v>
      </c>
      <c r="E234" s="37" t="n">
        <f aca="false">1+IF($G$9=$E$9,$F$9,IF(S234&lt;($F$9-$E$9)/($G$9-$E$9),$E$9+SQRT(S234*($G$9-$E$9)*($F$9-$E$9)),$G$9-SQRT((1-S234)*($G$9-$E$9)*($G$9-$F$9))))</f>
        <v>1.06708742432773</v>
      </c>
      <c r="F234" s="37" t="n">
        <f aca="false">1+IF($G$10=$E$10,$F$10,IF(T234&lt;($F$10-$E$10)/($G$10-$E$10),$E$10+SQRT(T234*($G$10-$E$10)*($F$10-$E$10)),$G$10-SQRT((1-T234)*($G$10-$E$10)*($G$10-$F$10))))</f>
        <v>1.02458778049396</v>
      </c>
      <c r="G234" s="38" t="n">
        <f aca="false">IF($G$11=$E$11,$F$11,IF(U234&lt;($F$11-$E$11)/($G$11-$E$11),$E$11+SQRT(U234*($G$11-$E$11)*($F$11-$E$11)),$G$11-SQRT((1-U234)*($G$11-$E$11)*($G$11-$F$11))))</f>
        <v>0.0992833410458714</v>
      </c>
      <c r="H234" s="39" t="n">
        <f aca="false">(('Business Case'!B11*$C234*'Business Case'!B12*$B234)-'Business Case'!B11*$C234*'Business Case'!B13*$D234-'Business Case'!B14*$E234)-MAX(0,(('Business Case'!B11*$C234*'Business Case'!B12*$B234)-'Business Case'!B11*$C234*'Business Case'!B13*$D234-'Business Case'!B14*$E234))*'Business Case'!$B$7-'Business Case'!$B$8*('Business Case'!B11*$C234*'Business Case'!B12*$B234)-'Business Case'!B15*$F234</f>
        <v>-2049175560.98792</v>
      </c>
      <c r="I234" s="39" t="n">
        <f aca="false">(('Business Case'!C11*$C234*'Business Case'!C12*$B234)-'Business Case'!C11*$C234*'Business Case'!C13*$D234-'Business Case'!C14*$E234)-MAX(0,(('Business Case'!C11*$C234*'Business Case'!C12*$B234)-'Business Case'!C11*$C234*'Business Case'!C13*$D234-'Business Case'!C14*$E234))*'Business Case'!$B$7-'Business Case'!$B$8*(('Business Case'!C11*$C234*'Business Case'!C12*$B234)-('Business Case'!B11*$C234*'Business Case'!B12*$B234))-'Business Case'!C15*$F234</f>
        <v>-24040882.3248294</v>
      </c>
      <c r="J234" s="39" t="n">
        <f aca="false">(('Business Case'!D11*$C234*'Business Case'!D12*$B234)-'Business Case'!D11*$C234*'Business Case'!D13*$D234-'Business Case'!D14*$E234)-MAX(0,(('Business Case'!D11*$C234*'Business Case'!D12*$B234)-'Business Case'!D11*$C234*'Business Case'!D13*$D234-'Business Case'!D14*$E234))*'Business Case'!$B$7-'Business Case'!$B$8*(('Business Case'!D11*$C234*'Business Case'!D12*$B234)-('Business Case'!C11*$C234*'Business Case'!C12*$B234))-'Business Case'!D15*$F234</f>
        <v>257889021.462526</v>
      </c>
      <c r="K234" s="39" t="n">
        <f aca="false">(('Business Case'!E11*$C234*'Business Case'!E12*$B234)-'Business Case'!E11*$C234*'Business Case'!E13*$D234-'Business Case'!E14*$E234)-MAX(0,(('Business Case'!E11*$C234*'Business Case'!E12*$B234)-'Business Case'!E11*$C234*'Business Case'!E13*$D234-'Business Case'!E14*$E234))*'Business Case'!$B$7-'Business Case'!$B$8*(('Business Case'!E11*$C234*'Business Case'!E12*$B234)-('Business Case'!D11*$C234*'Business Case'!D12*$B234))-'Business Case'!E15*$F234</f>
        <v>591048314.274579</v>
      </c>
      <c r="L234" s="39" t="n">
        <f aca="false">(('Business Case'!F11*$C234*'Business Case'!F12*$B234)-'Business Case'!F11*$C234*'Business Case'!F13*$D234-'Business Case'!F14*$E234)-MAX(0,(('Business Case'!F11*$C234*'Business Case'!F12*$B234)-'Business Case'!F11*$C234*'Business Case'!F13*$D234-'Business Case'!F14*$E234))*'Business Case'!$B$7-'Business Case'!$B$8*(('Business Case'!F11*$C234*'Business Case'!F12*$B234)-('Business Case'!E11*$C234*'Business Case'!E12*$B234))-'Business Case'!F15*$F234</f>
        <v>719539733.085955</v>
      </c>
      <c r="M234" s="39" t="n">
        <f aca="false">(('Business Case'!G11*$C234*'Business Case'!G12*$B234)-'Business Case'!G11*$C234*'Business Case'!G13*$D234-'Business Case'!G14*$E234)-MAX(0,(('Business Case'!G11*$C234*'Business Case'!G12*$B234)-'Business Case'!G11*$C234*'Business Case'!G13*$D234-'Business Case'!G14*$E234))*'Business Case'!$B$7-'Business Case'!$B$8*(('Business Case'!G11*$C234*'Business Case'!G12*$B234)-('Business Case'!F11*$C234*'Business Case'!F12*$B234))-'Business Case'!G15*$F234+'Business Case'!$B$8*('Business Case'!G11*$C234*'Business Case'!G12*$B234)</f>
        <v>909371046.271705</v>
      </c>
      <c r="N234" s="39" t="n">
        <f aca="false">IF(COUNT('Business Case'!B11:G11)=0,"",H234+NPV(G234,I234:M234))</f>
        <v>-353474343.471036</v>
      </c>
      <c r="P234" s="40" t="n">
        <f aca="true">RAND()</f>
        <v>0.323098329707051</v>
      </c>
      <c r="Q234" s="40" t="n">
        <f aca="true">RAND()</f>
        <v>0.695538791994202</v>
      </c>
      <c r="R234" s="40" t="n">
        <f aca="true">RAND()</f>
        <v>0.688268651486681</v>
      </c>
      <c r="S234" s="40" t="n">
        <f aca="true">RAND()</f>
        <v>0.927784157507786</v>
      </c>
      <c r="T234" s="40" t="n">
        <f aca="true">RAND()</f>
        <v>0.384611064959288</v>
      </c>
      <c r="U234" s="40" t="n">
        <f aca="true">RAND()</f>
        <v>0.287268069913205</v>
      </c>
    </row>
    <row r="235" customFormat="false" ht="15" hidden="false" customHeight="false" outlineLevel="0" collapsed="false">
      <c r="A235" s="36" t="n">
        <v>155</v>
      </c>
      <c r="B235" s="37" t="n">
        <f aca="false">1+IF($G$6=$E$6,$F$6,IF(P235&lt;($F$6-$E$6)/($G$6-$E$6),$E$6+SQRT(P235*($G$6-$E$6)*($F$6-$E$6)),$G$6-SQRT((1-P235)*($G$6-$E$6)*($G$6-$F$6))))</f>
        <v>1.00856265856686</v>
      </c>
      <c r="C235" s="37" t="n">
        <f aca="false">1+IF($G$7=$E$7,$F$7,IF(Q235&lt;($F$7-$E$7)/($G$7-$E$7),$E$7+SQRT(Q235*($G$7-$E$7)*($F$7-$E$7)),$G$7-SQRT((1-Q235)*($G$7-$E$7)*($G$7-$F$7))))</f>
        <v>1.04025915962151</v>
      </c>
      <c r="D235" s="37" t="n">
        <f aca="false">1+IF($G$8=$E$8,$F$8,IF(R235&lt;($F$8-$E$8)/($G$8-$E$8),$E$8+SQRT(R235*($G$8-$E$8)*($F$8-$E$8)),$G$8-SQRT((1-R235)*($G$8-$E$8)*($G$8-$F$8))))</f>
        <v>1.05430196714483</v>
      </c>
      <c r="E235" s="37" t="n">
        <f aca="false">1+IF($G$9=$E$9,$F$9,IF(S235&lt;($F$9-$E$9)/($G$9-$E$9),$E$9+SQRT(S235*($G$9-$E$9)*($F$9-$E$9)),$G$9-SQRT((1-S235)*($G$9-$E$9)*($G$9-$F$9))))</f>
        <v>1.03342362319313</v>
      </c>
      <c r="F235" s="37" t="n">
        <f aca="false">1+IF($G$10=$E$10,$F$10,IF(T235&lt;($F$10-$E$10)/($G$10-$E$10),$E$10+SQRT(T235*($G$10-$E$10)*($F$10-$E$10)),$G$10-SQRT((1-T235)*($G$10-$E$10)*($G$10-$F$10))))</f>
        <v>0.989581919196522</v>
      </c>
      <c r="G235" s="38" t="n">
        <f aca="false">IF($G$11=$E$11,$F$11,IF(U235&lt;($F$11-$E$11)/($G$11-$E$11),$E$11+SQRT(U235*($G$11-$E$11)*($F$11-$E$11)),$G$11-SQRT((1-U235)*($G$11-$E$11)*($G$11-$F$11))))</f>
        <v>0.112385679618427</v>
      </c>
      <c r="H235" s="39" t="n">
        <f aca="false">(('Business Case'!B11*$C235*'Business Case'!B12*$B235)-'Business Case'!B11*$C235*'Business Case'!B13*$D235-'Business Case'!B14*$E235)-MAX(0,(('Business Case'!B11*$C235*'Business Case'!B12*$B235)-'Business Case'!B11*$C235*'Business Case'!B13*$D235-'Business Case'!B14*$E235))*'Business Case'!$B$7-'Business Case'!$B$8*('Business Case'!B11*$C235*'Business Case'!B12*$B235)-'Business Case'!B15*$F235</f>
        <v>-1979163838.39304</v>
      </c>
      <c r="I235" s="39" t="n">
        <f aca="false">(('Business Case'!C11*$C235*'Business Case'!C12*$B235)-'Business Case'!C11*$C235*'Business Case'!C13*$D235-'Business Case'!C14*$E235)-MAX(0,(('Business Case'!C11*$C235*'Business Case'!C12*$B235)-'Business Case'!C11*$C235*'Business Case'!C13*$D235-'Business Case'!C14*$E235))*'Business Case'!$B$7-'Business Case'!$B$8*(('Business Case'!C11*$C235*'Business Case'!C12*$B235)-('Business Case'!B11*$C235*'Business Case'!B12*$B235))-'Business Case'!C15*$F235</f>
        <v>-2403752.26052479</v>
      </c>
      <c r="J235" s="39" t="n">
        <f aca="false">(('Business Case'!D11*$C235*'Business Case'!D12*$B235)-'Business Case'!D11*$C235*'Business Case'!D13*$D235-'Business Case'!D14*$E235)-MAX(0,(('Business Case'!D11*$C235*'Business Case'!D12*$B235)-'Business Case'!D11*$C235*'Business Case'!D13*$D235-'Business Case'!D14*$E235))*'Business Case'!$B$7-'Business Case'!$B$8*(('Business Case'!D11*$C235*'Business Case'!D12*$B235)-('Business Case'!C11*$C235*'Business Case'!C12*$B235))-'Business Case'!D15*$F235</f>
        <v>295492320.238258</v>
      </c>
      <c r="K235" s="39" t="n">
        <f aca="false">(('Business Case'!E11*$C235*'Business Case'!E12*$B235)-'Business Case'!E11*$C235*'Business Case'!E13*$D235-'Business Case'!E14*$E235)-MAX(0,(('Business Case'!E11*$C235*'Business Case'!E12*$B235)-'Business Case'!E11*$C235*'Business Case'!E13*$D235-'Business Case'!E14*$E235))*'Business Case'!$B$7-'Business Case'!$B$8*(('Business Case'!E11*$C235*'Business Case'!E12*$B235)-('Business Case'!D11*$C235*'Business Case'!D12*$B235))-'Business Case'!E15*$F235</f>
        <v>642867488.696867</v>
      </c>
      <c r="L235" s="39" t="n">
        <f aca="false">(('Business Case'!F11*$C235*'Business Case'!F12*$B235)-'Business Case'!F11*$C235*'Business Case'!F13*$D235-'Business Case'!F14*$E235)-MAX(0,(('Business Case'!F11*$C235*'Business Case'!F12*$B235)-'Business Case'!F11*$C235*'Business Case'!F13*$D235-'Business Case'!F14*$E235))*'Business Case'!$B$7-'Business Case'!$B$8*(('Business Case'!F11*$C235*'Business Case'!F12*$B235)-('Business Case'!E11*$C235*'Business Case'!E12*$B235))-'Business Case'!F15*$F235</f>
        <v>778425375.277523</v>
      </c>
      <c r="M235" s="39" t="n">
        <f aca="false">(('Business Case'!G11*$C235*'Business Case'!G12*$B235)-'Business Case'!G11*$C235*'Business Case'!G13*$D235-'Business Case'!G14*$E235)-MAX(0,(('Business Case'!G11*$C235*'Business Case'!G12*$B235)-'Business Case'!G11*$C235*'Business Case'!G13*$D235-'Business Case'!G14*$E235))*'Business Case'!$B$7-'Business Case'!$B$8*(('Business Case'!G11*$C235*'Business Case'!G12*$B235)-('Business Case'!F11*$C235*'Business Case'!F12*$B235))-'Business Case'!G15*$F235+'Business Case'!$B$8*('Business Case'!G11*$C235*'Business Case'!G12*$B235)</f>
        <v>977850951.890028</v>
      </c>
      <c r="N235" s="39" t="n">
        <f aca="false">IF(COUNT('Business Case'!B11:G11)=0,"",H235+NPV(G235,I235:M235))</f>
        <v>-192983864.782381</v>
      </c>
      <c r="P235" s="40" t="n">
        <f aca="true">RAND()</f>
        <v>0.794102825753348</v>
      </c>
      <c r="Q235" s="40" t="n">
        <f aca="true">RAND()</f>
        <v>0.770608532438528</v>
      </c>
      <c r="R235" s="40" t="n">
        <f aca="true">RAND()</f>
        <v>0.936501068016765</v>
      </c>
      <c r="S235" s="40" t="n">
        <f aca="true">RAND()</f>
        <v>0.704505736751288</v>
      </c>
      <c r="T235" s="40" t="n">
        <f aca="true">RAND()</f>
        <v>0.125338266182399</v>
      </c>
      <c r="U235" s="40" t="n">
        <f aca="true">RAND()</f>
        <v>0.903370208544597</v>
      </c>
    </row>
    <row r="236" customFormat="false" ht="15" hidden="false" customHeight="false" outlineLevel="0" collapsed="false">
      <c r="A236" s="36" t="n">
        <v>156</v>
      </c>
      <c r="B236" s="37" t="n">
        <f aca="false">1+IF($G$6=$E$6,$F$6,IF(P236&lt;($F$6-$E$6)/($G$6-$E$6),$E$6+SQRT(P236*($G$6-$E$6)*($F$6-$E$6)),$G$6-SQRT((1-P236)*($G$6-$E$6)*($G$6-$F$6))))</f>
        <v>1.01286633161665</v>
      </c>
      <c r="C236" s="37" t="n">
        <f aca="false">1+IF($G$7=$E$7,$F$7,IF(Q236&lt;($F$7-$E$7)/($G$7-$E$7),$E$7+SQRT(Q236*($G$7-$E$7)*($F$7-$E$7)),$G$7-SQRT((1-Q236)*($G$7-$E$7)*($G$7-$F$7))))</f>
        <v>0.90930182769011</v>
      </c>
      <c r="D236" s="37" t="n">
        <f aca="false">1+IF($G$8=$E$8,$F$8,IF(R236&lt;($F$8-$E$8)/($G$8-$E$8),$E$8+SQRT(R236*($G$8-$E$8)*($F$8-$E$8)),$G$8-SQRT((1-R236)*($G$8-$E$8)*($G$8-$F$8))))</f>
        <v>1.02711187489856</v>
      </c>
      <c r="E236" s="37" t="n">
        <f aca="false">1+IF($G$9=$E$9,$F$9,IF(S236&lt;($F$9-$E$9)/($G$9-$E$9),$E$9+SQRT(S236*($G$9-$E$9)*($F$9-$E$9)),$G$9-SQRT((1-S236)*($G$9-$E$9)*($G$9-$F$9))))</f>
        <v>0.957976208287591</v>
      </c>
      <c r="F236" s="37" t="n">
        <f aca="false">1+IF($G$10=$E$10,$F$10,IF(T236&lt;($F$10-$E$10)/($G$10-$E$10),$E$10+SQRT(T236*($G$10-$E$10)*($F$10-$E$10)),$G$10-SQRT((1-T236)*($G$10-$E$10)*($G$10-$F$10))))</f>
        <v>1.01782891696985</v>
      </c>
      <c r="G236" s="38" t="n">
        <f aca="false">IF($G$11=$E$11,$F$11,IF(U236&lt;($F$11-$E$11)/($G$11-$E$11),$E$11+SQRT(U236*($G$11-$E$11)*($F$11-$E$11)),$G$11-SQRT((1-U236)*($G$11-$E$11)*($G$11-$F$11))))</f>
        <v>0.0931332790295978</v>
      </c>
      <c r="H236" s="39" t="n">
        <f aca="false">(('Business Case'!B11*$C236*'Business Case'!B12*$B236)-'Business Case'!B11*$C236*'Business Case'!B13*$D236-'Business Case'!B14*$E236)-MAX(0,(('Business Case'!B11*$C236*'Business Case'!B12*$B236)-'Business Case'!B11*$C236*'Business Case'!B13*$D236-'Business Case'!B14*$E236))*'Business Case'!$B$7-'Business Case'!$B$8*('Business Case'!B11*$C236*'Business Case'!B12*$B236)-'Business Case'!B15*$F236</f>
        <v>-2035657833.9397</v>
      </c>
      <c r="I236" s="39" t="n">
        <f aca="false">(('Business Case'!C11*$C236*'Business Case'!C12*$B236)-'Business Case'!C11*$C236*'Business Case'!C13*$D236-'Business Case'!C14*$E236)-MAX(0,(('Business Case'!C11*$C236*'Business Case'!C12*$B236)-'Business Case'!C11*$C236*'Business Case'!C13*$D236-'Business Case'!C14*$E236))*'Business Case'!$B$7-'Business Case'!$B$8*(('Business Case'!C11*$C236*'Business Case'!C12*$B236)-('Business Case'!B11*$C236*'Business Case'!B12*$B236))-'Business Case'!C15*$F236</f>
        <v>-9495603.44408229</v>
      </c>
      <c r="J236" s="39" t="n">
        <f aca="false">(('Business Case'!D11*$C236*'Business Case'!D12*$B236)-'Business Case'!D11*$C236*'Business Case'!D13*$D236-'Business Case'!D14*$E236)-MAX(0,(('Business Case'!D11*$C236*'Business Case'!D12*$B236)-'Business Case'!D11*$C236*'Business Case'!D13*$D236-'Business Case'!D14*$E236))*'Business Case'!$B$7-'Business Case'!$B$8*(('Business Case'!D11*$C236*'Business Case'!D12*$B236)-('Business Case'!C11*$C236*'Business Case'!C12*$B236))-'Business Case'!D15*$F236</f>
        <v>266760604.174598</v>
      </c>
      <c r="K236" s="39" t="n">
        <f aca="false">(('Business Case'!E11*$C236*'Business Case'!E12*$B236)-'Business Case'!E11*$C236*'Business Case'!E13*$D236-'Business Case'!E14*$E236)-MAX(0,(('Business Case'!E11*$C236*'Business Case'!E12*$B236)-'Business Case'!E11*$C236*'Business Case'!E13*$D236-'Business Case'!E14*$E236))*'Business Case'!$B$7-'Business Case'!$B$8*(('Business Case'!E11*$C236*'Business Case'!E12*$B236)-('Business Case'!D11*$C236*'Business Case'!D12*$B236))-'Business Case'!E15*$F236</f>
        <v>593908257.641771</v>
      </c>
      <c r="L236" s="39" t="n">
        <f aca="false">(('Business Case'!F11*$C236*'Business Case'!F12*$B236)-'Business Case'!F11*$C236*'Business Case'!F13*$D236-'Business Case'!F14*$E236)-MAX(0,(('Business Case'!F11*$C236*'Business Case'!F12*$B236)-'Business Case'!F11*$C236*'Business Case'!F13*$D236-'Business Case'!F14*$E236))*'Business Case'!$B$7-'Business Case'!$B$8*(('Business Case'!F11*$C236*'Business Case'!F12*$B236)-('Business Case'!E11*$C236*'Business Case'!E12*$B236))-'Business Case'!F15*$F236</f>
        <v>717823461.879519</v>
      </c>
      <c r="M236" s="39" t="n">
        <f aca="false">(('Business Case'!G11*$C236*'Business Case'!G12*$B236)-'Business Case'!G11*$C236*'Business Case'!G13*$D236-'Business Case'!G14*$E236)-MAX(0,(('Business Case'!G11*$C236*'Business Case'!G12*$B236)-'Business Case'!G11*$C236*'Business Case'!G13*$D236-'Business Case'!G14*$E236))*'Business Case'!$B$7-'Business Case'!$B$8*(('Business Case'!G11*$C236*'Business Case'!G12*$B236)-('Business Case'!F11*$C236*'Business Case'!F12*$B236))-'Business Case'!G15*$F236+'Business Case'!$B$8*('Business Case'!G11*$C236*'Business Case'!G12*$B236)</f>
        <v>892887371.219554</v>
      </c>
      <c r="N236" s="39" t="n">
        <f aca="false">IF(COUNT('Business Case'!B11:G11)=0,"",H236+NPV(G236,I236:M236))</f>
        <v>-291663703.455049</v>
      </c>
      <c r="P236" s="40" t="n">
        <f aca="true">RAND()</f>
        <v>0.846617508346344</v>
      </c>
      <c r="Q236" s="40" t="n">
        <f aca="true">RAND()</f>
        <v>0.170669850519978</v>
      </c>
      <c r="R236" s="40" t="n">
        <f aca="true">RAND()</f>
        <v>0.731042906082147</v>
      </c>
      <c r="S236" s="40" t="n">
        <f aca="true">RAND()</f>
        <v>0.00848265315293789</v>
      </c>
      <c r="T236" s="40" t="n">
        <f aca="true">RAND()</f>
        <v>0.336273930152432</v>
      </c>
      <c r="U236" s="40" t="n">
        <f aca="true">RAND()</f>
        <v>0.0327247915910577</v>
      </c>
    </row>
    <row r="237" customFormat="false" ht="15" hidden="false" customHeight="false" outlineLevel="0" collapsed="false">
      <c r="A237" s="36" t="n">
        <v>157</v>
      </c>
      <c r="B237" s="37" t="n">
        <f aca="false">1+IF($G$6=$E$6,$F$6,IF(P237&lt;($F$6-$E$6)/($G$6-$E$6),$E$6+SQRT(P237*($G$6-$E$6)*($F$6-$E$6)),$G$6-SQRT((1-P237)*($G$6-$E$6)*($G$6-$F$6))))</f>
        <v>0.968750161724993</v>
      </c>
      <c r="C237" s="37" t="n">
        <f aca="false">1+IF($G$7=$E$7,$F$7,IF(Q237&lt;($F$7-$E$7)/($G$7-$E$7),$E$7+SQRT(Q237*($G$7-$E$7)*($F$7-$E$7)),$G$7-SQRT((1-Q237)*($G$7-$E$7)*($G$7-$F$7))))</f>
        <v>0.959218860827556</v>
      </c>
      <c r="D237" s="37" t="n">
        <f aca="false">1+IF($G$8=$E$8,$F$8,IF(R237&lt;($F$8-$E$8)/($G$8-$E$8),$E$8+SQRT(R237*($G$8-$E$8)*($F$8-$E$8)),$G$8-SQRT((1-R237)*($G$8-$E$8)*($G$8-$F$8))))</f>
        <v>1.00280143140568</v>
      </c>
      <c r="E237" s="37" t="n">
        <f aca="false">1+IF($G$9=$E$9,$F$9,IF(S237&lt;($F$9-$E$9)/($G$9-$E$9),$E$9+SQRT(S237*($G$9-$E$9)*($F$9-$E$9)),$G$9-SQRT((1-S237)*($G$9-$E$9)*($G$9-$F$9))))</f>
        <v>0.985266343194067</v>
      </c>
      <c r="F237" s="37" t="n">
        <f aca="false">1+IF($G$10=$E$10,$F$10,IF(T237&lt;($F$10-$E$10)/($G$10-$E$10),$E$10+SQRT(T237*($G$10-$E$10)*($F$10-$E$10)),$G$10-SQRT((1-T237)*($G$10-$E$10)*($G$10-$F$10))))</f>
        <v>0.998453411804782</v>
      </c>
      <c r="G237" s="38" t="n">
        <f aca="false">IF($G$11=$E$11,$F$11,IF(U237&lt;($F$11-$E$11)/($G$11-$E$11),$E$11+SQRT(U237*($G$11-$E$11)*($F$11-$E$11)),$G$11-SQRT((1-U237)*($G$11-$E$11)*($G$11-$F$11))))</f>
        <v>0.0940104518101692</v>
      </c>
      <c r="H237" s="39" t="n">
        <f aca="false">(('Business Case'!B11*$C237*'Business Case'!B12*$B237)-'Business Case'!B11*$C237*'Business Case'!B13*$D237-'Business Case'!B14*$E237)-MAX(0,(('Business Case'!B11*$C237*'Business Case'!B12*$B237)-'Business Case'!B11*$C237*'Business Case'!B13*$D237-'Business Case'!B14*$E237))*'Business Case'!$B$7-'Business Case'!$B$8*('Business Case'!B11*$C237*'Business Case'!B12*$B237)-'Business Case'!B15*$F237</f>
        <v>-1996906823.60956</v>
      </c>
      <c r="I237" s="39" t="n">
        <f aca="false">(('Business Case'!C11*$C237*'Business Case'!C12*$B237)-'Business Case'!C11*$C237*'Business Case'!C13*$D237-'Business Case'!C14*$E237)-MAX(0,(('Business Case'!C11*$C237*'Business Case'!C12*$B237)-'Business Case'!C11*$C237*'Business Case'!C13*$D237-'Business Case'!C14*$E237))*'Business Case'!$B$7-'Business Case'!$B$8*(('Business Case'!C11*$C237*'Business Case'!C12*$B237)-('Business Case'!B11*$C237*'Business Case'!B12*$B237))-'Business Case'!C15*$F237</f>
        <v>-19423865.949881</v>
      </c>
      <c r="J237" s="39" t="n">
        <f aca="false">(('Business Case'!D11*$C237*'Business Case'!D12*$B237)-'Business Case'!D11*$C237*'Business Case'!D13*$D237-'Business Case'!D14*$E237)-MAX(0,(('Business Case'!D11*$C237*'Business Case'!D12*$B237)-'Business Case'!D11*$C237*'Business Case'!D13*$D237-'Business Case'!D14*$E237))*'Business Case'!$B$7-'Business Case'!$B$8*(('Business Case'!D11*$C237*'Business Case'!D12*$B237)-('Business Case'!C11*$C237*'Business Case'!C12*$B237))-'Business Case'!D15*$F237</f>
        <v>249274462.515594</v>
      </c>
      <c r="K237" s="39" t="n">
        <f aca="false">(('Business Case'!E11*$C237*'Business Case'!E12*$B237)-'Business Case'!E11*$C237*'Business Case'!E13*$D237-'Business Case'!E14*$E237)-MAX(0,(('Business Case'!E11*$C237*'Business Case'!E12*$B237)-'Business Case'!E11*$C237*'Business Case'!E13*$D237-'Business Case'!E14*$E237))*'Business Case'!$B$7-'Business Case'!$B$8*(('Business Case'!E11*$C237*'Business Case'!E12*$B237)-('Business Case'!D11*$C237*'Business Case'!D12*$B237))-'Business Case'!E15*$F237</f>
        <v>567895461.571308</v>
      </c>
      <c r="L237" s="39" t="n">
        <f aca="false">(('Business Case'!F11*$C237*'Business Case'!F12*$B237)-'Business Case'!F11*$C237*'Business Case'!F13*$D237-'Business Case'!F14*$E237)-MAX(0,(('Business Case'!F11*$C237*'Business Case'!F12*$B237)-'Business Case'!F11*$C237*'Business Case'!F13*$D237-'Business Case'!F14*$E237))*'Business Case'!$B$7-'Business Case'!$B$8*(('Business Case'!F11*$C237*'Business Case'!F12*$B237)-('Business Case'!E11*$C237*'Business Case'!E12*$B237))-'Business Case'!F15*$F237</f>
        <v>689576223.881587</v>
      </c>
      <c r="M237" s="39" t="n">
        <f aca="false">(('Business Case'!G11*$C237*'Business Case'!G12*$B237)-'Business Case'!G11*$C237*'Business Case'!G13*$D237-'Business Case'!G14*$E237)-MAX(0,(('Business Case'!G11*$C237*'Business Case'!G12*$B237)-'Business Case'!G11*$C237*'Business Case'!G13*$D237-'Business Case'!G14*$E237))*'Business Case'!$B$7-'Business Case'!$B$8*(('Business Case'!G11*$C237*'Business Case'!G12*$B237)-('Business Case'!F11*$C237*'Business Case'!F12*$B237))-'Business Case'!G15*$F237+'Business Case'!$B$8*('Business Case'!G11*$C237*'Business Case'!G12*$B237)</f>
        <v>866206814.40142</v>
      </c>
      <c r="N237" s="39" t="n">
        <f aca="false">IF(COUNT('Business Case'!B11:G11)=0,"",H237+NPV(G237,I237:M237))</f>
        <v>-338552328.695969</v>
      </c>
      <c r="P237" s="40" t="n">
        <f aca="true">RAND()</f>
        <v>0.247560236272183</v>
      </c>
      <c r="Q237" s="40" t="n">
        <f aca="true">RAND()</f>
        <v>0.362152080617493</v>
      </c>
      <c r="R237" s="40" t="n">
        <f aca="true">RAND()</f>
        <v>0.426959712210334</v>
      </c>
      <c r="S237" s="40" t="n">
        <f aca="true">RAND()</f>
        <v>0.165828661637561</v>
      </c>
      <c r="T237" s="40" t="n">
        <f aca="true">RAND()</f>
        <v>0.187818649241903</v>
      </c>
      <c r="U237" s="40" t="n">
        <f aca="true">RAND()</f>
        <v>0.0536124124056305</v>
      </c>
    </row>
    <row r="238" customFormat="false" ht="15" hidden="false" customHeight="false" outlineLevel="0" collapsed="false">
      <c r="A238" s="36" t="n">
        <v>158</v>
      </c>
      <c r="B238" s="37" t="n">
        <f aca="false">1+IF($G$6=$E$6,$F$6,IF(P238&lt;($F$6-$E$6)/($G$6-$E$6),$E$6+SQRT(P238*($G$6-$E$6)*($F$6-$E$6)),$G$6-SQRT((1-P238)*($G$6-$E$6)*($G$6-$F$6))))</f>
        <v>0.933666640862411</v>
      </c>
      <c r="C238" s="37" t="n">
        <f aca="false">1+IF($G$7=$E$7,$F$7,IF(Q238&lt;($F$7-$E$7)/($G$7-$E$7),$E$7+SQRT(Q238*($G$7-$E$7)*($F$7-$E$7)),$G$7-SQRT((1-Q238)*($G$7-$E$7)*($G$7-$F$7))))</f>
        <v>0.945603681498782</v>
      </c>
      <c r="D238" s="37" t="n">
        <f aca="false">1+IF($G$8=$E$8,$F$8,IF(R238&lt;($F$8-$E$8)/($G$8-$E$8),$E$8+SQRT(R238*($G$8-$E$8)*($F$8-$E$8)),$G$8-SQRT((1-R238)*($G$8-$E$8)*($G$8-$F$8))))</f>
        <v>1.00849776758901</v>
      </c>
      <c r="E238" s="37" t="n">
        <f aca="false">1+IF($G$9=$E$9,$F$9,IF(S238&lt;($F$9-$E$9)/($G$9-$E$9),$E$9+SQRT(S238*($G$9-$E$9)*($F$9-$E$9)),$G$9-SQRT((1-S238)*($G$9-$E$9)*($G$9-$F$9))))</f>
        <v>1.00230020897384</v>
      </c>
      <c r="F238" s="37" t="n">
        <f aca="false">1+IF($G$10=$E$10,$F$10,IF(T238&lt;($F$10-$E$10)/($G$10-$E$10),$E$10+SQRT(T238*($G$10-$E$10)*($F$10-$E$10)),$G$10-SQRT((1-T238)*($G$10-$E$10)*($G$10-$F$10))))</f>
        <v>1.1792111888426</v>
      </c>
      <c r="G238" s="38" t="n">
        <f aca="false">IF($G$11=$E$11,$F$11,IF(U238&lt;($F$11-$E$11)/($G$11-$E$11),$E$11+SQRT(U238*($G$11-$E$11)*($F$11-$E$11)),$G$11-SQRT((1-U238)*($G$11-$E$11)*($G$11-$F$11))))</f>
        <v>0.106071760790194</v>
      </c>
      <c r="H238" s="39" t="n">
        <f aca="false">(('Business Case'!B11*$C238*'Business Case'!B12*$B238)-'Business Case'!B11*$C238*'Business Case'!B13*$D238-'Business Case'!B14*$E238)-MAX(0,(('Business Case'!B11*$C238*'Business Case'!B12*$B238)-'Business Case'!B11*$C238*'Business Case'!B13*$D238-'Business Case'!B14*$E238))*'Business Case'!$B$7-'Business Case'!$B$8*('Business Case'!B11*$C238*'Business Case'!B12*$B238)-'Business Case'!B15*$F238</f>
        <v>-2358422377.6852</v>
      </c>
      <c r="I238" s="39" t="n">
        <f aca="false">(('Business Case'!C11*$C238*'Business Case'!C12*$B238)-'Business Case'!C11*$C238*'Business Case'!C13*$D238-'Business Case'!C14*$E238)-MAX(0,(('Business Case'!C11*$C238*'Business Case'!C12*$B238)-'Business Case'!C11*$C238*'Business Case'!C13*$D238-'Business Case'!C14*$E238))*'Business Case'!$B$7-'Business Case'!$B$8*(('Business Case'!C11*$C238*'Business Case'!C12*$B238)-('Business Case'!B11*$C238*'Business Case'!B12*$B238))-'Business Case'!C15*$F238</f>
        <v>-71262464.8672887</v>
      </c>
      <c r="J238" s="39" t="n">
        <f aca="false">(('Business Case'!D11*$C238*'Business Case'!D12*$B238)-'Business Case'!D11*$C238*'Business Case'!D13*$D238-'Business Case'!D14*$E238)-MAX(0,(('Business Case'!D11*$C238*'Business Case'!D12*$B238)-'Business Case'!D11*$C238*'Business Case'!D13*$D238-'Business Case'!D14*$E238))*'Business Case'!$B$7-'Business Case'!$B$8*(('Business Case'!D11*$C238*'Business Case'!D12*$B238)-('Business Case'!C11*$C238*'Business Case'!C12*$B238))-'Business Case'!D15*$F238</f>
        <v>163691706.158089</v>
      </c>
      <c r="K238" s="39" t="n">
        <f aca="false">(('Business Case'!E11*$C238*'Business Case'!E12*$B238)-'Business Case'!E11*$C238*'Business Case'!E13*$D238-'Business Case'!E14*$E238)-MAX(0,(('Business Case'!E11*$C238*'Business Case'!E12*$B238)-'Business Case'!E11*$C238*'Business Case'!E13*$D238-'Business Case'!E14*$E238))*'Business Case'!$B$7-'Business Case'!$B$8*(('Business Case'!E11*$C238*'Business Case'!E12*$B238)-('Business Case'!D11*$C238*'Business Case'!D12*$B238))-'Business Case'!E15*$F238</f>
        <v>457606436.625597</v>
      </c>
      <c r="L238" s="39" t="n">
        <f aca="false">(('Business Case'!F11*$C238*'Business Case'!F12*$B238)-'Business Case'!F11*$C238*'Business Case'!F13*$D238-'Business Case'!F14*$E238)-MAX(0,(('Business Case'!F11*$C238*'Business Case'!F12*$B238)-'Business Case'!F11*$C238*'Business Case'!F13*$D238-'Business Case'!F14*$E238))*'Business Case'!$B$7-'Business Case'!$B$8*(('Business Case'!F11*$C238*'Business Case'!F12*$B238)-('Business Case'!E11*$C238*'Business Case'!E12*$B238))-'Business Case'!F15*$F238</f>
        <v>566436778.495608</v>
      </c>
      <c r="M238" s="39" t="n">
        <f aca="false">(('Business Case'!G11*$C238*'Business Case'!G12*$B238)-'Business Case'!G11*$C238*'Business Case'!G13*$D238-'Business Case'!G14*$E238)-MAX(0,(('Business Case'!G11*$C238*'Business Case'!G12*$B238)-'Business Case'!G11*$C238*'Business Case'!G13*$D238-'Business Case'!G14*$E238))*'Business Case'!$B$7-'Business Case'!$B$8*(('Business Case'!G11*$C238*'Business Case'!G12*$B238)-('Business Case'!F11*$C238*'Business Case'!F12*$B238))-'Business Case'!G15*$F238+'Business Case'!$B$8*('Business Case'!G11*$C238*'Business Case'!G12*$B238)</f>
        <v>734254345.234137</v>
      </c>
      <c r="N238" s="39" t="n">
        <f aca="false">IF(COUNT('Business Case'!B11:G11)=0,"",H238+NPV(G238,I238:M238))</f>
        <v>-1128878414.17951</v>
      </c>
      <c r="P238" s="40" t="n">
        <f aca="true">RAND()</f>
        <v>0.0194559450481369</v>
      </c>
      <c r="Q238" s="40" t="n">
        <f aca="true">RAND()</f>
        <v>0.302863315228554</v>
      </c>
      <c r="R238" s="40" t="n">
        <f aca="true">RAND()</f>
        <v>0.508406803869735</v>
      </c>
      <c r="S238" s="40" t="n">
        <f aca="true">RAND()</f>
        <v>0.363650055563024</v>
      </c>
      <c r="T238" s="40" t="n">
        <f aca="true">RAND()</f>
        <v>0.991356506613238</v>
      </c>
      <c r="U238" s="40" t="n">
        <f aca="true">RAND()</f>
        <v>0.676673587524029</v>
      </c>
    </row>
    <row r="239" customFormat="false" ht="15" hidden="false" customHeight="false" outlineLevel="0" collapsed="false">
      <c r="A239" s="36" t="n">
        <v>159</v>
      </c>
      <c r="B239" s="37" t="n">
        <f aca="false">1+IF($G$6=$E$6,$F$6,IF(P239&lt;($F$6-$E$6)/($G$6-$E$6),$E$6+SQRT(P239*($G$6-$E$6)*($F$6-$E$6)),$G$6-SQRT((1-P239)*($G$6-$E$6)*($G$6-$F$6))))</f>
        <v>1.0003322385575</v>
      </c>
      <c r="C239" s="37" t="n">
        <f aca="false">1+IF($G$7=$E$7,$F$7,IF(Q239&lt;($F$7-$E$7)/($G$7-$E$7),$E$7+SQRT(Q239*($G$7-$E$7)*($F$7-$E$7)),$G$7-SQRT((1-Q239)*($G$7-$E$7)*($G$7-$F$7))))</f>
        <v>0.977395657787761</v>
      </c>
      <c r="D239" s="37" t="n">
        <f aca="false">1+IF($G$8=$E$8,$F$8,IF(R239&lt;($F$8-$E$8)/($G$8-$E$8),$E$8+SQRT(R239*($G$8-$E$8)*($F$8-$E$8)),$G$8-SQRT((1-R239)*($G$8-$E$8)*($G$8-$F$8))))</f>
        <v>1.03365832678513</v>
      </c>
      <c r="E239" s="37" t="n">
        <f aca="false">1+IF($G$9=$E$9,$F$9,IF(S239&lt;($F$9-$E$9)/($G$9-$E$9),$E$9+SQRT(S239*($G$9-$E$9)*($F$9-$E$9)),$G$9-SQRT((1-S239)*($G$9-$E$9)*($G$9-$F$9))))</f>
        <v>1.01257105640459</v>
      </c>
      <c r="F239" s="37" t="n">
        <f aca="false">1+IF($G$10=$E$10,$F$10,IF(T239&lt;($F$10-$E$10)/($G$10-$E$10),$E$10+SQRT(T239*($G$10-$E$10)*($F$10-$E$10)),$G$10-SQRT((1-T239)*($G$10-$E$10)*($G$10-$F$10))))</f>
        <v>1.0197311841848</v>
      </c>
      <c r="G239" s="38" t="n">
        <f aca="false">IF($G$11=$E$11,$F$11,IF(U239&lt;($F$11-$E$11)/($G$11-$E$11),$E$11+SQRT(U239*($G$11-$E$11)*($F$11-$E$11)),$G$11-SQRT((1-U239)*($G$11-$E$11)*($G$11-$F$11))))</f>
        <v>0.11492785533273</v>
      </c>
      <c r="H239" s="39" t="n">
        <f aca="false">(('Business Case'!B11*$C239*'Business Case'!B12*$B239)-'Business Case'!B11*$C239*'Business Case'!B13*$D239-'Business Case'!B14*$E239)-MAX(0,(('Business Case'!B11*$C239*'Business Case'!B12*$B239)-'Business Case'!B11*$C239*'Business Case'!B13*$D239-'Business Case'!B14*$E239))*'Business Case'!$B$7-'Business Case'!$B$8*('Business Case'!B11*$C239*'Business Case'!B12*$B239)-'Business Case'!B15*$F239</f>
        <v>-2039462368.3696</v>
      </c>
      <c r="I239" s="39" t="n">
        <f aca="false">(('Business Case'!C11*$C239*'Business Case'!C12*$B239)-'Business Case'!C11*$C239*'Business Case'!C13*$D239-'Business Case'!C14*$E239)-MAX(0,(('Business Case'!C11*$C239*'Business Case'!C12*$B239)-'Business Case'!C11*$C239*'Business Case'!C13*$D239-'Business Case'!C14*$E239))*'Business Case'!$B$7-'Business Case'!$B$8*(('Business Case'!C11*$C239*'Business Case'!C12*$B239)-('Business Case'!B11*$C239*'Business Case'!B12*$B239))-'Business Case'!C15*$F239</f>
        <v>-13011629.7968764</v>
      </c>
      <c r="J239" s="39" t="n">
        <f aca="false">(('Business Case'!D11*$C239*'Business Case'!D12*$B239)-'Business Case'!D11*$C239*'Business Case'!D13*$D239-'Business Case'!D14*$E239)-MAX(0,(('Business Case'!D11*$C239*'Business Case'!D12*$B239)-'Business Case'!D11*$C239*'Business Case'!D13*$D239-'Business Case'!D14*$E239))*'Business Case'!$B$7-'Business Case'!$B$8*(('Business Case'!D11*$C239*'Business Case'!D12*$B239)-('Business Case'!C11*$C239*'Business Case'!C12*$B239))-'Business Case'!D15*$F239</f>
        <v>270622487.871833</v>
      </c>
      <c r="K239" s="39" t="n">
        <f aca="false">(('Business Case'!E11*$C239*'Business Case'!E12*$B239)-'Business Case'!E11*$C239*'Business Case'!E13*$D239-'Business Case'!E14*$E239)-MAX(0,(('Business Case'!E11*$C239*'Business Case'!E12*$B239)-'Business Case'!E11*$C239*'Business Case'!E13*$D239-'Business Case'!E14*$E239))*'Business Case'!$B$7-'Business Case'!$B$8*(('Business Case'!E11*$C239*'Business Case'!E12*$B239)-('Business Case'!D11*$C239*'Business Case'!D12*$B239))-'Business Case'!E15*$F239</f>
        <v>605243164.749782</v>
      </c>
      <c r="L239" s="39" t="n">
        <f aca="false">(('Business Case'!F11*$C239*'Business Case'!F12*$B239)-'Business Case'!F11*$C239*'Business Case'!F13*$D239-'Business Case'!F14*$E239)-MAX(0,(('Business Case'!F11*$C239*'Business Case'!F12*$B239)-'Business Case'!F11*$C239*'Business Case'!F13*$D239-'Business Case'!F14*$E239))*'Business Case'!$B$7-'Business Case'!$B$8*(('Business Case'!F11*$C239*'Business Case'!F12*$B239)-('Business Case'!E11*$C239*'Business Case'!E12*$B239))-'Business Case'!F15*$F239</f>
        <v>733577887.190267</v>
      </c>
      <c r="M239" s="39" t="n">
        <f aca="false">(('Business Case'!G11*$C239*'Business Case'!G12*$B239)-'Business Case'!G11*$C239*'Business Case'!G13*$D239-'Business Case'!G14*$E239)-MAX(0,(('Business Case'!G11*$C239*'Business Case'!G12*$B239)-'Business Case'!G11*$C239*'Business Case'!G13*$D239-'Business Case'!G14*$E239))*'Business Case'!$B$7-'Business Case'!$B$8*(('Business Case'!G11*$C239*'Business Case'!G12*$B239)-('Business Case'!F11*$C239*'Business Case'!F12*$B239))-'Business Case'!G15*$F239+'Business Case'!$B$8*('Business Case'!G11*$C239*'Business Case'!G12*$B239)</f>
        <v>919422978.220302</v>
      </c>
      <c r="N239" s="39" t="n">
        <f aca="false">IF(COUNT('Business Case'!B11:G11)=0,"",H239+NPV(G239,I239:M239))</f>
        <v>-388295946.139018</v>
      </c>
      <c r="P239" s="40" t="n">
        <f aca="true">RAND()</f>
        <v>0.672180979612662</v>
      </c>
      <c r="Q239" s="40" t="n">
        <f aca="true">RAND()</f>
        <v>0.449560277170747</v>
      </c>
      <c r="R239" s="40" t="n">
        <f aca="true">RAND()</f>
        <v>0.793504742658269</v>
      </c>
      <c r="S239" s="40" t="n">
        <f aca="true">RAND()</f>
        <v>0.490411988119383</v>
      </c>
      <c r="T239" s="40" t="n">
        <f aca="true">RAND()</f>
        <v>0.350063080891696</v>
      </c>
      <c r="U239" s="40" t="n">
        <f aca="true">RAND()</f>
        <v>0.957122247457133</v>
      </c>
    </row>
    <row r="240" customFormat="false" ht="15" hidden="false" customHeight="false" outlineLevel="0" collapsed="false">
      <c r="A240" s="36" t="n">
        <v>160</v>
      </c>
      <c r="B240" s="37" t="n">
        <f aca="false">1+IF($G$6=$E$6,$F$6,IF(P240&lt;($F$6-$E$6)/($G$6-$E$6),$E$6+SQRT(P240*($G$6-$E$6)*($F$6-$E$6)),$G$6-SQRT((1-P240)*($G$6-$E$6)*($G$6-$F$6))))</f>
        <v>1.02241625179644</v>
      </c>
      <c r="C240" s="37" t="n">
        <f aca="false">1+IF($G$7=$E$7,$F$7,IF(Q240&lt;($F$7-$E$7)/($G$7-$E$7),$E$7+SQRT(Q240*($G$7-$E$7)*($F$7-$E$7)),$G$7-SQRT((1-Q240)*($G$7-$E$7)*($G$7-$F$7))))</f>
        <v>0.937500869195231</v>
      </c>
      <c r="D240" s="37" t="n">
        <f aca="false">1+IF($G$8=$E$8,$F$8,IF(R240&lt;($F$8-$E$8)/($G$8-$E$8),$E$8+SQRT(R240*($G$8-$E$8)*($F$8-$E$8)),$G$8-SQRT((1-R240)*($G$8-$E$8)*($G$8-$F$8))))</f>
        <v>1.06248085710272</v>
      </c>
      <c r="E240" s="37" t="n">
        <f aca="false">1+IF($G$9=$E$9,$F$9,IF(S240&lt;($F$9-$E$9)/($G$9-$E$9),$E$9+SQRT(S240*($G$9-$E$9)*($F$9-$E$9)),$G$9-SQRT((1-S240)*($G$9-$E$9)*($G$9-$F$9))))</f>
        <v>1.01686325856311</v>
      </c>
      <c r="F240" s="37" t="n">
        <f aca="false">1+IF($G$10=$E$10,$F$10,IF(T240&lt;($F$10-$E$10)/($G$10-$E$10),$E$10+SQRT(T240*($G$10-$E$10)*($F$10-$E$10)),$G$10-SQRT((1-T240)*($G$10-$E$10)*($G$10-$F$10))))</f>
        <v>1.04020728505874</v>
      </c>
      <c r="G240" s="38" t="n">
        <f aca="false">IF($G$11=$E$11,$F$11,IF(U240&lt;($F$11-$E$11)/($G$11-$E$11),$E$11+SQRT(U240*($G$11-$E$11)*($F$11-$E$11)),$G$11-SQRT((1-U240)*($G$11-$E$11)*($G$11-$F$11))))</f>
        <v>0.0995620973422103</v>
      </c>
      <c r="H240" s="39" t="n">
        <f aca="false">(('Business Case'!B11*$C240*'Business Case'!B12*$B240)-'Business Case'!B11*$C240*'Business Case'!B13*$D240-'Business Case'!B14*$E240)-MAX(0,(('Business Case'!B11*$C240*'Business Case'!B12*$B240)-'Business Case'!B11*$C240*'Business Case'!B13*$D240-'Business Case'!B14*$E240))*'Business Case'!$B$7-'Business Case'!$B$8*('Business Case'!B11*$C240*'Business Case'!B12*$B240)-'Business Case'!B15*$F240</f>
        <v>-2080414570.11748</v>
      </c>
      <c r="I240" s="39" t="n">
        <f aca="false">(('Business Case'!C11*$C240*'Business Case'!C12*$B240)-'Business Case'!C11*$C240*'Business Case'!C13*$D240-'Business Case'!C14*$E240)-MAX(0,(('Business Case'!C11*$C240*'Business Case'!C12*$B240)-'Business Case'!C11*$C240*'Business Case'!C13*$D240-'Business Case'!C14*$E240))*'Business Case'!$B$7-'Business Case'!$B$8*(('Business Case'!C11*$C240*'Business Case'!C12*$B240)-('Business Case'!B11*$C240*'Business Case'!B12*$B240))-'Business Case'!C15*$F240</f>
        <v>-23126038.563014</v>
      </c>
      <c r="J240" s="39" t="n">
        <f aca="false">(('Business Case'!D11*$C240*'Business Case'!D12*$B240)-'Business Case'!D11*$C240*'Business Case'!D13*$D240-'Business Case'!D14*$E240)-MAX(0,(('Business Case'!D11*$C240*'Business Case'!D12*$B240)-'Business Case'!D11*$C240*'Business Case'!D13*$D240-'Business Case'!D14*$E240))*'Business Case'!$B$7-'Business Case'!$B$8*(('Business Case'!D11*$C240*'Business Case'!D12*$B240)-('Business Case'!C11*$C240*'Business Case'!C12*$B240))-'Business Case'!D15*$F240</f>
        <v>252056082.653963</v>
      </c>
      <c r="K240" s="39" t="n">
        <f aca="false">(('Business Case'!E11*$C240*'Business Case'!E12*$B240)-'Business Case'!E11*$C240*'Business Case'!E13*$D240-'Business Case'!E14*$E240)-MAX(0,(('Business Case'!E11*$C240*'Business Case'!E12*$B240)-'Business Case'!E11*$C240*'Business Case'!E13*$D240-'Business Case'!E14*$E240))*'Business Case'!$B$7-'Business Case'!$B$8*(('Business Case'!E11*$C240*'Business Case'!E12*$B240)-('Business Case'!D11*$C240*'Business Case'!D12*$B240))-'Business Case'!E15*$F240</f>
        <v>579248568.123876</v>
      </c>
      <c r="L240" s="39" t="n">
        <f aca="false">(('Business Case'!F11*$C240*'Business Case'!F12*$B240)-'Business Case'!F11*$C240*'Business Case'!F13*$D240-'Business Case'!F14*$E240)-MAX(0,(('Business Case'!F11*$C240*'Business Case'!F12*$B240)-'Business Case'!F11*$C240*'Business Case'!F13*$D240-'Business Case'!F14*$E240))*'Business Case'!$B$7-'Business Case'!$B$8*(('Business Case'!F11*$C240*'Business Case'!F12*$B240)-('Business Case'!E11*$C240*'Business Case'!E12*$B240))-'Business Case'!F15*$F240</f>
        <v>704102259.13383</v>
      </c>
      <c r="M240" s="39" t="n">
        <f aca="false">(('Business Case'!G11*$C240*'Business Case'!G12*$B240)-'Business Case'!G11*$C240*'Business Case'!G13*$D240-'Business Case'!G14*$E240)-MAX(0,(('Business Case'!G11*$C240*'Business Case'!G12*$B240)-'Business Case'!G11*$C240*'Business Case'!G13*$D240-'Business Case'!G14*$E240))*'Business Case'!$B$7-'Business Case'!$B$8*(('Business Case'!G11*$C240*'Business Case'!G12*$B240)-('Business Case'!F11*$C240*'Business Case'!F12*$B240))-'Business Case'!G15*$F240+'Business Case'!$B$8*('Business Case'!G11*$C240*'Business Case'!G12*$B240)</f>
        <v>886297004.124122</v>
      </c>
      <c r="N240" s="39" t="n">
        <f aca="false">IF(COUNT('Business Case'!B11:G11)=0,"",H240+NPV(G240,I240:M240))</f>
        <v>-424156380.875295</v>
      </c>
      <c r="P240" s="40" t="n">
        <f aca="true">RAND()</f>
        <v>0.935585791482018</v>
      </c>
      <c r="Q240" s="40" t="n">
        <f aca="true">RAND()</f>
        <v>0.270092700420629</v>
      </c>
      <c r="R240" s="40" t="n">
        <f aca="true">RAND()</f>
        <v>0.970488426167747</v>
      </c>
      <c r="S240" s="40" t="n">
        <f aca="true">RAND()</f>
        <v>0.539218814883657</v>
      </c>
      <c r="T240" s="40" t="n">
        <f aca="true">RAND()</f>
        <v>0.489325765034019</v>
      </c>
      <c r="U240" s="40" t="n">
        <f aca="true">RAND()</f>
        <v>0.304779018606351</v>
      </c>
    </row>
    <row r="241" customFormat="false" ht="15" hidden="false" customHeight="false" outlineLevel="0" collapsed="false">
      <c r="A241" s="36" t="n">
        <v>161</v>
      </c>
      <c r="B241" s="37" t="n">
        <f aca="false">1+IF($G$6=$E$6,$F$6,IF(P241&lt;($F$6-$E$6)/($G$6-$E$6),$E$6+SQRT(P241*($G$6-$E$6)*($F$6-$E$6)),$G$6-SQRT((1-P241)*($G$6-$E$6)*($G$6-$F$6))))</f>
        <v>1.01641428793759</v>
      </c>
      <c r="C241" s="37" t="n">
        <f aca="false">1+IF($G$7=$E$7,$F$7,IF(Q241&lt;($F$7-$E$7)/($G$7-$E$7),$E$7+SQRT(Q241*($G$7-$E$7)*($F$7-$E$7)),$G$7-SQRT((1-Q241)*($G$7-$E$7)*($G$7-$F$7))))</f>
        <v>0.931590839679855</v>
      </c>
      <c r="D241" s="37" t="n">
        <f aca="false">1+IF($G$8=$E$8,$F$8,IF(R241&lt;($F$8-$E$8)/($G$8-$E$8),$E$8+SQRT(R241*($G$8-$E$8)*($F$8-$E$8)),$G$8-SQRT((1-R241)*($G$8-$E$8)*($G$8-$F$8))))</f>
        <v>1.05225194832193</v>
      </c>
      <c r="E241" s="37" t="n">
        <f aca="false">1+IF($G$9=$E$9,$F$9,IF(S241&lt;($F$9-$E$9)/($G$9-$E$9),$E$9+SQRT(S241*($G$9-$E$9)*($F$9-$E$9)),$G$9-SQRT((1-S241)*($G$9-$E$9)*($G$9-$F$9))))</f>
        <v>0.997197584179746</v>
      </c>
      <c r="F241" s="37" t="n">
        <f aca="false">1+IF($G$10=$E$10,$F$10,IF(T241&lt;($F$10-$E$10)/($G$10-$E$10),$E$10+SQRT(T241*($G$10-$E$10)*($F$10-$E$10)),$G$10-SQRT((1-T241)*($G$10-$E$10)*($G$10-$F$10))))</f>
        <v>0.98195610216987</v>
      </c>
      <c r="G241" s="38" t="n">
        <f aca="false">IF($G$11=$E$11,$F$11,IF(U241&lt;($F$11-$E$11)/($G$11-$E$11),$E$11+SQRT(U241*($G$11-$E$11)*($F$11-$E$11)),$G$11-SQRT((1-U241)*($G$11-$E$11)*($G$11-$F$11))))</f>
        <v>0.0937370688883772</v>
      </c>
      <c r="H241" s="39" t="n">
        <f aca="false">(('Business Case'!B11*$C241*'Business Case'!B12*$B241)-'Business Case'!B11*$C241*'Business Case'!B13*$D241-'Business Case'!B14*$E241)-MAX(0,(('Business Case'!B11*$C241*'Business Case'!B12*$B241)-'Business Case'!B11*$C241*'Business Case'!B13*$D241-'Business Case'!B14*$E241))*'Business Case'!$B$7-'Business Case'!$B$8*('Business Case'!B11*$C241*'Business Case'!B12*$B241)-'Business Case'!B15*$F241</f>
        <v>-1963912204.33974</v>
      </c>
      <c r="I241" s="39" t="n">
        <f aca="false">(('Business Case'!C11*$C241*'Business Case'!C12*$B241)-'Business Case'!C11*$C241*'Business Case'!C13*$D241-'Business Case'!C14*$E241)-MAX(0,(('Business Case'!C11*$C241*'Business Case'!C12*$B241)-'Business Case'!C11*$C241*'Business Case'!C13*$D241-'Business Case'!C14*$E241))*'Business Case'!$B$7-'Business Case'!$B$8*(('Business Case'!C11*$C241*'Business Case'!C12*$B241)-('Business Case'!B11*$C241*'Business Case'!B12*$B241))-'Business Case'!C15*$F241</f>
        <v>-15337687.8535362</v>
      </c>
      <c r="J241" s="39" t="n">
        <f aca="false">(('Business Case'!D11*$C241*'Business Case'!D12*$B241)-'Business Case'!D11*$C241*'Business Case'!D13*$D241-'Business Case'!D14*$E241)-MAX(0,(('Business Case'!D11*$C241*'Business Case'!D12*$B241)-'Business Case'!D11*$C241*'Business Case'!D13*$D241-'Business Case'!D14*$E241))*'Business Case'!$B$7-'Business Case'!$B$8*(('Business Case'!D11*$C241*'Business Case'!D12*$B241)-('Business Case'!C11*$C241*'Business Case'!C12*$B241))-'Business Case'!D15*$F241</f>
        <v>258408106.299925</v>
      </c>
      <c r="K241" s="39" t="n">
        <f aca="false">(('Business Case'!E11*$C241*'Business Case'!E12*$B241)-'Business Case'!E11*$C241*'Business Case'!E13*$D241-'Business Case'!E14*$E241)-MAX(0,(('Business Case'!E11*$C241*'Business Case'!E12*$B241)-'Business Case'!E11*$C241*'Business Case'!E13*$D241-'Business Case'!E14*$E241))*'Business Case'!$B$7-'Business Case'!$B$8*(('Business Case'!E11*$C241*'Business Case'!E12*$B241)-('Business Case'!D11*$C241*'Business Case'!D12*$B241))-'Business Case'!E15*$F241</f>
        <v>581251705.561879</v>
      </c>
      <c r="L241" s="39" t="n">
        <f aca="false">(('Business Case'!F11*$C241*'Business Case'!F12*$B241)-'Business Case'!F11*$C241*'Business Case'!F13*$D241-'Business Case'!F14*$E241)-MAX(0,(('Business Case'!F11*$C241*'Business Case'!F12*$B241)-'Business Case'!F11*$C241*'Business Case'!F13*$D241-'Business Case'!F14*$E241))*'Business Case'!$B$7-'Business Case'!$B$8*(('Business Case'!F11*$C241*'Business Case'!F12*$B241)-('Business Case'!E11*$C241*'Business Case'!E12*$B241))-'Business Case'!F15*$F241</f>
        <v>705224553.826132</v>
      </c>
      <c r="M241" s="39" t="n">
        <f aca="false">(('Business Case'!G11*$C241*'Business Case'!G12*$B241)-'Business Case'!G11*$C241*'Business Case'!G13*$D241-'Business Case'!G14*$E241)-MAX(0,(('Business Case'!G11*$C241*'Business Case'!G12*$B241)-'Business Case'!G11*$C241*'Business Case'!G13*$D241-'Business Case'!G14*$E241))*'Business Case'!$B$7-'Business Case'!$B$8*(('Business Case'!G11*$C241*'Business Case'!G12*$B241)-('Business Case'!F11*$C241*'Business Case'!F12*$B241))-'Business Case'!G15*$F241+'Business Case'!$B$8*('Business Case'!G11*$C241*'Business Case'!G12*$B241)</f>
        <v>885207929.998183</v>
      </c>
      <c r="N241" s="39" t="n">
        <f aca="false">IF(COUNT('Business Case'!B11:G11)=0,"",H241+NPV(G241,I241:M241))</f>
        <v>-259306028.893359</v>
      </c>
      <c r="P241" s="40" t="n">
        <f aca="true">RAND()</f>
        <v>0.88410712218944</v>
      </c>
      <c r="Q241" s="40" t="n">
        <f aca="true">RAND()</f>
        <v>0.247373558394991</v>
      </c>
      <c r="R241" s="40" t="n">
        <f aca="true">RAND()</f>
        <v>0.925965925776063</v>
      </c>
      <c r="S241" s="40" t="n">
        <f aca="true">RAND()</f>
        <v>0.29701492698723</v>
      </c>
      <c r="T241" s="40" t="n">
        <f aca="true">RAND()</f>
        <v>0.0816953972712953</v>
      </c>
      <c r="U241" s="40" t="n">
        <f aca="true">RAND()</f>
        <v>0.0465522795882572</v>
      </c>
    </row>
    <row r="242" customFormat="false" ht="15" hidden="false" customHeight="false" outlineLevel="0" collapsed="false">
      <c r="A242" s="36" t="n">
        <v>162</v>
      </c>
      <c r="B242" s="37" t="n">
        <f aca="false">1+IF($G$6=$E$6,$F$6,IF(P242&lt;($F$6-$E$6)/($G$6-$E$6),$E$6+SQRT(P242*($G$6-$E$6)*($F$6-$E$6)),$G$6-SQRT((1-P242)*($G$6-$E$6)*($G$6-$F$6))))</f>
        <v>0.990816716855157</v>
      </c>
      <c r="C242" s="37" t="n">
        <f aca="false">1+IF($G$7=$E$7,$F$7,IF(Q242&lt;($F$7-$E$7)/($G$7-$E$7),$E$7+SQRT(Q242*($G$7-$E$7)*($F$7-$E$7)),$G$7-SQRT((1-Q242)*($G$7-$E$7)*($G$7-$F$7))))</f>
        <v>0.899912284662735</v>
      </c>
      <c r="D242" s="37" t="n">
        <f aca="false">1+IF($G$8=$E$8,$F$8,IF(R242&lt;($F$8-$E$8)/($G$8-$E$8),$E$8+SQRT(R242*($G$8-$E$8)*($F$8-$E$8)),$G$8-SQRT((1-R242)*($G$8-$E$8)*($G$8-$F$8))))</f>
        <v>1.02745607090469</v>
      </c>
      <c r="E242" s="37" t="n">
        <f aca="false">1+IF($G$9=$E$9,$F$9,IF(S242&lt;($F$9-$E$9)/($G$9-$E$9),$E$9+SQRT(S242*($G$9-$E$9)*($F$9-$E$9)),$G$9-SQRT((1-S242)*($G$9-$E$9)*($G$9-$F$9))))</f>
        <v>1.03115907139695</v>
      </c>
      <c r="F242" s="37" t="n">
        <f aca="false">1+IF($G$10=$E$10,$F$10,IF(T242&lt;($F$10-$E$10)/($G$10-$E$10),$E$10+SQRT(T242*($G$10-$E$10)*($F$10-$E$10)),$G$10-SQRT((1-T242)*($G$10-$E$10)*($G$10-$F$10))))</f>
        <v>1.00031627877229</v>
      </c>
      <c r="G242" s="38" t="n">
        <f aca="false">IF($G$11=$E$11,$F$11,IF(U242&lt;($F$11-$E$11)/($G$11-$E$11),$E$11+SQRT(U242*($G$11-$E$11)*($F$11-$E$11)),$G$11-SQRT((1-U242)*($G$11-$E$11)*($G$11-$F$11))))</f>
        <v>0.107909604843165</v>
      </c>
      <c r="H242" s="39" t="n">
        <f aca="false">(('Business Case'!B11*$C242*'Business Case'!B12*$B242)-'Business Case'!B11*$C242*'Business Case'!B13*$D242-'Business Case'!B14*$E242)-MAX(0,(('Business Case'!B11*$C242*'Business Case'!B12*$B242)-'Business Case'!B11*$C242*'Business Case'!B13*$D242-'Business Case'!B14*$E242))*'Business Case'!$B$7-'Business Case'!$B$8*('Business Case'!B11*$C242*'Business Case'!B12*$B242)-'Business Case'!B15*$F242</f>
        <v>-2000632557.54459</v>
      </c>
      <c r="I242" s="39" t="n">
        <f aca="false">(('Business Case'!C11*$C242*'Business Case'!C12*$B242)-'Business Case'!C11*$C242*'Business Case'!C13*$D242-'Business Case'!C14*$E242)-MAX(0,(('Business Case'!C11*$C242*'Business Case'!C12*$B242)-'Business Case'!C11*$C242*'Business Case'!C13*$D242-'Business Case'!C14*$E242))*'Business Case'!$B$7-'Business Case'!$B$8*(('Business Case'!C11*$C242*'Business Case'!C12*$B242)-('Business Case'!B11*$C242*'Business Case'!B12*$B242))-'Business Case'!C15*$F242</f>
        <v>-35893110.1851128</v>
      </c>
      <c r="J242" s="39" t="n">
        <f aca="false">(('Business Case'!D11*$C242*'Business Case'!D12*$B242)-'Business Case'!D11*$C242*'Business Case'!D13*$D242-'Business Case'!D14*$E242)-MAX(0,(('Business Case'!D11*$C242*'Business Case'!D12*$B242)-'Business Case'!D11*$C242*'Business Case'!D13*$D242-'Business Case'!D14*$E242))*'Business Case'!$B$7-'Business Case'!$B$8*(('Business Case'!D11*$C242*'Business Case'!D12*$B242)-('Business Case'!C11*$C242*'Business Case'!C12*$B242))-'Business Case'!D15*$F242</f>
        <v>221099266.796047</v>
      </c>
      <c r="K242" s="39" t="n">
        <f aca="false">(('Business Case'!E11*$C242*'Business Case'!E12*$B242)-'Business Case'!E11*$C242*'Business Case'!E13*$D242-'Business Case'!E14*$E242)-MAX(0,(('Business Case'!E11*$C242*'Business Case'!E12*$B242)-'Business Case'!E11*$C242*'Business Case'!E13*$D242-'Business Case'!E14*$E242))*'Business Case'!$B$7-'Business Case'!$B$8*(('Business Case'!E11*$C242*'Business Case'!E12*$B242)-('Business Case'!D11*$C242*'Business Case'!D12*$B242))-'Business Case'!E15*$F242</f>
        <v>528107457.715821</v>
      </c>
      <c r="L242" s="39" t="n">
        <f aca="false">(('Business Case'!F11*$C242*'Business Case'!F12*$B242)-'Business Case'!F11*$C242*'Business Case'!F13*$D242-'Business Case'!F14*$E242)-MAX(0,(('Business Case'!F11*$C242*'Business Case'!F12*$B242)-'Business Case'!F11*$C242*'Business Case'!F13*$D242-'Business Case'!F14*$E242))*'Business Case'!$B$7-'Business Case'!$B$8*(('Business Case'!F11*$C242*'Business Case'!F12*$B242)-('Business Case'!E11*$C242*'Business Case'!E12*$B242))-'Business Case'!F15*$F242</f>
        <v>644586942.933806</v>
      </c>
      <c r="M242" s="39" t="n">
        <f aca="false">(('Business Case'!G11*$C242*'Business Case'!G12*$B242)-'Business Case'!G11*$C242*'Business Case'!G13*$D242-'Business Case'!G14*$E242)-MAX(0,(('Business Case'!G11*$C242*'Business Case'!G12*$B242)-'Business Case'!G11*$C242*'Business Case'!G13*$D242-'Business Case'!G14*$E242))*'Business Case'!$B$7-'Business Case'!$B$8*(('Business Case'!G11*$C242*'Business Case'!G12*$B242)-('Business Case'!F11*$C242*'Business Case'!F12*$B242))-'Business Case'!G15*$F242+'Business Case'!$B$8*('Business Case'!G11*$C242*'Business Case'!G12*$B242)</f>
        <v>814071420.500593</v>
      </c>
      <c r="N242" s="39" t="n">
        <f aca="false">IF(COUNT('Business Case'!B11:G11)=0,"",H242+NPV(G242,I242:M242))</f>
        <v>-549055566.455904</v>
      </c>
      <c r="P242" s="40" t="n">
        <f aca="true">RAND()</f>
        <v>0.522396602723278</v>
      </c>
      <c r="Q242" s="40" t="n">
        <f aca="true">RAND()</f>
        <v>0.142606637521819</v>
      </c>
      <c r="R242" s="40" t="n">
        <f aca="true">RAND()</f>
        <v>0.734532261079477</v>
      </c>
      <c r="S242" s="40" t="n">
        <f aca="true">RAND()</f>
        <v>0.684061769938017</v>
      </c>
      <c r="T242" s="40" t="n">
        <f aca="true">RAND()</f>
        <v>0.202528229533109</v>
      </c>
      <c r="U242" s="40" t="n">
        <f aca="true">RAND()</f>
        <v>0.756370574919313</v>
      </c>
    </row>
    <row r="243" customFormat="false" ht="15" hidden="false" customHeight="false" outlineLevel="0" collapsed="false">
      <c r="A243" s="36" t="n">
        <v>163</v>
      </c>
      <c r="B243" s="37" t="n">
        <f aca="false">1+IF($G$6=$E$6,$F$6,IF(P243&lt;($F$6-$E$6)/($G$6-$E$6),$E$6+SQRT(P243*($G$6-$E$6)*($F$6-$E$6)),$G$6-SQRT((1-P243)*($G$6-$E$6)*($G$6-$F$6))))</f>
        <v>0.959337516699559</v>
      </c>
      <c r="C243" s="37" t="n">
        <f aca="false">1+IF($G$7=$E$7,$F$7,IF(Q243&lt;($F$7-$E$7)/($G$7-$E$7),$E$7+SQRT(Q243*($G$7-$E$7)*($F$7-$E$7)),$G$7-SQRT((1-Q243)*($G$7-$E$7)*($G$7-$F$7))))</f>
        <v>1.07582423299226</v>
      </c>
      <c r="D243" s="37" t="n">
        <f aca="false">1+IF($G$8=$E$8,$F$8,IF(R243&lt;($F$8-$E$8)/($G$8-$E$8),$E$8+SQRT(R243*($G$8-$E$8)*($F$8-$E$8)),$G$8-SQRT((1-R243)*($G$8-$E$8)*($G$8-$F$8))))</f>
        <v>0.963829336101258</v>
      </c>
      <c r="E243" s="37" t="n">
        <f aca="false">1+IF($G$9=$E$9,$F$9,IF(S243&lt;($F$9-$E$9)/($G$9-$E$9),$E$9+SQRT(S243*($G$9-$E$9)*($F$9-$E$9)),$G$9-SQRT((1-S243)*($G$9-$E$9)*($G$9-$F$9))))</f>
        <v>1.01439187407446</v>
      </c>
      <c r="F243" s="37" t="n">
        <f aca="false">1+IF($G$10=$E$10,$F$10,IF(T243&lt;($F$10-$E$10)/($G$10-$E$10),$E$10+SQRT(T243*($G$10-$E$10)*($F$10-$E$10)),$G$10-SQRT((1-T243)*($G$10-$E$10)*($G$10-$F$10))))</f>
        <v>1.01563061625922</v>
      </c>
      <c r="G243" s="38" t="n">
        <f aca="false">IF($G$11=$E$11,$F$11,IF(U243&lt;($F$11-$E$11)/($G$11-$E$11),$E$11+SQRT(U243*($G$11-$E$11)*($F$11-$E$11)),$G$11-SQRT((1-U243)*($G$11-$E$11)*($G$11-$F$11))))</f>
        <v>0.0943045937998127</v>
      </c>
      <c r="H243" s="39" t="n">
        <f aca="false">(('Business Case'!B11*$C243*'Business Case'!B12*$B243)-'Business Case'!B11*$C243*'Business Case'!B13*$D243-'Business Case'!B14*$E243)-MAX(0,(('Business Case'!B11*$C243*'Business Case'!B12*$B243)-'Business Case'!B11*$C243*'Business Case'!B13*$D243-'Business Case'!B14*$E243))*'Business Case'!$B$7-'Business Case'!$B$8*('Business Case'!B11*$C243*'Business Case'!B12*$B243)-'Business Case'!B15*$F243</f>
        <v>-2031261232.51843</v>
      </c>
      <c r="I243" s="39" t="n">
        <f aca="false">(('Business Case'!C11*$C243*'Business Case'!C12*$B243)-'Business Case'!C11*$C243*'Business Case'!C13*$D243-'Business Case'!C14*$E243)-MAX(0,(('Business Case'!C11*$C243*'Business Case'!C12*$B243)-'Business Case'!C11*$C243*'Business Case'!C13*$D243-'Business Case'!C14*$E243))*'Business Case'!$B$7-'Business Case'!$B$8*(('Business Case'!C11*$C243*'Business Case'!C12*$B243)-('Business Case'!B11*$C243*'Business Case'!B12*$B243))-'Business Case'!C15*$F243</f>
        <v>15218645.7625298</v>
      </c>
      <c r="J243" s="39" t="n">
        <f aca="false">(('Business Case'!D11*$C243*'Business Case'!D12*$B243)-'Business Case'!D11*$C243*'Business Case'!D13*$D243-'Business Case'!D14*$E243)-MAX(0,(('Business Case'!D11*$C243*'Business Case'!D12*$B243)-'Business Case'!D11*$C243*'Business Case'!D13*$D243-'Business Case'!D14*$E243))*'Business Case'!$B$7-'Business Case'!$B$8*(('Business Case'!D11*$C243*'Business Case'!D12*$B243)-('Business Case'!C11*$C243*'Business Case'!C12*$B243))-'Business Case'!D15*$F243</f>
        <v>329749829.577043</v>
      </c>
      <c r="K243" s="39" t="n">
        <f aca="false">(('Business Case'!E11*$C243*'Business Case'!E12*$B243)-'Business Case'!E11*$C243*'Business Case'!E13*$D243-'Business Case'!E14*$E243)-MAX(0,(('Business Case'!E11*$C243*'Business Case'!E12*$B243)-'Business Case'!E11*$C243*'Business Case'!E13*$D243-'Business Case'!E14*$E243))*'Business Case'!$B$7-'Business Case'!$B$8*(('Business Case'!E11*$C243*'Business Case'!E12*$B243)-('Business Case'!D11*$C243*'Business Case'!D12*$B243))-'Business Case'!E15*$F243</f>
        <v>695062544.204518</v>
      </c>
      <c r="L243" s="39" t="n">
        <f aca="false">(('Business Case'!F11*$C243*'Business Case'!F12*$B243)-'Business Case'!F11*$C243*'Business Case'!F13*$D243-'Business Case'!F14*$E243)-MAX(0,(('Business Case'!F11*$C243*'Business Case'!F12*$B243)-'Business Case'!F11*$C243*'Business Case'!F13*$D243-'Business Case'!F14*$E243))*'Business Case'!$B$7-'Business Case'!$B$8*(('Business Case'!F11*$C243*'Business Case'!F12*$B243)-('Business Case'!E11*$C243*'Business Case'!E12*$B243))-'Business Case'!F15*$F243</f>
        <v>835574906.764473</v>
      </c>
      <c r="M243" s="39" t="n">
        <f aca="false">(('Business Case'!G11*$C243*'Business Case'!G12*$B243)-'Business Case'!G11*$C243*'Business Case'!G13*$D243-'Business Case'!G14*$E243)-MAX(0,(('Business Case'!G11*$C243*'Business Case'!G12*$B243)-'Business Case'!G11*$C243*'Business Case'!G13*$D243-'Business Case'!G14*$E243))*'Business Case'!$B$7-'Business Case'!$B$8*(('Business Case'!G11*$C243*'Business Case'!G12*$B243)-('Business Case'!F11*$C243*'Business Case'!F12*$B243))-'Business Case'!G15*$F243+'Business Case'!$B$8*('Business Case'!G11*$C243*'Business Case'!G12*$B243)</f>
        <v>1031752397.18428</v>
      </c>
      <c r="N243" s="39" t="n">
        <f aca="false">IF(COUNT('Business Case'!B11:G11)=0,"",H243+NPV(G243,I243:M243))</f>
        <v>28583460.7641215</v>
      </c>
      <c r="P243" s="40" t="n">
        <f aca="true">RAND()</f>
        <v>0.16119168959251</v>
      </c>
      <c r="Q243" s="40" t="n">
        <f aca="true">RAND()</f>
        <v>0.895199154072637</v>
      </c>
      <c r="R243" s="40" t="n">
        <f aca="true">RAND()</f>
        <v>0.0294231595386997</v>
      </c>
      <c r="S243" s="40" t="n">
        <f aca="true">RAND()</f>
        <v>0.511416585034408</v>
      </c>
      <c r="T243" s="40" t="n">
        <f aca="true">RAND()</f>
        <v>0.320158606780863</v>
      </c>
      <c r="U243" s="40" t="n">
        <f aca="true">RAND()</f>
        <v>0.0617650926046183</v>
      </c>
    </row>
    <row r="244" customFormat="false" ht="15" hidden="false" customHeight="false" outlineLevel="0" collapsed="false">
      <c r="A244" s="36" t="n">
        <v>164</v>
      </c>
      <c r="B244" s="37" t="n">
        <f aca="false">1+IF($G$6=$E$6,$F$6,IF(P244&lt;($F$6-$E$6)/($G$6-$E$6),$E$6+SQRT(P244*($G$6-$E$6)*($F$6-$E$6)),$G$6-SQRT((1-P244)*($G$6-$E$6)*($G$6-$F$6))))</f>
        <v>0.928846713592705</v>
      </c>
      <c r="C244" s="37" t="n">
        <f aca="false">1+IF($G$7=$E$7,$F$7,IF(Q244&lt;($F$7-$E$7)/($G$7-$E$7),$E$7+SQRT(Q244*($G$7-$E$7)*($F$7-$E$7)),$G$7-SQRT((1-Q244)*($G$7-$E$7)*($G$7-$F$7))))</f>
        <v>0.937378738332301</v>
      </c>
      <c r="D244" s="37" t="n">
        <f aca="false">1+IF($G$8=$E$8,$F$8,IF(R244&lt;($F$8-$E$8)/($G$8-$E$8),$E$8+SQRT(R244*($G$8-$E$8)*($F$8-$E$8)),$G$8-SQRT((1-R244)*($G$8-$E$8)*($G$8-$F$8))))</f>
        <v>1.00033958893834</v>
      </c>
      <c r="E244" s="37" t="n">
        <f aca="false">1+IF($G$9=$E$9,$F$9,IF(S244&lt;($F$9-$E$9)/($G$9-$E$9),$E$9+SQRT(S244*($G$9-$E$9)*($F$9-$E$9)),$G$9-SQRT((1-S244)*($G$9-$E$9)*($G$9-$F$9))))</f>
        <v>1.03252938511935</v>
      </c>
      <c r="F244" s="37" t="n">
        <f aca="false">1+IF($G$10=$E$10,$F$10,IF(T244&lt;($F$10-$E$10)/($G$10-$E$10),$E$10+SQRT(T244*($G$10-$E$10)*($F$10-$E$10)),$G$10-SQRT((1-T244)*($G$10-$E$10)*($G$10-$F$10))))</f>
        <v>1.02054068985346</v>
      </c>
      <c r="G244" s="38" t="n">
        <f aca="false">IF($G$11=$E$11,$F$11,IF(U244&lt;($F$11-$E$11)/($G$11-$E$11),$E$11+SQRT(U244*($G$11-$E$11)*($F$11-$E$11)),$G$11-SQRT((1-U244)*($G$11-$E$11)*($G$11-$F$11))))</f>
        <v>0.104829244953328</v>
      </c>
      <c r="H244" s="39" t="n">
        <f aca="false">(('Business Case'!B11*$C244*'Business Case'!B12*$B244)-'Business Case'!B11*$C244*'Business Case'!B13*$D244-'Business Case'!B14*$E244)-MAX(0,(('Business Case'!B11*$C244*'Business Case'!B12*$B244)-'Business Case'!B11*$C244*'Business Case'!B13*$D244-'Business Case'!B14*$E244))*'Business Case'!$B$7-'Business Case'!$B$8*('Business Case'!B11*$C244*'Business Case'!B12*$B244)-'Business Case'!B15*$F244</f>
        <v>-2041081379.70692</v>
      </c>
      <c r="I244" s="39" t="n">
        <f aca="false">(('Business Case'!C11*$C244*'Business Case'!C12*$B244)-'Business Case'!C11*$C244*'Business Case'!C13*$D244-'Business Case'!C14*$E244)-MAX(0,(('Business Case'!C11*$C244*'Business Case'!C12*$B244)-'Business Case'!C11*$C244*'Business Case'!C13*$D244-'Business Case'!C14*$E244))*'Business Case'!$B$7-'Business Case'!$B$8*(('Business Case'!C11*$C244*'Business Case'!C12*$B244)-('Business Case'!B11*$C244*'Business Case'!B12*$B244))-'Business Case'!C15*$F244</f>
        <v>-60891179.2908901</v>
      </c>
      <c r="J244" s="39" t="n">
        <f aca="false">(('Business Case'!D11*$C244*'Business Case'!D12*$B244)-'Business Case'!D11*$C244*'Business Case'!D13*$D244-'Business Case'!D14*$E244)-MAX(0,(('Business Case'!D11*$C244*'Business Case'!D12*$B244)-'Business Case'!D11*$C244*'Business Case'!D13*$D244-'Business Case'!D14*$E244))*'Business Case'!$B$7-'Business Case'!$B$8*(('Business Case'!D11*$C244*'Business Case'!D12*$B244)-('Business Case'!C11*$C244*'Business Case'!C12*$B244))-'Business Case'!D15*$F244</f>
        <v>172233500.327424</v>
      </c>
      <c r="K244" s="39" t="n">
        <f aca="false">(('Business Case'!E11*$C244*'Business Case'!E12*$B244)-'Business Case'!E11*$C244*'Business Case'!E13*$D244-'Business Case'!E14*$E244)-MAX(0,(('Business Case'!E11*$C244*'Business Case'!E12*$B244)-'Business Case'!E11*$C244*'Business Case'!E13*$D244-'Business Case'!E14*$E244))*'Business Case'!$B$7-'Business Case'!$B$8*(('Business Case'!E11*$C244*'Business Case'!E12*$B244)-('Business Case'!D11*$C244*'Business Case'!D12*$B244))-'Business Case'!E15*$F244</f>
        <v>456385214.438411</v>
      </c>
      <c r="L244" s="39" t="n">
        <f aca="false">(('Business Case'!F11*$C244*'Business Case'!F12*$B244)-'Business Case'!F11*$C244*'Business Case'!F13*$D244-'Business Case'!F14*$E244)-MAX(0,(('Business Case'!F11*$C244*'Business Case'!F12*$B244)-'Business Case'!F11*$C244*'Business Case'!F13*$D244-'Business Case'!F14*$E244))*'Business Case'!$B$7-'Business Case'!$B$8*(('Business Case'!F11*$C244*'Business Case'!F12*$B244)-('Business Case'!E11*$C244*'Business Case'!E12*$B244))-'Business Case'!F15*$F244</f>
        <v>564184181.88444</v>
      </c>
      <c r="M244" s="39" t="n">
        <f aca="false">(('Business Case'!G11*$C244*'Business Case'!G12*$B244)-'Business Case'!G11*$C244*'Business Case'!G13*$D244-'Business Case'!G14*$E244)-MAX(0,(('Business Case'!G11*$C244*'Business Case'!G12*$B244)-'Business Case'!G11*$C244*'Business Case'!G13*$D244-'Business Case'!G14*$E244))*'Business Case'!$B$7-'Business Case'!$B$8*(('Business Case'!G11*$C244*'Business Case'!G12*$B244)-('Business Case'!F11*$C244*'Business Case'!F12*$B244))-'Business Case'!G15*$F244+'Business Case'!$B$8*('Business Case'!G11*$C244*'Business Case'!G12*$B244)</f>
        <v>729683256.87069</v>
      </c>
      <c r="N244" s="39" t="n">
        <f aca="false">IF(COUNT('Business Case'!B11:G11)=0,"",H244+NPV(G244,I244:M244))</f>
        <v>-794770651.018375</v>
      </c>
      <c r="P244" s="40" t="n">
        <f aca="true">RAND()</f>
        <v>0.00815253556159958</v>
      </c>
      <c r="Q244" s="40" t="n">
        <f aca="true">RAND()</f>
        <v>0.269613110653927</v>
      </c>
      <c r="R244" s="40" t="n">
        <f aca="true">RAND()</f>
        <v>0.389828741296901</v>
      </c>
      <c r="S244" s="40" t="n">
        <f aca="true">RAND()</f>
        <v>0.696514408508466</v>
      </c>
      <c r="T244" s="40" t="n">
        <f aca="true">RAND()</f>
        <v>0.355887120034564</v>
      </c>
      <c r="U244" s="40" t="n">
        <f aca="true">RAND()</f>
        <v>0.61641365218977</v>
      </c>
    </row>
    <row r="245" customFormat="false" ht="15" hidden="false" customHeight="false" outlineLevel="0" collapsed="false">
      <c r="A245" s="36" t="n">
        <v>165</v>
      </c>
      <c r="B245" s="37" t="n">
        <f aca="false">1+IF($G$6=$E$6,$F$6,IF(P245&lt;($F$6-$E$6)/($G$6-$E$6),$E$6+SQRT(P245*($G$6-$E$6)*($F$6-$E$6)),$G$6-SQRT((1-P245)*($G$6-$E$6)*($G$6-$F$6))))</f>
        <v>0.995059520064255</v>
      </c>
      <c r="C245" s="37" t="n">
        <f aca="false">1+IF($G$7=$E$7,$F$7,IF(Q245&lt;($F$7-$E$7)/($G$7-$E$7),$E$7+SQRT(Q245*($G$7-$E$7)*($F$7-$E$7)),$G$7-SQRT((1-Q245)*($G$7-$E$7)*($G$7-$F$7))))</f>
        <v>0.959515754041672</v>
      </c>
      <c r="D245" s="37" t="n">
        <f aca="false">1+IF($G$8=$E$8,$F$8,IF(R245&lt;($F$8-$E$8)/($G$8-$E$8),$E$8+SQRT(R245*($G$8-$E$8)*($F$8-$E$8)),$G$8-SQRT((1-R245)*($G$8-$E$8)*($G$8-$F$8))))</f>
        <v>0.977936343406891</v>
      </c>
      <c r="E245" s="37" t="n">
        <f aca="false">1+IF($G$9=$E$9,$F$9,IF(S245&lt;($F$9-$E$9)/($G$9-$E$9),$E$9+SQRT(S245*($G$9-$E$9)*($F$9-$E$9)),$G$9-SQRT((1-S245)*($G$9-$E$9)*($G$9-$F$9))))</f>
        <v>0.986119333169195</v>
      </c>
      <c r="F245" s="37" t="n">
        <f aca="false">1+IF($G$10=$E$10,$F$10,IF(T245&lt;($F$10-$E$10)/($G$10-$E$10),$E$10+SQRT(T245*($G$10-$E$10)*($F$10-$E$10)),$G$10-SQRT((1-T245)*($G$10-$E$10)*($G$10-$F$10))))</f>
        <v>1.05407348146434</v>
      </c>
      <c r="G245" s="38" t="n">
        <f aca="false">IF($G$11=$E$11,$F$11,IF(U245&lt;($F$11-$E$11)/($G$11-$E$11),$E$11+SQRT(U245*($G$11-$E$11)*($F$11-$E$11)),$G$11-SQRT((1-U245)*($G$11-$E$11)*($G$11-$F$11))))</f>
        <v>0.106336773674247</v>
      </c>
      <c r="H245" s="39" t="n">
        <f aca="false">(('Business Case'!B11*$C245*'Business Case'!B12*$B245)-'Business Case'!B11*$C245*'Business Case'!B13*$D245-'Business Case'!B14*$E245)-MAX(0,(('Business Case'!B11*$C245*'Business Case'!B12*$B245)-'Business Case'!B11*$C245*'Business Case'!B13*$D245-'Business Case'!B14*$E245))*'Business Case'!$B$7-'Business Case'!$B$8*('Business Case'!B11*$C245*'Business Case'!B12*$B245)-'Business Case'!B15*$F245</f>
        <v>-2108146962.92868</v>
      </c>
      <c r="I245" s="39" t="n">
        <f aca="false">(('Business Case'!C11*$C245*'Business Case'!C12*$B245)-'Business Case'!C11*$C245*'Business Case'!C13*$D245-'Business Case'!C14*$E245)-MAX(0,(('Business Case'!C11*$C245*'Business Case'!C12*$B245)-'Business Case'!C11*$C245*'Business Case'!C13*$D245-'Business Case'!C14*$E245))*'Business Case'!$B$7-'Business Case'!$B$8*(('Business Case'!C11*$C245*'Business Case'!C12*$B245)-('Business Case'!B11*$C245*'Business Case'!B12*$B245))-'Business Case'!C15*$F245</f>
        <v>6542894.39981394</v>
      </c>
      <c r="J245" s="39" t="n">
        <f aca="false">(('Business Case'!D11*$C245*'Business Case'!D12*$B245)-'Business Case'!D11*$C245*'Business Case'!D13*$D245-'Business Case'!D14*$E245)-MAX(0,(('Business Case'!D11*$C245*'Business Case'!D12*$B245)-'Business Case'!D11*$C245*'Business Case'!D13*$D245-'Business Case'!D14*$E245))*'Business Case'!$B$7-'Business Case'!$B$8*(('Business Case'!D11*$C245*'Business Case'!D12*$B245)-('Business Case'!C11*$C245*'Business Case'!C12*$B245))-'Business Case'!D15*$F245</f>
        <v>308214856.933969</v>
      </c>
      <c r="K245" s="39" t="n">
        <f aca="false">(('Business Case'!E11*$C245*'Business Case'!E12*$B245)-'Business Case'!E11*$C245*'Business Case'!E13*$D245-'Business Case'!E14*$E245)-MAX(0,(('Business Case'!E11*$C245*'Business Case'!E12*$B245)-'Business Case'!E11*$C245*'Business Case'!E13*$D245-'Business Case'!E14*$E245))*'Business Case'!$B$7-'Business Case'!$B$8*(('Business Case'!E11*$C245*'Business Case'!E12*$B245)-('Business Case'!D11*$C245*'Business Case'!D12*$B245))-'Business Case'!E15*$F245</f>
        <v>662590493.541342</v>
      </c>
      <c r="L245" s="39" t="n">
        <f aca="false">(('Business Case'!F11*$C245*'Business Case'!F12*$B245)-'Business Case'!F11*$C245*'Business Case'!F13*$D245-'Business Case'!F14*$E245)-MAX(0,(('Business Case'!F11*$C245*'Business Case'!F12*$B245)-'Business Case'!F11*$C245*'Business Case'!F13*$D245-'Business Case'!F14*$E245))*'Business Case'!$B$7-'Business Case'!$B$8*(('Business Case'!F11*$C245*'Business Case'!F12*$B245)-('Business Case'!E11*$C245*'Business Case'!E12*$B245))-'Business Case'!F15*$F245</f>
        <v>796144848.260226</v>
      </c>
      <c r="M245" s="39" t="n">
        <f aca="false">(('Business Case'!G11*$C245*'Business Case'!G12*$B245)-'Business Case'!G11*$C245*'Business Case'!G13*$D245-'Business Case'!G14*$E245)-MAX(0,(('Business Case'!G11*$C245*'Business Case'!G12*$B245)-'Business Case'!G11*$C245*'Business Case'!G13*$D245-'Business Case'!G14*$E245))*'Business Case'!$B$7-'Business Case'!$B$8*(('Business Case'!G11*$C245*'Business Case'!G12*$B245)-('Business Case'!F11*$C245*'Business Case'!F12*$B245))-'Business Case'!G15*$F245+'Business Case'!$B$8*('Business Case'!G11*$C245*'Business Case'!G12*$B245)</f>
        <v>977628534.568134</v>
      </c>
      <c r="N245" s="39" t="n">
        <f aca="false">IF(COUNT('Business Case'!B11:G11)=0,"",H245+NPV(G245,I245:M245))</f>
        <v>-239840755.706058</v>
      </c>
      <c r="P245" s="40" t="n">
        <f aca="true">RAND()</f>
        <v>0.586867870028777</v>
      </c>
      <c r="Q245" s="40" t="n">
        <f aca="true">RAND()</f>
        <v>0.36350393982119</v>
      </c>
      <c r="R245" s="40" t="n">
        <f aca="true">RAND()</f>
        <v>0.12006758199196</v>
      </c>
      <c r="S245" s="40" t="n">
        <f aca="true">RAND()</f>
        <v>0.173947497144973</v>
      </c>
      <c r="T245" s="40" t="n">
        <f aca="true">RAND()</f>
        <v>0.574109023761245</v>
      </c>
      <c r="U245" s="40" t="n">
        <f aca="true">RAND()</f>
        <v>0.688860410618769</v>
      </c>
    </row>
    <row r="246" customFormat="false" ht="15" hidden="false" customHeight="false" outlineLevel="0" collapsed="false">
      <c r="A246" s="36" t="n">
        <v>166</v>
      </c>
      <c r="B246" s="37" t="n">
        <f aca="false">1+IF($G$6=$E$6,$F$6,IF(P246&lt;($F$6-$E$6)/($G$6-$E$6),$E$6+SQRT(P246*($G$6-$E$6)*($F$6-$E$6)),$G$6-SQRT((1-P246)*($G$6-$E$6)*($G$6-$F$6))))</f>
        <v>1.00270689432625</v>
      </c>
      <c r="C246" s="37" t="n">
        <f aca="false">1+IF($G$7=$E$7,$F$7,IF(Q246&lt;($F$7-$E$7)/($G$7-$E$7),$E$7+SQRT(Q246*($G$7-$E$7)*($F$7-$E$7)),$G$7-SQRT((1-Q246)*($G$7-$E$7)*($G$7-$F$7))))</f>
        <v>0.867111554495687</v>
      </c>
      <c r="D246" s="37" t="n">
        <f aca="false">1+IF($G$8=$E$8,$F$8,IF(R246&lt;($F$8-$E$8)/($G$8-$E$8),$E$8+SQRT(R246*($G$8-$E$8)*($F$8-$E$8)),$G$8-SQRT((1-R246)*($G$8-$E$8)*($G$8-$F$8))))</f>
        <v>1.03427201639875</v>
      </c>
      <c r="E246" s="37" t="n">
        <f aca="false">1+IF($G$9=$E$9,$F$9,IF(S246&lt;($F$9-$E$9)/($G$9-$E$9),$E$9+SQRT(S246*($G$9-$E$9)*($F$9-$E$9)),$G$9-SQRT((1-S246)*($G$9-$E$9)*($G$9-$F$9))))</f>
        <v>1.06459830716029</v>
      </c>
      <c r="F246" s="37" t="n">
        <f aca="false">1+IF($G$10=$E$10,$F$10,IF(T246&lt;($F$10-$E$10)/($G$10-$E$10),$E$10+SQRT(T246*($G$10-$E$10)*($F$10-$E$10)),$G$10-SQRT((1-T246)*($G$10-$E$10)*($G$10-$F$10))))</f>
        <v>0.988367973613847</v>
      </c>
      <c r="G246" s="38" t="n">
        <f aca="false">IF($G$11=$E$11,$F$11,IF(U246&lt;($F$11-$E$11)/($G$11-$E$11),$E$11+SQRT(U246*($G$11-$E$11)*($F$11-$E$11)),$G$11-SQRT((1-U246)*($G$11-$E$11)*($G$11-$F$11))))</f>
        <v>0.109439674452874</v>
      </c>
      <c r="H246" s="39" t="n">
        <f aca="false">(('Business Case'!B11*$C246*'Business Case'!B12*$B246)-'Business Case'!B11*$C246*'Business Case'!B13*$D246-'Business Case'!B14*$E246)-MAX(0,(('Business Case'!B11*$C246*'Business Case'!B12*$B246)-'Business Case'!B11*$C246*'Business Case'!B13*$D246-'Business Case'!B14*$E246))*'Business Case'!$B$7-'Business Case'!$B$8*('Business Case'!B11*$C246*'Business Case'!B12*$B246)-'Business Case'!B15*$F246</f>
        <v>-1976735947.22769</v>
      </c>
      <c r="I246" s="39" t="n">
        <f aca="false">(('Business Case'!C11*$C246*'Business Case'!C12*$B246)-'Business Case'!C11*$C246*'Business Case'!C13*$D246-'Business Case'!C14*$E246)-MAX(0,(('Business Case'!C11*$C246*'Business Case'!C12*$B246)-'Business Case'!C11*$C246*'Business Case'!C13*$D246-'Business Case'!C14*$E246))*'Business Case'!$B$7-'Business Case'!$B$8*(('Business Case'!C11*$C246*'Business Case'!C12*$B246)-('Business Case'!B11*$C246*'Business Case'!B12*$B246))-'Business Case'!C15*$F246</f>
        <v>-42250925.5650279</v>
      </c>
      <c r="J246" s="39" t="n">
        <f aca="false">(('Business Case'!D11*$C246*'Business Case'!D12*$B246)-'Business Case'!D11*$C246*'Business Case'!D13*$D246-'Business Case'!D14*$E246)-MAX(0,(('Business Case'!D11*$C246*'Business Case'!D12*$B246)-'Business Case'!D11*$C246*'Business Case'!D13*$D246-'Business Case'!D14*$E246))*'Business Case'!$B$7-'Business Case'!$B$8*(('Business Case'!D11*$C246*'Business Case'!D12*$B246)-('Business Case'!C11*$C246*'Business Case'!C12*$B246))-'Business Case'!D15*$F246</f>
        <v>210793566.271931</v>
      </c>
      <c r="K246" s="39" t="n">
        <f aca="false">(('Business Case'!E11*$C246*'Business Case'!E12*$B246)-'Business Case'!E11*$C246*'Business Case'!E13*$D246-'Business Case'!E14*$E246)-MAX(0,(('Business Case'!E11*$C246*'Business Case'!E12*$B246)-'Business Case'!E11*$C246*'Business Case'!E13*$D246-'Business Case'!E14*$E246))*'Business Case'!$B$7-'Business Case'!$B$8*(('Business Case'!E11*$C246*'Business Case'!E12*$B246)-('Business Case'!D11*$C246*'Business Case'!D12*$B246))-'Business Case'!E15*$F246</f>
        <v>513256456.789583</v>
      </c>
      <c r="L246" s="39" t="n">
        <f aca="false">(('Business Case'!F11*$C246*'Business Case'!F12*$B246)-'Business Case'!F11*$C246*'Business Case'!F13*$D246-'Business Case'!F14*$E246)-MAX(0,(('Business Case'!F11*$C246*'Business Case'!F12*$B246)-'Business Case'!F11*$C246*'Business Case'!F13*$D246-'Business Case'!F14*$E246))*'Business Case'!$B$7-'Business Case'!$B$8*(('Business Case'!F11*$C246*'Business Case'!F12*$B246)-('Business Case'!E11*$C246*'Business Case'!E12*$B246))-'Business Case'!F15*$F246</f>
        <v>627653114.576842</v>
      </c>
      <c r="M246" s="39" t="n">
        <f aca="false">(('Business Case'!G11*$C246*'Business Case'!G12*$B246)-'Business Case'!G11*$C246*'Business Case'!G13*$D246-'Business Case'!G14*$E246)-MAX(0,(('Business Case'!G11*$C246*'Business Case'!G12*$B246)-'Business Case'!G11*$C246*'Business Case'!G13*$D246-'Business Case'!G14*$E246))*'Business Case'!$B$7-'Business Case'!$B$8*(('Business Case'!G11*$C246*'Business Case'!G12*$B246)-('Business Case'!F11*$C246*'Business Case'!F12*$B246))-'Business Case'!G15*$F246+'Business Case'!$B$8*('Business Case'!G11*$C246*'Business Case'!G12*$B246)</f>
        <v>792919830.705678</v>
      </c>
      <c r="N246" s="39" t="n">
        <f aca="false">IF(COUNT('Business Case'!B11:G11)=0,"",H246+NPV(G246,I246:M246))</f>
        <v>-581664557.475394</v>
      </c>
      <c r="P246" s="40" t="n">
        <f aca="true">RAND()</f>
        <v>0.71025505608472</v>
      </c>
      <c r="Q246" s="40" t="n">
        <f aca="true">RAND()</f>
        <v>0.0643422963832514</v>
      </c>
      <c r="R246" s="40" t="n">
        <f aca="true">RAND()</f>
        <v>0.798937645746541</v>
      </c>
      <c r="S246" s="40" t="n">
        <f aca="true">RAND()</f>
        <v>0.916448009605504</v>
      </c>
      <c r="T246" s="40" t="n">
        <f aca="true">RAND()</f>
        <v>0.117768111938629</v>
      </c>
      <c r="U246" s="40" t="n">
        <f aca="true">RAND()</f>
        <v>0.814132540564539</v>
      </c>
    </row>
    <row r="247" customFormat="false" ht="15" hidden="false" customHeight="false" outlineLevel="0" collapsed="false">
      <c r="A247" s="36" t="n">
        <v>167</v>
      </c>
      <c r="B247" s="37" t="n">
        <f aca="false">1+IF($G$6=$E$6,$F$6,IF(P247&lt;($F$6-$E$6)/($G$6-$E$6),$E$6+SQRT(P247*($G$6-$E$6)*($F$6-$E$6)),$G$6-SQRT((1-P247)*($G$6-$E$6)*($G$6-$F$6))))</f>
        <v>0.967642511419219</v>
      </c>
      <c r="C247" s="37" t="n">
        <f aca="false">1+IF($G$7=$E$7,$F$7,IF(Q247&lt;($F$7-$E$7)/($G$7-$E$7),$E$7+SQRT(Q247*($G$7-$E$7)*($F$7-$E$7)),$G$7-SQRT((1-Q247)*($G$7-$E$7)*($G$7-$F$7))))</f>
        <v>1.01712486320125</v>
      </c>
      <c r="D247" s="37" t="n">
        <f aca="false">1+IF($G$8=$E$8,$F$8,IF(R247&lt;($F$8-$E$8)/($G$8-$E$8),$E$8+SQRT(R247*($G$8-$E$8)*($F$8-$E$8)),$G$8-SQRT((1-R247)*($G$8-$E$8)*($G$8-$F$8))))</f>
        <v>1.00174199673505</v>
      </c>
      <c r="E247" s="37" t="n">
        <f aca="false">1+IF($G$9=$E$9,$F$9,IF(S247&lt;($F$9-$E$9)/($G$9-$E$9),$E$9+SQRT(S247*($G$9-$E$9)*($F$9-$E$9)),$G$9-SQRT((1-S247)*($G$9-$E$9)*($G$9-$F$9))))</f>
        <v>0.978046801352865</v>
      </c>
      <c r="F247" s="37" t="n">
        <f aca="false">1+IF($G$10=$E$10,$F$10,IF(T247&lt;($F$10-$E$10)/($G$10-$E$10),$E$10+SQRT(T247*($G$10-$E$10)*($F$10-$E$10)),$G$10-SQRT((1-T247)*($G$10-$E$10)*($G$10-$F$10))))</f>
        <v>1.1116536215713</v>
      </c>
      <c r="G247" s="38" t="n">
        <f aca="false">IF($G$11=$E$11,$F$11,IF(U247&lt;($F$11-$E$11)/($G$11-$E$11),$E$11+SQRT(U247*($G$11-$E$11)*($F$11-$E$11)),$G$11-SQRT((1-U247)*($G$11-$E$11)*($G$11-$F$11))))</f>
        <v>0.110233035467724</v>
      </c>
      <c r="H247" s="39" t="n">
        <f aca="false">(('Business Case'!B11*$C247*'Business Case'!B12*$B247)-'Business Case'!B11*$C247*'Business Case'!B13*$D247-'Business Case'!B14*$E247)-MAX(0,(('Business Case'!B11*$C247*'Business Case'!B12*$B247)-'Business Case'!B11*$C247*'Business Case'!B13*$D247-'Business Case'!B14*$E247))*'Business Case'!$B$7-'Business Case'!$B$8*('Business Case'!B11*$C247*'Business Case'!B12*$B247)-'Business Case'!B15*$F247</f>
        <v>-2223307243.1426</v>
      </c>
      <c r="I247" s="39" t="n">
        <f aca="false">(('Business Case'!C11*$C247*'Business Case'!C12*$B247)-'Business Case'!C11*$C247*'Business Case'!C13*$D247-'Business Case'!C14*$E247)-MAX(0,(('Business Case'!C11*$C247*'Business Case'!C12*$B247)-'Business Case'!C11*$C247*'Business Case'!C13*$D247-'Business Case'!C14*$E247))*'Business Case'!$B$7-'Business Case'!$B$8*(('Business Case'!C11*$C247*'Business Case'!C12*$B247)-('Business Case'!B11*$C247*'Business Case'!B12*$B247))-'Business Case'!C15*$F247</f>
        <v>-16717305.9301299</v>
      </c>
      <c r="J247" s="39" t="n">
        <f aca="false">(('Business Case'!D11*$C247*'Business Case'!D12*$B247)-'Business Case'!D11*$C247*'Business Case'!D13*$D247-'Business Case'!D14*$E247)-MAX(0,(('Business Case'!D11*$C247*'Business Case'!D12*$B247)-'Business Case'!D11*$C247*'Business Case'!D13*$D247-'Business Case'!D14*$E247))*'Business Case'!$B$7-'Business Case'!$B$8*(('Business Case'!D11*$C247*'Business Case'!D12*$B247)-('Business Case'!C11*$C247*'Business Case'!C12*$B247))-'Business Case'!D15*$F247</f>
        <v>267830620.694978</v>
      </c>
      <c r="K247" s="39" t="n">
        <f aca="false">(('Business Case'!E11*$C247*'Business Case'!E12*$B247)-'Business Case'!E11*$C247*'Business Case'!E13*$D247-'Business Case'!E14*$E247)-MAX(0,(('Business Case'!E11*$C247*'Business Case'!E12*$B247)-'Business Case'!E11*$C247*'Business Case'!E13*$D247-'Business Case'!E14*$E247))*'Business Case'!$B$7-'Business Case'!$B$8*(('Business Case'!E11*$C247*'Business Case'!E12*$B247)-('Business Case'!D11*$C247*'Business Case'!D12*$B247))-'Business Case'!E15*$F247</f>
        <v>607961228.398652</v>
      </c>
      <c r="L247" s="39" t="n">
        <f aca="false">(('Business Case'!F11*$C247*'Business Case'!F12*$B247)-'Business Case'!F11*$C247*'Business Case'!F13*$D247-'Business Case'!F14*$E247)-MAX(0,(('Business Case'!F11*$C247*'Business Case'!F12*$B247)-'Business Case'!F11*$C247*'Business Case'!F13*$D247-'Business Case'!F14*$E247))*'Business Case'!$B$7-'Business Case'!$B$8*(('Business Case'!F11*$C247*'Business Case'!F12*$B247)-('Business Case'!E11*$C247*'Business Case'!E12*$B247))-'Business Case'!F15*$F247</f>
        <v>736824947.437508</v>
      </c>
      <c r="M247" s="39" t="n">
        <f aca="false">(('Business Case'!G11*$C247*'Business Case'!G12*$B247)-'Business Case'!G11*$C247*'Business Case'!G13*$D247-'Business Case'!G14*$E247)-MAX(0,(('Business Case'!G11*$C247*'Business Case'!G12*$B247)-'Business Case'!G11*$C247*'Business Case'!G13*$D247-'Business Case'!G14*$E247))*'Business Case'!$B$7-'Business Case'!$B$8*(('Business Case'!G11*$C247*'Business Case'!G12*$B247)-('Business Case'!F11*$C247*'Business Case'!F12*$B247))-'Business Case'!G15*$F247+'Business Case'!$B$8*('Business Case'!G11*$C247*'Business Case'!G12*$B247)</f>
        <v>923904203.33852</v>
      </c>
      <c r="N247" s="39" t="n">
        <f aca="false">IF(COUNT('Business Case'!B11:G11)=0,"",H247+NPV(G247,I247:M247))</f>
        <v>-544143451.408896</v>
      </c>
      <c r="P247" s="40" t="n">
        <f aca="true">RAND()</f>
        <v>0.236438426492756</v>
      </c>
      <c r="Q247" s="40" t="n">
        <f aca="true">RAND()</f>
        <v>0.663699009918349</v>
      </c>
      <c r="R247" s="40" t="n">
        <f aca="true">RAND()</f>
        <v>0.411123550479094</v>
      </c>
      <c r="S247" s="40" t="n">
        <f aca="true">RAND()</f>
        <v>0.10488307548361</v>
      </c>
      <c r="T247" s="40" t="n">
        <f aca="true">RAND()</f>
        <v>0.843898348370665</v>
      </c>
      <c r="U247" s="40" t="n">
        <f aca="true">RAND()</f>
        <v>0.841010673042112</v>
      </c>
    </row>
    <row r="248" customFormat="false" ht="15" hidden="false" customHeight="false" outlineLevel="0" collapsed="false">
      <c r="A248" s="36" t="n">
        <v>168</v>
      </c>
      <c r="B248" s="37" t="n">
        <f aca="false">1+IF($G$6=$E$6,$F$6,IF(P248&lt;($F$6-$E$6)/($G$6-$E$6),$E$6+SQRT(P248*($G$6-$E$6)*($F$6-$E$6)),$G$6-SQRT((1-P248)*($G$6-$E$6)*($G$6-$F$6))))</f>
        <v>0.962318287097505</v>
      </c>
      <c r="C248" s="37" t="n">
        <f aca="false">1+IF($G$7=$E$7,$F$7,IF(Q248&lt;($F$7-$E$7)/($G$7-$E$7),$E$7+SQRT(Q248*($G$7-$E$7)*($F$7-$E$7)),$G$7-SQRT((1-Q248)*($G$7-$E$7)*($G$7-$F$7))))</f>
        <v>0.90553047961888</v>
      </c>
      <c r="D248" s="37" t="n">
        <f aca="false">1+IF($G$8=$E$8,$F$8,IF(R248&lt;($F$8-$E$8)/($G$8-$E$8),$E$8+SQRT(R248*($G$8-$E$8)*($F$8-$E$8)),$G$8-SQRT((1-R248)*($G$8-$E$8)*($G$8-$F$8))))</f>
        <v>1.02456683884664</v>
      </c>
      <c r="E248" s="37" t="n">
        <f aca="false">1+IF($G$9=$E$9,$F$9,IF(S248&lt;($F$9-$E$9)/($G$9-$E$9),$E$9+SQRT(S248*($G$9-$E$9)*($F$9-$E$9)),$G$9-SQRT((1-S248)*($G$9-$E$9)*($G$9-$F$9))))</f>
        <v>1.05661989262791</v>
      </c>
      <c r="F248" s="37" t="n">
        <f aca="false">1+IF($G$10=$E$10,$F$10,IF(T248&lt;($F$10-$E$10)/($G$10-$E$10),$E$10+SQRT(T248*($G$10-$E$10)*($F$10-$E$10)),$G$10-SQRT((1-T248)*($G$10-$E$10)*($G$10-$F$10))))</f>
        <v>0.987157835159884</v>
      </c>
      <c r="G248" s="38" t="n">
        <f aca="false">IF($G$11=$E$11,$F$11,IF(U248&lt;($F$11-$E$11)/($G$11-$E$11),$E$11+SQRT(U248*($G$11-$E$11)*($F$11-$E$11)),$G$11-SQRT((1-U248)*($G$11-$E$11)*($G$11-$F$11))))</f>
        <v>0.0941020877922719</v>
      </c>
      <c r="H248" s="39" t="n">
        <f aca="false">(('Business Case'!B11*$C248*'Business Case'!B12*$B248)-'Business Case'!B11*$C248*'Business Case'!B13*$D248-'Business Case'!B14*$E248)-MAX(0,(('Business Case'!B11*$C248*'Business Case'!B12*$B248)-'Business Case'!B11*$C248*'Business Case'!B13*$D248-'Business Case'!B14*$E248))*'Business Case'!$B$7-'Business Case'!$B$8*('Business Case'!B11*$C248*'Business Case'!B12*$B248)-'Business Case'!B15*$F248</f>
        <v>-1974315670.31977</v>
      </c>
      <c r="I248" s="39" t="n">
        <f aca="false">(('Business Case'!C11*$C248*'Business Case'!C12*$B248)-'Business Case'!C11*$C248*'Business Case'!C13*$D248-'Business Case'!C14*$E248)-MAX(0,(('Business Case'!C11*$C248*'Business Case'!C12*$B248)-'Business Case'!C11*$C248*'Business Case'!C13*$D248-'Business Case'!C14*$E248))*'Business Case'!$B$7-'Business Case'!$B$8*(('Business Case'!C11*$C248*'Business Case'!C12*$B248)-('Business Case'!B11*$C248*'Business Case'!B12*$B248))-'Business Case'!C15*$F248</f>
        <v>-55341961.6221814</v>
      </c>
      <c r="J248" s="39" t="n">
        <f aca="false">(('Business Case'!D11*$C248*'Business Case'!D12*$B248)-'Business Case'!D11*$C248*'Business Case'!D13*$D248-'Business Case'!D14*$E248)-MAX(0,(('Business Case'!D11*$C248*'Business Case'!D12*$B248)-'Business Case'!D11*$C248*'Business Case'!D13*$D248-'Business Case'!D14*$E248))*'Business Case'!$B$7-'Business Case'!$B$8*(('Business Case'!D11*$C248*'Business Case'!D12*$B248)-('Business Case'!C11*$C248*'Business Case'!C12*$B248))-'Business Case'!D15*$F248</f>
        <v>183457027.720099</v>
      </c>
      <c r="K248" s="39" t="n">
        <f aca="false">(('Business Case'!E11*$C248*'Business Case'!E12*$B248)-'Business Case'!E11*$C248*'Business Case'!E13*$D248-'Business Case'!E14*$E248)-MAX(0,(('Business Case'!E11*$C248*'Business Case'!E12*$B248)-'Business Case'!E11*$C248*'Business Case'!E13*$D248-'Business Case'!E14*$E248))*'Business Case'!$B$7-'Business Case'!$B$8*(('Business Case'!E11*$C248*'Business Case'!E12*$B248)-('Business Case'!D11*$C248*'Business Case'!D12*$B248))-'Business Case'!E15*$F248</f>
        <v>471613908.820374</v>
      </c>
      <c r="L248" s="39" t="n">
        <f aca="false">(('Business Case'!F11*$C248*'Business Case'!F12*$B248)-'Business Case'!F11*$C248*'Business Case'!F13*$D248-'Business Case'!F14*$E248)-MAX(0,(('Business Case'!F11*$C248*'Business Case'!F12*$B248)-'Business Case'!F11*$C248*'Business Case'!F13*$D248-'Business Case'!F14*$E248))*'Business Case'!$B$7-'Business Case'!$B$8*(('Business Case'!F11*$C248*'Business Case'!F12*$B248)-('Business Case'!E11*$C248*'Business Case'!E12*$B248))-'Business Case'!F15*$F248</f>
        <v>581329451.078991</v>
      </c>
      <c r="M248" s="39" t="n">
        <f aca="false">(('Business Case'!G11*$C248*'Business Case'!G12*$B248)-'Business Case'!G11*$C248*'Business Case'!G13*$D248-'Business Case'!G14*$E248)-MAX(0,(('Business Case'!G11*$C248*'Business Case'!G12*$B248)-'Business Case'!G11*$C248*'Business Case'!G13*$D248-'Business Case'!G14*$E248))*'Business Case'!$B$7-'Business Case'!$B$8*(('Business Case'!G11*$C248*'Business Case'!G12*$B248)-('Business Case'!F11*$C248*'Business Case'!F12*$B248))-'Business Case'!G15*$F248+'Business Case'!$B$8*('Business Case'!G11*$C248*'Business Case'!G12*$B248)</f>
        <v>746966786.373866</v>
      </c>
      <c r="N248" s="39" t="n">
        <f aca="false">IF(COUNT('Business Case'!B11:G11)=0,"",H248+NPV(G248,I248:M248))</f>
        <v>-629418605.185987</v>
      </c>
      <c r="P248" s="40" t="n">
        <f aca="true">RAND()</f>
        <v>0.186545564881963</v>
      </c>
      <c r="Q248" s="40" t="n">
        <f aca="true">RAND()</f>
        <v>0.159095458979869</v>
      </c>
      <c r="R248" s="40" t="n">
        <f aca="true">RAND()</f>
        <v>0.704535061975541</v>
      </c>
      <c r="S248" s="40" t="n">
        <f aca="true">RAND()</f>
        <v>0.874544418959085</v>
      </c>
      <c r="T248" s="40" t="n">
        <f aca="true">RAND()</f>
        <v>0.11045637710153</v>
      </c>
      <c r="U248" s="40" t="n">
        <f aca="true">RAND()</f>
        <v>0.0560904141850208</v>
      </c>
    </row>
    <row r="249" customFormat="false" ht="15" hidden="false" customHeight="false" outlineLevel="0" collapsed="false">
      <c r="A249" s="36" t="n">
        <v>169</v>
      </c>
      <c r="B249" s="37" t="n">
        <f aca="false">1+IF($G$6=$E$6,$F$6,IF(P249&lt;($F$6-$E$6)/($G$6-$E$6),$E$6+SQRT(P249*($G$6-$E$6)*($F$6-$E$6)),$G$6-SQRT((1-P249)*($G$6-$E$6)*($G$6-$F$6))))</f>
        <v>0.952289255460846</v>
      </c>
      <c r="C249" s="37" t="n">
        <f aca="false">1+IF($G$7=$E$7,$F$7,IF(Q249&lt;($F$7-$E$7)/($G$7-$E$7),$E$7+SQRT(Q249*($G$7-$E$7)*($F$7-$E$7)),$G$7-SQRT((1-Q249)*($G$7-$E$7)*($G$7-$F$7))))</f>
        <v>1.01390977618106</v>
      </c>
      <c r="D249" s="37" t="n">
        <f aca="false">1+IF($G$8=$E$8,$F$8,IF(R249&lt;($F$8-$E$8)/($G$8-$E$8),$E$8+SQRT(R249*($G$8-$E$8)*($F$8-$E$8)),$G$8-SQRT((1-R249)*($G$8-$E$8)*($G$8-$F$8))))</f>
        <v>1.06038597986197</v>
      </c>
      <c r="E249" s="37" t="n">
        <f aca="false">1+IF($G$9=$E$9,$F$9,IF(S249&lt;($F$9-$E$9)/($G$9-$E$9),$E$9+SQRT(S249*($G$9-$E$9)*($F$9-$E$9)),$G$9-SQRT((1-S249)*($G$9-$E$9)*($G$9-$F$9))))</f>
        <v>1.08067750556876</v>
      </c>
      <c r="F249" s="37" t="n">
        <f aca="false">1+IF($G$10=$E$10,$F$10,IF(T249&lt;($F$10-$E$10)/($G$10-$E$10),$E$10+SQRT(T249*($G$10-$E$10)*($F$10-$E$10)),$G$10-SQRT((1-T249)*($G$10-$E$10)*($G$10-$F$10))))</f>
        <v>1.02106734177694</v>
      </c>
      <c r="G249" s="38" t="n">
        <f aca="false">IF($G$11=$E$11,$F$11,IF(U249&lt;($F$11-$E$11)/($G$11-$E$11),$E$11+SQRT(U249*($G$11-$E$11)*($F$11-$E$11)),$G$11-SQRT((1-U249)*($G$11-$E$11)*($G$11-$F$11))))</f>
        <v>0.106925144822033</v>
      </c>
      <c r="H249" s="39" t="n">
        <f aca="false">(('Business Case'!B11*$C249*'Business Case'!B12*$B249)-'Business Case'!B11*$C249*'Business Case'!B13*$D249-'Business Case'!B14*$E249)-MAX(0,(('Business Case'!B11*$C249*'Business Case'!B12*$B249)-'Business Case'!B11*$C249*'Business Case'!B13*$D249-'Business Case'!B14*$E249))*'Business Case'!$B$7-'Business Case'!$B$8*('Business Case'!B11*$C249*'Business Case'!B12*$B249)-'Business Case'!B15*$F249</f>
        <v>-2042134683.55388</v>
      </c>
      <c r="I249" s="39" t="n">
        <f aca="false">(('Business Case'!C11*$C249*'Business Case'!C12*$B249)-'Business Case'!C11*$C249*'Business Case'!C13*$D249-'Business Case'!C14*$E249)-MAX(0,(('Business Case'!C11*$C249*'Business Case'!C12*$B249)-'Business Case'!C11*$C249*'Business Case'!C13*$D249-'Business Case'!C14*$E249))*'Business Case'!$B$7-'Business Case'!$B$8*(('Business Case'!C11*$C249*'Business Case'!C12*$B249)-('Business Case'!B11*$C249*'Business Case'!B12*$B249))-'Business Case'!C15*$F249</f>
        <v>-65372903.7372743</v>
      </c>
      <c r="J249" s="39" t="n">
        <f aca="false">(('Business Case'!D11*$C249*'Business Case'!D12*$B249)-'Business Case'!D11*$C249*'Business Case'!D13*$D249-'Business Case'!D14*$E249)-MAX(0,(('Business Case'!D11*$C249*'Business Case'!D12*$B249)-'Business Case'!D11*$C249*'Business Case'!D13*$D249-'Business Case'!D14*$E249))*'Business Case'!$B$7-'Business Case'!$B$8*(('Business Case'!D11*$C249*'Business Case'!D12*$B249)-('Business Case'!C11*$C249*'Business Case'!C12*$B249))-'Business Case'!D15*$F249</f>
        <v>175086622.39821</v>
      </c>
      <c r="K249" s="39" t="n">
        <f aca="false">(('Business Case'!E11*$C249*'Business Case'!E12*$B249)-'Business Case'!E11*$C249*'Business Case'!E13*$D249-'Business Case'!E14*$E249)-MAX(0,(('Business Case'!E11*$C249*'Business Case'!E12*$B249)-'Business Case'!E11*$C249*'Business Case'!E13*$D249-'Business Case'!E14*$E249))*'Business Case'!$B$7-'Business Case'!$B$8*(('Business Case'!E11*$C249*'Business Case'!E12*$B249)-('Business Case'!D11*$C249*'Business Case'!D12*$B249))-'Business Case'!E15*$F249</f>
        <v>466599515.622541</v>
      </c>
      <c r="L249" s="39" t="n">
        <f aca="false">(('Business Case'!F11*$C249*'Business Case'!F12*$B249)-'Business Case'!F11*$C249*'Business Case'!F13*$D249-'Business Case'!F14*$E249)-MAX(0,(('Business Case'!F11*$C249*'Business Case'!F12*$B249)-'Business Case'!F11*$C249*'Business Case'!F13*$D249-'Business Case'!F14*$E249))*'Business Case'!$B$7-'Business Case'!$B$8*(('Business Case'!F11*$C249*'Business Case'!F12*$B249)-('Business Case'!E11*$C249*'Business Case'!E12*$B249))-'Business Case'!F15*$F249</f>
        <v>580121593.936494</v>
      </c>
      <c r="M249" s="39" t="n">
        <f aca="false">(('Business Case'!G11*$C249*'Business Case'!G12*$B249)-'Business Case'!G11*$C249*'Business Case'!G13*$D249-'Business Case'!G14*$E249)-MAX(0,(('Business Case'!G11*$C249*'Business Case'!G12*$B249)-'Business Case'!G11*$C249*'Business Case'!G13*$D249-'Business Case'!G14*$E249))*'Business Case'!$B$7-'Business Case'!$B$8*(('Business Case'!G11*$C249*'Business Case'!G12*$B249)-('Business Case'!F11*$C249*'Business Case'!F12*$B249))-'Business Case'!G15*$F249+'Business Case'!$B$8*('Business Case'!G11*$C249*'Business Case'!G12*$B249)</f>
        <v>763650560.08151</v>
      </c>
      <c r="N249" s="39" t="n">
        <f aca="false">IF(COUNT('Business Case'!B11:G11)=0,"",H249+NPV(G249,I249:M249))</f>
        <v>-768346505.32927</v>
      </c>
      <c r="P249" s="40" t="n">
        <f aca="true">RAND()</f>
        <v>0.108603751897477</v>
      </c>
      <c r="Q249" s="40" t="n">
        <f aca="true">RAND()</f>
        <v>0.647227637731616</v>
      </c>
      <c r="R249" s="40" t="n">
        <f aca="true">RAND()</f>
        <v>0.963008674425474</v>
      </c>
      <c r="S249" s="40" t="n">
        <f aca="true">RAND()</f>
        <v>0.975109413930323</v>
      </c>
      <c r="T249" s="40" t="n">
        <f aca="true">RAND()</f>
        <v>0.359662076424588</v>
      </c>
      <c r="U249" s="40" t="n">
        <f aca="true">RAND()</f>
        <v>0.715080270125296</v>
      </c>
    </row>
    <row r="250" customFormat="false" ht="15" hidden="false" customHeight="false" outlineLevel="0" collapsed="false">
      <c r="A250" s="36" t="n">
        <v>170</v>
      </c>
      <c r="B250" s="37" t="n">
        <f aca="false">1+IF($G$6=$E$6,$F$6,IF(P250&lt;($F$6-$E$6)/($G$6-$E$6),$E$6+SQRT(P250*($G$6-$E$6)*($F$6-$E$6)),$G$6-SQRT((1-P250)*($G$6-$E$6)*($G$6-$F$6))))</f>
        <v>0.990601211645576</v>
      </c>
      <c r="C250" s="37" t="n">
        <f aca="false">1+IF($G$7=$E$7,$F$7,IF(Q250&lt;($F$7-$E$7)/($G$7-$E$7),$E$7+SQRT(Q250*($G$7-$E$7)*($F$7-$E$7)),$G$7-SQRT((1-Q250)*($G$7-$E$7)*($G$7-$F$7))))</f>
        <v>1.03320380975757</v>
      </c>
      <c r="D250" s="37" t="n">
        <f aca="false">1+IF($G$8=$E$8,$F$8,IF(R250&lt;($F$8-$E$8)/($G$8-$E$8),$E$8+SQRT(R250*($G$8-$E$8)*($F$8-$E$8)),$G$8-SQRT((1-R250)*($G$8-$E$8)*($G$8-$F$8))))</f>
        <v>1.03798313664795</v>
      </c>
      <c r="E250" s="37" t="n">
        <f aca="false">1+IF($G$9=$E$9,$F$9,IF(S250&lt;($F$9-$E$9)/($G$9-$E$9),$E$9+SQRT(S250*($G$9-$E$9)*($F$9-$E$9)),$G$9-SQRT((1-S250)*($G$9-$E$9)*($G$9-$F$9))))</f>
        <v>0.999279073231605</v>
      </c>
      <c r="F250" s="37" t="n">
        <f aca="false">1+IF($G$10=$E$10,$F$10,IF(T250&lt;($F$10-$E$10)/($G$10-$E$10),$E$10+SQRT(T250*($G$10-$E$10)*($F$10-$E$10)),$G$10-SQRT((1-T250)*($G$10-$E$10)*($G$10-$F$10))))</f>
        <v>1.02603757382488</v>
      </c>
      <c r="G250" s="38" t="n">
        <f aca="false">IF($G$11=$E$11,$F$11,IF(U250&lt;($F$11-$E$11)/($G$11-$E$11),$E$11+SQRT(U250*($G$11-$E$11)*($F$11-$E$11)),$G$11-SQRT((1-U250)*($G$11-$E$11)*($G$11-$F$11))))</f>
        <v>0.111673609665121</v>
      </c>
      <c r="H250" s="39" t="n">
        <f aca="false">(('Business Case'!B11*$C250*'Business Case'!B12*$B250)-'Business Case'!B11*$C250*'Business Case'!B13*$D250-'Business Case'!B14*$E250)-MAX(0,(('Business Case'!B11*$C250*'Business Case'!B12*$B250)-'Business Case'!B11*$C250*'Business Case'!B13*$D250-'Business Case'!B14*$E250))*'Business Case'!$B$7-'Business Case'!$B$8*('Business Case'!B11*$C250*'Business Case'!B12*$B250)-'Business Case'!B15*$F250</f>
        <v>-2052075147.64976</v>
      </c>
      <c r="I250" s="39" t="n">
        <f aca="false">(('Business Case'!C11*$C250*'Business Case'!C12*$B250)-'Business Case'!C11*$C250*'Business Case'!C13*$D250-'Business Case'!C14*$E250)-MAX(0,(('Business Case'!C11*$C250*'Business Case'!C12*$B250)-'Business Case'!C11*$C250*'Business Case'!C13*$D250-'Business Case'!C14*$E250))*'Business Case'!$B$7-'Business Case'!$B$8*(('Business Case'!C11*$C250*'Business Case'!C12*$B250)-('Business Case'!B11*$C250*'Business Case'!B12*$B250))-'Business Case'!C15*$F250</f>
        <v>-8452349.13547079</v>
      </c>
      <c r="J250" s="39" t="n">
        <f aca="false">(('Business Case'!D11*$C250*'Business Case'!D12*$B250)-'Business Case'!D11*$C250*'Business Case'!D13*$D250-'Business Case'!D14*$E250)-MAX(0,(('Business Case'!D11*$C250*'Business Case'!D12*$B250)-'Business Case'!D11*$C250*'Business Case'!D13*$D250-'Business Case'!D14*$E250))*'Business Case'!$B$7-'Business Case'!$B$8*(('Business Case'!D11*$C250*'Business Case'!D12*$B250)-('Business Case'!C11*$C250*'Business Case'!C12*$B250))-'Business Case'!D15*$F250</f>
        <v>280854417.636528</v>
      </c>
      <c r="K250" s="39" t="n">
        <f aca="false">(('Business Case'!E11*$C250*'Business Case'!E12*$B250)-'Business Case'!E11*$C250*'Business Case'!E13*$D250-'Business Case'!E14*$E250)-MAX(0,(('Business Case'!E11*$C250*'Business Case'!E12*$B250)-'Business Case'!E11*$C250*'Business Case'!E13*$D250-'Business Case'!E14*$E250))*'Business Case'!$B$7-'Business Case'!$B$8*(('Business Case'!E11*$C250*'Business Case'!E12*$B250)-('Business Case'!D11*$C250*'Business Case'!D12*$B250))-'Business Case'!E15*$F250</f>
        <v>621463063.099771</v>
      </c>
      <c r="L250" s="39" t="n">
        <f aca="false">(('Business Case'!F11*$C250*'Business Case'!F12*$B250)-'Business Case'!F11*$C250*'Business Case'!F13*$D250-'Business Case'!F14*$E250)-MAX(0,(('Business Case'!F11*$C250*'Business Case'!F12*$B250)-'Business Case'!F11*$C250*'Business Case'!F13*$D250-'Business Case'!F14*$E250))*'Business Case'!$B$7-'Business Case'!$B$8*(('Business Case'!F11*$C250*'Business Case'!F12*$B250)-('Business Case'!E11*$C250*'Business Case'!E12*$B250))-'Business Case'!F15*$F250</f>
        <v>753270568.231402</v>
      </c>
      <c r="M250" s="39" t="n">
        <f aca="false">(('Business Case'!G11*$C250*'Business Case'!G12*$B250)-'Business Case'!G11*$C250*'Business Case'!G13*$D250-'Business Case'!G14*$E250)-MAX(0,(('Business Case'!G11*$C250*'Business Case'!G12*$B250)-'Business Case'!G11*$C250*'Business Case'!G13*$D250-'Business Case'!G14*$E250))*'Business Case'!$B$7-'Business Case'!$B$8*(('Business Case'!G11*$C250*'Business Case'!G12*$B250)-('Business Case'!F11*$C250*'Business Case'!F12*$B250))-'Business Case'!G15*$F250+'Business Case'!$B$8*('Business Case'!G11*$C250*'Business Case'!G12*$B250)</f>
        <v>947816107.373375</v>
      </c>
      <c r="N250" s="39" t="n">
        <f aca="false">IF(COUNT('Business Case'!B11:G11)=0,"",H250+NPV(G250,I250:M250))</f>
        <v>-328574591.641571</v>
      </c>
      <c r="P250" s="40" t="n">
        <f aca="true">RAND()</f>
        <v>0.519221988106603</v>
      </c>
      <c r="Q250" s="40" t="n">
        <f aca="true">RAND()</f>
        <v>0.740164760854362</v>
      </c>
      <c r="R250" s="40" t="n">
        <f aca="true">RAND()</f>
        <v>0.830248384043731</v>
      </c>
      <c r="S250" s="40" t="n">
        <f aca="true">RAND()</f>
        <v>0.323790274475454</v>
      </c>
      <c r="T250" s="40" t="n">
        <f aca="true">RAND()</f>
        <v>0.394741485585309</v>
      </c>
      <c r="U250" s="40" t="n">
        <f aca="true">RAND()</f>
        <v>0.884452039985389</v>
      </c>
    </row>
    <row r="251" customFormat="false" ht="15" hidden="false" customHeight="false" outlineLevel="0" collapsed="false">
      <c r="A251" s="36" t="n">
        <v>171</v>
      </c>
      <c r="B251" s="37" t="n">
        <f aca="false">1+IF($G$6=$E$6,$F$6,IF(P251&lt;($F$6-$E$6)/($G$6-$E$6),$E$6+SQRT(P251*($G$6-$E$6)*($F$6-$E$6)),$G$6-SQRT((1-P251)*($G$6-$E$6)*($G$6-$F$6))))</f>
        <v>0.967370879948654</v>
      </c>
      <c r="C251" s="37" t="n">
        <f aca="false">1+IF($G$7=$E$7,$F$7,IF(Q251&lt;($F$7-$E$7)/($G$7-$E$7),$E$7+SQRT(Q251*($G$7-$E$7)*($F$7-$E$7)),$G$7-SQRT((1-Q251)*($G$7-$E$7)*($G$7-$F$7))))</f>
        <v>0.840157971061067</v>
      </c>
      <c r="D251" s="37" t="n">
        <f aca="false">1+IF($G$8=$E$8,$F$8,IF(R251&lt;($F$8-$E$8)/($G$8-$E$8),$E$8+SQRT(R251*($G$8-$E$8)*($F$8-$E$8)),$G$8-SQRT((1-R251)*($G$8-$E$8)*($G$8-$F$8))))</f>
        <v>0.991513432934863</v>
      </c>
      <c r="E251" s="37" t="n">
        <f aca="false">1+IF($G$9=$E$9,$F$9,IF(S251&lt;($F$9-$E$9)/($G$9-$E$9),$E$9+SQRT(S251*($G$9-$E$9)*($F$9-$E$9)),$G$9-SQRT((1-S251)*($G$9-$E$9)*($G$9-$F$9))))</f>
        <v>0.981473740085445</v>
      </c>
      <c r="F251" s="37" t="n">
        <f aca="false">1+IF($G$10=$E$10,$F$10,IF(T251&lt;($F$10-$E$10)/($G$10-$E$10),$E$10+SQRT(T251*($G$10-$E$10)*($F$10-$E$10)),$G$10-SQRT((1-T251)*($G$10-$E$10)*($G$10-$F$10))))</f>
        <v>1.13182872647099</v>
      </c>
      <c r="G251" s="38" t="n">
        <f aca="false">IF($G$11=$E$11,$F$11,IF(U251&lt;($F$11-$E$11)/($G$11-$E$11),$E$11+SQRT(U251*($G$11-$E$11)*($F$11-$E$11)),$G$11-SQRT((1-U251)*($G$11-$E$11)*($G$11-$F$11))))</f>
        <v>0.0954899277208988</v>
      </c>
      <c r="H251" s="39" t="n">
        <f aca="false">(('Business Case'!B11*$C251*'Business Case'!B12*$B251)-'Business Case'!B11*$C251*'Business Case'!B13*$D251-'Business Case'!B14*$E251)-MAX(0,(('Business Case'!B11*$C251*'Business Case'!B12*$B251)-'Business Case'!B11*$C251*'Business Case'!B13*$D251-'Business Case'!B14*$E251))*'Business Case'!$B$7-'Business Case'!$B$8*('Business Case'!B11*$C251*'Business Case'!B12*$B251)-'Business Case'!B15*$F251</f>
        <v>-2263657452.94198</v>
      </c>
      <c r="I251" s="39" t="n">
        <f aca="false">(('Business Case'!C11*$C251*'Business Case'!C12*$B251)-'Business Case'!C11*$C251*'Business Case'!C13*$D251-'Business Case'!C14*$E251)-MAX(0,(('Business Case'!C11*$C251*'Business Case'!C12*$B251)-'Business Case'!C11*$C251*'Business Case'!C13*$D251-'Business Case'!C14*$E251))*'Business Case'!$B$7-'Business Case'!$B$8*(('Business Case'!C11*$C251*'Business Case'!C12*$B251)-('Business Case'!B11*$C251*'Business Case'!B12*$B251))-'Business Case'!C15*$F251</f>
        <v>-55628610.7110356</v>
      </c>
      <c r="J251" s="39" t="n">
        <f aca="false">(('Business Case'!D11*$C251*'Business Case'!D12*$B251)-'Business Case'!D11*$C251*'Business Case'!D13*$D251-'Business Case'!D14*$E251)-MAX(0,(('Business Case'!D11*$C251*'Business Case'!D12*$B251)-'Business Case'!D11*$C251*'Business Case'!D13*$D251-'Business Case'!D14*$E251))*'Business Case'!$B$7-'Business Case'!$B$8*(('Business Case'!D11*$C251*'Business Case'!D12*$B251)-('Business Case'!C11*$C251*'Business Case'!C12*$B251))-'Business Case'!D15*$F251</f>
        <v>183623884.46784</v>
      </c>
      <c r="K251" s="39" t="n">
        <f aca="false">(('Business Case'!E11*$C251*'Business Case'!E12*$B251)-'Business Case'!E11*$C251*'Business Case'!E13*$D251-'Business Case'!E14*$E251)-MAX(0,(('Business Case'!E11*$C251*'Business Case'!E12*$B251)-'Business Case'!E11*$C251*'Business Case'!E13*$D251-'Business Case'!E14*$E251))*'Business Case'!$B$7-'Business Case'!$B$8*(('Business Case'!E11*$C251*'Business Case'!E12*$B251)-('Business Case'!D11*$C251*'Business Case'!D12*$B251))-'Business Case'!E15*$F251</f>
        <v>479467815.970265</v>
      </c>
      <c r="L251" s="39" t="n">
        <f aca="false">(('Business Case'!F11*$C251*'Business Case'!F12*$B251)-'Business Case'!F11*$C251*'Business Case'!F13*$D251-'Business Case'!F14*$E251)-MAX(0,(('Business Case'!F11*$C251*'Business Case'!F12*$B251)-'Business Case'!F11*$C251*'Business Case'!F13*$D251-'Business Case'!F14*$E251))*'Business Case'!$B$7-'Business Case'!$B$8*(('Business Case'!F11*$C251*'Business Case'!F12*$B251)-('Business Case'!E11*$C251*'Business Case'!E12*$B251))-'Business Case'!F15*$F251</f>
        <v>587307092.631665</v>
      </c>
      <c r="M251" s="39" t="n">
        <f aca="false">(('Business Case'!G11*$C251*'Business Case'!G12*$B251)-'Business Case'!G11*$C251*'Business Case'!G13*$D251-'Business Case'!G14*$E251)-MAX(0,(('Business Case'!G11*$C251*'Business Case'!G12*$B251)-'Business Case'!G11*$C251*'Business Case'!G13*$D251-'Business Case'!G14*$E251))*'Business Case'!$B$7-'Business Case'!$B$8*(('Business Case'!G11*$C251*'Business Case'!G12*$B251)-('Business Case'!F11*$C251*'Business Case'!F12*$B251))-'Business Case'!G15*$F251+'Business Case'!$B$8*('Business Case'!G11*$C251*'Business Case'!G12*$B251)</f>
        <v>741793539.774758</v>
      </c>
      <c r="N251" s="39" t="n">
        <f aca="false">IF(COUNT('Business Case'!B11:G11)=0,"",H251+NPV(G251,I251:M251))</f>
        <v>-918790502.705673</v>
      </c>
      <c r="P251" s="40" t="n">
        <f aca="true">RAND()</f>
        <v>0.233750027823936</v>
      </c>
      <c r="Q251" s="40" t="n">
        <f aca="true">RAND()</f>
        <v>0.0230380377105932</v>
      </c>
      <c r="R251" s="40" t="n">
        <f aca="true">RAND()</f>
        <v>0.26513309446729</v>
      </c>
      <c r="S251" s="40" t="n">
        <f aca="true">RAND()</f>
        <v>0.132079508662154</v>
      </c>
      <c r="T251" s="40" t="n">
        <f aca="true">RAND()</f>
        <v>0.907053549308661</v>
      </c>
      <c r="U251" s="40" t="n">
        <f aca="true">RAND()</f>
        <v>0.100464354602308</v>
      </c>
    </row>
    <row r="252" customFormat="false" ht="15" hidden="false" customHeight="false" outlineLevel="0" collapsed="false">
      <c r="A252" s="36" t="n">
        <v>172</v>
      </c>
      <c r="B252" s="37" t="n">
        <f aca="false">1+IF($G$6=$E$6,$F$6,IF(P252&lt;($F$6-$E$6)/($G$6-$E$6),$E$6+SQRT(P252*($G$6-$E$6)*($F$6-$E$6)),$G$6-SQRT((1-P252)*($G$6-$E$6)*($G$6-$F$6))))</f>
        <v>1.016128930555</v>
      </c>
      <c r="C252" s="37" t="n">
        <f aca="false">1+IF($G$7=$E$7,$F$7,IF(Q252&lt;($F$7-$E$7)/($G$7-$E$7),$E$7+SQRT(Q252*($G$7-$E$7)*($F$7-$E$7)),$G$7-SQRT((1-Q252)*($G$7-$E$7)*($G$7-$F$7))))</f>
        <v>0.928902260745437</v>
      </c>
      <c r="D252" s="37" t="n">
        <f aca="false">1+IF($G$8=$E$8,$F$8,IF(R252&lt;($F$8-$E$8)/($G$8-$E$8),$E$8+SQRT(R252*($G$8-$E$8)*($F$8-$E$8)),$G$8-SQRT((1-R252)*($G$8-$E$8)*($G$8-$F$8))))</f>
        <v>1.0369519703303</v>
      </c>
      <c r="E252" s="37" t="n">
        <f aca="false">1+IF($G$9=$E$9,$F$9,IF(S252&lt;($F$9-$E$9)/($G$9-$E$9),$E$9+SQRT(S252*($G$9-$E$9)*($F$9-$E$9)),$G$9-SQRT((1-S252)*($G$9-$E$9)*($G$9-$F$9))))</f>
        <v>0.982005974617582</v>
      </c>
      <c r="F252" s="37" t="n">
        <f aca="false">1+IF($G$10=$E$10,$F$10,IF(T252&lt;($F$10-$E$10)/($G$10-$E$10),$E$10+SQRT(T252*($G$10-$E$10)*($F$10-$E$10)),$G$10-SQRT((1-T252)*($G$10-$E$10)*($G$10-$F$10))))</f>
        <v>1.0972452648108</v>
      </c>
      <c r="G252" s="38" t="n">
        <f aca="false">IF($G$11=$E$11,$F$11,IF(U252&lt;($F$11-$E$11)/($G$11-$E$11),$E$11+SQRT(U252*($G$11-$E$11)*($F$11-$E$11)),$G$11-SQRT((1-U252)*($G$11-$E$11)*($G$11-$F$11))))</f>
        <v>0.104357219501991</v>
      </c>
      <c r="H252" s="39" t="n">
        <f aca="false">(('Business Case'!B11*$C252*'Business Case'!B12*$B252)-'Business Case'!B11*$C252*'Business Case'!B13*$D252-'Business Case'!B14*$E252)-MAX(0,(('Business Case'!B11*$C252*'Business Case'!B12*$B252)-'Business Case'!B11*$C252*'Business Case'!B13*$D252-'Business Case'!B14*$E252))*'Business Case'!$B$7-'Business Case'!$B$8*('Business Case'!B11*$C252*'Business Case'!B12*$B252)-'Business Case'!B15*$F252</f>
        <v>-2194490529.62159</v>
      </c>
      <c r="I252" s="39" t="n">
        <f aca="false">(('Business Case'!C11*$C252*'Business Case'!C12*$B252)-'Business Case'!C11*$C252*'Business Case'!C13*$D252-'Business Case'!C14*$E252)-MAX(0,(('Business Case'!C11*$C252*'Business Case'!C12*$B252)-'Business Case'!C11*$C252*'Business Case'!C13*$D252-'Business Case'!C14*$E252))*'Business Case'!$B$7-'Business Case'!$B$8*(('Business Case'!C11*$C252*'Business Case'!C12*$B252)-('Business Case'!B11*$C252*'Business Case'!B12*$B252))-'Business Case'!C15*$F252</f>
        <v>-18282594.3961881</v>
      </c>
      <c r="J252" s="39" t="n">
        <f aca="false">(('Business Case'!D11*$C252*'Business Case'!D12*$B252)-'Business Case'!D11*$C252*'Business Case'!D13*$D252-'Business Case'!D14*$E252)-MAX(0,(('Business Case'!D11*$C252*'Business Case'!D12*$B252)-'Business Case'!D11*$C252*'Business Case'!D13*$D252-'Business Case'!D14*$E252))*'Business Case'!$B$7-'Business Case'!$B$8*(('Business Case'!D11*$C252*'Business Case'!D12*$B252)-('Business Case'!C11*$C252*'Business Case'!C12*$B252))-'Business Case'!D15*$F252</f>
        <v>261731557.727268</v>
      </c>
      <c r="K252" s="39" t="n">
        <f aca="false">(('Business Case'!E11*$C252*'Business Case'!E12*$B252)-'Business Case'!E11*$C252*'Business Case'!E13*$D252-'Business Case'!E14*$E252)-MAX(0,(('Business Case'!E11*$C252*'Business Case'!E12*$B252)-'Business Case'!E11*$C252*'Business Case'!E13*$D252-'Business Case'!E14*$E252))*'Business Case'!$B$7-'Business Case'!$B$8*(('Business Case'!E11*$C252*'Business Case'!E12*$B252)-('Business Case'!D11*$C252*'Business Case'!D12*$B252))-'Business Case'!E15*$F252</f>
        <v>596607973.091264</v>
      </c>
      <c r="L252" s="39" t="n">
        <f aca="false">(('Business Case'!F11*$C252*'Business Case'!F12*$B252)-'Business Case'!F11*$C252*'Business Case'!F13*$D252-'Business Case'!F14*$E252)-MAX(0,(('Business Case'!F11*$C252*'Business Case'!F12*$B252)-'Business Case'!F11*$C252*'Business Case'!F13*$D252-'Business Case'!F14*$E252))*'Business Case'!$B$7-'Business Case'!$B$8*(('Business Case'!F11*$C252*'Business Case'!F12*$B252)-('Business Case'!E11*$C252*'Business Case'!E12*$B252))-'Business Case'!F15*$F252</f>
        <v>722566670.764378</v>
      </c>
      <c r="M252" s="39" t="n">
        <f aca="false">(('Business Case'!G11*$C252*'Business Case'!G12*$B252)-'Business Case'!G11*$C252*'Business Case'!G13*$D252-'Business Case'!G14*$E252)-MAX(0,(('Business Case'!G11*$C252*'Business Case'!G12*$B252)-'Business Case'!G11*$C252*'Business Case'!G13*$D252-'Business Case'!G14*$E252))*'Business Case'!$B$7-'Business Case'!$B$8*(('Business Case'!G11*$C252*'Business Case'!G12*$B252)-('Business Case'!F11*$C252*'Business Case'!F12*$B252))-'Business Case'!G15*$F252+'Business Case'!$B$8*('Business Case'!G11*$C252*'Business Case'!G12*$B252)</f>
        <v>901980229.073505</v>
      </c>
      <c r="N252" s="39" t="n">
        <f aca="false">IF(COUNT('Business Case'!B11:G11)=0,"",H252+NPV(G252,I252:M252))</f>
        <v>-518609100.114799</v>
      </c>
      <c r="P252" s="40" t="n">
        <f aca="true">RAND()</f>
        <v>0.881285842406684</v>
      </c>
      <c r="Q252" s="40" t="n">
        <f aca="true">RAND()</f>
        <v>0.237368468932639</v>
      </c>
      <c r="R252" s="40" t="n">
        <f aca="true">RAND()</f>
        <v>0.821814148226625</v>
      </c>
      <c r="S252" s="40" t="n">
        <f aca="true">RAND()</f>
        <v>0.136584321496178</v>
      </c>
      <c r="T252" s="40" t="n">
        <f aca="true">RAND()</f>
        <v>0.788829287923935</v>
      </c>
      <c r="U252" s="40" t="n">
        <f aca="true">RAND()</f>
        <v>0.592172363818502</v>
      </c>
    </row>
    <row r="253" customFormat="false" ht="15" hidden="false" customHeight="false" outlineLevel="0" collapsed="false">
      <c r="A253" s="36" t="n">
        <v>173</v>
      </c>
      <c r="B253" s="37" t="n">
        <f aca="false">1+IF($G$6=$E$6,$F$6,IF(P253&lt;($F$6-$E$6)/($G$6-$E$6),$E$6+SQRT(P253*($G$6-$E$6)*($F$6-$E$6)),$G$6-SQRT((1-P253)*($G$6-$E$6)*($G$6-$F$6))))</f>
        <v>1.00545318348455</v>
      </c>
      <c r="C253" s="37" t="n">
        <f aca="false">1+IF($G$7=$E$7,$F$7,IF(Q253&lt;($F$7-$E$7)/($G$7-$E$7),$E$7+SQRT(Q253*($G$7-$E$7)*($F$7-$E$7)),$G$7-SQRT((1-Q253)*($G$7-$E$7)*($G$7-$F$7))))</f>
        <v>1.06147831756884</v>
      </c>
      <c r="D253" s="37" t="n">
        <f aca="false">1+IF($G$8=$E$8,$F$8,IF(R253&lt;($F$8-$E$8)/($G$8-$E$8),$E$8+SQRT(R253*($G$8-$E$8)*($F$8-$E$8)),$G$8-SQRT((1-R253)*($G$8-$E$8)*($G$8-$F$8))))</f>
        <v>0.972125415951126</v>
      </c>
      <c r="E253" s="37" t="n">
        <f aca="false">1+IF($G$9=$E$9,$F$9,IF(S253&lt;($F$9-$E$9)/($G$9-$E$9),$E$9+SQRT(S253*($G$9-$E$9)*($F$9-$E$9)),$G$9-SQRT((1-S253)*($G$9-$E$9)*($G$9-$F$9))))</f>
        <v>0.985966362283924</v>
      </c>
      <c r="F253" s="37" t="n">
        <f aca="false">1+IF($G$10=$E$10,$F$10,IF(T253&lt;($F$10-$E$10)/($G$10-$E$10),$E$10+SQRT(T253*($G$10-$E$10)*($F$10-$E$10)),$G$10-SQRT((1-T253)*($G$10-$E$10)*($G$10-$F$10))))</f>
        <v>1.04870352542</v>
      </c>
      <c r="G253" s="38" t="n">
        <f aca="false">IF($G$11=$E$11,$F$11,IF(U253&lt;($F$11-$E$11)/($G$11-$E$11),$E$11+SQRT(U253*($G$11-$E$11)*($F$11-$E$11)),$G$11-SQRT((1-U253)*($G$11-$E$11)*($G$11-$F$11))))</f>
        <v>0.105862679376648</v>
      </c>
      <c r="H253" s="39" t="n">
        <f aca="false">(('Business Case'!B11*$C253*'Business Case'!B12*$B253)-'Business Case'!B11*$C253*'Business Case'!B13*$D253-'Business Case'!B14*$E253)-MAX(0,(('Business Case'!B11*$C253*'Business Case'!B12*$B253)-'Business Case'!B11*$C253*'Business Case'!B13*$D253-'Business Case'!B14*$E253))*'Business Case'!$B$7-'Business Case'!$B$8*('Business Case'!B11*$C253*'Business Case'!B12*$B253)-'Business Case'!B15*$F253</f>
        <v>-2097407050.83999</v>
      </c>
      <c r="I253" s="39" t="n">
        <f aca="false">(('Business Case'!C11*$C253*'Business Case'!C12*$B253)-'Business Case'!C11*$C253*'Business Case'!C13*$D253-'Business Case'!C14*$E253)-MAX(0,(('Business Case'!C11*$C253*'Business Case'!C12*$B253)-'Business Case'!C11*$C253*'Business Case'!C13*$D253-'Business Case'!C14*$E253))*'Business Case'!$B$7-'Business Case'!$B$8*(('Business Case'!C11*$C253*'Business Case'!C12*$B253)-('Business Case'!B11*$C253*'Business Case'!B12*$B253))-'Business Case'!C15*$F253</f>
        <v>45521281.7361559</v>
      </c>
      <c r="J253" s="39" t="n">
        <f aca="false">(('Business Case'!D11*$C253*'Business Case'!D12*$B253)-'Business Case'!D11*$C253*'Business Case'!D13*$D253-'Business Case'!D14*$E253)-MAX(0,(('Business Case'!D11*$C253*'Business Case'!D12*$B253)-'Business Case'!D11*$C253*'Business Case'!D13*$D253-'Business Case'!D14*$E253))*'Business Case'!$B$7-'Business Case'!$B$8*(('Business Case'!D11*$C253*'Business Case'!D12*$B253)-('Business Case'!C11*$C253*'Business Case'!C12*$B253))-'Business Case'!D15*$F253</f>
        <v>391444441.237679</v>
      </c>
      <c r="K253" s="39" t="n">
        <f aca="false">(('Business Case'!E11*$C253*'Business Case'!E12*$B253)-'Business Case'!E11*$C253*'Business Case'!E13*$D253-'Business Case'!E14*$E253)-MAX(0,(('Business Case'!E11*$C253*'Business Case'!E12*$B253)-'Business Case'!E11*$C253*'Business Case'!E13*$D253-'Business Case'!E14*$E253))*'Business Case'!$B$7-'Business Case'!$B$8*(('Business Case'!E11*$C253*'Business Case'!E12*$B253)-('Business Case'!D11*$C253*'Business Case'!D12*$B253))-'Business Case'!E15*$F253</f>
        <v>789802777.010202</v>
      </c>
      <c r="L253" s="39" t="n">
        <f aca="false">(('Business Case'!F11*$C253*'Business Case'!F12*$B253)-'Business Case'!F11*$C253*'Business Case'!F13*$D253-'Business Case'!F14*$E253)-MAX(0,(('Business Case'!F11*$C253*'Business Case'!F12*$B253)-'Business Case'!F11*$C253*'Business Case'!F13*$D253-'Business Case'!F14*$E253))*'Business Case'!$B$7-'Business Case'!$B$8*(('Business Case'!F11*$C253*'Business Case'!F12*$B253)-('Business Case'!E11*$C253*'Business Case'!E12*$B253))-'Business Case'!F15*$F253</f>
        <v>941995235.848438</v>
      </c>
      <c r="M253" s="39" t="n">
        <f aca="false">(('Business Case'!G11*$C253*'Business Case'!G12*$B253)-'Business Case'!G11*$C253*'Business Case'!G13*$D253-'Business Case'!G14*$E253)-MAX(0,(('Business Case'!G11*$C253*'Business Case'!G12*$B253)-'Business Case'!G11*$C253*'Business Case'!G13*$D253-'Business Case'!G14*$E253))*'Business Case'!$B$7-'Business Case'!$B$8*(('Business Case'!G11*$C253*'Business Case'!G12*$B253)-('Business Case'!F11*$C253*'Business Case'!F12*$B253))-'Business Case'!G15*$F253+'Business Case'!$B$8*('Business Case'!G11*$C253*'Business Case'!G12*$B253)</f>
        <v>1144861300.37261</v>
      </c>
      <c r="N253" s="39" t="n">
        <f aca="false">IF(COUNT('Business Case'!B11:G11)=0,"",H253+NPV(G253,I253:M253))</f>
        <v>169930431.473162</v>
      </c>
      <c r="P253" s="40" t="n">
        <f aca="true">RAND()</f>
        <v>0.751357805968237</v>
      </c>
      <c r="Q253" s="40" t="n">
        <f aca="true">RAND()</f>
        <v>0.850741175991552</v>
      </c>
      <c r="R253" s="40" t="n">
        <f aca="true">RAND()</f>
        <v>0.0753129278477433</v>
      </c>
      <c r="S253" s="40" t="n">
        <f aca="true">RAND()</f>
        <v>0.172477228791795</v>
      </c>
      <c r="T253" s="40" t="n">
        <f aca="true">RAND()</f>
        <v>0.542187535593242</v>
      </c>
      <c r="U253" s="40" t="n">
        <f aca="true">RAND()</f>
        <v>0.666893609320894</v>
      </c>
    </row>
    <row r="254" customFormat="false" ht="15" hidden="false" customHeight="false" outlineLevel="0" collapsed="false">
      <c r="A254" s="36" t="n">
        <v>174</v>
      </c>
      <c r="B254" s="37" t="n">
        <f aca="false">1+IF($G$6=$E$6,$F$6,IF(P254&lt;($F$6-$E$6)/($G$6-$E$6),$E$6+SQRT(P254*($G$6-$E$6)*($F$6-$E$6)),$G$6-SQRT((1-P254)*($G$6-$E$6)*($G$6-$F$6))))</f>
        <v>1.01169608348927</v>
      </c>
      <c r="C254" s="37" t="n">
        <f aca="false">1+IF($G$7=$E$7,$F$7,IF(Q254&lt;($F$7-$E$7)/($G$7-$E$7),$E$7+SQRT(Q254*($G$7-$E$7)*($F$7-$E$7)),$G$7-SQRT((1-Q254)*($G$7-$E$7)*($G$7-$F$7))))</f>
        <v>0.859245106980665</v>
      </c>
      <c r="D254" s="37" t="n">
        <f aca="false">1+IF($G$8=$E$8,$F$8,IF(R254&lt;($F$8-$E$8)/($G$8-$E$8),$E$8+SQRT(R254*($G$8-$E$8)*($F$8-$E$8)),$G$8-SQRT((1-R254)*($G$8-$E$8)*($G$8-$F$8))))</f>
        <v>1.00342351980028</v>
      </c>
      <c r="E254" s="37" t="n">
        <f aca="false">1+IF($G$9=$E$9,$F$9,IF(S254&lt;($F$9-$E$9)/($G$9-$E$9),$E$9+SQRT(S254*($G$9-$E$9)*($F$9-$E$9)),$G$9-SQRT((1-S254)*($G$9-$E$9)*($G$9-$F$9))))</f>
        <v>1.00575470425225</v>
      </c>
      <c r="F254" s="37" t="n">
        <f aca="false">1+IF($G$10=$E$10,$F$10,IF(T254&lt;($F$10-$E$10)/($G$10-$E$10),$E$10+SQRT(T254*($G$10-$E$10)*($F$10-$E$10)),$G$10-SQRT((1-T254)*($G$10-$E$10)*($G$10-$F$10))))</f>
        <v>1.03396855960477</v>
      </c>
      <c r="G254" s="38" t="n">
        <f aca="false">IF($G$11=$E$11,$F$11,IF(U254&lt;($F$11-$E$11)/($G$11-$E$11),$E$11+SQRT(U254*($G$11-$E$11)*($F$11-$E$11)),$G$11-SQRT((1-U254)*($G$11-$E$11)*($G$11-$F$11))))</f>
        <v>0.111148547036964</v>
      </c>
      <c r="H254" s="39" t="n">
        <f aca="false">(('Business Case'!B11*$C254*'Business Case'!B12*$B254)-'Business Case'!B11*$C254*'Business Case'!B13*$D254-'Business Case'!B14*$E254)-MAX(0,(('Business Case'!B11*$C254*'Business Case'!B12*$B254)-'Business Case'!B11*$C254*'Business Case'!B13*$D254-'Business Case'!B14*$E254))*'Business Case'!$B$7-'Business Case'!$B$8*('Business Case'!B11*$C254*'Business Case'!B12*$B254)-'Business Case'!B15*$F254</f>
        <v>-2067937119.20954</v>
      </c>
      <c r="I254" s="39" t="n">
        <f aca="false">(('Business Case'!C11*$C254*'Business Case'!C12*$B254)-'Business Case'!C11*$C254*'Business Case'!C13*$D254-'Business Case'!C14*$E254)-MAX(0,(('Business Case'!C11*$C254*'Business Case'!C12*$B254)-'Business Case'!C11*$C254*'Business Case'!C13*$D254-'Business Case'!C14*$E254))*'Business Case'!$B$7-'Business Case'!$B$8*(('Business Case'!C11*$C254*'Business Case'!C12*$B254)-('Business Case'!B11*$C254*'Business Case'!B12*$B254))-'Business Case'!C15*$F254</f>
        <v>-20834943.7718766</v>
      </c>
      <c r="J254" s="39" t="n">
        <f aca="false">(('Business Case'!D11*$C254*'Business Case'!D12*$B254)-'Business Case'!D11*$C254*'Business Case'!D13*$D254-'Business Case'!D14*$E254)-MAX(0,(('Business Case'!D11*$C254*'Business Case'!D12*$B254)-'Business Case'!D11*$C254*'Business Case'!D13*$D254-'Business Case'!D14*$E254))*'Business Case'!$B$7-'Business Case'!$B$8*(('Business Case'!D11*$C254*'Business Case'!D12*$B254)-('Business Case'!C11*$C254*'Business Case'!C12*$B254))-'Business Case'!D15*$F254</f>
        <v>249809535.469338</v>
      </c>
      <c r="K254" s="39" t="n">
        <f aca="false">(('Business Case'!E11*$C254*'Business Case'!E12*$B254)-'Business Case'!E11*$C254*'Business Case'!E13*$D254-'Business Case'!E14*$E254)-MAX(0,(('Business Case'!E11*$C254*'Business Case'!E12*$B254)-'Business Case'!E11*$C254*'Business Case'!E13*$D254-'Business Case'!E14*$E254))*'Business Case'!$B$7-'Business Case'!$B$8*(('Business Case'!E11*$C254*'Business Case'!E12*$B254)-('Business Case'!D11*$C254*'Business Case'!D12*$B254))-'Business Case'!E15*$F254</f>
        <v>572152442.690791</v>
      </c>
      <c r="L254" s="39" t="n">
        <f aca="false">(('Business Case'!F11*$C254*'Business Case'!F12*$B254)-'Business Case'!F11*$C254*'Business Case'!F13*$D254-'Business Case'!F14*$E254)-MAX(0,(('Business Case'!F11*$C254*'Business Case'!F12*$B254)-'Business Case'!F11*$C254*'Business Case'!F13*$D254-'Business Case'!F14*$E254))*'Business Case'!$B$7-'Business Case'!$B$8*(('Business Case'!F11*$C254*'Business Case'!F12*$B254)-('Business Case'!E11*$C254*'Business Case'!E12*$B254))-'Business Case'!F15*$F254</f>
        <v>692410101.176492</v>
      </c>
      <c r="M254" s="39" t="n">
        <f aca="false">(('Business Case'!G11*$C254*'Business Case'!G12*$B254)-'Business Case'!G11*$C254*'Business Case'!G13*$D254-'Business Case'!G14*$E254)-MAX(0,(('Business Case'!G11*$C254*'Business Case'!G12*$B254)-'Business Case'!G11*$C254*'Business Case'!G13*$D254-'Business Case'!G14*$E254))*'Business Case'!$B$7-'Business Case'!$B$8*(('Business Case'!G11*$C254*'Business Case'!G12*$B254)-('Business Case'!F11*$C254*'Business Case'!F12*$B254))-'Business Case'!G15*$F254+'Business Case'!$B$8*('Business Case'!G11*$C254*'Business Case'!G12*$B254)</f>
        <v>857645677.572286</v>
      </c>
      <c r="N254" s="39" t="n">
        <f aca="false">IF(COUNT('Business Case'!B11:G11)=0,"",H254+NPV(G254,I254:M254))</f>
        <v>-506723934.320502</v>
      </c>
      <c r="P254" s="40" t="n">
        <f aca="true">RAND()</f>
        <v>0.833101731282003</v>
      </c>
      <c r="Q254" s="40" t="n">
        <f aca="true">RAND()</f>
        <v>0.0501426100164355</v>
      </c>
      <c r="R254" s="40" t="n">
        <f aca="true">RAND()</f>
        <v>0.436157950021395</v>
      </c>
      <c r="S254" s="40" t="n">
        <f aca="true">RAND()</f>
        <v>0.407854948627947</v>
      </c>
      <c r="T254" s="40" t="n">
        <f aca="true">RAND()</f>
        <v>0.448671216005717</v>
      </c>
      <c r="U254" s="40" t="n">
        <f aca="true">RAND()</f>
        <v>0.869419634071937</v>
      </c>
    </row>
    <row r="255" customFormat="false" ht="15" hidden="false" customHeight="false" outlineLevel="0" collapsed="false">
      <c r="A255" s="36" t="n">
        <v>175</v>
      </c>
      <c r="B255" s="37" t="n">
        <f aca="false">1+IF($G$6=$E$6,$F$6,IF(P255&lt;($F$6-$E$6)/($G$6-$E$6),$E$6+SQRT(P255*($G$6-$E$6)*($F$6-$E$6)),$G$6-SQRT((1-P255)*($G$6-$E$6)*($G$6-$F$6))))</f>
        <v>0.954760537118964</v>
      </c>
      <c r="C255" s="37" t="n">
        <f aca="false">1+IF($G$7=$E$7,$F$7,IF(Q255&lt;($F$7-$E$7)/($G$7-$E$7),$E$7+SQRT(Q255*($G$7-$E$7)*($F$7-$E$7)),$G$7-SQRT((1-Q255)*($G$7-$E$7)*($G$7-$F$7))))</f>
        <v>0.963725868086602</v>
      </c>
      <c r="D255" s="37" t="n">
        <f aca="false">1+IF($G$8=$E$8,$F$8,IF(R255&lt;($F$8-$E$8)/($G$8-$E$8),$E$8+SQRT(R255*($G$8-$E$8)*($F$8-$E$8)),$G$8-SQRT((1-R255)*($G$8-$E$8)*($G$8-$F$8))))</f>
        <v>1.04100007808503</v>
      </c>
      <c r="E255" s="37" t="n">
        <f aca="false">1+IF($G$9=$E$9,$F$9,IF(S255&lt;($F$9-$E$9)/($G$9-$E$9),$E$9+SQRT(S255*($G$9-$E$9)*($F$9-$E$9)),$G$9-SQRT((1-S255)*($G$9-$E$9)*($G$9-$F$9))))</f>
        <v>0.999879102881333</v>
      </c>
      <c r="F255" s="37" t="n">
        <f aca="false">1+IF($G$10=$E$10,$F$10,IF(T255&lt;($F$10-$E$10)/($G$10-$E$10),$E$10+SQRT(T255*($G$10-$E$10)*($F$10-$E$10)),$G$10-SQRT((1-T255)*($G$10-$E$10)*($G$10-$F$10))))</f>
        <v>0.999445779530192</v>
      </c>
      <c r="G255" s="38" t="n">
        <f aca="false">IF($G$11=$E$11,$F$11,IF(U255&lt;($F$11-$E$11)/($G$11-$E$11),$E$11+SQRT(U255*($G$11-$E$11)*($F$11-$E$11)),$G$11-SQRT((1-U255)*($G$11-$E$11)*($G$11-$F$11))))</f>
        <v>0.118403580885196</v>
      </c>
      <c r="H255" s="39" t="n">
        <f aca="false">(('Business Case'!B11*$C255*'Business Case'!B12*$B255)-'Business Case'!B11*$C255*'Business Case'!B13*$D255-'Business Case'!B14*$E255)-MAX(0,(('Business Case'!B11*$C255*'Business Case'!B12*$B255)-'Business Case'!B11*$C255*'Business Case'!B13*$D255-'Business Case'!B14*$E255))*'Business Case'!$B$7-'Business Case'!$B$8*('Business Case'!B11*$C255*'Business Case'!B12*$B255)-'Business Case'!B15*$F255</f>
        <v>-1998891559.06038</v>
      </c>
      <c r="I255" s="39" t="n">
        <f aca="false">(('Business Case'!C11*$C255*'Business Case'!C12*$B255)-'Business Case'!C11*$C255*'Business Case'!C13*$D255-'Business Case'!C14*$E255)-MAX(0,(('Business Case'!C11*$C255*'Business Case'!C12*$B255)-'Business Case'!C11*$C255*'Business Case'!C13*$D255-'Business Case'!C14*$E255))*'Business Case'!$B$7-'Business Case'!$B$8*(('Business Case'!C11*$C255*'Business Case'!C12*$B255)-('Business Case'!B11*$C255*'Business Case'!B12*$B255))-'Business Case'!C15*$F255</f>
        <v>-49754137.2817896</v>
      </c>
      <c r="J255" s="39" t="n">
        <f aca="false">(('Business Case'!D11*$C255*'Business Case'!D12*$B255)-'Business Case'!D11*$C255*'Business Case'!D13*$D255-'Business Case'!D14*$E255)-MAX(0,(('Business Case'!D11*$C255*'Business Case'!D12*$B255)-'Business Case'!D11*$C255*'Business Case'!D13*$D255-'Business Case'!D14*$E255))*'Business Case'!$B$7-'Business Case'!$B$8*(('Business Case'!D11*$C255*'Business Case'!D12*$B255)-('Business Case'!C11*$C255*'Business Case'!C12*$B255))-'Business Case'!D15*$F255</f>
        <v>190318517.658164</v>
      </c>
      <c r="K255" s="39" t="n">
        <f aca="false">(('Business Case'!E11*$C255*'Business Case'!E12*$B255)-'Business Case'!E11*$C255*'Business Case'!E13*$D255-'Business Case'!E14*$E255)-MAX(0,(('Business Case'!E11*$C255*'Business Case'!E12*$B255)-'Business Case'!E11*$C255*'Business Case'!E13*$D255-'Business Case'!E14*$E255))*'Business Case'!$B$7-'Business Case'!$B$8*(('Business Case'!E11*$C255*'Business Case'!E12*$B255)-('Business Case'!D11*$C255*'Business Case'!D12*$B255))-'Business Case'!E15*$F255</f>
        <v>480363461.574626</v>
      </c>
      <c r="L255" s="39" t="n">
        <f aca="false">(('Business Case'!F11*$C255*'Business Case'!F12*$B255)-'Business Case'!F11*$C255*'Business Case'!F13*$D255-'Business Case'!F14*$E255)-MAX(0,(('Business Case'!F11*$C255*'Business Case'!F12*$B255)-'Business Case'!F11*$C255*'Business Case'!F13*$D255-'Business Case'!F14*$E255))*'Business Case'!$B$7-'Business Case'!$B$8*(('Business Case'!F11*$C255*'Business Case'!F12*$B255)-('Business Case'!E11*$C255*'Business Case'!E12*$B255))-'Business Case'!F15*$F255</f>
        <v>592187283.780609</v>
      </c>
      <c r="M255" s="39" t="n">
        <f aca="false">(('Business Case'!G11*$C255*'Business Case'!G12*$B255)-'Business Case'!G11*$C255*'Business Case'!G13*$D255-'Business Case'!G14*$E255)-MAX(0,(('Business Case'!G11*$C255*'Business Case'!G12*$B255)-'Business Case'!G11*$C255*'Business Case'!G13*$D255-'Business Case'!G14*$E255))*'Business Case'!$B$7-'Business Case'!$B$8*(('Business Case'!G11*$C255*'Business Case'!G12*$B255)-('Business Case'!F11*$C255*'Business Case'!F12*$B255))-'Business Case'!G15*$F255+'Business Case'!$B$8*('Business Case'!G11*$C255*'Business Case'!G12*$B255)</f>
        <v>767085105.190268</v>
      </c>
      <c r="N255" s="39" t="n">
        <f aca="false">IF(COUNT('Business Case'!B11:G11)=0,"",H255+NPV(G255,I255:M255))</f>
        <v>-730965440.055007</v>
      </c>
      <c r="P255" s="40" t="n">
        <f aca="true">RAND()</f>
        <v>0.125864056333213</v>
      </c>
      <c r="Q255" s="40" t="n">
        <f aca="true">RAND()</f>
        <v>0.382945141153022</v>
      </c>
      <c r="R255" s="40" t="n">
        <f aca="true">RAND()</f>
        <v>0.853750585637143</v>
      </c>
      <c r="S255" s="40" t="n">
        <f aca="true">RAND()</f>
        <v>0.331723320566218</v>
      </c>
      <c r="T255" s="40" t="n">
        <f aca="true">RAND()</f>
        <v>0.195590809067869</v>
      </c>
      <c r="U255" s="40" t="n">
        <f aca="true">RAND()</f>
        <v>0.995752410016481</v>
      </c>
    </row>
    <row r="256" customFormat="false" ht="15" hidden="false" customHeight="false" outlineLevel="0" collapsed="false">
      <c r="A256" s="36" t="n">
        <v>176</v>
      </c>
      <c r="B256" s="37" t="n">
        <f aca="false">1+IF($G$6=$E$6,$F$6,IF(P256&lt;($F$6-$E$6)/($G$6-$E$6),$E$6+SQRT(P256*($G$6-$E$6)*($F$6-$E$6)),$G$6-SQRT((1-P256)*($G$6-$E$6)*($G$6-$F$6))))</f>
        <v>0.967080162745028</v>
      </c>
      <c r="C256" s="37" t="n">
        <f aca="false">1+IF($G$7=$E$7,$F$7,IF(Q256&lt;($F$7-$E$7)/($G$7-$E$7),$E$7+SQRT(Q256*($G$7-$E$7)*($F$7-$E$7)),$G$7-SQRT((1-Q256)*($G$7-$E$7)*($G$7-$F$7))))</f>
        <v>1.0335250796915</v>
      </c>
      <c r="D256" s="37" t="n">
        <f aca="false">1+IF($G$8=$E$8,$F$8,IF(R256&lt;($F$8-$E$8)/($G$8-$E$8),$E$8+SQRT(R256*($G$8-$E$8)*($F$8-$E$8)),$G$8-SQRT((1-R256)*($G$8-$E$8)*($G$8-$F$8))))</f>
        <v>0.979392296514084</v>
      </c>
      <c r="E256" s="37" t="n">
        <f aca="false">1+IF($G$9=$E$9,$F$9,IF(S256&lt;($F$9-$E$9)/($G$9-$E$9),$E$9+SQRT(S256*($G$9-$E$9)*($F$9-$E$9)),$G$9-SQRT((1-S256)*($G$9-$E$9)*($G$9-$F$9))))</f>
        <v>1.07760976710926</v>
      </c>
      <c r="F256" s="37" t="n">
        <f aca="false">1+IF($G$10=$E$10,$F$10,IF(T256&lt;($F$10-$E$10)/($G$10-$E$10),$E$10+SQRT(T256*($G$10-$E$10)*($F$10-$E$10)),$G$10-SQRT((1-T256)*($G$10-$E$10)*($G$10-$F$10))))</f>
        <v>1.06046493245784</v>
      </c>
      <c r="G256" s="38" t="n">
        <f aca="false">IF($G$11=$E$11,$F$11,IF(U256&lt;($F$11-$E$11)/($G$11-$E$11),$E$11+SQRT(U256*($G$11-$E$11)*($F$11-$E$11)),$G$11-SQRT((1-U256)*($G$11-$E$11)*($G$11-$F$11))))</f>
        <v>0.11001906273994</v>
      </c>
      <c r="H256" s="39" t="n">
        <f aca="false">(('Business Case'!B11*$C256*'Business Case'!B12*$B256)-'Business Case'!B11*$C256*'Business Case'!B13*$D256-'Business Case'!B14*$E256)-MAX(0,(('Business Case'!B11*$C256*'Business Case'!B12*$B256)-'Business Case'!B11*$C256*'Business Case'!B13*$D256-'Business Case'!B14*$E256))*'Business Case'!$B$7-'Business Case'!$B$8*('Business Case'!B11*$C256*'Business Case'!B12*$B256)-'Business Case'!B15*$F256</f>
        <v>-2120929864.91567</v>
      </c>
      <c r="I256" s="39" t="n">
        <f aca="false">(('Business Case'!C11*$C256*'Business Case'!C12*$B256)-'Business Case'!C11*$C256*'Business Case'!C13*$D256-'Business Case'!C14*$E256)-MAX(0,(('Business Case'!C11*$C256*'Business Case'!C12*$B256)-'Business Case'!C11*$C256*'Business Case'!C13*$D256-'Business Case'!C14*$E256))*'Business Case'!$B$7-'Business Case'!$B$8*(('Business Case'!C11*$C256*'Business Case'!C12*$B256)-('Business Case'!B11*$C256*'Business Case'!B12*$B256))-'Business Case'!C15*$F256</f>
        <v>-10611979.3640984</v>
      </c>
      <c r="J256" s="39" t="n">
        <f aca="false">(('Business Case'!D11*$C256*'Business Case'!D12*$B256)-'Business Case'!D11*$C256*'Business Case'!D13*$D256-'Business Case'!D14*$E256)-MAX(0,(('Business Case'!D11*$C256*'Business Case'!D12*$B256)-'Business Case'!D11*$C256*'Business Case'!D13*$D256-'Business Case'!D14*$E256))*'Business Case'!$B$7-'Business Case'!$B$8*(('Business Case'!D11*$C256*'Business Case'!D12*$B256)-('Business Case'!C11*$C256*'Business Case'!C12*$B256))-'Business Case'!D15*$F256</f>
        <v>289872806.462155</v>
      </c>
      <c r="K256" s="39" t="n">
        <f aca="false">(('Business Case'!E11*$C256*'Business Case'!E12*$B256)-'Business Case'!E11*$C256*'Business Case'!E13*$D256-'Business Case'!E14*$E256)-MAX(0,(('Business Case'!E11*$C256*'Business Case'!E12*$B256)-'Business Case'!E11*$C256*'Business Case'!E13*$D256-'Business Case'!E14*$E256))*'Business Case'!$B$7-'Business Case'!$B$8*(('Business Case'!E11*$C256*'Business Case'!E12*$B256)-('Business Case'!D11*$C256*'Business Case'!D12*$B256))-'Business Case'!E15*$F256</f>
        <v>643380838.9113</v>
      </c>
      <c r="L256" s="39" t="n">
        <f aca="false">(('Business Case'!F11*$C256*'Business Case'!F12*$B256)-'Business Case'!F11*$C256*'Business Case'!F13*$D256-'Business Case'!F14*$E256)-MAX(0,(('Business Case'!F11*$C256*'Business Case'!F12*$B256)-'Business Case'!F11*$C256*'Business Case'!F13*$D256-'Business Case'!F14*$E256))*'Business Case'!$B$7-'Business Case'!$B$8*(('Business Case'!F11*$C256*'Business Case'!F12*$B256)-('Business Case'!E11*$C256*'Business Case'!E12*$B256))-'Business Case'!F15*$F256</f>
        <v>778085209.561139</v>
      </c>
      <c r="M256" s="39" t="n">
        <f aca="false">(('Business Case'!G11*$C256*'Business Case'!G12*$B256)-'Business Case'!G11*$C256*'Business Case'!G13*$D256-'Business Case'!G14*$E256)-MAX(0,(('Business Case'!G11*$C256*'Business Case'!G12*$B256)-'Business Case'!G11*$C256*'Business Case'!G13*$D256-'Business Case'!G14*$E256))*'Business Case'!$B$7-'Business Case'!$B$8*(('Business Case'!G11*$C256*'Business Case'!G12*$B256)-('Business Case'!F11*$C256*'Business Case'!F12*$B256))-'Business Case'!G15*$F256+'Business Case'!$B$8*('Business Case'!G11*$C256*'Business Case'!G12*$B256)</f>
        <v>968070474.120454</v>
      </c>
      <c r="N256" s="39" t="n">
        <f aca="false">IF(COUNT('Business Case'!B11:G11)=0,"",H256+NPV(G256,I256:M256))</f>
        <v>-337853562.844286</v>
      </c>
      <c r="P256" s="40" t="n">
        <f aca="true">RAND()</f>
        <v>0.230889762926912</v>
      </c>
      <c r="Q256" s="40" t="n">
        <f aca="true">RAND()</f>
        <v>0.741592246459595</v>
      </c>
      <c r="R256" s="40" t="n">
        <f aca="true">RAND()</f>
        <v>0.132908783749512</v>
      </c>
      <c r="S256" s="40" t="n">
        <f aca="true">RAND()</f>
        <v>0.966578498073222</v>
      </c>
      <c r="T256" s="40" t="n">
        <f aca="true">RAND()</f>
        <v>0.610599298520076</v>
      </c>
      <c r="U256" s="40" t="n">
        <f aca="true">RAND()</f>
        <v>0.833968152351231</v>
      </c>
    </row>
    <row r="257" customFormat="false" ht="15" hidden="false" customHeight="false" outlineLevel="0" collapsed="false">
      <c r="A257" s="36" t="n">
        <v>177</v>
      </c>
      <c r="B257" s="37" t="n">
        <f aca="false">1+IF($G$6=$E$6,$F$6,IF(P257&lt;($F$6-$E$6)/($G$6-$E$6),$E$6+SQRT(P257*($G$6-$E$6)*($F$6-$E$6)),$G$6-SQRT((1-P257)*($G$6-$E$6)*($G$6-$F$6))))</f>
        <v>1.0073593549304</v>
      </c>
      <c r="C257" s="37" t="n">
        <f aca="false">1+IF($G$7=$E$7,$F$7,IF(Q257&lt;($F$7-$E$7)/($G$7-$E$7),$E$7+SQRT(Q257*($G$7-$E$7)*($F$7-$E$7)),$G$7-SQRT((1-Q257)*($G$7-$E$7)*($G$7-$F$7))))</f>
        <v>0.937173942548477</v>
      </c>
      <c r="D257" s="37" t="n">
        <f aca="false">1+IF($G$8=$E$8,$F$8,IF(R257&lt;($F$8-$E$8)/($G$8-$E$8),$E$8+SQRT(R257*($G$8-$E$8)*($F$8-$E$8)),$G$8-SQRT((1-R257)*($G$8-$E$8)*($G$8-$F$8))))</f>
        <v>1.00867650689739</v>
      </c>
      <c r="E257" s="37" t="n">
        <f aca="false">1+IF($G$9=$E$9,$F$9,IF(S257&lt;($F$9-$E$9)/($G$9-$E$9),$E$9+SQRT(S257*($G$9-$E$9)*($F$9-$E$9)),$G$9-SQRT((1-S257)*($G$9-$E$9)*($G$9-$F$9))))</f>
        <v>1.00839772251611</v>
      </c>
      <c r="F257" s="37" t="n">
        <f aca="false">1+IF($G$10=$E$10,$F$10,IF(T257&lt;($F$10-$E$10)/($G$10-$E$10),$E$10+SQRT(T257*($G$10-$E$10)*($F$10-$E$10)),$G$10-SQRT((1-T257)*($G$10-$E$10)*($G$10-$F$10))))</f>
        <v>0.953383523367154</v>
      </c>
      <c r="G257" s="38" t="n">
        <f aca="false">IF($G$11=$E$11,$F$11,IF(U257&lt;($F$11-$E$11)/($G$11-$E$11),$E$11+SQRT(U257*($G$11-$E$11)*($F$11-$E$11)),$G$11-SQRT((1-U257)*($G$11-$E$11)*($G$11-$F$11))))</f>
        <v>0.114318476111116</v>
      </c>
      <c r="H257" s="39" t="n">
        <f aca="false">(('Business Case'!B11*$C257*'Business Case'!B12*$B257)-'Business Case'!B11*$C257*'Business Case'!B13*$D257-'Business Case'!B14*$E257)-MAX(0,(('Business Case'!B11*$C257*'Business Case'!B12*$B257)-'Business Case'!B11*$C257*'Business Case'!B13*$D257-'Business Case'!B14*$E257))*'Business Case'!$B$7-'Business Case'!$B$8*('Business Case'!B11*$C257*'Business Case'!B12*$B257)-'Business Case'!B15*$F257</f>
        <v>-1906767046.73431</v>
      </c>
      <c r="I257" s="39" t="n">
        <f aca="false">(('Business Case'!C11*$C257*'Business Case'!C12*$B257)-'Business Case'!C11*$C257*'Business Case'!C13*$D257-'Business Case'!C14*$E257)-MAX(0,(('Business Case'!C11*$C257*'Business Case'!C12*$B257)-'Business Case'!C11*$C257*'Business Case'!C13*$D257-'Business Case'!C14*$E257))*'Business Case'!$B$7-'Business Case'!$B$8*(('Business Case'!C11*$C257*'Business Case'!C12*$B257)-('Business Case'!B11*$C257*'Business Case'!B12*$B257))-'Business Case'!C15*$F257</f>
        <v>1668216.59623344</v>
      </c>
      <c r="J257" s="39" t="n">
        <f aca="false">(('Business Case'!D11*$C257*'Business Case'!D12*$B257)-'Business Case'!D11*$C257*'Business Case'!D13*$D257-'Business Case'!D14*$E257)-MAX(0,(('Business Case'!D11*$C257*'Business Case'!D12*$B257)-'Business Case'!D11*$C257*'Business Case'!D13*$D257-'Business Case'!D14*$E257))*'Business Case'!$B$7-'Business Case'!$B$8*(('Business Case'!D11*$C257*'Business Case'!D12*$B257)-('Business Case'!C11*$C257*'Business Case'!C12*$B257))-'Business Case'!D15*$F257</f>
        <v>291009579.108465</v>
      </c>
      <c r="K257" s="39" t="n">
        <f aca="false">(('Business Case'!E11*$C257*'Business Case'!E12*$B257)-'Business Case'!E11*$C257*'Business Case'!E13*$D257-'Business Case'!E14*$E257)-MAX(0,(('Business Case'!E11*$C257*'Business Case'!E12*$B257)-'Business Case'!E11*$C257*'Business Case'!E13*$D257-'Business Case'!E14*$E257))*'Business Case'!$B$7-'Business Case'!$B$8*(('Business Case'!E11*$C257*'Business Case'!E12*$B257)-('Business Case'!D11*$C257*'Business Case'!D12*$B257))-'Business Case'!E15*$F257</f>
        <v>628020117.789053</v>
      </c>
      <c r="L257" s="39" t="n">
        <f aca="false">(('Business Case'!F11*$C257*'Business Case'!F12*$B257)-'Business Case'!F11*$C257*'Business Case'!F13*$D257-'Business Case'!F14*$E257)-MAX(0,(('Business Case'!F11*$C257*'Business Case'!F12*$B257)-'Business Case'!F11*$C257*'Business Case'!F13*$D257-'Business Case'!F14*$E257))*'Business Case'!$B$7-'Business Case'!$B$8*(('Business Case'!F11*$C257*'Business Case'!F12*$B257)-('Business Case'!E11*$C257*'Business Case'!E12*$B257))-'Business Case'!F15*$F257</f>
        <v>757094330.251458</v>
      </c>
      <c r="M257" s="39" t="n">
        <f aca="false">(('Business Case'!G11*$C257*'Business Case'!G12*$B257)-'Business Case'!G11*$C257*'Business Case'!G13*$D257-'Business Case'!G14*$E257)-MAX(0,(('Business Case'!G11*$C257*'Business Case'!G12*$B257)-'Business Case'!G11*$C257*'Business Case'!G13*$D257-'Business Case'!G14*$E257))*'Business Case'!$B$7-'Business Case'!$B$8*(('Business Case'!G11*$C257*'Business Case'!G12*$B257)-('Business Case'!F11*$C257*'Business Case'!F12*$B257))-'Business Case'!G15*$F257+'Business Case'!$B$8*('Business Case'!G11*$C257*'Business Case'!G12*$B257)</f>
        <v>936543334.188925</v>
      </c>
      <c r="N257" s="39" t="n">
        <f aca="false">IF(COUNT('Business Case'!B11:G11)=0,"",H257+NPV(G257,I257:M257))</f>
        <v>-180880913.507856</v>
      </c>
      <c r="P257" s="40" t="n">
        <f aca="true">RAND()</f>
        <v>0.778039226966688</v>
      </c>
      <c r="Q257" s="40" t="n">
        <f aca="true">RAND()</f>
        <v>0.2688098644899</v>
      </c>
      <c r="R257" s="40" t="n">
        <f aca="true">RAND()</f>
        <v>0.510861474196352</v>
      </c>
      <c r="S257" s="40" t="n">
        <f aca="true">RAND()</f>
        <v>0.440601517317643</v>
      </c>
      <c r="T257" s="40" t="n">
        <f aca="true">RAND()</f>
        <v>0.000915858430086356</v>
      </c>
      <c r="U257" s="40" t="n">
        <f aca="true">RAND()</f>
        <v>0.946200477166729</v>
      </c>
    </row>
    <row r="258" customFormat="false" ht="15" hidden="false" customHeight="false" outlineLevel="0" collapsed="false">
      <c r="A258" s="36" t="n">
        <v>178</v>
      </c>
      <c r="B258" s="37" t="n">
        <f aca="false">1+IF($G$6=$E$6,$F$6,IF(P258&lt;($F$6-$E$6)/($G$6-$E$6),$E$6+SQRT(P258*($G$6-$E$6)*($F$6-$E$6)),$G$6-SQRT((1-P258)*($G$6-$E$6)*($G$6-$F$6))))</f>
        <v>0.96757471957624</v>
      </c>
      <c r="C258" s="37" t="n">
        <f aca="false">1+IF($G$7=$E$7,$F$7,IF(Q258&lt;($F$7-$E$7)/($G$7-$E$7),$E$7+SQRT(Q258*($G$7-$E$7)*($F$7-$E$7)),$G$7-SQRT((1-Q258)*($G$7-$E$7)*($G$7-$F$7))))</f>
        <v>1.07891767726306</v>
      </c>
      <c r="D258" s="37" t="n">
        <f aca="false">1+IF($G$8=$E$8,$F$8,IF(R258&lt;($F$8-$E$8)/($G$8-$E$8),$E$8+SQRT(R258*($G$8-$E$8)*($F$8-$E$8)),$G$8-SQRT((1-R258)*($G$8-$E$8)*($G$8-$F$8))))</f>
        <v>1.00331690645987</v>
      </c>
      <c r="E258" s="37" t="n">
        <f aca="false">1+IF($G$9=$E$9,$F$9,IF(S258&lt;($F$9-$E$9)/($G$9-$E$9),$E$9+SQRT(S258*($G$9-$E$9)*($F$9-$E$9)),$G$9-SQRT((1-S258)*($G$9-$E$9)*($G$9-$F$9))))</f>
        <v>1.01204893077486</v>
      </c>
      <c r="F258" s="37" t="n">
        <f aca="false">1+IF($G$10=$E$10,$F$10,IF(T258&lt;($F$10-$E$10)/($G$10-$E$10),$E$10+SQRT(T258*($G$10-$E$10)*($F$10-$E$10)),$G$10-SQRT((1-T258)*($G$10-$E$10)*($G$10-$F$10))))</f>
        <v>1.00827474943631</v>
      </c>
      <c r="G258" s="38" t="n">
        <f aca="false">IF($G$11=$E$11,$F$11,IF(U258&lt;($F$11-$E$11)/($G$11-$E$11),$E$11+SQRT(U258*($G$11-$E$11)*($F$11-$E$11)),$G$11-SQRT((1-U258)*($G$11-$E$11)*($G$11-$F$11))))</f>
        <v>0.104807193944233</v>
      </c>
      <c r="H258" s="39" t="n">
        <f aca="false">(('Business Case'!B11*$C258*'Business Case'!B12*$B258)-'Business Case'!B11*$C258*'Business Case'!B13*$D258-'Business Case'!B14*$E258)-MAX(0,(('Business Case'!B11*$C258*'Business Case'!B12*$B258)-'Business Case'!B11*$C258*'Business Case'!B13*$D258-'Business Case'!B14*$E258))*'Business Case'!$B$7-'Business Case'!$B$8*('Business Case'!B11*$C258*'Business Case'!B12*$B258)-'Business Case'!B15*$F258</f>
        <v>-2016549498.87262</v>
      </c>
      <c r="I258" s="39" t="n">
        <f aca="false">(('Business Case'!C11*$C258*'Business Case'!C12*$B258)-'Business Case'!C11*$C258*'Business Case'!C13*$D258-'Business Case'!C14*$E258)-MAX(0,(('Business Case'!C11*$C258*'Business Case'!C12*$B258)-'Business Case'!C11*$C258*'Business Case'!C13*$D258-'Business Case'!C14*$E258))*'Business Case'!$B$7-'Business Case'!$B$8*(('Business Case'!C11*$C258*'Business Case'!C12*$B258)-('Business Case'!B11*$C258*'Business Case'!B12*$B258))-'Business Case'!C15*$F258</f>
        <v>2046800.82030573</v>
      </c>
      <c r="J258" s="39" t="n">
        <f aca="false">(('Business Case'!D11*$C258*'Business Case'!D12*$B258)-'Business Case'!D11*$C258*'Business Case'!D13*$D258-'Business Case'!D14*$E258)-MAX(0,(('Business Case'!D11*$C258*'Business Case'!D12*$B258)-'Business Case'!D11*$C258*'Business Case'!D13*$D258-'Business Case'!D14*$E258))*'Business Case'!$B$7-'Business Case'!$B$8*(('Business Case'!D11*$C258*'Business Case'!D12*$B258)-('Business Case'!C11*$C258*'Business Case'!C12*$B258))-'Business Case'!D15*$F258</f>
        <v>302951945.574613</v>
      </c>
      <c r="K258" s="39" t="n">
        <f aca="false">(('Business Case'!E11*$C258*'Business Case'!E12*$B258)-'Business Case'!E11*$C258*'Business Case'!E13*$D258-'Business Case'!E14*$E258)-MAX(0,(('Business Case'!E11*$C258*'Business Case'!E12*$B258)-'Business Case'!E11*$C258*'Business Case'!E13*$D258-'Business Case'!E14*$E258))*'Business Case'!$B$7-'Business Case'!$B$8*(('Business Case'!E11*$C258*'Business Case'!E12*$B258)-('Business Case'!D11*$C258*'Business Case'!D12*$B258))-'Business Case'!E15*$F258</f>
        <v>654270827.800737</v>
      </c>
      <c r="L258" s="39" t="n">
        <f aca="false">(('Business Case'!F11*$C258*'Business Case'!F12*$B258)-'Business Case'!F11*$C258*'Business Case'!F13*$D258-'Business Case'!F14*$E258)-MAX(0,(('Business Case'!F11*$C258*'Business Case'!F12*$B258)-'Business Case'!F11*$C258*'Business Case'!F13*$D258-'Business Case'!F14*$E258))*'Business Case'!$B$7-'Business Case'!$B$8*(('Business Case'!F11*$C258*'Business Case'!F12*$B258)-('Business Case'!E11*$C258*'Business Case'!E12*$B258))-'Business Case'!F15*$F258</f>
        <v>790650883.408296</v>
      </c>
      <c r="M258" s="39" t="n">
        <f aca="false">(('Business Case'!G11*$C258*'Business Case'!G12*$B258)-'Business Case'!G11*$C258*'Business Case'!G13*$D258-'Business Case'!G14*$E258)-MAX(0,(('Business Case'!G11*$C258*'Business Case'!G12*$B258)-'Business Case'!G11*$C258*'Business Case'!G13*$D258-'Business Case'!G14*$E258))*'Business Case'!$B$7-'Business Case'!$B$8*(('Business Case'!G11*$C258*'Business Case'!G12*$B258)-('Business Case'!F11*$C258*'Business Case'!F12*$B258))-'Business Case'!G15*$F258+'Business Case'!$B$8*('Business Case'!G11*$C258*'Business Case'!G12*$B258)</f>
        <v>989081757.200312</v>
      </c>
      <c r="N258" s="39" t="n">
        <f aca="false">IF(COUNT('Business Case'!B11:G11)=0,"",H258+NPV(G258,I258:M258))</f>
        <v>-149738845.552876</v>
      </c>
      <c r="P258" s="40" t="n">
        <f aca="true">RAND()</f>
        <v>0.235766035703942</v>
      </c>
      <c r="Q258" s="40" t="n">
        <f aca="true">RAND()</f>
        <v>0.903758159891841</v>
      </c>
      <c r="R258" s="40" t="n">
        <f aca="true">RAND()</f>
        <v>0.434586842799536</v>
      </c>
      <c r="S258" s="40" t="n">
        <f aca="true">RAND()</f>
        <v>0.484307294810282</v>
      </c>
      <c r="T258" s="40" t="n">
        <f aca="true">RAND()</f>
        <v>0.264828565925801</v>
      </c>
      <c r="U258" s="40" t="n">
        <f aca="true">RAND()</f>
        <v>0.615297740253105</v>
      </c>
    </row>
    <row r="259" customFormat="false" ht="15" hidden="false" customHeight="false" outlineLevel="0" collapsed="false">
      <c r="A259" s="36" t="n">
        <v>179</v>
      </c>
      <c r="B259" s="37" t="n">
        <f aca="false">1+IF($G$6=$E$6,$F$6,IF(P259&lt;($F$6-$E$6)/($G$6-$E$6),$E$6+SQRT(P259*($G$6-$E$6)*($F$6-$E$6)),$G$6-SQRT((1-P259)*($G$6-$E$6)*($G$6-$F$6))))</f>
        <v>0.980546081014292</v>
      </c>
      <c r="C259" s="37" t="n">
        <f aca="false">1+IF($G$7=$E$7,$F$7,IF(Q259&lt;($F$7-$E$7)/($G$7-$E$7),$E$7+SQRT(Q259*($G$7-$E$7)*($F$7-$E$7)),$G$7-SQRT((1-Q259)*($G$7-$E$7)*($G$7-$F$7))))</f>
        <v>0.979557560443557</v>
      </c>
      <c r="D259" s="37" t="n">
        <f aca="false">1+IF($G$8=$E$8,$F$8,IF(R259&lt;($F$8-$E$8)/($G$8-$E$8),$E$8+SQRT(R259*($G$8-$E$8)*($F$8-$E$8)),$G$8-SQRT((1-R259)*($G$8-$E$8)*($G$8-$F$8))))</f>
        <v>0.997107749678891</v>
      </c>
      <c r="E259" s="37" t="n">
        <f aca="false">1+IF($G$9=$E$9,$F$9,IF(S259&lt;($F$9-$E$9)/($G$9-$E$9),$E$9+SQRT(S259*($G$9-$E$9)*($F$9-$E$9)),$G$9-SQRT((1-S259)*($G$9-$E$9)*($G$9-$F$9))))</f>
        <v>0.97702904465375</v>
      </c>
      <c r="F259" s="37" t="n">
        <f aca="false">1+IF($G$10=$E$10,$F$10,IF(T259&lt;($F$10-$E$10)/($G$10-$E$10),$E$10+SQRT(T259*($G$10-$E$10)*($F$10-$E$10)),$G$10-SQRT((1-T259)*($G$10-$E$10)*($G$10-$F$10))))</f>
        <v>1.07722738676513</v>
      </c>
      <c r="G259" s="38" t="n">
        <f aca="false">IF($G$11=$E$11,$F$11,IF(U259&lt;($F$11-$E$11)/($G$11-$E$11),$E$11+SQRT(U259*($G$11-$E$11)*($F$11-$E$11)),$G$11-SQRT((1-U259)*($G$11-$E$11)*($G$11-$F$11))))</f>
        <v>0.094312518358326</v>
      </c>
      <c r="H259" s="39" t="n">
        <f aca="false">(('Business Case'!B11*$C259*'Business Case'!B12*$B259)-'Business Case'!B11*$C259*'Business Case'!B13*$D259-'Business Case'!B14*$E259)-MAX(0,(('Business Case'!B11*$C259*'Business Case'!B12*$B259)-'Business Case'!B11*$C259*'Business Case'!B13*$D259-'Business Case'!B14*$E259))*'Business Case'!$B$7-'Business Case'!$B$8*('Business Case'!B11*$C259*'Business Case'!B12*$B259)-'Business Case'!B15*$F259</f>
        <v>-2154454773.53026</v>
      </c>
      <c r="I259" s="39" t="n">
        <f aca="false">(('Business Case'!C11*$C259*'Business Case'!C12*$B259)-'Business Case'!C11*$C259*'Business Case'!C13*$D259-'Business Case'!C14*$E259)-MAX(0,(('Business Case'!C11*$C259*'Business Case'!C12*$B259)-'Business Case'!C11*$C259*'Business Case'!C13*$D259-'Business Case'!C14*$E259))*'Business Case'!$B$7-'Business Case'!$B$8*(('Business Case'!C11*$C259*'Business Case'!C12*$B259)-('Business Case'!B11*$C259*'Business Case'!B12*$B259))-'Business Case'!C15*$F259</f>
        <v>-9733687.3433407</v>
      </c>
      <c r="J259" s="39" t="n">
        <f aca="false">(('Business Case'!D11*$C259*'Business Case'!D12*$B259)-'Business Case'!D11*$C259*'Business Case'!D13*$D259-'Business Case'!D14*$E259)-MAX(0,(('Business Case'!D11*$C259*'Business Case'!D12*$B259)-'Business Case'!D11*$C259*'Business Case'!D13*$D259-'Business Case'!D14*$E259))*'Business Case'!$B$7-'Business Case'!$B$8*(('Business Case'!D11*$C259*'Business Case'!D12*$B259)-('Business Case'!C11*$C259*'Business Case'!C12*$B259))-'Business Case'!D15*$F259</f>
        <v>276981282.932356</v>
      </c>
      <c r="K259" s="39" t="n">
        <f aca="false">(('Business Case'!E11*$C259*'Business Case'!E12*$B259)-'Business Case'!E11*$C259*'Business Case'!E13*$D259-'Business Case'!E14*$E259)-MAX(0,(('Business Case'!E11*$C259*'Business Case'!E12*$B259)-'Business Case'!E11*$C259*'Business Case'!E13*$D259-'Business Case'!E14*$E259))*'Business Case'!$B$7-'Business Case'!$B$8*(('Business Case'!E11*$C259*'Business Case'!E12*$B259)-('Business Case'!D11*$C259*'Business Case'!D12*$B259))-'Business Case'!E15*$F259</f>
        <v>617557622.546309</v>
      </c>
      <c r="L259" s="39" t="n">
        <f aca="false">(('Business Case'!F11*$C259*'Business Case'!F12*$B259)-'Business Case'!F11*$C259*'Business Case'!F13*$D259-'Business Case'!F14*$E259)-MAX(0,(('Business Case'!F11*$C259*'Business Case'!F12*$B259)-'Business Case'!F11*$C259*'Business Case'!F13*$D259-'Business Case'!F14*$E259))*'Business Case'!$B$7-'Business Case'!$B$8*(('Business Case'!F11*$C259*'Business Case'!F12*$B259)-('Business Case'!E11*$C259*'Business Case'!E12*$B259))-'Business Case'!F15*$F259</f>
        <v>746324205.166716</v>
      </c>
      <c r="M259" s="39" t="n">
        <f aca="false">(('Business Case'!G11*$C259*'Business Case'!G12*$B259)-'Business Case'!G11*$C259*'Business Case'!G13*$D259-'Business Case'!G14*$E259)-MAX(0,(('Business Case'!G11*$C259*'Business Case'!G12*$B259)-'Business Case'!G11*$C259*'Business Case'!G13*$D259-'Business Case'!G14*$E259))*'Business Case'!$B$7-'Business Case'!$B$8*(('Business Case'!G11*$C259*'Business Case'!G12*$B259)-('Business Case'!F11*$C259*'Business Case'!F12*$B259))-'Business Case'!G15*$F259+'Business Case'!$B$8*('Business Case'!G11*$C259*'Business Case'!G12*$B259)</f>
        <v>928896297.406839</v>
      </c>
      <c r="N259" s="39" t="n">
        <f aca="false">IF(COUNT('Business Case'!B11:G11)=0,"",H259+NPV(G259,I259:M259))</f>
        <v>-348455496.478015</v>
      </c>
      <c r="P259" s="40" t="n">
        <f aca="true">RAND()</f>
        <v>0.381857075644712</v>
      </c>
      <c r="Q259" s="40" t="n">
        <f aca="true">RAND()</f>
        <v>0.460584535892023</v>
      </c>
      <c r="R259" s="40" t="n">
        <f aca="true">RAND()</f>
        <v>0.341406166124465</v>
      </c>
      <c r="S259" s="40" t="n">
        <f aca="true">RAND()</f>
        <v>0.0974092339859209</v>
      </c>
      <c r="T259" s="40" t="n">
        <f aca="true">RAND()</f>
        <v>0.698537708789632</v>
      </c>
      <c r="U259" s="40" t="n">
        <f aca="true">RAND()</f>
        <v>0.0619927153029945</v>
      </c>
    </row>
    <row r="260" customFormat="false" ht="15" hidden="false" customHeight="false" outlineLevel="0" collapsed="false">
      <c r="A260" s="36" t="n">
        <v>180</v>
      </c>
      <c r="B260" s="37" t="n">
        <f aca="false">1+IF($G$6=$E$6,$F$6,IF(P260&lt;($F$6-$E$6)/($G$6-$E$6),$E$6+SQRT(P260*($G$6-$E$6)*($F$6-$E$6)),$G$6-SQRT((1-P260)*($G$6-$E$6)*($G$6-$F$6))))</f>
        <v>0.998979173089495</v>
      </c>
      <c r="C260" s="37" t="n">
        <f aca="false">1+IF($G$7=$E$7,$F$7,IF(Q260&lt;($F$7-$E$7)/($G$7-$E$7),$E$7+SQRT(Q260*($G$7-$E$7)*($F$7-$E$7)),$G$7-SQRT((1-Q260)*($G$7-$E$7)*($G$7-$F$7))))</f>
        <v>0.974117150557095</v>
      </c>
      <c r="D260" s="37" t="n">
        <f aca="false">1+IF($G$8=$E$8,$F$8,IF(R260&lt;($F$8-$E$8)/($G$8-$E$8),$E$8+SQRT(R260*($G$8-$E$8)*($F$8-$E$8)),$G$8-SQRT((1-R260)*($G$8-$E$8)*($G$8-$F$8))))</f>
        <v>1.03194607694404</v>
      </c>
      <c r="E260" s="37" t="n">
        <f aca="false">1+IF($G$9=$E$9,$F$9,IF(S260&lt;($F$9-$E$9)/($G$9-$E$9),$E$9+SQRT(S260*($G$9-$E$9)*($F$9-$E$9)),$G$9-SQRT((1-S260)*($G$9-$E$9)*($G$9-$F$9))))</f>
        <v>0.986490791176745</v>
      </c>
      <c r="F260" s="37" t="n">
        <f aca="false">1+IF($G$10=$E$10,$F$10,IF(T260&lt;($F$10-$E$10)/($G$10-$E$10),$E$10+SQRT(T260*($G$10-$E$10)*($F$10-$E$10)),$G$10-SQRT((1-T260)*($G$10-$E$10)*($G$10-$F$10))))</f>
        <v>0.998745065030338</v>
      </c>
      <c r="G260" s="38" t="n">
        <f aca="false">IF($G$11=$E$11,$F$11,IF(U260&lt;($F$11-$E$11)/($G$11-$E$11),$E$11+SQRT(U260*($G$11-$E$11)*($F$11-$E$11)),$G$11-SQRT((1-U260)*($G$11-$E$11)*($G$11-$F$11))))</f>
        <v>0.10343955939098</v>
      </c>
      <c r="H260" s="39" t="n">
        <f aca="false">(('Business Case'!B11*$C260*'Business Case'!B12*$B260)-'Business Case'!B11*$C260*'Business Case'!B13*$D260-'Business Case'!B14*$E260)-MAX(0,(('Business Case'!B11*$C260*'Business Case'!B12*$B260)-'Business Case'!B11*$C260*'Business Case'!B13*$D260-'Business Case'!B14*$E260))*'Business Case'!$B$7-'Business Case'!$B$8*('Business Case'!B11*$C260*'Business Case'!B12*$B260)-'Business Case'!B15*$F260</f>
        <v>-1997490130.06068</v>
      </c>
      <c r="I260" s="39" t="n">
        <f aca="false">(('Business Case'!C11*$C260*'Business Case'!C12*$B260)-'Business Case'!C11*$C260*'Business Case'!C13*$D260-'Business Case'!C14*$E260)-MAX(0,(('Business Case'!C11*$C260*'Business Case'!C12*$B260)-'Business Case'!C11*$C260*'Business Case'!C13*$D260-'Business Case'!C14*$E260))*'Business Case'!$B$7-'Business Case'!$B$8*(('Business Case'!C11*$C260*'Business Case'!C12*$B260)-('Business Case'!B11*$C260*'Business Case'!B12*$B260))-'Business Case'!C15*$F260</f>
        <v>-8143190.24498881</v>
      </c>
      <c r="J260" s="39" t="n">
        <f aca="false">(('Business Case'!D11*$C260*'Business Case'!D12*$B260)-'Business Case'!D11*$C260*'Business Case'!D13*$D260-'Business Case'!D14*$E260)-MAX(0,(('Business Case'!D11*$C260*'Business Case'!D12*$B260)-'Business Case'!D11*$C260*'Business Case'!D13*$D260-'Business Case'!D14*$E260))*'Business Case'!$B$7-'Business Case'!$B$8*(('Business Case'!D11*$C260*'Business Case'!D12*$B260)-('Business Case'!C11*$C260*'Business Case'!C12*$B260))-'Business Case'!D15*$F260</f>
        <v>274313799.648003</v>
      </c>
      <c r="K260" s="39" t="n">
        <f aca="false">(('Business Case'!E11*$C260*'Business Case'!E12*$B260)-'Business Case'!E11*$C260*'Business Case'!E13*$D260-'Business Case'!E14*$E260)-MAX(0,(('Business Case'!E11*$C260*'Business Case'!E12*$B260)-'Business Case'!E11*$C260*'Business Case'!E13*$D260-'Business Case'!E14*$E260))*'Business Case'!$B$7-'Business Case'!$B$8*(('Business Case'!E11*$C260*'Business Case'!E12*$B260)-('Business Case'!D11*$C260*'Business Case'!D12*$B260))-'Business Case'!E15*$F260</f>
        <v>606708042.792512</v>
      </c>
      <c r="L260" s="39" t="n">
        <f aca="false">(('Business Case'!F11*$C260*'Business Case'!F12*$B260)-'Business Case'!F11*$C260*'Business Case'!F13*$D260-'Business Case'!F14*$E260)-MAX(0,(('Business Case'!F11*$C260*'Business Case'!F12*$B260)-'Business Case'!F11*$C260*'Business Case'!F13*$D260-'Business Case'!F14*$E260))*'Business Case'!$B$7-'Business Case'!$B$8*(('Business Case'!F11*$C260*'Business Case'!F12*$B260)-('Business Case'!E11*$C260*'Business Case'!E12*$B260))-'Business Case'!F15*$F260</f>
        <v>734491494.843252</v>
      </c>
      <c r="M260" s="39" t="n">
        <f aca="false">(('Business Case'!G11*$C260*'Business Case'!G12*$B260)-'Business Case'!G11*$C260*'Business Case'!G13*$D260-'Business Case'!G14*$E260)-MAX(0,(('Business Case'!G11*$C260*'Business Case'!G12*$B260)-'Business Case'!G11*$C260*'Business Case'!G13*$D260-'Business Case'!G14*$E260))*'Business Case'!$B$7-'Business Case'!$B$8*(('Business Case'!G11*$C260*'Business Case'!G12*$B260)-('Business Case'!F11*$C260*'Business Case'!F12*$B260))-'Business Case'!G15*$F260+'Business Case'!$B$8*('Business Case'!G11*$C260*'Business Case'!G12*$B260)</f>
        <v>919462666.318503</v>
      </c>
      <c r="N260" s="39" t="n">
        <f aca="false">IF(COUNT('Business Case'!B11:G11)=0,"",H260+NPV(G260,I260:M260))</f>
        <v>-270483151.778957</v>
      </c>
      <c r="P260" s="40" t="n">
        <f aca="true">RAND()</f>
        <v>0.649761435614624</v>
      </c>
      <c r="Q260" s="40" t="n">
        <f aca="true">RAND()</f>
        <v>0.433096887401745</v>
      </c>
      <c r="R260" s="40" t="n">
        <f aca="true">RAND()</f>
        <v>0.777963507589606</v>
      </c>
      <c r="S260" s="40" t="n">
        <f aca="true">RAND()</f>
        <v>0.177543712093975</v>
      </c>
      <c r="T260" s="40" t="n">
        <f aca="true">RAND()</f>
        <v>0.190086509184949</v>
      </c>
      <c r="U260" s="40" t="n">
        <f aca="true">RAND()</f>
        <v>0.542919678058539</v>
      </c>
    </row>
    <row r="261" customFormat="false" ht="15" hidden="false" customHeight="false" outlineLevel="0" collapsed="false">
      <c r="A261" s="36" t="n">
        <v>181</v>
      </c>
      <c r="B261" s="37" t="n">
        <f aca="false">1+IF($G$6=$E$6,$F$6,IF(P261&lt;($F$6-$E$6)/($G$6-$E$6),$E$6+SQRT(P261*($G$6-$E$6)*($F$6-$E$6)),$G$6-SQRT((1-P261)*($G$6-$E$6)*($G$6-$F$6))))</f>
        <v>0.961868331106784</v>
      </c>
      <c r="C261" s="37" t="n">
        <f aca="false">1+IF($G$7=$E$7,$F$7,IF(Q261&lt;($F$7-$E$7)/($G$7-$E$7),$E$7+SQRT(Q261*($G$7-$E$7)*($F$7-$E$7)),$G$7-SQRT((1-Q261)*($G$7-$E$7)*($G$7-$F$7))))</f>
        <v>0.938748341522717</v>
      </c>
      <c r="D261" s="37" t="n">
        <f aca="false">1+IF($G$8=$E$8,$F$8,IF(R261&lt;($F$8-$E$8)/($G$8-$E$8),$E$8+SQRT(R261*($G$8-$E$8)*($F$8-$E$8)),$G$8-SQRT((1-R261)*($G$8-$E$8)*($G$8-$F$8))))</f>
        <v>1.0374105550741</v>
      </c>
      <c r="E261" s="37" t="n">
        <f aca="false">1+IF($G$9=$E$9,$F$9,IF(S261&lt;($F$9-$E$9)/($G$9-$E$9),$E$9+SQRT(S261*($G$9-$E$9)*($F$9-$E$9)),$G$9-SQRT((1-S261)*($G$9-$E$9)*($G$9-$F$9))))</f>
        <v>0.980084077857087</v>
      </c>
      <c r="F261" s="37" t="n">
        <f aca="false">1+IF($G$10=$E$10,$F$10,IF(T261&lt;($F$10-$E$10)/($G$10-$E$10),$E$10+SQRT(T261*($G$10-$E$10)*($F$10-$E$10)),$G$10-SQRT((1-T261)*($G$10-$E$10)*($G$10-$F$10))))</f>
        <v>1.118668200858</v>
      </c>
      <c r="G261" s="38" t="n">
        <f aca="false">IF($G$11=$E$11,$F$11,IF(U261&lt;($F$11-$E$11)/($G$11-$E$11),$E$11+SQRT(U261*($G$11-$E$11)*($F$11-$E$11)),$G$11-SQRT((1-U261)*($G$11-$E$11)*($G$11-$F$11))))</f>
        <v>0.111366058132293</v>
      </c>
      <c r="H261" s="39" t="n">
        <f aca="false">(('Business Case'!B11*$C261*'Business Case'!B12*$B261)-'Business Case'!B11*$C261*'Business Case'!B13*$D261-'Business Case'!B14*$E261)-MAX(0,(('Business Case'!B11*$C261*'Business Case'!B12*$B261)-'Business Case'!B11*$C261*'Business Case'!B13*$D261-'Business Case'!B14*$E261))*'Business Case'!$B$7-'Business Case'!$B$8*('Business Case'!B11*$C261*'Business Case'!B12*$B261)-'Business Case'!B15*$F261</f>
        <v>-2237336401.71599</v>
      </c>
      <c r="I261" s="39" t="n">
        <f aca="false">(('Business Case'!C11*$C261*'Business Case'!C12*$B261)-'Business Case'!C11*$C261*'Business Case'!C13*$D261-'Business Case'!C14*$E261)-MAX(0,(('Business Case'!C11*$C261*'Business Case'!C12*$B261)-'Business Case'!C11*$C261*'Business Case'!C13*$D261-'Business Case'!C14*$E261))*'Business Case'!$B$7-'Business Case'!$B$8*(('Business Case'!C11*$C261*'Business Case'!C12*$B261)-('Business Case'!B11*$C261*'Business Case'!B12*$B261))-'Business Case'!C15*$F261</f>
        <v>-57003095.359618</v>
      </c>
      <c r="J261" s="39" t="n">
        <f aca="false">(('Business Case'!D11*$C261*'Business Case'!D12*$B261)-'Business Case'!D11*$C261*'Business Case'!D13*$D261-'Business Case'!D14*$E261)-MAX(0,(('Business Case'!D11*$C261*'Business Case'!D12*$B261)-'Business Case'!D11*$C261*'Business Case'!D13*$D261-'Business Case'!D14*$E261))*'Business Case'!$B$7-'Business Case'!$B$8*(('Business Case'!D11*$C261*'Business Case'!D12*$B261)-('Business Case'!C11*$C261*'Business Case'!C12*$B261))-'Business Case'!D15*$F261</f>
        <v>184037632.500412</v>
      </c>
      <c r="K261" s="39" t="n">
        <f aca="false">(('Business Case'!E11*$C261*'Business Case'!E12*$B261)-'Business Case'!E11*$C261*'Business Case'!E13*$D261-'Business Case'!E14*$E261)-MAX(0,(('Business Case'!E11*$C261*'Business Case'!E12*$B261)-'Business Case'!E11*$C261*'Business Case'!E13*$D261-'Business Case'!E14*$E261))*'Business Case'!$B$7-'Business Case'!$B$8*(('Business Case'!E11*$C261*'Business Case'!E12*$B261)-('Business Case'!D11*$C261*'Business Case'!D12*$B261))-'Business Case'!E15*$F261</f>
        <v>481011770.403342</v>
      </c>
      <c r="L261" s="39" t="n">
        <f aca="false">(('Business Case'!F11*$C261*'Business Case'!F12*$B261)-'Business Case'!F11*$C261*'Business Case'!F13*$D261-'Business Case'!F14*$E261)-MAX(0,(('Business Case'!F11*$C261*'Business Case'!F12*$B261)-'Business Case'!F11*$C261*'Business Case'!F13*$D261-'Business Case'!F14*$E261))*'Business Case'!$B$7-'Business Case'!$B$8*(('Business Case'!F11*$C261*'Business Case'!F12*$B261)-('Business Case'!E11*$C261*'Business Case'!E12*$B261))-'Business Case'!F15*$F261</f>
        <v>592564711.1984</v>
      </c>
      <c r="M261" s="39" t="n">
        <f aca="false">(('Business Case'!G11*$C261*'Business Case'!G12*$B261)-'Business Case'!G11*$C261*'Business Case'!G13*$D261-'Business Case'!G14*$E261)-MAX(0,(('Business Case'!G11*$C261*'Business Case'!G12*$B261)-'Business Case'!G11*$C261*'Business Case'!G13*$D261-'Business Case'!G14*$E261))*'Business Case'!$B$7-'Business Case'!$B$8*(('Business Case'!G11*$C261*'Business Case'!G12*$B261)-('Business Case'!F11*$C261*'Business Case'!F12*$B261))-'Business Case'!G15*$F261+'Business Case'!$B$8*('Business Case'!G11*$C261*'Business Case'!G12*$B261)</f>
        <v>764197884.494493</v>
      </c>
      <c r="N261" s="39" t="n">
        <f aca="false">IF(COUNT('Business Case'!B11:G11)=0,"",H261+NPV(G261,I261:M261))</f>
        <v>-950050062.242972</v>
      </c>
      <c r="P261" s="40" t="n">
        <f aca="true">RAND()</f>
        <v>0.18259970309034</v>
      </c>
      <c r="Q261" s="40" t="n">
        <f aca="true">RAND()</f>
        <v>0.275015746790065</v>
      </c>
      <c r="R261" s="40" t="n">
        <f aca="true">RAND()</f>
        <v>0.825590305856136</v>
      </c>
      <c r="S261" s="40" t="n">
        <f aca="true">RAND()</f>
        <v>0.120673565401503</v>
      </c>
      <c r="T261" s="40" t="n">
        <f aca="true">RAND()</f>
        <v>0.867702768966495</v>
      </c>
      <c r="U261" s="40" t="n">
        <f aca="true">RAND()</f>
        <v>0.875758413041763</v>
      </c>
    </row>
    <row r="262" customFormat="false" ht="15" hidden="false" customHeight="false" outlineLevel="0" collapsed="false">
      <c r="A262" s="36" t="n">
        <v>182</v>
      </c>
      <c r="B262" s="37" t="n">
        <f aca="false">1+IF($G$6=$E$6,$F$6,IF(P262&lt;($F$6-$E$6)/($G$6-$E$6),$E$6+SQRT(P262*($G$6-$E$6)*($F$6-$E$6)),$G$6-SQRT((1-P262)*($G$6-$E$6)*($G$6-$F$6))))</f>
        <v>0.986136715594883</v>
      </c>
      <c r="C262" s="37" t="n">
        <f aca="false">1+IF($G$7=$E$7,$F$7,IF(Q262&lt;($F$7-$E$7)/($G$7-$E$7),$E$7+SQRT(Q262*($G$7-$E$7)*($F$7-$E$7)),$G$7-SQRT((1-Q262)*($G$7-$E$7)*($G$7-$F$7))))</f>
        <v>1.09866882943053</v>
      </c>
      <c r="D262" s="37" t="n">
        <f aca="false">1+IF($G$8=$E$8,$F$8,IF(R262&lt;($F$8-$E$8)/($G$8-$E$8),$E$8+SQRT(R262*($G$8-$E$8)*($F$8-$E$8)),$G$8-SQRT((1-R262)*($G$8-$E$8)*($G$8-$F$8))))</f>
        <v>1.00547595019262</v>
      </c>
      <c r="E262" s="37" t="n">
        <f aca="false">1+IF($G$9=$E$9,$F$9,IF(S262&lt;($F$9-$E$9)/($G$9-$E$9),$E$9+SQRT(S262*($G$9-$E$9)*($F$9-$E$9)),$G$9-SQRT((1-S262)*($G$9-$E$9)*($G$9-$F$9))))</f>
        <v>1.00049521035233</v>
      </c>
      <c r="F262" s="37" t="n">
        <f aca="false">1+IF($G$10=$E$10,$F$10,IF(T262&lt;($F$10-$E$10)/($G$10-$E$10),$E$10+SQRT(T262*($G$10-$E$10)*($F$10-$E$10)),$G$10-SQRT((1-T262)*($G$10-$E$10)*($G$10-$F$10))))</f>
        <v>1.06484279074094</v>
      </c>
      <c r="G262" s="38" t="n">
        <f aca="false">IF($G$11=$E$11,$F$11,IF(U262&lt;($F$11-$E$11)/($G$11-$E$11),$E$11+SQRT(U262*($G$11-$E$11)*($F$11-$E$11)),$G$11-SQRT((1-U262)*($G$11-$E$11)*($G$11-$F$11))))</f>
        <v>0.1056548449917</v>
      </c>
      <c r="H262" s="39" t="n">
        <f aca="false">(('Business Case'!B11*$C262*'Business Case'!B12*$B262)-'Business Case'!B11*$C262*'Business Case'!B13*$D262-'Business Case'!B14*$E262)-MAX(0,(('Business Case'!B11*$C262*'Business Case'!B12*$B262)-'Business Case'!B11*$C262*'Business Case'!B13*$D262-'Business Case'!B14*$E262))*'Business Case'!$B$7-'Business Case'!$B$8*('Business Case'!B11*$C262*'Business Case'!B12*$B262)-'Business Case'!B15*$F262</f>
        <v>-2129685581.48188</v>
      </c>
      <c r="I262" s="39" t="n">
        <f aca="false">(('Business Case'!C11*$C262*'Business Case'!C12*$B262)-'Business Case'!C11*$C262*'Business Case'!C13*$D262-'Business Case'!C14*$E262)-MAX(0,(('Business Case'!C11*$C262*'Business Case'!C12*$B262)-'Business Case'!C11*$C262*'Business Case'!C13*$D262-'Business Case'!C14*$E262))*'Business Case'!$B$7-'Business Case'!$B$8*(('Business Case'!C11*$C262*'Business Case'!C12*$B262)-('Business Case'!B11*$C262*'Business Case'!B12*$B262))-'Business Case'!C15*$F262</f>
        <v>16982964.3708324</v>
      </c>
      <c r="J262" s="39" t="n">
        <f aca="false">(('Business Case'!D11*$C262*'Business Case'!D12*$B262)-'Business Case'!D11*$C262*'Business Case'!D13*$D262-'Business Case'!D14*$E262)-MAX(0,(('Business Case'!D11*$C262*'Business Case'!D12*$B262)-'Business Case'!D11*$C262*'Business Case'!D13*$D262-'Business Case'!D14*$E262))*'Business Case'!$B$7-'Business Case'!$B$8*(('Business Case'!D11*$C262*'Business Case'!D12*$B262)-('Business Case'!C11*$C262*'Business Case'!C12*$B262))-'Business Case'!D15*$F262</f>
        <v>338886035.59152</v>
      </c>
      <c r="K262" s="39" t="n">
        <f aca="false">(('Business Case'!E11*$C262*'Business Case'!E12*$B262)-'Business Case'!E11*$C262*'Business Case'!E13*$D262-'Business Case'!E14*$E262)-MAX(0,(('Business Case'!E11*$C262*'Business Case'!E12*$B262)-'Business Case'!E11*$C262*'Business Case'!E13*$D262-'Business Case'!E14*$E262))*'Business Case'!$B$7-'Business Case'!$B$8*(('Business Case'!E11*$C262*'Business Case'!E12*$B262)-('Business Case'!D11*$C262*'Business Case'!D12*$B262))-'Business Case'!E15*$F262</f>
        <v>714031246.349254</v>
      </c>
      <c r="L262" s="39" t="n">
        <f aca="false">(('Business Case'!F11*$C262*'Business Case'!F12*$B262)-'Business Case'!F11*$C262*'Business Case'!F13*$D262-'Business Case'!F14*$E262)-MAX(0,(('Business Case'!F11*$C262*'Business Case'!F12*$B262)-'Business Case'!F11*$C262*'Business Case'!F13*$D262-'Business Case'!F14*$E262))*'Business Case'!$B$7-'Business Case'!$B$8*(('Business Case'!F11*$C262*'Business Case'!F12*$B262)-('Business Case'!E11*$C262*'Business Case'!E12*$B262))-'Business Case'!F15*$F262</f>
        <v>858775875.998591</v>
      </c>
      <c r="M262" s="39" t="n">
        <f aca="false">(('Business Case'!G11*$C262*'Business Case'!G12*$B262)-'Business Case'!G11*$C262*'Business Case'!G13*$D262-'Business Case'!G14*$E262)-MAX(0,(('Business Case'!G11*$C262*'Business Case'!G12*$B262)-'Business Case'!G11*$C262*'Business Case'!G13*$D262-'Business Case'!G14*$E262))*'Business Case'!$B$7-'Business Case'!$B$8*(('Business Case'!G11*$C262*'Business Case'!G12*$B262)-('Business Case'!F11*$C262*'Business Case'!F12*$B262))-'Business Case'!G15*$F262+'Business Case'!$B$8*('Business Case'!G11*$C262*'Business Case'!G12*$B262)</f>
        <v>1064715708.49868</v>
      </c>
      <c r="N262" s="39" t="n">
        <f aca="false">IF(COUNT('Business Case'!B11:G11)=0,"",H262+NPV(G262,I262:M262))</f>
        <v>-89820545.8624814</v>
      </c>
      <c r="P262" s="40" t="n">
        <f aca="true">RAND()</f>
        <v>0.45563178642484</v>
      </c>
      <c r="Q262" s="40" t="n">
        <f aca="true">RAND()</f>
        <v>0.949811636723199</v>
      </c>
      <c r="R262" s="40" t="n">
        <f aca="true">RAND()</f>
        <v>0.465977500029472</v>
      </c>
      <c r="S262" s="40" t="n">
        <f aca="true">RAND()</f>
        <v>0.339919789144825</v>
      </c>
      <c r="T262" s="40" t="n">
        <f aca="true">RAND()</f>
        <v>0.634650575706063</v>
      </c>
      <c r="U262" s="40" t="n">
        <f aca="true">RAND()</f>
        <v>0.657027546313095</v>
      </c>
    </row>
    <row r="263" customFormat="false" ht="15" hidden="false" customHeight="false" outlineLevel="0" collapsed="false">
      <c r="A263" s="36" t="n">
        <v>183</v>
      </c>
      <c r="B263" s="37" t="n">
        <f aca="false">1+IF($G$6=$E$6,$F$6,IF(P263&lt;($F$6-$E$6)/($G$6-$E$6),$E$6+SQRT(P263*($G$6-$E$6)*($F$6-$E$6)),$G$6-SQRT((1-P263)*($G$6-$E$6)*($G$6-$F$6))))</f>
        <v>1.00251887202414</v>
      </c>
      <c r="C263" s="37" t="n">
        <f aca="false">1+IF($G$7=$E$7,$F$7,IF(Q263&lt;($F$7-$E$7)/($G$7-$E$7),$E$7+SQRT(Q263*($G$7-$E$7)*($F$7-$E$7)),$G$7-SQRT((1-Q263)*($G$7-$E$7)*($G$7-$F$7))))</f>
        <v>0.908457693062897</v>
      </c>
      <c r="D263" s="37" t="n">
        <f aca="false">1+IF($G$8=$E$8,$F$8,IF(R263&lt;($F$8-$E$8)/($G$8-$E$8),$E$8+SQRT(R263*($G$8-$E$8)*($F$8-$E$8)),$G$8-SQRT((1-R263)*($G$8-$E$8)*($G$8-$F$8))))</f>
        <v>1.02298520979897</v>
      </c>
      <c r="E263" s="37" t="n">
        <f aca="false">1+IF($G$9=$E$9,$F$9,IF(S263&lt;($F$9-$E$9)/($G$9-$E$9),$E$9+SQRT(S263*($G$9-$E$9)*($F$9-$E$9)),$G$9-SQRT((1-S263)*($G$9-$E$9)*($G$9-$F$9))))</f>
        <v>1.01910163889924</v>
      </c>
      <c r="F263" s="37" t="n">
        <f aca="false">1+IF($G$10=$E$10,$F$10,IF(T263&lt;($F$10-$E$10)/($G$10-$E$10),$E$10+SQRT(T263*($G$10-$E$10)*($F$10-$E$10)),$G$10-SQRT((1-T263)*($G$10-$E$10)*($G$10-$F$10))))</f>
        <v>1.0725149216492</v>
      </c>
      <c r="G263" s="38" t="n">
        <f aca="false">IF($G$11=$E$11,$F$11,IF(U263&lt;($F$11-$E$11)/($G$11-$E$11),$E$11+SQRT(U263*($G$11-$E$11)*($F$11-$E$11)),$G$11-SQRT((1-U263)*($G$11-$E$11)*($G$11-$F$11))))</f>
        <v>0.100404264717203</v>
      </c>
      <c r="H263" s="39" t="n">
        <f aca="false">(('Business Case'!B11*$C263*'Business Case'!B12*$B263)-'Business Case'!B11*$C263*'Business Case'!B13*$D263-'Business Case'!B14*$E263)-MAX(0,(('Business Case'!B11*$C263*'Business Case'!B12*$B263)-'Business Case'!B11*$C263*'Business Case'!B13*$D263-'Business Case'!B14*$E263))*'Business Case'!$B$7-'Business Case'!$B$8*('Business Case'!B11*$C263*'Business Case'!B12*$B263)-'Business Case'!B15*$F263</f>
        <v>-2145029843.29839</v>
      </c>
      <c r="I263" s="39" t="n">
        <f aca="false">(('Business Case'!C11*$C263*'Business Case'!C12*$B263)-'Business Case'!C11*$C263*'Business Case'!C13*$D263-'Business Case'!C14*$E263)-MAX(0,(('Business Case'!C11*$C263*'Business Case'!C12*$B263)-'Business Case'!C11*$C263*'Business Case'!C13*$D263-'Business Case'!C14*$E263))*'Business Case'!$B$7-'Business Case'!$B$8*(('Business Case'!C11*$C263*'Business Case'!C12*$B263)-('Business Case'!B11*$C263*'Business Case'!B12*$B263))-'Business Case'!C15*$F263</f>
        <v>-29161394.328697</v>
      </c>
      <c r="J263" s="39" t="n">
        <f aca="false">(('Business Case'!D11*$C263*'Business Case'!D12*$B263)-'Business Case'!D11*$C263*'Business Case'!D13*$D263-'Business Case'!D14*$E263)-MAX(0,(('Business Case'!D11*$C263*'Business Case'!D12*$B263)-'Business Case'!D11*$C263*'Business Case'!D13*$D263-'Business Case'!D14*$E263))*'Business Case'!$B$7-'Business Case'!$B$8*(('Business Case'!D11*$C263*'Business Case'!D12*$B263)-('Business Case'!C11*$C263*'Business Case'!C12*$B263))-'Business Case'!D15*$F263</f>
        <v>241058028.251937</v>
      </c>
      <c r="K263" s="39" t="n">
        <f aca="false">(('Business Case'!E11*$C263*'Business Case'!E12*$B263)-'Business Case'!E11*$C263*'Business Case'!E13*$D263-'Business Case'!E14*$E263)-MAX(0,(('Business Case'!E11*$C263*'Business Case'!E12*$B263)-'Business Case'!E11*$C263*'Business Case'!E13*$D263-'Business Case'!E14*$E263))*'Business Case'!$B$7-'Business Case'!$B$8*(('Business Case'!E11*$C263*'Business Case'!E12*$B263)-('Business Case'!D11*$C263*'Business Case'!D12*$B263))-'Business Case'!E15*$F263</f>
        <v>564903196.915031</v>
      </c>
      <c r="L263" s="39" t="n">
        <f aca="false">(('Business Case'!F11*$C263*'Business Case'!F12*$B263)-'Business Case'!F11*$C263*'Business Case'!F13*$D263-'Business Case'!F14*$E263)-MAX(0,(('Business Case'!F11*$C263*'Business Case'!F12*$B263)-'Business Case'!F11*$C263*'Business Case'!F13*$D263-'Business Case'!F14*$E263))*'Business Case'!$B$7-'Business Case'!$B$8*(('Business Case'!F11*$C263*'Business Case'!F12*$B263)-('Business Case'!E11*$C263*'Business Case'!E12*$B263))-'Business Case'!F15*$F263</f>
        <v>686451718.903868</v>
      </c>
      <c r="M263" s="39" t="n">
        <f aca="false">(('Business Case'!G11*$C263*'Business Case'!G12*$B263)-'Business Case'!G11*$C263*'Business Case'!G13*$D263-'Business Case'!G14*$E263)-MAX(0,(('Business Case'!G11*$C263*'Business Case'!G12*$B263)-'Business Case'!G11*$C263*'Business Case'!G13*$D263-'Business Case'!G14*$E263))*'Business Case'!$B$7-'Business Case'!$B$8*(('Business Case'!G11*$C263*'Business Case'!G12*$B263)-('Business Case'!F11*$C263*'Business Case'!F12*$B263))-'Business Case'!G15*$F263+'Business Case'!$B$8*('Business Case'!G11*$C263*'Business Case'!G12*$B263)</f>
        <v>859566315.11131</v>
      </c>
      <c r="N263" s="39" t="n">
        <f aca="false">IF(COUNT('Business Case'!B11:G11)=0,"",H263+NPV(G263,I263:M263))</f>
        <v>-547592235.104071</v>
      </c>
      <c r="P263" s="40" t="n">
        <f aca="true">RAND()</f>
        <v>0.707326051178644</v>
      </c>
      <c r="Q263" s="40" t="n">
        <f aca="true">RAND()</f>
        <v>0.168043874064651</v>
      </c>
      <c r="R263" s="40" t="n">
        <f aca="true">RAND()</f>
        <v>0.68743400945508</v>
      </c>
      <c r="S263" s="40" t="n">
        <f aca="true">RAND()</f>
        <v>0.563697011414123</v>
      </c>
      <c r="T263" s="40" t="n">
        <f aca="true">RAND()</f>
        <v>0.674951095957792</v>
      </c>
      <c r="U263" s="40" t="n">
        <f aca="true">RAND()</f>
        <v>0.36001193121094</v>
      </c>
    </row>
    <row r="264" customFormat="false" ht="15" hidden="false" customHeight="false" outlineLevel="0" collapsed="false">
      <c r="A264" s="36" t="n">
        <v>184</v>
      </c>
      <c r="B264" s="37" t="n">
        <f aca="false">1+IF($G$6=$E$6,$F$6,IF(P264&lt;($F$6-$E$6)/($G$6-$E$6),$E$6+SQRT(P264*($G$6-$E$6)*($F$6-$E$6)),$G$6-SQRT((1-P264)*($G$6-$E$6)*($G$6-$F$6))))</f>
        <v>0.999739306367193</v>
      </c>
      <c r="C264" s="37" t="n">
        <f aca="false">1+IF($G$7=$E$7,$F$7,IF(Q264&lt;($F$7-$E$7)/($G$7-$E$7),$E$7+SQRT(Q264*($G$7-$E$7)*($F$7-$E$7)),$G$7-SQRT((1-Q264)*($G$7-$E$7)*($G$7-$F$7))))</f>
        <v>0.955868577527397</v>
      </c>
      <c r="D264" s="37" t="n">
        <f aca="false">1+IF($G$8=$E$8,$F$8,IF(R264&lt;($F$8-$E$8)/($G$8-$E$8),$E$8+SQRT(R264*($G$8-$E$8)*($F$8-$E$8)),$G$8-SQRT((1-R264)*($G$8-$E$8)*($G$8-$F$8))))</f>
        <v>1.00113714876166</v>
      </c>
      <c r="E264" s="37" t="n">
        <f aca="false">1+IF($G$9=$E$9,$F$9,IF(S264&lt;($F$9-$E$9)/($G$9-$E$9),$E$9+SQRT(S264*($G$9-$E$9)*($F$9-$E$9)),$G$9-SQRT((1-S264)*($G$9-$E$9)*($G$9-$F$9))))</f>
        <v>1.0073751796621</v>
      </c>
      <c r="F264" s="37" t="n">
        <f aca="false">1+IF($G$10=$E$10,$F$10,IF(T264&lt;($F$10-$E$10)/($G$10-$E$10),$E$10+SQRT(T264*($G$10-$E$10)*($F$10-$E$10)),$G$10-SQRT((1-T264)*($G$10-$E$10)*($G$10-$F$10))))</f>
        <v>1.13786141348167</v>
      </c>
      <c r="G264" s="38" t="n">
        <f aca="false">IF($G$11=$E$11,$F$11,IF(U264&lt;($F$11-$E$11)/($G$11-$E$11),$E$11+SQRT(U264*($G$11-$E$11)*($F$11-$E$11)),$G$11-SQRT((1-U264)*($G$11-$E$11)*($G$11-$F$11))))</f>
        <v>0.107315738569499</v>
      </c>
      <c r="H264" s="39" t="n">
        <f aca="false">(('Business Case'!B11*$C264*'Business Case'!B12*$B264)-'Business Case'!B11*$C264*'Business Case'!B13*$D264-'Business Case'!B14*$E264)-MAX(0,(('Business Case'!B11*$C264*'Business Case'!B12*$B264)-'Business Case'!B11*$C264*'Business Case'!B13*$D264-'Business Case'!B14*$E264))*'Business Case'!$B$7-'Business Case'!$B$8*('Business Case'!B11*$C264*'Business Case'!B12*$B264)-'Business Case'!B15*$F264</f>
        <v>-2275722826.96333</v>
      </c>
      <c r="I264" s="39" t="n">
        <f aca="false">(('Business Case'!C11*$C264*'Business Case'!C12*$B264)-'Business Case'!C11*$C264*'Business Case'!C13*$D264-'Business Case'!C14*$E264)-MAX(0,(('Business Case'!C11*$C264*'Business Case'!C12*$B264)-'Business Case'!C11*$C264*'Business Case'!C13*$D264-'Business Case'!C14*$E264))*'Business Case'!$B$7-'Business Case'!$B$8*(('Business Case'!C11*$C264*'Business Case'!C12*$B264)-('Business Case'!B11*$C264*'Business Case'!B12*$B264))-'Business Case'!C15*$F264</f>
        <v>-13737798.2963819</v>
      </c>
      <c r="J264" s="39" t="n">
        <f aca="false">(('Business Case'!D11*$C264*'Business Case'!D12*$B264)-'Business Case'!D11*$C264*'Business Case'!D13*$D264-'Business Case'!D14*$E264)-MAX(0,(('Business Case'!D11*$C264*'Business Case'!D12*$B264)-'Business Case'!D11*$C264*'Business Case'!D13*$D264-'Business Case'!D14*$E264))*'Business Case'!$B$7-'Business Case'!$B$8*(('Business Case'!D11*$C264*'Business Case'!D12*$B264)-('Business Case'!C11*$C264*'Business Case'!C12*$B264))-'Business Case'!D15*$F264</f>
        <v>279098604.412288</v>
      </c>
      <c r="K264" s="39" t="n">
        <f aca="false">(('Business Case'!E11*$C264*'Business Case'!E12*$B264)-'Business Case'!E11*$C264*'Business Case'!E13*$D264-'Business Case'!E14*$E264)-MAX(0,(('Business Case'!E11*$C264*'Business Case'!E12*$B264)-'Business Case'!E11*$C264*'Business Case'!E13*$D264-'Business Case'!E14*$E264))*'Business Case'!$B$7-'Business Case'!$B$8*(('Business Case'!E11*$C264*'Business Case'!E12*$B264)-('Business Case'!D11*$C264*'Business Case'!D12*$B264))-'Business Case'!E15*$F264</f>
        <v>628828077.795041</v>
      </c>
      <c r="L264" s="39" t="n">
        <f aca="false">(('Business Case'!F11*$C264*'Business Case'!F12*$B264)-'Business Case'!F11*$C264*'Business Case'!F13*$D264-'Business Case'!F14*$E264)-MAX(0,(('Business Case'!F11*$C264*'Business Case'!F12*$B264)-'Business Case'!F11*$C264*'Business Case'!F13*$D264-'Business Case'!F14*$E264))*'Business Case'!$B$7-'Business Case'!$B$8*(('Business Case'!F11*$C264*'Business Case'!F12*$B264)-('Business Case'!E11*$C264*'Business Case'!E12*$B264))-'Business Case'!F15*$F264</f>
        <v>759466418.103888</v>
      </c>
      <c r="M264" s="39" t="n">
        <f aca="false">(('Business Case'!G11*$C264*'Business Case'!G12*$B264)-'Business Case'!G11*$C264*'Business Case'!G13*$D264-'Business Case'!G14*$E264)-MAX(0,(('Business Case'!G11*$C264*'Business Case'!G12*$B264)-'Business Case'!G11*$C264*'Business Case'!G13*$D264-'Business Case'!G14*$E264))*'Business Case'!$B$7-'Business Case'!$B$8*(('Business Case'!G11*$C264*'Business Case'!G12*$B264)-('Business Case'!F11*$C264*'Business Case'!F12*$B264))-'Business Case'!G15*$F264+'Business Case'!$B$8*('Business Case'!G11*$C264*'Business Case'!G12*$B264)</f>
        <v>941110551.503314</v>
      </c>
      <c r="N264" s="39" t="n">
        <f aca="false">IF(COUNT('Business Case'!B11:G11)=0,"",H264+NPV(G264,I264:M264))</f>
        <v>-526903111.972035</v>
      </c>
      <c r="P264" s="40" t="n">
        <f aca="true">RAND()</f>
        <v>0.662328852075105</v>
      </c>
      <c r="Q264" s="40" t="n">
        <f aca="true">RAND()</f>
        <v>0.347071620863057</v>
      </c>
      <c r="R264" s="40" t="n">
        <f aca="true">RAND()</f>
        <v>0.401985643707608</v>
      </c>
      <c r="S264" s="40" t="n">
        <f aca="true">RAND()</f>
        <v>0.428042843824773</v>
      </c>
      <c r="T264" s="40" t="n">
        <f aca="true">RAND()</f>
        <v>0.922775921310074</v>
      </c>
      <c r="U264" s="40" t="n">
        <f aca="true">RAND()</f>
        <v>0.731849186604491</v>
      </c>
    </row>
    <row r="265" customFormat="false" ht="15" hidden="false" customHeight="false" outlineLevel="0" collapsed="false">
      <c r="A265" s="36" t="n">
        <v>185</v>
      </c>
      <c r="B265" s="37" t="n">
        <f aca="false">1+IF($G$6=$E$6,$F$6,IF(P265&lt;($F$6-$E$6)/($G$6-$E$6),$E$6+SQRT(P265*($G$6-$E$6)*($F$6-$E$6)),$G$6-SQRT((1-P265)*($G$6-$E$6)*($G$6-$F$6))))</f>
        <v>1.01104218105526</v>
      </c>
      <c r="C265" s="37" t="n">
        <f aca="false">1+IF($G$7=$E$7,$F$7,IF(Q265&lt;($F$7-$E$7)/($G$7-$E$7),$E$7+SQRT(Q265*($G$7-$E$7)*($F$7-$E$7)),$G$7-SQRT((1-Q265)*($G$7-$E$7)*($G$7-$F$7))))</f>
        <v>0.880288453525845</v>
      </c>
      <c r="D265" s="37" t="n">
        <f aca="false">1+IF($G$8=$E$8,$F$8,IF(R265&lt;($F$8-$E$8)/($G$8-$E$8),$E$8+SQRT(R265*($G$8-$E$8)*($F$8-$E$8)),$G$8-SQRT((1-R265)*($G$8-$E$8)*($G$8-$F$8))))</f>
        <v>0.974851761108496</v>
      </c>
      <c r="E265" s="37" t="n">
        <f aca="false">1+IF($G$9=$E$9,$F$9,IF(S265&lt;($F$9-$E$9)/($G$9-$E$9),$E$9+SQRT(S265*($G$9-$E$9)*($F$9-$E$9)),$G$9-SQRT((1-S265)*($G$9-$E$9)*($G$9-$F$9))))</f>
        <v>0.97059877556132</v>
      </c>
      <c r="F265" s="37" t="n">
        <f aca="false">1+IF($G$10=$E$10,$F$10,IF(T265&lt;($F$10-$E$10)/($G$10-$E$10),$E$10+SQRT(T265*($G$10-$E$10)*($F$10-$E$10)),$G$10-SQRT((1-T265)*($G$10-$E$10)*($G$10-$F$10))))</f>
        <v>1.00891156443085</v>
      </c>
      <c r="G265" s="38" t="n">
        <f aca="false">IF($G$11=$E$11,$F$11,IF(U265&lt;($F$11-$E$11)/($G$11-$E$11),$E$11+SQRT(U265*($G$11-$E$11)*($F$11-$E$11)),$G$11-SQRT((1-U265)*($G$11-$E$11)*($G$11-$F$11))))</f>
        <v>0.11717606186385</v>
      </c>
      <c r="H265" s="39" t="n">
        <f aca="false">(('Business Case'!B11*$C265*'Business Case'!B12*$B265)-'Business Case'!B11*$C265*'Business Case'!B13*$D265-'Business Case'!B14*$E265)-MAX(0,(('Business Case'!B11*$C265*'Business Case'!B12*$B265)-'Business Case'!B11*$C265*'Business Case'!B13*$D265-'Business Case'!B14*$E265))*'Business Case'!$B$7-'Business Case'!$B$8*('Business Case'!B11*$C265*'Business Case'!B12*$B265)-'Business Case'!B15*$F265</f>
        <v>-2017823128.86171</v>
      </c>
      <c r="I265" s="39" t="n">
        <f aca="false">(('Business Case'!C11*$C265*'Business Case'!C12*$B265)-'Business Case'!C11*$C265*'Business Case'!C13*$D265-'Business Case'!C14*$E265)-MAX(0,(('Business Case'!C11*$C265*'Business Case'!C12*$B265)-'Business Case'!C11*$C265*'Business Case'!C13*$D265-'Business Case'!C14*$E265))*'Business Case'!$B$7-'Business Case'!$B$8*(('Business Case'!C11*$C265*'Business Case'!C12*$B265)-('Business Case'!B11*$C265*'Business Case'!B12*$B265))-'Business Case'!C15*$F265</f>
        <v>4628365.56595898</v>
      </c>
      <c r="J265" s="39" t="n">
        <f aca="false">(('Business Case'!D11*$C265*'Business Case'!D12*$B265)-'Business Case'!D11*$C265*'Business Case'!D13*$D265-'Business Case'!D14*$E265)-MAX(0,(('Business Case'!D11*$C265*'Business Case'!D12*$B265)-'Business Case'!D11*$C265*'Business Case'!D13*$D265-'Business Case'!D14*$E265))*'Business Case'!$B$7-'Business Case'!$B$8*(('Business Case'!D11*$C265*'Business Case'!D12*$B265)-('Business Case'!C11*$C265*'Business Case'!C12*$B265))-'Business Case'!D15*$F265</f>
        <v>294305087.475089</v>
      </c>
      <c r="K265" s="39" t="n">
        <f aca="false">(('Business Case'!E11*$C265*'Business Case'!E12*$B265)-'Business Case'!E11*$C265*'Business Case'!E13*$D265-'Business Case'!E14*$E265)-MAX(0,(('Business Case'!E11*$C265*'Business Case'!E12*$B265)-'Business Case'!E11*$C265*'Business Case'!E13*$D265-'Business Case'!E14*$E265))*'Business Case'!$B$7-'Business Case'!$B$8*(('Business Case'!E11*$C265*'Business Case'!E12*$B265)-('Business Case'!D11*$C265*'Business Case'!D12*$B265))-'Business Case'!E15*$F265</f>
        <v>634427387.605762</v>
      </c>
      <c r="L265" s="39" t="n">
        <f aca="false">(('Business Case'!F11*$C265*'Business Case'!F12*$B265)-'Business Case'!F11*$C265*'Business Case'!F13*$D265-'Business Case'!F14*$E265)-MAX(0,(('Business Case'!F11*$C265*'Business Case'!F12*$B265)-'Business Case'!F11*$C265*'Business Case'!F13*$D265-'Business Case'!F14*$E265))*'Business Case'!$B$7-'Business Case'!$B$8*(('Business Case'!F11*$C265*'Business Case'!F12*$B265)-('Business Case'!E11*$C265*'Business Case'!E12*$B265))-'Business Case'!F15*$F265</f>
        <v>761744997.585649</v>
      </c>
      <c r="M265" s="39" t="n">
        <f aca="false">(('Business Case'!G11*$C265*'Business Case'!G12*$B265)-'Business Case'!G11*$C265*'Business Case'!G13*$D265-'Business Case'!G14*$E265)-MAX(0,(('Business Case'!G11*$C265*'Business Case'!G12*$B265)-'Business Case'!G11*$C265*'Business Case'!G13*$D265-'Business Case'!G14*$E265))*'Business Case'!$B$7-'Business Case'!$B$8*(('Business Case'!G11*$C265*'Business Case'!G12*$B265)-('Business Case'!F11*$C265*'Business Case'!F12*$B265))-'Business Case'!G15*$F265+'Business Case'!$B$8*('Business Case'!G11*$C265*'Business Case'!G12*$B265)</f>
        <v>930917862.308292</v>
      </c>
      <c r="N265" s="39" t="n">
        <f aca="false">IF(COUNT('Business Case'!B11:G11)=0,"",H265+NPV(G265,I265:M265))</f>
        <v>-298914631.687212</v>
      </c>
      <c r="P265" s="40" t="n">
        <f aca="true">RAND()</f>
        <v>0.82530098374244</v>
      </c>
      <c r="Q265" s="40" t="n">
        <f aca="true">RAND()</f>
        <v>0.0920890824224547</v>
      </c>
      <c r="R265" s="40" t="n">
        <f aca="true">RAND()</f>
        <v>0.0950169277221121</v>
      </c>
      <c r="S265" s="40" t="n">
        <f aca="true">RAND()</f>
        <v>0.0565746072834148</v>
      </c>
      <c r="T265" s="40" t="n">
        <f aca="true">RAND()</f>
        <v>0.269704195834719</v>
      </c>
      <c r="U265" s="40" t="n">
        <f aca="true">RAND()</f>
        <v>0.986708955671998</v>
      </c>
    </row>
    <row r="266" customFormat="false" ht="15" hidden="false" customHeight="false" outlineLevel="0" collapsed="false">
      <c r="A266" s="36" t="n">
        <v>186</v>
      </c>
      <c r="B266" s="37" t="n">
        <f aca="false">1+IF($G$6=$E$6,$F$6,IF(P266&lt;($F$6-$E$6)/($G$6-$E$6),$E$6+SQRT(P266*($G$6-$E$6)*($F$6-$E$6)),$G$6-SQRT((1-P266)*($G$6-$E$6)*($G$6-$F$6))))</f>
        <v>0.980377628017725</v>
      </c>
      <c r="C266" s="37" t="n">
        <f aca="false">1+IF($G$7=$E$7,$F$7,IF(Q266&lt;($F$7-$E$7)/($G$7-$E$7),$E$7+SQRT(Q266*($G$7-$E$7)*($F$7-$E$7)),$G$7-SQRT((1-Q266)*($G$7-$E$7)*($G$7-$F$7))))</f>
        <v>0.994103054735702</v>
      </c>
      <c r="D266" s="37" t="n">
        <f aca="false">1+IF($G$8=$E$8,$F$8,IF(R266&lt;($F$8-$E$8)/($G$8-$E$8),$E$8+SQRT(R266*($G$8-$E$8)*($F$8-$E$8)),$G$8-SQRT((1-R266)*($G$8-$E$8)*($G$8-$F$8))))</f>
        <v>1.01591836901488</v>
      </c>
      <c r="E266" s="37" t="n">
        <f aca="false">1+IF($G$9=$E$9,$F$9,IF(S266&lt;($F$9-$E$9)/($G$9-$E$9),$E$9+SQRT(S266*($G$9-$E$9)*($F$9-$E$9)),$G$9-SQRT((1-S266)*($G$9-$E$9)*($G$9-$F$9))))</f>
        <v>1.02939609820468</v>
      </c>
      <c r="F266" s="37" t="n">
        <f aca="false">1+IF($G$10=$E$10,$F$10,IF(T266&lt;($F$10-$E$10)/($G$10-$E$10),$E$10+SQRT(T266*($G$10-$E$10)*($F$10-$E$10)),$G$10-SQRT((1-T266)*($G$10-$E$10)*($G$10-$F$10))))</f>
        <v>1.0334328655363</v>
      </c>
      <c r="G266" s="38" t="n">
        <f aca="false">IF($G$11=$E$11,$F$11,IF(U266&lt;($F$11-$E$11)/($G$11-$E$11),$E$11+SQRT(U266*($G$11-$E$11)*($F$11-$E$11)),$G$11-SQRT((1-U266)*($G$11-$E$11)*($G$11-$F$11))))</f>
        <v>0.104418775880041</v>
      </c>
      <c r="H266" s="39" t="n">
        <f aca="false">(('Business Case'!B11*$C266*'Business Case'!B12*$B266)-'Business Case'!B11*$C266*'Business Case'!B13*$D266-'Business Case'!B14*$E266)-MAX(0,(('Business Case'!B11*$C266*'Business Case'!B12*$B266)-'Business Case'!B11*$C266*'Business Case'!B13*$D266-'Business Case'!B14*$E266))*'Business Case'!$B$7-'Business Case'!$B$8*('Business Case'!B11*$C266*'Business Case'!B12*$B266)-'Business Case'!B15*$F266</f>
        <v>-2066865731.0726</v>
      </c>
      <c r="I266" s="39" t="n">
        <f aca="false">(('Business Case'!C11*$C266*'Business Case'!C12*$B266)-'Business Case'!C11*$C266*'Business Case'!C13*$D266-'Business Case'!C14*$E266)-MAX(0,(('Business Case'!C11*$C266*'Business Case'!C12*$B266)-'Business Case'!C11*$C266*'Business Case'!C13*$D266-'Business Case'!C14*$E266))*'Business Case'!$B$7-'Business Case'!$B$8*(('Business Case'!C11*$C266*'Business Case'!C12*$B266)-('Business Case'!B11*$C266*'Business Case'!B12*$B266))-'Business Case'!C15*$F266</f>
        <v>-18983983.9813814</v>
      </c>
      <c r="J266" s="39" t="n">
        <f aca="false">(('Business Case'!D11*$C266*'Business Case'!D12*$B266)-'Business Case'!D11*$C266*'Business Case'!D13*$D266-'Business Case'!D14*$E266)-MAX(0,(('Business Case'!D11*$C266*'Business Case'!D12*$B266)-'Business Case'!D11*$C266*'Business Case'!D13*$D266-'Business Case'!D14*$E266))*'Business Case'!$B$7-'Business Case'!$B$8*(('Business Case'!D11*$C266*'Business Case'!D12*$B266)-('Business Case'!C11*$C266*'Business Case'!C12*$B266))-'Business Case'!D15*$F266</f>
        <v>262278520.862365</v>
      </c>
      <c r="K266" s="39" t="n">
        <f aca="false">(('Business Case'!E11*$C266*'Business Case'!E12*$B266)-'Business Case'!E11*$C266*'Business Case'!E13*$D266-'Business Case'!E14*$E266)-MAX(0,(('Business Case'!E11*$C266*'Business Case'!E12*$B266)-'Business Case'!E11*$C266*'Business Case'!E13*$D266-'Business Case'!E14*$E266))*'Business Case'!$B$7-'Business Case'!$B$8*(('Business Case'!E11*$C266*'Business Case'!E12*$B266)-('Business Case'!D11*$C266*'Business Case'!D12*$B266))-'Business Case'!E15*$F266</f>
        <v>595212668.982927</v>
      </c>
      <c r="L266" s="39" t="n">
        <f aca="false">(('Business Case'!F11*$C266*'Business Case'!F12*$B266)-'Business Case'!F11*$C266*'Business Case'!F13*$D266-'Business Case'!F14*$E266)-MAX(0,(('Business Case'!F11*$C266*'Business Case'!F12*$B266)-'Business Case'!F11*$C266*'Business Case'!F13*$D266-'Business Case'!F14*$E266))*'Business Case'!$B$7-'Business Case'!$B$8*(('Business Case'!F11*$C266*'Business Case'!F12*$B266)-('Business Case'!E11*$C266*'Business Case'!E12*$B266))-'Business Case'!F15*$F266</f>
        <v>722648888.668705</v>
      </c>
      <c r="M266" s="39" t="n">
        <f aca="false">(('Business Case'!G11*$C266*'Business Case'!G12*$B266)-'Business Case'!G11*$C266*'Business Case'!G13*$D266-'Business Case'!G14*$E266)-MAX(0,(('Business Case'!G11*$C266*'Business Case'!G12*$B266)-'Business Case'!G11*$C266*'Business Case'!G13*$D266-'Business Case'!G14*$E266))*'Business Case'!$B$7-'Business Case'!$B$8*(('Business Case'!G11*$C266*'Business Case'!G12*$B266)-('Business Case'!F11*$C266*'Business Case'!F12*$B266))-'Business Case'!G15*$F266+'Business Case'!$B$8*('Business Case'!G11*$C266*'Business Case'!G12*$B266)</f>
        <v>907900171.393612</v>
      </c>
      <c r="N266" s="39" t="n">
        <f aca="false">IF(COUNT('Business Case'!B11:G11)=0,"",H266+NPV(G266,I266:M266))</f>
        <v>-388906960.640659</v>
      </c>
      <c r="P266" s="40" t="n">
        <f aca="true">RAND()</f>
        <v>0.379735204692374</v>
      </c>
      <c r="Q266" s="40" t="n">
        <f aca="true">RAND()</f>
        <v>0.5382285122533</v>
      </c>
      <c r="R266" s="40" t="n">
        <f aca="true">RAND()</f>
        <v>0.605148516373787</v>
      </c>
      <c r="S266" s="40" t="n">
        <f aca="true">RAND()</f>
        <v>0.667672603418436</v>
      </c>
      <c r="T266" s="40" t="n">
        <f aca="true">RAND()</f>
        <v>0.445107794331028</v>
      </c>
      <c r="U266" s="40" t="n">
        <f aca="true">RAND()</f>
        <v>0.595375758206016</v>
      </c>
    </row>
    <row r="267" customFormat="false" ht="15" hidden="false" customHeight="false" outlineLevel="0" collapsed="false">
      <c r="A267" s="36" t="n">
        <v>187</v>
      </c>
      <c r="B267" s="37" t="n">
        <f aca="false">1+IF($G$6=$E$6,$F$6,IF(P267&lt;($F$6-$E$6)/($G$6-$E$6),$E$6+SQRT(P267*($G$6-$E$6)*($F$6-$E$6)),$G$6-SQRT((1-P267)*($G$6-$E$6)*($G$6-$F$6))))</f>
        <v>0.999396020459315</v>
      </c>
      <c r="C267" s="37" t="n">
        <f aca="false">1+IF($G$7=$E$7,$F$7,IF(Q267&lt;($F$7-$E$7)/($G$7-$E$7),$E$7+SQRT(Q267*($G$7-$E$7)*($F$7-$E$7)),$G$7-SQRT((1-Q267)*($G$7-$E$7)*($G$7-$F$7))))</f>
        <v>0.995681580371122</v>
      </c>
      <c r="D267" s="37" t="n">
        <f aca="false">1+IF($G$8=$E$8,$F$8,IF(R267&lt;($F$8-$E$8)/($G$8-$E$8),$E$8+SQRT(R267*($G$8-$E$8)*($F$8-$E$8)),$G$8-SQRT((1-R267)*($G$8-$E$8)*($G$8-$F$8))))</f>
        <v>0.976835648662595</v>
      </c>
      <c r="E267" s="37" t="n">
        <f aca="false">1+IF($G$9=$E$9,$F$9,IF(S267&lt;($F$9-$E$9)/($G$9-$E$9),$E$9+SQRT(S267*($G$9-$E$9)*($F$9-$E$9)),$G$9-SQRT((1-S267)*($G$9-$E$9)*($G$9-$F$9))))</f>
        <v>1.01599254782413</v>
      </c>
      <c r="F267" s="37" t="n">
        <f aca="false">1+IF($G$10=$E$10,$F$10,IF(T267&lt;($F$10-$E$10)/($G$10-$E$10),$E$10+SQRT(T267*($G$10-$E$10)*($F$10-$E$10)),$G$10-SQRT((1-T267)*($G$10-$E$10)*($G$10-$F$10))))</f>
        <v>1.0920902407537</v>
      </c>
      <c r="G267" s="38" t="n">
        <f aca="false">IF($G$11=$E$11,$F$11,IF(U267&lt;($F$11-$E$11)/($G$11-$E$11),$E$11+SQRT(U267*($G$11-$E$11)*($F$11-$E$11)),$G$11-SQRT((1-U267)*($G$11-$E$11)*($G$11-$F$11))))</f>
        <v>0.10352920490142</v>
      </c>
      <c r="H267" s="39" t="n">
        <f aca="false">(('Business Case'!B11*$C267*'Business Case'!B12*$B267)-'Business Case'!B11*$C267*'Business Case'!B13*$D267-'Business Case'!B14*$E267)-MAX(0,(('Business Case'!B11*$C267*'Business Case'!B12*$B267)-'Business Case'!B11*$C267*'Business Case'!B13*$D267-'Business Case'!B14*$E267))*'Business Case'!$B$7-'Business Case'!$B$8*('Business Case'!B11*$C267*'Business Case'!B12*$B267)-'Business Case'!B15*$F267</f>
        <v>-2184180481.5074</v>
      </c>
      <c r="I267" s="39" t="n">
        <f aca="false">(('Business Case'!C11*$C267*'Business Case'!C12*$B267)-'Business Case'!C11*$C267*'Business Case'!C13*$D267-'Business Case'!C14*$E267)-MAX(0,(('Business Case'!C11*$C267*'Business Case'!C12*$B267)-'Business Case'!C11*$C267*'Business Case'!C13*$D267-'Business Case'!C14*$E267))*'Business Case'!$B$7-'Business Case'!$B$8*(('Business Case'!C11*$C267*'Business Case'!C12*$B267)-('Business Case'!B11*$C267*'Business Case'!B12*$B267))-'Business Case'!C15*$F267</f>
        <v>11871985.60765</v>
      </c>
      <c r="J267" s="39" t="n">
        <f aca="false">(('Business Case'!D11*$C267*'Business Case'!D12*$B267)-'Business Case'!D11*$C267*'Business Case'!D13*$D267-'Business Case'!D14*$E267)-MAX(0,(('Business Case'!D11*$C267*'Business Case'!D12*$B267)-'Business Case'!D11*$C267*'Business Case'!D13*$D267-'Business Case'!D14*$E267))*'Business Case'!$B$7-'Business Case'!$B$8*(('Business Case'!D11*$C267*'Business Case'!D12*$B267)-('Business Case'!C11*$C267*'Business Case'!C12*$B267))-'Business Case'!D15*$F267</f>
        <v>329012093.629323</v>
      </c>
      <c r="K267" s="39" t="n">
        <f aca="false">(('Business Case'!E11*$C267*'Business Case'!E12*$B267)-'Business Case'!E11*$C267*'Business Case'!E13*$D267-'Business Case'!E14*$E267)-MAX(0,(('Business Case'!E11*$C267*'Business Case'!E12*$B267)-'Business Case'!E11*$C267*'Business Case'!E13*$D267-'Business Case'!E14*$E267))*'Business Case'!$B$7-'Business Case'!$B$8*(('Business Case'!E11*$C267*'Business Case'!E12*$B267)-('Business Case'!D11*$C267*'Business Case'!D12*$B267))-'Business Case'!E15*$F267</f>
        <v>700756713.688681</v>
      </c>
      <c r="L267" s="39" t="n">
        <f aca="false">(('Business Case'!F11*$C267*'Business Case'!F12*$B267)-'Business Case'!F11*$C267*'Business Case'!F13*$D267-'Business Case'!F14*$E267)-MAX(0,(('Business Case'!F11*$C267*'Business Case'!F12*$B267)-'Business Case'!F11*$C267*'Business Case'!F13*$D267-'Business Case'!F14*$E267))*'Business Case'!$B$7-'Business Case'!$B$8*(('Business Case'!F11*$C267*'Business Case'!F12*$B267)-('Business Case'!E11*$C267*'Business Case'!E12*$B267))-'Business Case'!F15*$F267</f>
        <v>840860055.054613</v>
      </c>
      <c r="M267" s="39" t="n">
        <f aca="false">(('Business Case'!G11*$C267*'Business Case'!G12*$B267)-'Business Case'!G11*$C267*'Business Case'!G13*$D267-'Business Case'!G14*$E267)-MAX(0,(('Business Case'!G11*$C267*'Business Case'!G12*$B267)-'Business Case'!G11*$C267*'Business Case'!G13*$D267-'Business Case'!G14*$E267))*'Business Case'!$B$7-'Business Case'!$B$8*(('Business Case'!G11*$C267*'Business Case'!G12*$B267)-('Business Case'!F11*$C267*'Business Case'!F12*$B267))-'Business Case'!G15*$F267+'Business Case'!$B$8*('Business Case'!G11*$C267*'Business Case'!G12*$B267)</f>
        <v>1030004901.19417</v>
      </c>
      <c r="N267" s="39" t="n">
        <f aca="false">IF(COUNT('Business Case'!B11:G11)=0,"",H267+NPV(G267,I267:M267))</f>
        <v>-185396758.193867</v>
      </c>
      <c r="P267" s="40" t="n">
        <f aca="true">RAND()</f>
        <v>0.656638340080834</v>
      </c>
      <c r="Q267" s="40" t="n">
        <f aca="true">RAND()</f>
        <v>0.547018298521996</v>
      </c>
      <c r="R267" s="40" t="n">
        <f aca="true">RAND()</f>
        <v>0.110792621406498</v>
      </c>
      <c r="S267" s="40" t="n">
        <f aca="true">RAND()</f>
        <v>0.529516531927943</v>
      </c>
      <c r="T267" s="40" t="n">
        <f aca="true">RAND()</f>
        <v>0.767109677188115</v>
      </c>
      <c r="U267" s="40" t="n">
        <f aca="true">RAND()</f>
        <v>0.54785484803434</v>
      </c>
    </row>
    <row r="268" customFormat="false" ht="15" hidden="false" customHeight="false" outlineLevel="0" collapsed="false">
      <c r="A268" s="36" t="n">
        <v>188</v>
      </c>
      <c r="B268" s="37" t="n">
        <f aca="false">1+IF($G$6=$E$6,$F$6,IF(P268&lt;($F$6-$E$6)/($G$6-$E$6),$E$6+SQRT(P268*($G$6-$E$6)*($F$6-$E$6)),$G$6-SQRT((1-P268)*($G$6-$E$6)*($G$6-$F$6))))</f>
        <v>1.01805021077056</v>
      </c>
      <c r="C268" s="37" t="n">
        <f aca="false">1+IF($G$7=$E$7,$F$7,IF(Q268&lt;($F$7-$E$7)/($G$7-$E$7),$E$7+SQRT(Q268*($G$7-$E$7)*($F$7-$E$7)),$G$7-SQRT((1-Q268)*($G$7-$E$7)*($G$7-$F$7))))</f>
        <v>0.96469840995237</v>
      </c>
      <c r="D268" s="37" t="n">
        <f aca="false">1+IF($G$8=$E$8,$F$8,IF(R268&lt;($F$8-$E$8)/($G$8-$E$8),$E$8+SQRT(R268*($G$8-$E$8)*($F$8-$E$8)),$G$8-SQRT((1-R268)*($G$8-$E$8)*($G$8-$F$8))))</f>
        <v>1.01423057975724</v>
      </c>
      <c r="E268" s="37" t="n">
        <f aca="false">1+IF($G$9=$E$9,$F$9,IF(S268&lt;($F$9-$E$9)/($G$9-$E$9),$E$9+SQRT(S268*($G$9-$E$9)*($F$9-$E$9)),$G$9-SQRT((1-S268)*($G$9-$E$9)*($G$9-$F$9))))</f>
        <v>1.00149625393514</v>
      </c>
      <c r="F268" s="37" t="n">
        <f aca="false">1+IF($G$10=$E$10,$F$10,IF(T268&lt;($F$10-$E$10)/($G$10-$E$10),$E$10+SQRT(T268*($G$10-$E$10)*($F$10-$E$10)),$G$10-SQRT((1-T268)*($G$10-$E$10)*($G$10-$F$10))))</f>
        <v>1.08880675024277</v>
      </c>
      <c r="G268" s="38" t="n">
        <f aca="false">IF($G$11=$E$11,$F$11,IF(U268&lt;($F$11-$E$11)/($G$11-$E$11),$E$11+SQRT(U268*($G$11-$E$11)*($F$11-$E$11)),$G$11-SQRT((1-U268)*($G$11-$E$11)*($G$11-$F$11))))</f>
        <v>0.105032405108091</v>
      </c>
      <c r="H268" s="39" t="n">
        <f aca="false">(('Business Case'!B11*$C268*'Business Case'!B12*$B268)-'Business Case'!B11*$C268*'Business Case'!B13*$D268-'Business Case'!B14*$E268)-MAX(0,(('Business Case'!B11*$C268*'Business Case'!B12*$B268)-'Business Case'!B11*$C268*'Business Case'!B13*$D268-'Business Case'!B14*$E268))*'Business Case'!$B$7-'Business Case'!$B$8*('Business Case'!B11*$C268*'Business Case'!B12*$B268)-'Business Case'!B15*$F268</f>
        <v>-2177613500.48555</v>
      </c>
      <c r="I268" s="39" t="n">
        <f aca="false">(('Business Case'!C11*$C268*'Business Case'!C12*$B268)-'Business Case'!C11*$C268*'Business Case'!C13*$D268-'Business Case'!C14*$E268)-MAX(0,(('Business Case'!C11*$C268*'Business Case'!C12*$B268)-'Business Case'!C11*$C268*'Business Case'!C13*$D268-'Business Case'!C14*$E268))*'Business Case'!$B$7-'Business Case'!$B$8*(('Business Case'!C11*$C268*'Business Case'!C12*$B268)-('Business Case'!B11*$C268*'Business Case'!B12*$B268))-'Business Case'!C15*$F268</f>
        <v>1337707.12527464</v>
      </c>
      <c r="J268" s="39" t="n">
        <f aca="false">(('Business Case'!D11*$C268*'Business Case'!D12*$B268)-'Business Case'!D11*$C268*'Business Case'!D13*$D268-'Business Case'!D14*$E268)-MAX(0,(('Business Case'!D11*$C268*'Business Case'!D12*$B268)-'Business Case'!D11*$C268*'Business Case'!D13*$D268-'Business Case'!D14*$E268))*'Business Case'!$B$7-'Business Case'!$B$8*(('Business Case'!D11*$C268*'Business Case'!D12*$B268)-('Business Case'!C11*$C268*'Business Case'!C12*$B268))-'Business Case'!D15*$F268</f>
        <v>304881512.575536</v>
      </c>
      <c r="K268" s="39" t="n">
        <f aca="false">(('Business Case'!E11*$C268*'Business Case'!E12*$B268)-'Business Case'!E11*$C268*'Business Case'!E13*$D268-'Business Case'!E14*$E268)-MAX(0,(('Business Case'!E11*$C268*'Business Case'!E12*$B268)-'Business Case'!E11*$C268*'Business Case'!E13*$D268-'Business Case'!E14*$E268))*'Business Case'!$B$7-'Business Case'!$B$8*(('Business Case'!E11*$C268*'Business Case'!E12*$B268)-('Business Case'!D11*$C268*'Business Case'!D12*$B268))-'Business Case'!E15*$F268</f>
        <v>662865655.537937</v>
      </c>
      <c r="L268" s="39" t="n">
        <f aca="false">(('Business Case'!F11*$C268*'Business Case'!F12*$B268)-'Business Case'!F11*$C268*'Business Case'!F13*$D268-'Business Case'!F14*$E268)-MAX(0,(('Business Case'!F11*$C268*'Business Case'!F12*$B268)-'Business Case'!F11*$C268*'Business Case'!F13*$D268-'Business Case'!F14*$E268))*'Business Case'!$B$7-'Business Case'!$B$8*(('Business Case'!F11*$C268*'Business Case'!F12*$B268)-('Business Case'!E11*$C268*'Business Case'!E12*$B268))-'Business Case'!F15*$F268</f>
        <v>797988694.682113</v>
      </c>
      <c r="M268" s="39" t="n">
        <f aca="false">(('Business Case'!G11*$C268*'Business Case'!G12*$B268)-'Business Case'!G11*$C268*'Business Case'!G13*$D268-'Business Case'!G14*$E268)-MAX(0,(('Business Case'!G11*$C268*'Business Case'!G12*$B268)-'Business Case'!G11*$C268*'Business Case'!G13*$D268-'Business Case'!G14*$E268))*'Business Case'!$B$7-'Business Case'!$B$8*(('Business Case'!G11*$C268*'Business Case'!G12*$B268)-('Business Case'!F11*$C268*'Business Case'!F12*$B268))-'Business Case'!G15*$F268+'Business Case'!$B$8*('Business Case'!G11*$C268*'Business Case'!G12*$B268)</f>
        <v>984668433.316265</v>
      </c>
      <c r="N268" s="39" t="n">
        <f aca="false">IF(COUNT('Business Case'!B11:G11)=0,"",H268+NPV(G268,I268:M268))</f>
        <v>-302694788.72967</v>
      </c>
      <c r="P268" s="40" t="n">
        <f aca="true">RAND()</f>
        <v>0.8996264068298</v>
      </c>
      <c r="Q268" s="40" t="n">
        <f aca="true">RAND()</f>
        <v>0.38750808915484</v>
      </c>
      <c r="R268" s="40" t="n">
        <f aca="true">RAND()</f>
        <v>0.584075323166439</v>
      </c>
      <c r="S268" s="40" t="n">
        <f aca="true">RAND()</f>
        <v>0.353134134079331</v>
      </c>
      <c r="T268" s="40" t="n">
        <f aca="true">RAND()</f>
        <v>0.752721224168545</v>
      </c>
      <c r="U268" s="40" t="n">
        <f aca="true">RAND()</f>
        <v>0.626618505252821</v>
      </c>
    </row>
    <row r="269" customFormat="false" ht="15" hidden="false" customHeight="false" outlineLevel="0" collapsed="false">
      <c r="A269" s="36" t="n">
        <v>189</v>
      </c>
      <c r="B269" s="37" t="n">
        <f aca="false">1+IF($G$6=$E$6,$F$6,IF(P269&lt;($F$6-$E$6)/($G$6-$E$6),$E$6+SQRT(P269*($G$6-$E$6)*($F$6-$E$6)),$G$6-SQRT((1-P269)*($G$6-$E$6)*($G$6-$F$6))))</f>
        <v>0.985828197309337</v>
      </c>
      <c r="C269" s="37" t="n">
        <f aca="false">1+IF($G$7=$E$7,$F$7,IF(Q269&lt;($F$7-$E$7)/($G$7-$E$7),$E$7+SQRT(Q269*($G$7-$E$7)*($F$7-$E$7)),$G$7-SQRT((1-Q269)*($G$7-$E$7)*($G$7-$F$7))))</f>
        <v>1.02813817069397</v>
      </c>
      <c r="D269" s="37" t="n">
        <f aca="false">1+IF($G$8=$E$8,$F$8,IF(R269&lt;($F$8-$E$8)/($G$8-$E$8),$E$8+SQRT(R269*($G$8-$E$8)*($F$8-$E$8)),$G$8-SQRT((1-R269)*($G$8-$E$8)*($G$8-$F$8))))</f>
        <v>0.999660697224231</v>
      </c>
      <c r="E269" s="37" t="n">
        <f aca="false">1+IF($G$9=$E$9,$F$9,IF(S269&lt;($F$9-$E$9)/($G$9-$E$9),$E$9+SQRT(S269*($G$9-$E$9)*($F$9-$E$9)),$G$9-SQRT((1-S269)*($G$9-$E$9)*($G$9-$F$9))))</f>
        <v>1.01377849816864</v>
      </c>
      <c r="F269" s="37" t="n">
        <f aca="false">1+IF($G$10=$E$10,$F$10,IF(T269&lt;($F$10-$E$10)/($G$10-$E$10),$E$10+SQRT(T269*($G$10-$E$10)*($F$10-$E$10)),$G$10-SQRT((1-T269)*($G$10-$E$10)*($G$10-$F$10))))</f>
        <v>1.1145529247742</v>
      </c>
      <c r="G269" s="38" t="n">
        <f aca="false">IF($G$11=$E$11,$F$11,IF(U269&lt;($F$11-$E$11)/($G$11-$E$11),$E$11+SQRT(U269*($G$11-$E$11)*($F$11-$E$11)),$G$11-SQRT((1-U269)*($G$11-$E$11)*($G$11-$F$11))))</f>
        <v>0.111433748224281</v>
      </c>
      <c r="H269" s="39" t="n">
        <f aca="false">(('Business Case'!B11*$C269*'Business Case'!B12*$B269)-'Business Case'!B11*$C269*'Business Case'!B13*$D269-'Business Case'!B14*$E269)-MAX(0,(('Business Case'!B11*$C269*'Business Case'!B12*$B269)-'Business Case'!B11*$C269*'Business Case'!B13*$D269-'Business Case'!B14*$E269))*'Business Case'!$B$7-'Business Case'!$B$8*('Business Case'!B11*$C269*'Business Case'!B12*$B269)-'Business Case'!B15*$F269</f>
        <v>-2229105849.54841</v>
      </c>
      <c r="I269" s="39" t="n">
        <f aca="false">(('Business Case'!C11*$C269*'Business Case'!C12*$B269)-'Business Case'!C11*$C269*'Business Case'!C13*$D269-'Business Case'!C14*$E269)-MAX(0,(('Business Case'!C11*$C269*'Business Case'!C12*$B269)-'Business Case'!C11*$C269*'Business Case'!C13*$D269-'Business Case'!C14*$E269))*'Business Case'!$B$7-'Business Case'!$B$8*(('Business Case'!C11*$C269*'Business Case'!C12*$B269)-('Business Case'!B11*$C269*'Business Case'!B12*$B269))-'Business Case'!C15*$F269</f>
        <v>-4119007.47447002</v>
      </c>
      <c r="J269" s="39" t="n">
        <f aca="false">(('Business Case'!D11*$C269*'Business Case'!D12*$B269)-'Business Case'!D11*$C269*'Business Case'!D13*$D269-'Business Case'!D14*$E269)-MAX(0,(('Business Case'!D11*$C269*'Business Case'!D12*$B269)-'Business Case'!D11*$C269*'Business Case'!D13*$D269-'Business Case'!D14*$E269))*'Business Case'!$B$7-'Business Case'!$B$8*(('Business Case'!D11*$C269*'Business Case'!D12*$B269)-('Business Case'!C11*$C269*'Business Case'!C12*$B269))-'Business Case'!D15*$F269</f>
        <v>299919924.320966</v>
      </c>
      <c r="K269" s="39" t="n">
        <f aca="false">(('Business Case'!E11*$C269*'Business Case'!E12*$B269)-'Business Case'!E11*$C269*'Business Case'!E13*$D269-'Business Case'!E14*$E269)-MAX(0,(('Business Case'!E11*$C269*'Business Case'!E12*$B269)-'Business Case'!E11*$C269*'Business Case'!E13*$D269-'Business Case'!E14*$E269))*'Business Case'!$B$7-'Business Case'!$B$8*(('Business Case'!E11*$C269*'Business Case'!E12*$B269)-('Business Case'!D11*$C269*'Business Case'!D12*$B269))-'Business Case'!E15*$F269</f>
        <v>659686502.355112</v>
      </c>
      <c r="L269" s="39" t="n">
        <f aca="false">(('Business Case'!F11*$C269*'Business Case'!F12*$B269)-'Business Case'!F11*$C269*'Business Case'!F13*$D269-'Business Case'!F14*$E269)-MAX(0,(('Business Case'!F11*$C269*'Business Case'!F12*$B269)-'Business Case'!F11*$C269*'Business Case'!F13*$D269-'Business Case'!F14*$E269))*'Business Case'!$B$7-'Business Case'!$B$8*(('Business Case'!F11*$C269*'Business Case'!F12*$B269)-('Business Case'!E11*$C269*'Business Case'!E12*$B269))-'Business Case'!F15*$F269</f>
        <v>796061709.18886</v>
      </c>
      <c r="M269" s="39" t="n">
        <f aca="false">(('Business Case'!G11*$C269*'Business Case'!G12*$B269)-'Business Case'!G11*$C269*'Business Case'!G13*$D269-'Business Case'!G14*$E269)-MAX(0,(('Business Case'!G11*$C269*'Business Case'!G12*$B269)-'Business Case'!G11*$C269*'Business Case'!G13*$D269-'Business Case'!G14*$E269))*'Business Case'!$B$7-'Business Case'!$B$8*(('Business Case'!G11*$C269*'Business Case'!G12*$B269)-('Business Case'!F11*$C269*'Business Case'!F12*$B269))-'Business Case'!G15*$F269+'Business Case'!$B$8*('Business Case'!G11*$C269*'Business Case'!G12*$B269)</f>
        <v>988720638.482843</v>
      </c>
      <c r="N269" s="39" t="n">
        <f aca="false">IF(COUNT('Business Case'!B11:G11)=0,"",H269+NPV(G269,I269:M269))</f>
        <v>-404852363.450532</v>
      </c>
      <c r="P269" s="40" t="n">
        <f aca="true">RAND()</f>
        <v>0.451390787603857</v>
      </c>
      <c r="Q269" s="40" t="n">
        <f aca="true">RAND()</f>
        <v>0.717137039203603</v>
      </c>
      <c r="R269" s="40" t="n">
        <f aca="true">RAND()</f>
        <v>0.379413053661034</v>
      </c>
      <c r="S269" s="40" t="n">
        <f aca="true">RAND()</f>
        <v>0.504390174796346</v>
      </c>
      <c r="T269" s="40" t="n">
        <f aca="true">RAND()</f>
        <v>0.853975946707143</v>
      </c>
      <c r="U269" s="40" t="n">
        <f aca="true">RAND()</f>
        <v>0.877698884191639</v>
      </c>
    </row>
    <row r="270" customFormat="false" ht="15" hidden="false" customHeight="false" outlineLevel="0" collapsed="false">
      <c r="A270" s="36" t="n">
        <v>190</v>
      </c>
      <c r="B270" s="37" t="n">
        <f aca="false">1+IF($G$6=$E$6,$F$6,IF(P270&lt;($F$6-$E$6)/($G$6-$E$6),$E$6+SQRT(P270*($G$6-$E$6)*($F$6-$E$6)),$G$6-SQRT((1-P270)*($G$6-$E$6)*($G$6-$F$6))))</f>
        <v>0.978906505366001</v>
      </c>
      <c r="C270" s="37" t="n">
        <f aca="false">1+IF($G$7=$E$7,$F$7,IF(Q270&lt;($F$7-$E$7)/($G$7-$E$7),$E$7+SQRT(Q270*($G$7-$E$7)*($F$7-$E$7)),$G$7-SQRT((1-Q270)*($G$7-$E$7)*($G$7-$F$7))))</f>
        <v>1.07714549559049</v>
      </c>
      <c r="D270" s="37" t="n">
        <f aca="false">1+IF($G$8=$E$8,$F$8,IF(R270&lt;($F$8-$E$8)/($G$8-$E$8),$E$8+SQRT(R270*($G$8-$E$8)*($F$8-$E$8)),$G$8-SQRT((1-R270)*($G$8-$E$8)*($G$8-$F$8))))</f>
        <v>1.06164098523381</v>
      </c>
      <c r="E270" s="37" t="n">
        <f aca="false">1+IF($G$9=$E$9,$F$9,IF(S270&lt;($F$9-$E$9)/($G$9-$E$9),$E$9+SQRT(S270*($G$9-$E$9)*($F$9-$E$9)),$G$9-SQRT((1-S270)*($G$9-$E$9)*($G$9-$F$9))))</f>
        <v>1.06173249863544</v>
      </c>
      <c r="F270" s="37" t="n">
        <f aca="false">1+IF($G$10=$E$10,$F$10,IF(T270&lt;($F$10-$E$10)/($G$10-$E$10),$E$10+SQRT(T270*($G$10-$E$10)*($F$10-$E$10)),$G$10-SQRT((1-T270)*($G$10-$E$10)*($G$10-$F$10))))</f>
        <v>1.09482597213233</v>
      </c>
      <c r="G270" s="38" t="n">
        <f aca="false">IF($G$11=$E$11,$F$11,IF(U270&lt;($F$11-$E$11)/($G$11-$E$11),$E$11+SQRT(U270*($G$11-$E$11)*($F$11-$E$11)),$G$11-SQRT((1-U270)*($G$11-$E$11)*($G$11-$F$11))))</f>
        <v>0.0978357337456907</v>
      </c>
      <c r="H270" s="39" t="n">
        <f aca="false">(('Business Case'!B11*$C270*'Business Case'!B12*$B270)-'Business Case'!B11*$C270*'Business Case'!B13*$D270-'Business Case'!B14*$E270)-MAX(0,(('Business Case'!B11*$C270*'Business Case'!B12*$B270)-'Business Case'!B11*$C270*'Business Case'!B13*$D270-'Business Case'!B14*$E270))*'Business Case'!$B$7-'Business Case'!$B$8*('Business Case'!B11*$C270*'Business Case'!B12*$B270)-'Business Case'!B15*$F270</f>
        <v>-2189651944.26465</v>
      </c>
      <c r="I270" s="39" t="n">
        <f aca="false">(('Business Case'!C11*$C270*'Business Case'!C12*$B270)-'Business Case'!C11*$C270*'Business Case'!C13*$D270-'Business Case'!C14*$E270)-MAX(0,(('Business Case'!C11*$C270*'Business Case'!C12*$B270)-'Business Case'!C11*$C270*'Business Case'!C13*$D270-'Business Case'!C14*$E270))*'Business Case'!$B$7-'Business Case'!$B$8*(('Business Case'!C11*$C270*'Business Case'!C12*$B270)-('Business Case'!B11*$C270*'Business Case'!B12*$B270))-'Business Case'!C15*$F270</f>
        <v>-36874482.7853053</v>
      </c>
      <c r="J270" s="39" t="n">
        <f aca="false">(('Business Case'!D11*$C270*'Business Case'!D12*$B270)-'Business Case'!D11*$C270*'Business Case'!D13*$D270-'Business Case'!D14*$E270)-MAX(0,(('Business Case'!D11*$C270*'Business Case'!D12*$B270)-'Business Case'!D11*$C270*'Business Case'!D13*$D270-'Business Case'!D14*$E270))*'Business Case'!$B$7-'Business Case'!$B$8*(('Business Case'!D11*$C270*'Business Case'!D12*$B270)-('Business Case'!C11*$C270*'Business Case'!C12*$B270))-'Business Case'!D15*$F270</f>
        <v>241373371.100004</v>
      </c>
      <c r="K270" s="39" t="n">
        <f aca="false">(('Business Case'!E11*$C270*'Business Case'!E12*$B270)-'Business Case'!E11*$C270*'Business Case'!E13*$D270-'Business Case'!E14*$E270)-MAX(0,(('Business Case'!E11*$C270*'Business Case'!E12*$B270)-'Business Case'!E11*$C270*'Business Case'!E13*$D270-'Business Case'!E14*$E270))*'Business Case'!$B$7-'Business Case'!$B$8*(('Business Case'!E11*$C270*'Business Case'!E12*$B270)-('Business Case'!D11*$C270*'Business Case'!D12*$B270))-'Business Case'!E15*$F270</f>
        <v>574362523.591929</v>
      </c>
      <c r="L270" s="39" t="n">
        <f aca="false">(('Business Case'!F11*$C270*'Business Case'!F12*$B270)-'Business Case'!F11*$C270*'Business Case'!F13*$D270-'Business Case'!F14*$E270)-MAX(0,(('Business Case'!F11*$C270*'Business Case'!F12*$B270)-'Business Case'!F11*$C270*'Business Case'!F13*$D270-'Business Case'!F14*$E270))*'Business Case'!$B$7-'Business Case'!$B$8*(('Business Case'!F11*$C270*'Business Case'!F12*$B270)-('Business Case'!E11*$C270*'Business Case'!E12*$B270))-'Business Case'!F15*$F270</f>
        <v>703552726.98798</v>
      </c>
      <c r="M270" s="39" t="n">
        <f aca="false">(('Business Case'!G11*$C270*'Business Case'!G12*$B270)-'Business Case'!G11*$C270*'Business Case'!G13*$D270-'Business Case'!G14*$E270)-MAX(0,(('Business Case'!G11*$C270*'Business Case'!G12*$B270)-'Business Case'!G11*$C270*'Business Case'!G13*$D270-'Business Case'!G14*$E270))*'Business Case'!$B$7-'Business Case'!$B$8*(('Business Case'!G11*$C270*'Business Case'!G12*$B270)-('Business Case'!F11*$C270*'Business Case'!F12*$B270))-'Business Case'!G15*$F270+'Business Case'!$B$8*('Business Case'!G11*$C270*'Business Case'!G12*$B270)</f>
        <v>903977780.209859</v>
      </c>
      <c r="N270" s="39" t="n">
        <f aca="false">IF(COUNT('Business Case'!B11:G11)=0,"",H270+NPV(G270,I270:M270))</f>
        <v>-537696497.94455</v>
      </c>
      <c r="P270" s="40" t="n">
        <f aca="true">RAND()</f>
        <v>0.361455872336949</v>
      </c>
      <c r="Q270" s="40" t="n">
        <f aca="true">RAND()</f>
        <v>0.898899451185607</v>
      </c>
      <c r="R270" s="40" t="n">
        <f aca="true">RAND()</f>
        <v>0.967591017001411</v>
      </c>
      <c r="S270" s="40" t="n">
        <f aca="true">RAND()</f>
        <v>0.902373222620912</v>
      </c>
      <c r="T270" s="40" t="n">
        <f aca="true">RAND()</f>
        <v>0.778768477241793</v>
      </c>
      <c r="U270" s="40" t="n">
        <f aca="true">RAND()</f>
        <v>0.204662411111187</v>
      </c>
    </row>
    <row r="271" customFormat="false" ht="15" hidden="false" customHeight="false" outlineLevel="0" collapsed="false">
      <c r="A271" s="36" t="n">
        <v>191</v>
      </c>
      <c r="B271" s="37" t="n">
        <f aca="false">1+IF($G$6=$E$6,$F$6,IF(P271&lt;($F$6-$E$6)/($G$6-$E$6),$E$6+SQRT(P271*($G$6-$E$6)*($F$6-$E$6)),$G$6-SQRT((1-P271)*($G$6-$E$6)*($G$6-$F$6))))</f>
        <v>0.992035537477514</v>
      </c>
      <c r="C271" s="37" t="n">
        <f aca="false">1+IF($G$7=$E$7,$F$7,IF(Q271&lt;($F$7-$E$7)/($G$7-$E$7),$E$7+SQRT(Q271*($G$7-$E$7)*($F$7-$E$7)),$G$7-SQRT((1-Q271)*($G$7-$E$7)*($G$7-$F$7))))</f>
        <v>0.961191328279177</v>
      </c>
      <c r="D271" s="37" t="n">
        <f aca="false">1+IF($G$8=$E$8,$F$8,IF(R271&lt;($F$8-$E$8)/($G$8-$E$8),$E$8+SQRT(R271*($G$8-$E$8)*($F$8-$E$8)),$G$8-SQRT((1-R271)*($G$8-$E$8)*($G$8-$F$8))))</f>
        <v>1.00591469531062</v>
      </c>
      <c r="E271" s="37" t="n">
        <f aca="false">1+IF($G$9=$E$9,$F$9,IF(S271&lt;($F$9-$E$9)/($G$9-$E$9),$E$9+SQRT(S271*($G$9-$E$9)*($F$9-$E$9)),$G$9-SQRT((1-S271)*($G$9-$E$9)*($G$9-$F$9))))</f>
        <v>1.01780523387254</v>
      </c>
      <c r="F271" s="37" t="n">
        <f aca="false">1+IF($G$10=$E$10,$F$10,IF(T271&lt;($F$10-$E$10)/($G$10-$E$10),$E$10+SQRT(T271*($G$10-$E$10)*($F$10-$E$10)),$G$10-SQRT((1-T271)*($G$10-$E$10)*($G$10-$F$10))))</f>
        <v>1.11259017487025</v>
      </c>
      <c r="G271" s="38" t="n">
        <f aca="false">IF($G$11=$E$11,$F$11,IF(U271&lt;($F$11-$E$11)/($G$11-$E$11),$E$11+SQRT(U271*($G$11-$E$11)*($F$11-$E$11)),$G$11-SQRT((1-U271)*($G$11-$E$11)*($G$11-$F$11))))</f>
        <v>0.0972331258436448</v>
      </c>
      <c r="H271" s="39" t="n">
        <f aca="false">(('Business Case'!B11*$C271*'Business Case'!B12*$B271)-'Business Case'!B11*$C271*'Business Case'!B13*$D271-'Business Case'!B14*$E271)-MAX(0,(('Business Case'!B11*$C271*'Business Case'!B12*$B271)-'Business Case'!B11*$C271*'Business Case'!B13*$D271-'Business Case'!B14*$E271))*'Business Case'!$B$7-'Business Case'!$B$8*('Business Case'!B11*$C271*'Business Case'!B12*$B271)-'Business Case'!B15*$F271</f>
        <v>-2225180349.74049</v>
      </c>
      <c r="I271" s="39" t="n">
        <f aca="false">(('Business Case'!C11*$C271*'Business Case'!C12*$B271)-'Business Case'!C11*$C271*'Business Case'!C13*$D271-'Business Case'!C14*$E271)-MAX(0,(('Business Case'!C11*$C271*'Business Case'!C12*$B271)-'Business Case'!C11*$C271*'Business Case'!C13*$D271-'Business Case'!C14*$E271))*'Business Case'!$B$7-'Business Case'!$B$8*(('Business Case'!C11*$C271*'Business Case'!C12*$B271)-('Business Case'!B11*$C271*'Business Case'!B12*$B271))-'Business Case'!C15*$F271</f>
        <v>-19371031.9018002</v>
      </c>
      <c r="J271" s="39" t="n">
        <f aca="false">(('Business Case'!D11*$C271*'Business Case'!D12*$B271)-'Business Case'!D11*$C271*'Business Case'!D13*$D271-'Business Case'!D14*$E271)-MAX(0,(('Business Case'!D11*$C271*'Business Case'!D12*$B271)-'Business Case'!D11*$C271*'Business Case'!D13*$D271-'Business Case'!D14*$E271))*'Business Case'!$B$7-'Business Case'!$B$8*(('Business Case'!D11*$C271*'Business Case'!D12*$B271)-('Business Case'!C11*$C271*'Business Case'!C12*$B271))-'Business Case'!D15*$F271</f>
        <v>266680161.897489</v>
      </c>
      <c r="K271" s="39" t="n">
        <f aca="false">(('Business Case'!E11*$C271*'Business Case'!E12*$B271)-'Business Case'!E11*$C271*'Business Case'!E13*$D271-'Business Case'!E14*$E271)-MAX(0,(('Business Case'!E11*$C271*'Business Case'!E12*$B271)-'Business Case'!E11*$C271*'Business Case'!E13*$D271-'Business Case'!E14*$E271))*'Business Case'!$B$7-'Business Case'!$B$8*(('Business Case'!E11*$C271*'Business Case'!E12*$B271)-('Business Case'!D11*$C271*'Business Case'!D12*$B271))-'Business Case'!E15*$F271</f>
        <v>608360864.440291</v>
      </c>
      <c r="L271" s="39" t="n">
        <f aca="false">(('Business Case'!F11*$C271*'Business Case'!F12*$B271)-'Business Case'!F11*$C271*'Business Case'!F13*$D271-'Business Case'!F14*$E271)-MAX(0,(('Business Case'!F11*$C271*'Business Case'!F12*$B271)-'Business Case'!F11*$C271*'Business Case'!F13*$D271-'Business Case'!F14*$E271))*'Business Case'!$B$7-'Business Case'!$B$8*(('Business Case'!F11*$C271*'Business Case'!F12*$B271)-('Business Case'!E11*$C271*'Business Case'!E12*$B271))-'Business Case'!F15*$F271</f>
        <v>736665465.011647</v>
      </c>
      <c r="M271" s="39" t="n">
        <f aca="false">(('Business Case'!G11*$C271*'Business Case'!G12*$B271)-'Business Case'!G11*$C271*'Business Case'!G13*$D271-'Business Case'!G14*$E271)-MAX(0,(('Business Case'!G11*$C271*'Business Case'!G12*$B271)-'Business Case'!G11*$C271*'Business Case'!G13*$D271-'Business Case'!G14*$E271))*'Business Case'!$B$7-'Business Case'!$B$8*(('Business Case'!G11*$C271*'Business Case'!G12*$B271)-('Business Case'!F11*$C271*'Business Case'!F12*$B271))-'Business Case'!G15*$F271+'Business Case'!$B$8*('Business Case'!G11*$C271*'Business Case'!G12*$B271)</f>
        <v>917913579.522075</v>
      </c>
      <c r="N271" s="39" t="n">
        <f aca="false">IF(COUNT('Business Case'!B11:G11)=0,"",H271+NPV(G271,I271:M271))</f>
        <v>-475366545.991361</v>
      </c>
      <c r="P271" s="40" t="n">
        <f aca="true">RAND()</f>
        <v>0.540533193716073</v>
      </c>
      <c r="Q271" s="40" t="n">
        <f aca="true">RAND()</f>
        <v>0.371180633034361</v>
      </c>
      <c r="R271" s="40" t="n">
        <f aca="true">RAND()</f>
        <v>0.472246887411665</v>
      </c>
      <c r="S271" s="40" t="n">
        <f aca="true">RAND()</f>
        <v>0.549601361416862</v>
      </c>
      <c r="T271" s="40" t="n">
        <f aca="true">RAND()</f>
        <v>0.847190449415718</v>
      </c>
      <c r="U271" s="40" t="n">
        <f aca="true">RAND()</f>
        <v>0.174393698233343</v>
      </c>
    </row>
    <row r="272" customFormat="false" ht="15" hidden="false" customHeight="false" outlineLevel="0" collapsed="false">
      <c r="A272" s="36" t="n">
        <v>192</v>
      </c>
      <c r="B272" s="37" t="n">
        <f aca="false">1+IF($G$6=$E$6,$F$6,IF(P272&lt;($F$6-$E$6)/($G$6-$E$6),$E$6+SQRT(P272*($G$6-$E$6)*($F$6-$E$6)),$G$6-SQRT((1-P272)*($G$6-$E$6)*($G$6-$F$6))))</f>
        <v>1.00403950339629</v>
      </c>
      <c r="C272" s="37" t="n">
        <f aca="false">1+IF($G$7=$E$7,$F$7,IF(Q272&lt;($F$7-$E$7)/($G$7-$E$7),$E$7+SQRT(Q272*($G$7-$E$7)*($F$7-$E$7)),$G$7-SQRT((1-Q272)*($G$7-$E$7)*($G$7-$F$7))))</f>
        <v>0.884850360039613</v>
      </c>
      <c r="D272" s="37" t="n">
        <f aca="false">1+IF($G$8=$E$8,$F$8,IF(R272&lt;($F$8-$E$8)/($G$8-$E$8),$E$8+SQRT(R272*($G$8-$E$8)*($F$8-$E$8)),$G$8-SQRT((1-R272)*($G$8-$E$8)*($G$8-$F$8))))</f>
        <v>1.02381904485136</v>
      </c>
      <c r="E272" s="37" t="n">
        <f aca="false">1+IF($G$9=$E$9,$F$9,IF(S272&lt;($F$9-$E$9)/($G$9-$E$9),$E$9+SQRT(S272*($G$9-$E$9)*($F$9-$E$9)),$G$9-SQRT((1-S272)*($G$9-$E$9)*($G$9-$F$9))))</f>
        <v>0.992753195312732</v>
      </c>
      <c r="F272" s="37" t="n">
        <f aca="false">1+IF($G$10=$E$10,$F$10,IF(T272&lt;($F$10-$E$10)/($G$10-$E$10),$E$10+SQRT(T272*($G$10-$E$10)*($F$10-$E$10)),$G$10-SQRT((1-T272)*($G$10-$E$10)*($G$10-$F$10))))</f>
        <v>0.997763362325956</v>
      </c>
      <c r="G272" s="38" t="n">
        <f aca="false">IF($G$11=$E$11,$F$11,IF(U272&lt;($F$11-$E$11)/($G$11-$E$11),$E$11+SQRT(U272*($G$11-$E$11)*($F$11-$E$11)),$G$11-SQRT((1-U272)*($G$11-$E$11)*($G$11-$F$11))))</f>
        <v>0.110146779890578</v>
      </c>
      <c r="H272" s="39" t="n">
        <f aca="false">(('Business Case'!B11*$C272*'Business Case'!B12*$B272)-'Business Case'!B11*$C272*'Business Case'!B13*$D272-'Business Case'!B14*$E272)-MAX(0,(('Business Case'!B11*$C272*'Business Case'!B12*$B272)-'Business Case'!B11*$C272*'Business Case'!B13*$D272-'Business Case'!B14*$E272))*'Business Case'!$B$7-'Business Case'!$B$8*('Business Case'!B11*$C272*'Business Case'!B12*$B272)-'Business Case'!B15*$F272</f>
        <v>-1995526724.65191</v>
      </c>
      <c r="I272" s="39" t="n">
        <f aca="false">(('Business Case'!C11*$C272*'Business Case'!C12*$B272)-'Business Case'!C11*$C272*'Business Case'!C13*$D272-'Business Case'!C14*$E272)-MAX(0,(('Business Case'!C11*$C272*'Business Case'!C12*$B272)-'Business Case'!C11*$C272*'Business Case'!C13*$D272-'Business Case'!C14*$E272))*'Business Case'!$B$7-'Business Case'!$B$8*(('Business Case'!C11*$C272*'Business Case'!C12*$B272)-('Business Case'!B11*$C272*'Business Case'!B12*$B272))-'Business Case'!C15*$F272</f>
        <v>-23079939.7424849</v>
      </c>
      <c r="J272" s="39" t="n">
        <f aca="false">(('Business Case'!D11*$C272*'Business Case'!D12*$B272)-'Business Case'!D11*$C272*'Business Case'!D13*$D272-'Business Case'!D14*$E272)-MAX(0,(('Business Case'!D11*$C272*'Business Case'!D12*$B272)-'Business Case'!D11*$C272*'Business Case'!D13*$D272-'Business Case'!D14*$E272))*'Business Case'!$B$7-'Business Case'!$B$8*(('Business Case'!D11*$C272*'Business Case'!D12*$B272)-('Business Case'!C11*$C272*'Business Case'!C12*$B272))-'Business Case'!D15*$F272</f>
        <v>240841898.402383</v>
      </c>
      <c r="K272" s="39" t="n">
        <f aca="false">(('Business Case'!E11*$C272*'Business Case'!E12*$B272)-'Business Case'!E11*$C272*'Business Case'!E13*$D272-'Business Case'!E14*$E272)-MAX(0,(('Business Case'!E11*$C272*'Business Case'!E12*$B272)-'Business Case'!E11*$C272*'Business Case'!E13*$D272-'Business Case'!E14*$E272))*'Business Case'!$B$7-'Business Case'!$B$8*(('Business Case'!E11*$C272*'Business Case'!E12*$B272)-('Business Case'!D11*$C272*'Business Case'!D12*$B272))-'Business Case'!E15*$F272</f>
        <v>554651904.663548</v>
      </c>
      <c r="L272" s="39" t="n">
        <f aca="false">(('Business Case'!F11*$C272*'Business Case'!F12*$B272)-'Business Case'!F11*$C272*'Business Case'!F13*$D272-'Business Case'!F14*$E272)-MAX(0,(('Business Case'!F11*$C272*'Business Case'!F12*$B272)-'Business Case'!F11*$C272*'Business Case'!F13*$D272-'Business Case'!F14*$E272))*'Business Case'!$B$7-'Business Case'!$B$8*(('Business Case'!F11*$C272*'Business Case'!F12*$B272)-('Business Case'!E11*$C272*'Business Case'!E12*$B272))-'Business Case'!F15*$F272</f>
        <v>673329808.899361</v>
      </c>
      <c r="M272" s="39" t="n">
        <f aca="false">(('Business Case'!G11*$C272*'Business Case'!G12*$B272)-'Business Case'!G11*$C272*'Business Case'!G13*$D272-'Business Case'!G14*$E272)-MAX(0,(('Business Case'!G11*$C272*'Business Case'!G12*$B272)-'Business Case'!G11*$C272*'Business Case'!G13*$D272-'Business Case'!G14*$E272))*'Business Case'!$B$7-'Business Case'!$B$8*(('Business Case'!G11*$C272*'Business Case'!G12*$B272)-('Business Case'!F11*$C272*'Business Case'!F12*$B272))-'Business Case'!G15*$F272+'Business Case'!$B$8*('Business Case'!G11*$C272*'Business Case'!G12*$B272)</f>
        <v>842201578.930745</v>
      </c>
      <c r="N272" s="39" t="n">
        <f aca="false">IF(COUNT('Business Case'!B11:G11)=0,"",H272+NPV(G272,I272:M272))</f>
        <v>-472715870.948453</v>
      </c>
      <c r="P272" s="40" t="n">
        <f aca="true">RAND()</f>
        <v>0.730592225836291</v>
      </c>
      <c r="Q272" s="40" t="n">
        <f aca="true">RAND()</f>
        <v>0.102851194269314</v>
      </c>
      <c r="R272" s="40" t="n">
        <f aca="true">RAND()</f>
        <v>0.696509642171743</v>
      </c>
      <c r="S272" s="40" t="n">
        <f aca="true">RAND()</f>
        <v>0.243711427926478</v>
      </c>
      <c r="T272" s="40" t="n">
        <f aca="true">RAND()</f>
        <v>0.18250710245444</v>
      </c>
      <c r="U272" s="40" t="n">
        <f aca="true">RAND()</f>
        <v>0.83819008912547</v>
      </c>
    </row>
    <row r="273" customFormat="false" ht="15" hidden="false" customHeight="false" outlineLevel="0" collapsed="false">
      <c r="A273" s="36" t="n">
        <v>193</v>
      </c>
      <c r="B273" s="37" t="n">
        <f aca="false">1+IF($G$6=$E$6,$F$6,IF(P273&lt;($F$6-$E$6)/($G$6-$E$6),$E$6+SQRT(P273*($G$6-$E$6)*($F$6-$E$6)),$G$6-SQRT((1-P273)*($G$6-$E$6)*($G$6-$F$6))))</f>
        <v>0.987289665964136</v>
      </c>
      <c r="C273" s="37" t="n">
        <f aca="false">1+IF($G$7=$E$7,$F$7,IF(Q273&lt;($F$7-$E$7)/($G$7-$E$7),$E$7+SQRT(Q273*($G$7-$E$7)*($F$7-$E$7)),$G$7-SQRT((1-Q273)*($G$7-$E$7)*($G$7-$F$7))))</f>
        <v>1.03694265328387</v>
      </c>
      <c r="D273" s="37" t="n">
        <f aca="false">1+IF($G$8=$E$8,$F$8,IF(R273&lt;($F$8-$E$8)/($G$8-$E$8),$E$8+SQRT(R273*($G$8-$E$8)*($F$8-$E$8)),$G$8-SQRT((1-R273)*($G$8-$E$8)*($G$8-$F$8))))</f>
        <v>0.982653956965607</v>
      </c>
      <c r="E273" s="37" t="n">
        <f aca="false">1+IF($G$9=$E$9,$F$9,IF(S273&lt;($F$9-$E$9)/($G$9-$E$9),$E$9+SQRT(S273*($G$9-$E$9)*($F$9-$E$9)),$G$9-SQRT((1-S273)*($G$9-$E$9)*($G$9-$F$9))))</f>
        <v>1.00430406587057</v>
      </c>
      <c r="F273" s="37" t="n">
        <f aca="false">1+IF($G$10=$E$10,$F$10,IF(T273&lt;($F$10-$E$10)/($G$10-$E$10),$E$10+SQRT(T273*($G$10-$E$10)*($F$10-$E$10)),$G$10-SQRT((1-T273)*($G$10-$E$10)*($G$10-$F$10))))</f>
        <v>1.13484419958371</v>
      </c>
      <c r="G273" s="38" t="n">
        <f aca="false">IF($G$11=$E$11,$F$11,IF(U273&lt;($F$11-$E$11)/($G$11-$E$11),$E$11+SQRT(U273*($G$11-$E$11)*($F$11-$E$11)),$G$11-SQRT((1-U273)*($G$11-$E$11)*($G$11-$F$11))))</f>
        <v>0.103298338884625</v>
      </c>
      <c r="H273" s="39" t="n">
        <f aca="false">(('Business Case'!B11*$C273*'Business Case'!B12*$B273)-'Business Case'!B11*$C273*'Business Case'!B13*$D273-'Business Case'!B14*$E273)-MAX(0,(('Business Case'!B11*$C273*'Business Case'!B12*$B273)-'Business Case'!B11*$C273*'Business Case'!B13*$D273-'Business Case'!B14*$E273))*'Business Case'!$B$7-'Business Case'!$B$8*('Business Case'!B11*$C273*'Business Case'!B12*$B273)-'Business Case'!B15*$F273</f>
        <v>-2269688399.16743</v>
      </c>
      <c r="I273" s="39" t="n">
        <f aca="false">(('Business Case'!C11*$C273*'Business Case'!C12*$B273)-'Business Case'!C11*$C273*'Business Case'!C13*$D273-'Business Case'!C14*$E273)-MAX(0,(('Business Case'!C11*$C273*'Business Case'!C12*$B273)-'Business Case'!C11*$C273*'Business Case'!C13*$D273-'Business Case'!C14*$E273))*'Business Case'!$B$7-'Business Case'!$B$8*(('Business Case'!C11*$C273*'Business Case'!C12*$B273)-('Business Case'!B11*$C273*'Business Case'!B12*$B273))-'Business Case'!C15*$F273</f>
        <v>7543242.34273735</v>
      </c>
      <c r="J273" s="39" t="n">
        <f aca="false">(('Business Case'!D11*$C273*'Business Case'!D12*$B273)-'Business Case'!D11*$C273*'Business Case'!D13*$D273-'Business Case'!D14*$E273)-MAX(0,(('Business Case'!D11*$C273*'Business Case'!D12*$B273)-'Business Case'!D11*$C273*'Business Case'!D13*$D273-'Business Case'!D14*$E273))*'Business Case'!$B$7-'Business Case'!$B$8*(('Business Case'!D11*$C273*'Business Case'!D12*$B273)-('Business Case'!C11*$C273*'Business Case'!C12*$B273))-'Business Case'!D15*$F273</f>
        <v>324454804.588915</v>
      </c>
      <c r="K273" s="39" t="n">
        <f aca="false">(('Business Case'!E11*$C273*'Business Case'!E12*$B273)-'Business Case'!E11*$C273*'Business Case'!E13*$D273-'Business Case'!E14*$E273)-MAX(0,(('Business Case'!E11*$C273*'Business Case'!E12*$B273)-'Business Case'!E11*$C273*'Business Case'!E13*$D273-'Business Case'!E14*$E273))*'Business Case'!$B$7-'Business Case'!$B$8*(('Business Case'!E11*$C273*'Business Case'!E12*$B273)-('Business Case'!D11*$C273*'Business Case'!D12*$B273))-'Business Case'!E15*$F273</f>
        <v>698108576.814278</v>
      </c>
      <c r="L273" s="39" t="n">
        <f aca="false">(('Business Case'!F11*$C273*'Business Case'!F12*$B273)-'Business Case'!F11*$C273*'Business Case'!F13*$D273-'Business Case'!F14*$E273)-MAX(0,(('Business Case'!F11*$C273*'Business Case'!F12*$B273)-'Business Case'!F11*$C273*'Business Case'!F13*$D273-'Business Case'!F14*$E273))*'Business Case'!$B$7-'Business Case'!$B$8*(('Business Case'!F11*$C273*'Business Case'!F12*$B273)-('Business Case'!E11*$C273*'Business Case'!E12*$B273))-'Business Case'!F15*$F273</f>
        <v>839127005.415186</v>
      </c>
      <c r="M273" s="39" t="n">
        <f aca="false">(('Business Case'!G11*$C273*'Business Case'!G12*$B273)-'Business Case'!G11*$C273*'Business Case'!G13*$D273-'Business Case'!G14*$E273)-MAX(0,(('Business Case'!G11*$C273*'Business Case'!G12*$B273)-'Business Case'!G11*$C273*'Business Case'!G13*$D273-'Business Case'!G14*$E273))*'Business Case'!$B$7-'Business Case'!$B$8*(('Business Case'!G11*$C273*'Business Case'!G12*$B273)-('Business Case'!F11*$C273*'Business Case'!F12*$B273))-'Business Case'!G15*$F273+'Business Case'!$B$8*('Business Case'!G11*$C273*'Business Case'!G12*$B273)</f>
        <v>1033723831.93552</v>
      </c>
      <c r="N273" s="39" t="n">
        <f aca="false">IF(COUNT('Business Case'!B11:G11)=0,"",H273+NPV(G273,I273:M273))</f>
        <v>-277862290.746891</v>
      </c>
      <c r="P273" s="40" t="n">
        <f aca="true">RAND()</f>
        <v>0.471656160996354</v>
      </c>
      <c r="Q273" s="40" t="n">
        <f aca="true">RAND()</f>
        <v>0.756534025781108</v>
      </c>
      <c r="R273" s="40" t="n">
        <f aca="true">RAND()</f>
        <v>0.16404321623257</v>
      </c>
      <c r="S273" s="40" t="n">
        <f aca="true">RAND()</f>
        <v>0.389485879406417</v>
      </c>
      <c r="T273" s="40" t="n">
        <f aca="true">RAND()</f>
        <v>0.915094433442259</v>
      </c>
      <c r="U273" s="40" t="n">
        <f aca="true">RAND()</f>
        <v>0.535090859978611</v>
      </c>
    </row>
    <row r="274" customFormat="false" ht="15" hidden="false" customHeight="false" outlineLevel="0" collapsed="false">
      <c r="A274" s="36" t="n">
        <v>194</v>
      </c>
      <c r="B274" s="37" t="n">
        <f aca="false">1+IF($G$6=$E$6,$F$6,IF(P274&lt;($F$6-$E$6)/($G$6-$E$6),$E$6+SQRT(P274*($G$6-$E$6)*($F$6-$E$6)),$G$6-SQRT((1-P274)*($G$6-$E$6)*($G$6-$F$6))))</f>
        <v>0.958018181788256</v>
      </c>
      <c r="C274" s="37" t="n">
        <f aca="false">1+IF($G$7=$E$7,$F$7,IF(Q274&lt;($F$7-$E$7)/($G$7-$E$7),$E$7+SQRT(Q274*($G$7-$E$7)*($F$7-$E$7)),$G$7-SQRT((1-Q274)*($G$7-$E$7)*($G$7-$F$7))))</f>
        <v>0.910805225673617</v>
      </c>
      <c r="D274" s="37" t="n">
        <f aca="false">1+IF($G$8=$E$8,$F$8,IF(R274&lt;($F$8-$E$8)/($G$8-$E$8),$E$8+SQRT(R274*($G$8-$E$8)*($F$8-$E$8)),$G$8-SQRT((1-R274)*($G$8-$E$8)*($G$8-$F$8))))</f>
        <v>0.969916051229917</v>
      </c>
      <c r="E274" s="37" t="n">
        <f aca="false">1+IF($G$9=$E$9,$F$9,IF(S274&lt;($F$9-$E$9)/($G$9-$E$9),$E$9+SQRT(S274*($G$9-$E$9)*($F$9-$E$9)),$G$9-SQRT((1-S274)*($G$9-$E$9)*($G$9-$F$9))))</f>
        <v>1.0392740196162</v>
      </c>
      <c r="F274" s="37" t="n">
        <f aca="false">1+IF($G$10=$E$10,$F$10,IF(T274&lt;($F$10-$E$10)/($G$10-$E$10),$E$10+SQRT(T274*($G$10-$E$10)*($F$10-$E$10)),$G$10-SQRT((1-T274)*($G$10-$E$10)*($G$10-$F$10))))</f>
        <v>0.987243592421309</v>
      </c>
      <c r="G274" s="38" t="n">
        <f aca="false">IF($G$11=$E$11,$F$11,IF(U274&lt;($F$11-$E$11)/($G$11-$E$11),$E$11+SQRT(U274*($G$11-$E$11)*($F$11-$E$11)),$G$11-SQRT((1-U274)*($G$11-$E$11)*($G$11-$F$11))))</f>
        <v>0.108897402141298</v>
      </c>
      <c r="H274" s="39" t="n">
        <f aca="false">(('Business Case'!B11*$C274*'Business Case'!B12*$B274)-'Business Case'!B11*$C274*'Business Case'!B13*$D274-'Business Case'!B14*$E274)-MAX(0,(('Business Case'!B11*$C274*'Business Case'!B12*$B274)-'Business Case'!B11*$C274*'Business Case'!B13*$D274-'Business Case'!B14*$E274))*'Business Case'!$B$7-'Business Case'!$B$8*('Business Case'!B11*$C274*'Business Case'!B12*$B274)-'Business Case'!B15*$F274</f>
        <v>-1974487184.84262</v>
      </c>
      <c r="I274" s="39" t="n">
        <f aca="false">(('Business Case'!C11*$C274*'Business Case'!C12*$B274)-'Business Case'!C11*$C274*'Business Case'!C13*$D274-'Business Case'!C14*$E274)-MAX(0,(('Business Case'!C11*$C274*'Business Case'!C12*$B274)-'Business Case'!C11*$C274*'Business Case'!C13*$D274-'Business Case'!C14*$E274))*'Business Case'!$B$7-'Business Case'!$B$8*(('Business Case'!C11*$C274*'Business Case'!C12*$B274)-('Business Case'!B11*$C274*'Business Case'!B12*$B274))-'Business Case'!C15*$F274</f>
        <v>-29279545.8285277</v>
      </c>
      <c r="J274" s="39" t="n">
        <f aca="false">(('Business Case'!D11*$C274*'Business Case'!D12*$B274)-'Business Case'!D11*$C274*'Business Case'!D13*$D274-'Business Case'!D14*$E274)-MAX(0,(('Business Case'!D11*$C274*'Business Case'!D12*$B274)-'Business Case'!D11*$C274*'Business Case'!D13*$D274-'Business Case'!D14*$E274))*'Business Case'!$B$7-'Business Case'!$B$8*(('Business Case'!D11*$C274*'Business Case'!D12*$B274)-('Business Case'!C11*$C274*'Business Case'!C12*$B274))-'Business Case'!D15*$F274</f>
        <v>233183956.545577</v>
      </c>
      <c r="K274" s="39" t="n">
        <f aca="false">(('Business Case'!E11*$C274*'Business Case'!E12*$B274)-'Business Case'!E11*$C274*'Business Case'!E13*$D274-'Business Case'!E14*$E274)-MAX(0,(('Business Case'!E11*$C274*'Business Case'!E12*$B274)-'Business Case'!E11*$C274*'Business Case'!E13*$D274-'Business Case'!E14*$E274))*'Business Case'!$B$7-'Business Case'!$B$8*(('Business Case'!E11*$C274*'Business Case'!E12*$B274)-('Business Case'!D11*$C274*'Business Case'!D12*$B274))-'Business Case'!E15*$F274</f>
        <v>545009638.540748</v>
      </c>
      <c r="L274" s="39" t="n">
        <f aca="false">(('Business Case'!F11*$C274*'Business Case'!F12*$B274)-'Business Case'!F11*$C274*'Business Case'!F13*$D274-'Business Case'!F14*$E274)-MAX(0,(('Business Case'!F11*$C274*'Business Case'!F12*$B274)-'Business Case'!F11*$C274*'Business Case'!F13*$D274-'Business Case'!F14*$E274))*'Business Case'!$B$7-'Business Case'!$B$8*(('Business Case'!F11*$C274*'Business Case'!F12*$B274)-('Business Case'!E11*$C274*'Business Case'!E12*$B274))-'Business Case'!F15*$F274</f>
        <v>662653421.579501</v>
      </c>
      <c r="M274" s="39" t="n">
        <f aca="false">(('Business Case'!G11*$C274*'Business Case'!G12*$B274)-'Business Case'!G11*$C274*'Business Case'!G13*$D274-'Business Case'!G14*$E274)-MAX(0,(('Business Case'!G11*$C274*'Business Case'!G12*$B274)-'Business Case'!G11*$C274*'Business Case'!G13*$D274-'Business Case'!G14*$E274))*'Business Case'!$B$7-'Business Case'!$B$8*(('Business Case'!G11*$C274*'Business Case'!G12*$B274)-('Business Case'!F11*$C274*'Business Case'!F12*$B274))-'Business Case'!G15*$F274+'Business Case'!$B$8*('Business Case'!G11*$C274*'Business Case'!G12*$B274)</f>
        <v>828511140.606788</v>
      </c>
      <c r="N274" s="39" t="n">
        <f aca="false">IF(COUNT('Business Case'!B11:G11)=0,"",H274+NPV(G274,I274:M274))</f>
        <v>-479181851.175703</v>
      </c>
      <c r="P274" s="40" t="n">
        <f aca="true">RAND()</f>
        <v>0.15056064025884</v>
      </c>
      <c r="Q274" s="40" t="n">
        <f aca="true">RAND()</f>
        <v>0.175397114808304</v>
      </c>
      <c r="R274" s="40" t="n">
        <f aca="true">RAND()</f>
        <v>0.0610229379373344</v>
      </c>
      <c r="S274" s="40" t="n">
        <f aca="true">RAND()</f>
        <v>0.754157020428425</v>
      </c>
      <c r="T274" s="40" t="n">
        <f aca="true">RAND()</f>
        <v>0.110966814115564</v>
      </c>
      <c r="U274" s="40" t="n">
        <f aca="true">RAND()</f>
        <v>0.794553867979901</v>
      </c>
    </row>
    <row r="275" customFormat="false" ht="15" hidden="false" customHeight="false" outlineLevel="0" collapsed="false">
      <c r="A275" s="36" t="n">
        <v>195</v>
      </c>
      <c r="B275" s="37" t="n">
        <f aca="false">1+IF($G$6=$E$6,$F$6,IF(P275&lt;($F$6-$E$6)/($G$6-$E$6),$E$6+SQRT(P275*($G$6-$E$6)*($F$6-$E$6)),$G$6-SQRT((1-P275)*($G$6-$E$6)*($G$6-$F$6))))</f>
        <v>0.951405095281237</v>
      </c>
      <c r="C275" s="37" t="n">
        <f aca="false">1+IF($G$7=$E$7,$F$7,IF(Q275&lt;($F$7-$E$7)/($G$7-$E$7),$E$7+SQRT(Q275*($G$7-$E$7)*($F$7-$E$7)),$G$7-SQRT((1-Q275)*($G$7-$E$7)*($G$7-$F$7))))</f>
        <v>1.00746862698734</v>
      </c>
      <c r="D275" s="37" t="n">
        <f aca="false">1+IF($G$8=$E$8,$F$8,IF(R275&lt;($F$8-$E$8)/($G$8-$E$8),$E$8+SQRT(R275*($G$8-$E$8)*($F$8-$E$8)),$G$8-SQRT((1-R275)*($G$8-$E$8)*($G$8-$F$8))))</f>
        <v>1.03153699143256</v>
      </c>
      <c r="E275" s="37" t="n">
        <f aca="false">1+IF($G$9=$E$9,$F$9,IF(S275&lt;($F$9-$E$9)/($G$9-$E$9),$E$9+SQRT(S275*($G$9-$E$9)*($F$9-$E$9)),$G$9-SQRT((1-S275)*($G$9-$E$9)*($G$9-$F$9))))</f>
        <v>1.05528918234049</v>
      </c>
      <c r="F275" s="37" t="n">
        <f aca="false">1+IF($G$10=$E$10,$F$10,IF(T275&lt;($F$10-$E$10)/($G$10-$E$10),$E$10+SQRT(T275*($G$10-$E$10)*($F$10-$E$10)),$G$10-SQRT((1-T275)*($G$10-$E$10)*($G$10-$F$10))))</f>
        <v>1.04543911809215</v>
      </c>
      <c r="G275" s="38" t="n">
        <f aca="false">IF($G$11=$E$11,$F$11,IF(U275&lt;($F$11-$E$11)/($G$11-$E$11),$E$11+SQRT(U275*($G$11-$E$11)*($F$11-$E$11)),$G$11-SQRT((1-U275)*($G$11-$E$11)*($G$11-$F$11))))</f>
        <v>0.111062070189321</v>
      </c>
      <c r="H275" s="39" t="n">
        <f aca="false">(('Business Case'!B11*$C275*'Business Case'!B12*$B275)-'Business Case'!B11*$C275*'Business Case'!B13*$D275-'Business Case'!B14*$E275)-MAX(0,(('Business Case'!B11*$C275*'Business Case'!B12*$B275)-'Business Case'!B11*$C275*'Business Case'!B13*$D275-'Business Case'!B14*$E275))*'Business Case'!$B$7-'Business Case'!$B$8*('Business Case'!B11*$C275*'Business Case'!B12*$B275)-'Business Case'!B15*$F275</f>
        <v>-2090878236.18431</v>
      </c>
      <c r="I275" s="39" t="n">
        <f aca="false">(('Business Case'!C11*$C275*'Business Case'!C12*$B275)-'Business Case'!C11*$C275*'Business Case'!C13*$D275-'Business Case'!C14*$E275)-MAX(0,(('Business Case'!C11*$C275*'Business Case'!C12*$B275)-'Business Case'!C11*$C275*'Business Case'!C13*$D275-'Business Case'!C14*$E275))*'Business Case'!$B$7-'Business Case'!$B$8*(('Business Case'!C11*$C275*'Business Case'!C12*$B275)-('Business Case'!B11*$C275*'Business Case'!B12*$B275))-'Business Case'!C15*$F275</f>
        <v>-51214219.7086455</v>
      </c>
      <c r="J275" s="39" t="n">
        <f aca="false">(('Business Case'!D11*$C275*'Business Case'!D12*$B275)-'Business Case'!D11*$C275*'Business Case'!D13*$D275-'Business Case'!D14*$E275)-MAX(0,(('Business Case'!D11*$C275*'Business Case'!D12*$B275)-'Business Case'!D11*$C275*'Business Case'!D13*$D275-'Business Case'!D14*$E275))*'Business Case'!$B$7-'Business Case'!$B$8*(('Business Case'!D11*$C275*'Business Case'!D12*$B275)-('Business Case'!C11*$C275*'Business Case'!C12*$B275))-'Business Case'!D15*$F275</f>
        <v>201866793.217824</v>
      </c>
      <c r="K275" s="39" t="n">
        <f aca="false">(('Business Case'!E11*$C275*'Business Case'!E12*$B275)-'Business Case'!E11*$C275*'Business Case'!E13*$D275-'Business Case'!E14*$E275)-MAX(0,(('Business Case'!E11*$C275*'Business Case'!E12*$B275)-'Business Case'!E11*$C275*'Business Case'!E13*$D275-'Business Case'!E14*$E275))*'Business Case'!$B$7-'Business Case'!$B$8*(('Business Case'!E11*$C275*'Business Case'!E12*$B275)-('Business Case'!D11*$C275*'Business Case'!D12*$B275))-'Business Case'!E15*$F275</f>
        <v>507219762.048902</v>
      </c>
      <c r="L275" s="39" t="n">
        <f aca="false">(('Business Case'!F11*$C275*'Business Case'!F12*$B275)-'Business Case'!F11*$C275*'Business Case'!F13*$D275-'Business Case'!F14*$E275)-MAX(0,(('Business Case'!F11*$C275*'Business Case'!F12*$B275)-'Business Case'!F11*$C275*'Business Case'!F13*$D275-'Business Case'!F14*$E275))*'Business Case'!$B$7-'Business Case'!$B$8*(('Business Case'!F11*$C275*'Business Case'!F12*$B275)-('Business Case'!E11*$C275*'Business Case'!E12*$B275))-'Business Case'!F15*$F275</f>
        <v>624706232.422447</v>
      </c>
      <c r="M275" s="39" t="n">
        <f aca="false">(('Business Case'!G11*$C275*'Business Case'!G12*$B275)-'Business Case'!G11*$C275*'Business Case'!G13*$D275-'Business Case'!G14*$E275)-MAX(0,(('Business Case'!G11*$C275*'Business Case'!G12*$B275)-'Business Case'!G11*$C275*'Business Case'!G13*$D275-'Business Case'!G14*$E275))*'Business Case'!$B$7-'Business Case'!$B$8*(('Business Case'!G11*$C275*'Business Case'!G12*$B275)-('Business Case'!F11*$C275*'Business Case'!F12*$B275))-'Business Case'!G15*$F275+'Business Case'!$B$8*('Business Case'!G11*$C275*'Business Case'!G12*$B275)</f>
        <v>806899962.445082</v>
      </c>
      <c r="N275" s="39" t="n">
        <f aca="false">IF(COUNT('Business Case'!B11:G11)=0,"",H275+NPV(G275,I275:M275))</f>
        <v>-717120709.939979</v>
      </c>
      <c r="P275" s="40" t="n">
        <f aca="true">RAND()</f>
        <v>0.102737501002454</v>
      </c>
      <c r="Q275" s="40" t="n">
        <f aca="true">RAND()</f>
        <v>0.613043956326197</v>
      </c>
      <c r="R275" s="40" t="n">
        <f aca="true">RAND()</f>
        <v>0.77416700005696</v>
      </c>
      <c r="S275" s="40" t="n">
        <f aca="true">RAND()</f>
        <v>0.86672951894786</v>
      </c>
      <c r="T275" s="40" t="n">
        <f aca="true">RAND()</f>
        <v>0.522218675677371</v>
      </c>
      <c r="U275" s="40" t="n">
        <f aca="true">RAND()</f>
        <v>0.866855684498961</v>
      </c>
    </row>
    <row r="276" customFormat="false" ht="15" hidden="false" customHeight="false" outlineLevel="0" collapsed="false">
      <c r="A276" s="36" t="n">
        <v>196</v>
      </c>
      <c r="B276" s="37" t="n">
        <f aca="false">1+IF($G$6=$E$6,$F$6,IF(P276&lt;($F$6-$E$6)/($G$6-$E$6),$E$6+SQRT(P276*($G$6-$E$6)*($F$6-$E$6)),$G$6-SQRT((1-P276)*($G$6-$E$6)*($G$6-$F$6))))</f>
        <v>1.02873313438686</v>
      </c>
      <c r="C276" s="37" t="n">
        <f aca="false">1+IF($G$7=$E$7,$F$7,IF(Q276&lt;($F$7-$E$7)/($G$7-$E$7),$E$7+SQRT(Q276*($G$7-$E$7)*($F$7-$E$7)),$G$7-SQRT((1-Q276)*($G$7-$E$7)*($G$7-$F$7))))</f>
        <v>0.928133819436174</v>
      </c>
      <c r="D276" s="37" t="n">
        <f aca="false">1+IF($G$8=$E$8,$F$8,IF(R276&lt;($F$8-$E$8)/($G$8-$E$8),$E$8+SQRT(R276*($G$8-$E$8)*($F$8-$E$8)),$G$8-SQRT((1-R276)*($G$8-$E$8)*($G$8-$F$8))))</f>
        <v>1.00149702835223</v>
      </c>
      <c r="E276" s="37" t="n">
        <f aca="false">1+IF($G$9=$E$9,$F$9,IF(S276&lt;($F$9-$E$9)/($G$9-$E$9),$E$9+SQRT(S276*($G$9-$E$9)*($F$9-$E$9)),$G$9-SQRT((1-S276)*($G$9-$E$9)*($G$9-$F$9))))</f>
        <v>0.98615694285844</v>
      </c>
      <c r="F276" s="37" t="n">
        <f aca="false">1+IF($G$10=$E$10,$F$10,IF(T276&lt;($F$10-$E$10)/($G$10-$E$10),$E$10+SQRT(T276*($G$10-$E$10)*($F$10-$E$10)),$G$10-SQRT((1-T276)*($G$10-$E$10)*($G$10-$F$10))))</f>
        <v>1.15914763784257</v>
      </c>
      <c r="G276" s="38" t="n">
        <f aca="false">IF($G$11=$E$11,$F$11,IF(U276&lt;($F$11-$E$11)/($G$11-$E$11),$E$11+SQRT(U276*($G$11-$E$11)*($F$11-$E$11)),$G$11-SQRT((1-U276)*($G$11-$E$11)*($G$11-$F$11))))</f>
        <v>0.103659616014304</v>
      </c>
      <c r="H276" s="39" t="n">
        <f aca="false">(('Business Case'!B11*$C276*'Business Case'!B12*$B276)-'Business Case'!B11*$C276*'Business Case'!B13*$D276-'Business Case'!B14*$E276)-MAX(0,(('Business Case'!B11*$C276*'Business Case'!B12*$B276)-'Business Case'!B11*$C276*'Business Case'!B13*$D276-'Business Case'!B14*$E276))*'Business Case'!$B$7-'Business Case'!$B$8*('Business Case'!B11*$C276*'Business Case'!B12*$B276)-'Business Case'!B15*$F276</f>
        <v>-2318295275.68514</v>
      </c>
      <c r="I276" s="39" t="n">
        <f aca="false">(('Business Case'!C11*$C276*'Business Case'!C12*$B276)-'Business Case'!C11*$C276*'Business Case'!C13*$D276-'Business Case'!C14*$E276)-MAX(0,(('Business Case'!C11*$C276*'Business Case'!C12*$B276)-'Business Case'!C11*$C276*'Business Case'!C13*$D276-'Business Case'!C14*$E276))*'Business Case'!$B$7-'Business Case'!$B$8*(('Business Case'!C11*$C276*'Business Case'!C12*$B276)-('Business Case'!B11*$C276*'Business Case'!B12*$B276))-'Business Case'!C15*$F276</f>
        <v>566828.808746979</v>
      </c>
      <c r="J276" s="39" t="n">
        <f aca="false">(('Business Case'!D11*$C276*'Business Case'!D12*$B276)-'Business Case'!D11*$C276*'Business Case'!D13*$D276-'Business Case'!D14*$E276)-MAX(0,(('Business Case'!D11*$C276*'Business Case'!D12*$B276)-'Business Case'!D11*$C276*'Business Case'!D13*$D276-'Business Case'!D14*$E276))*'Business Case'!$B$7-'Business Case'!$B$8*(('Business Case'!D11*$C276*'Business Case'!D12*$B276)-('Business Case'!C11*$C276*'Business Case'!C12*$B276))-'Business Case'!D15*$F276</f>
        <v>306776875.040459</v>
      </c>
      <c r="K276" s="39" t="n">
        <f aca="false">(('Business Case'!E11*$C276*'Business Case'!E12*$B276)-'Business Case'!E11*$C276*'Business Case'!E13*$D276-'Business Case'!E14*$E276)-MAX(0,(('Business Case'!E11*$C276*'Business Case'!E12*$B276)-'Business Case'!E11*$C276*'Business Case'!E13*$D276-'Business Case'!E14*$E276))*'Business Case'!$B$7-'Business Case'!$B$8*(('Business Case'!E11*$C276*'Business Case'!E12*$B276)-('Business Case'!D11*$C276*'Business Case'!D12*$B276))-'Business Case'!E15*$F276</f>
        <v>670944303.164299</v>
      </c>
      <c r="L276" s="39" t="n">
        <f aca="false">(('Business Case'!F11*$C276*'Business Case'!F12*$B276)-'Business Case'!F11*$C276*'Business Case'!F13*$D276-'Business Case'!F14*$E276)-MAX(0,(('Business Case'!F11*$C276*'Business Case'!F12*$B276)-'Business Case'!F11*$C276*'Business Case'!F13*$D276-'Business Case'!F14*$E276))*'Business Case'!$B$7-'Business Case'!$B$8*(('Business Case'!F11*$C276*'Business Case'!F12*$B276)-('Business Case'!E11*$C276*'Business Case'!E12*$B276))-'Business Case'!F15*$F276</f>
        <v>806012276.151028</v>
      </c>
      <c r="M276" s="39" t="n">
        <f aca="false">(('Business Case'!G11*$C276*'Business Case'!G12*$B276)-'Business Case'!G11*$C276*'Business Case'!G13*$D276-'Business Case'!G14*$E276)-MAX(0,(('Business Case'!G11*$C276*'Business Case'!G12*$B276)-'Business Case'!G11*$C276*'Business Case'!G13*$D276-'Business Case'!G14*$E276))*'Business Case'!$B$7-'Business Case'!$B$8*(('Business Case'!G11*$C276*'Business Case'!G12*$B276)-('Business Case'!F11*$C276*'Business Case'!F12*$B276))-'Business Case'!G15*$F276+'Business Case'!$B$8*('Business Case'!G11*$C276*'Business Case'!G12*$B276)</f>
        <v>987501042.819899</v>
      </c>
      <c r="N276" s="39" t="n">
        <f aca="false">IF(COUNT('Business Case'!B11:G11)=0,"",H276+NPV(G276,I276:M276))</f>
        <v>-420519785.169669</v>
      </c>
      <c r="P276" s="40" t="n">
        <f aca="true">RAND()</f>
        <v>0.973553695678241</v>
      </c>
      <c r="Q276" s="40" t="n">
        <f aca="true">RAND()</f>
        <v>0.234546795475741</v>
      </c>
      <c r="R276" s="40" t="n">
        <f aca="true">RAND()</f>
        <v>0.407431100237421</v>
      </c>
      <c r="S276" s="40" t="n">
        <f aca="true">RAND()</f>
        <v>0.174309935582463</v>
      </c>
      <c r="T276" s="40" t="n">
        <f aca="true">RAND()</f>
        <v>0.966621690123165</v>
      </c>
      <c r="U276" s="40" t="n">
        <f aca="true">RAND()</f>
        <v>0.554986418666675</v>
      </c>
    </row>
    <row r="277" customFormat="false" ht="15" hidden="false" customHeight="false" outlineLevel="0" collapsed="false">
      <c r="A277" s="36" t="n">
        <v>197</v>
      </c>
      <c r="B277" s="37" t="n">
        <f aca="false">1+IF($G$6=$E$6,$F$6,IF(P277&lt;($F$6-$E$6)/($G$6-$E$6),$E$6+SQRT(P277*($G$6-$E$6)*($F$6-$E$6)),$G$6-SQRT((1-P277)*($G$6-$E$6)*($G$6-$F$6))))</f>
        <v>0.983022867552655</v>
      </c>
      <c r="C277" s="37" t="n">
        <f aca="false">1+IF($G$7=$E$7,$F$7,IF(Q277&lt;($F$7-$E$7)/($G$7-$E$7),$E$7+SQRT(Q277*($G$7-$E$7)*($F$7-$E$7)),$G$7-SQRT((1-Q277)*($G$7-$E$7)*($G$7-$F$7))))</f>
        <v>1.10130330603404</v>
      </c>
      <c r="D277" s="37" t="n">
        <f aca="false">1+IF($G$8=$E$8,$F$8,IF(R277&lt;($F$8-$E$8)/($G$8-$E$8),$E$8+SQRT(R277*($G$8-$E$8)*($F$8-$E$8)),$G$8-SQRT((1-R277)*($G$8-$E$8)*($G$8-$F$8))))</f>
        <v>1.03038702027156</v>
      </c>
      <c r="E277" s="37" t="n">
        <f aca="false">1+IF($G$9=$E$9,$F$9,IF(S277&lt;($F$9-$E$9)/($G$9-$E$9),$E$9+SQRT(S277*($G$9-$E$9)*($F$9-$E$9)),$G$9-SQRT((1-S277)*($G$9-$E$9)*($G$9-$F$9))))</f>
        <v>1.0180019742107</v>
      </c>
      <c r="F277" s="37" t="n">
        <f aca="false">1+IF($G$10=$E$10,$F$10,IF(T277&lt;($F$10-$E$10)/($G$10-$E$10),$E$10+SQRT(T277*($G$10-$E$10)*($F$10-$E$10)),$G$10-SQRT((1-T277)*($G$10-$E$10)*($G$10-$F$10))))</f>
        <v>1.08909788805338</v>
      </c>
      <c r="G277" s="38" t="n">
        <f aca="false">IF($G$11=$E$11,$F$11,IF(U277&lt;($F$11-$E$11)/($G$11-$E$11),$E$11+SQRT(U277*($G$11-$E$11)*($F$11-$E$11)),$G$11-SQRT((1-U277)*($G$11-$E$11)*($G$11-$F$11))))</f>
        <v>0.112295281277137</v>
      </c>
      <c r="H277" s="39" t="n">
        <f aca="false">(('Business Case'!B11*$C277*'Business Case'!B12*$B277)-'Business Case'!B11*$C277*'Business Case'!B13*$D277-'Business Case'!B14*$E277)-MAX(0,(('Business Case'!B11*$C277*'Business Case'!B12*$B277)-'Business Case'!B11*$C277*'Business Case'!B13*$D277-'Business Case'!B14*$E277))*'Business Case'!$B$7-'Business Case'!$B$8*('Business Case'!B11*$C277*'Business Case'!B12*$B277)-'Business Case'!B15*$F277</f>
        <v>-2178195776.10677</v>
      </c>
      <c r="I277" s="39" t="n">
        <f aca="false">(('Business Case'!C11*$C277*'Business Case'!C12*$B277)-'Business Case'!C11*$C277*'Business Case'!C13*$D277-'Business Case'!C14*$E277)-MAX(0,(('Business Case'!C11*$C277*'Business Case'!C12*$B277)-'Business Case'!C11*$C277*'Business Case'!C13*$D277-'Business Case'!C14*$E277))*'Business Case'!$B$7-'Business Case'!$B$8*(('Business Case'!C11*$C277*'Business Case'!C12*$B277)-('Business Case'!B11*$C277*'Business Case'!B12*$B277))-'Business Case'!C15*$F277</f>
        <v>-3970204.78679499</v>
      </c>
      <c r="J277" s="39" t="n">
        <f aca="false">(('Business Case'!D11*$C277*'Business Case'!D12*$B277)-'Business Case'!D11*$C277*'Business Case'!D13*$D277-'Business Case'!D14*$E277)-MAX(0,(('Business Case'!D11*$C277*'Business Case'!D12*$B277)-'Business Case'!D11*$C277*'Business Case'!D13*$D277-'Business Case'!D14*$E277))*'Business Case'!$B$7-'Business Case'!$B$8*(('Business Case'!D11*$C277*'Business Case'!D12*$B277)-('Business Case'!C11*$C277*'Business Case'!C12*$B277))-'Business Case'!D15*$F277</f>
        <v>301851572.316105</v>
      </c>
      <c r="K277" s="39" t="n">
        <f aca="false">(('Business Case'!E11*$C277*'Business Case'!E12*$B277)-'Business Case'!E11*$C277*'Business Case'!E13*$D277-'Business Case'!E14*$E277)-MAX(0,(('Business Case'!E11*$C277*'Business Case'!E12*$B277)-'Business Case'!E11*$C277*'Business Case'!E13*$D277-'Business Case'!E14*$E277))*'Business Case'!$B$7-'Business Case'!$B$8*(('Business Case'!E11*$C277*'Business Case'!E12*$B277)-('Business Case'!D11*$C277*'Business Case'!D12*$B277))-'Business Case'!E15*$F277</f>
        <v>662128243.821674</v>
      </c>
      <c r="L277" s="39" t="n">
        <f aca="false">(('Business Case'!F11*$C277*'Business Case'!F12*$B277)-'Business Case'!F11*$C277*'Business Case'!F13*$D277-'Business Case'!F14*$E277)-MAX(0,(('Business Case'!F11*$C277*'Business Case'!F12*$B277)-'Business Case'!F11*$C277*'Business Case'!F13*$D277-'Business Case'!F14*$E277))*'Business Case'!$B$7-'Business Case'!$B$8*(('Business Case'!F11*$C277*'Business Case'!F12*$B277)-('Business Case'!E11*$C277*'Business Case'!E12*$B277))-'Business Case'!F15*$F277</f>
        <v>801483711.090371</v>
      </c>
      <c r="M277" s="39" t="n">
        <f aca="false">(('Business Case'!G11*$C277*'Business Case'!G12*$B277)-'Business Case'!G11*$C277*'Business Case'!G13*$D277-'Business Case'!G14*$E277)-MAX(0,(('Business Case'!G11*$C277*'Business Case'!G12*$B277)-'Business Case'!G11*$C277*'Business Case'!G13*$D277-'Business Case'!G14*$E277))*'Business Case'!$B$7-'Business Case'!$B$8*(('Business Case'!G11*$C277*'Business Case'!G12*$B277)-('Business Case'!F11*$C277*'Business Case'!F12*$B277))-'Business Case'!G15*$F277+'Business Case'!$B$8*('Business Case'!G11*$C277*'Business Case'!G12*$B277)</f>
        <v>1007265523.04622</v>
      </c>
      <c r="N277" s="39" t="n">
        <f aca="false">IF(COUNT('Business Case'!B11:G11)=0,"",H277+NPV(G277,I277:M277))</f>
        <v>-341395634.461853</v>
      </c>
      <c r="P277" s="40" t="n">
        <f aca="true">RAND()</f>
        <v>0.413737691099954</v>
      </c>
      <c r="Q277" s="40" t="n">
        <f aca="true">RAND()</f>
        <v>0.954831085653064</v>
      </c>
      <c r="R277" s="40" t="n">
        <f aca="true">RAND()</f>
        <v>0.763322331006305</v>
      </c>
      <c r="S277" s="40" t="n">
        <f aca="true">RAND()</f>
        <v>0.55175491777715</v>
      </c>
      <c r="T277" s="40" t="n">
        <f aca="true">RAND()</f>
        <v>0.754014431315606</v>
      </c>
      <c r="U277" s="40" t="n">
        <f aca="true">RAND()</f>
        <v>0.901062182335935</v>
      </c>
    </row>
    <row r="278" customFormat="false" ht="15" hidden="false" customHeight="false" outlineLevel="0" collapsed="false">
      <c r="A278" s="36" t="n">
        <v>198</v>
      </c>
      <c r="B278" s="37" t="n">
        <f aca="false">1+IF($G$6=$E$6,$F$6,IF(P278&lt;($F$6-$E$6)/($G$6-$E$6),$E$6+SQRT(P278*($G$6-$E$6)*($F$6-$E$6)),$G$6-SQRT((1-P278)*($G$6-$E$6)*($G$6-$F$6))))</f>
        <v>1.00006665136874</v>
      </c>
      <c r="C278" s="37" t="n">
        <f aca="false">1+IF($G$7=$E$7,$F$7,IF(Q278&lt;($F$7-$E$7)/($G$7-$E$7),$E$7+SQRT(Q278*($G$7-$E$7)*($F$7-$E$7)),$G$7-SQRT((1-Q278)*($G$7-$E$7)*($G$7-$F$7))))</f>
        <v>0.886111823983838</v>
      </c>
      <c r="D278" s="37" t="n">
        <f aca="false">1+IF($G$8=$E$8,$F$8,IF(R278&lt;($F$8-$E$8)/($G$8-$E$8),$E$8+SQRT(R278*($G$8-$E$8)*($F$8-$E$8)),$G$8-SQRT((1-R278)*($G$8-$E$8)*($G$8-$F$8))))</f>
        <v>1.00467589818948</v>
      </c>
      <c r="E278" s="37" t="n">
        <f aca="false">1+IF($G$9=$E$9,$F$9,IF(S278&lt;($F$9-$E$9)/($G$9-$E$9),$E$9+SQRT(S278*($G$9-$E$9)*($F$9-$E$9)),$G$9-SQRT((1-S278)*($G$9-$E$9)*($G$9-$F$9))))</f>
        <v>1.04263631925736</v>
      </c>
      <c r="F278" s="37" t="n">
        <f aca="false">1+IF($G$10=$E$10,$F$10,IF(T278&lt;($F$10-$E$10)/($G$10-$E$10),$E$10+SQRT(T278*($G$10-$E$10)*($F$10-$E$10)),$G$10-SQRT((1-T278)*($G$10-$E$10)*($G$10-$F$10))))</f>
        <v>1.02530699373458</v>
      </c>
      <c r="G278" s="38" t="n">
        <f aca="false">IF($G$11=$E$11,$F$11,IF(U278&lt;($F$11-$E$11)/($G$11-$E$11),$E$11+SQRT(U278*($G$11-$E$11)*($F$11-$E$11)),$G$11-SQRT((1-U278)*($G$11-$E$11)*($G$11-$F$11))))</f>
        <v>0.115204473698068</v>
      </c>
      <c r="H278" s="39" t="n">
        <f aca="false">(('Business Case'!B11*$C278*'Business Case'!B12*$B278)-'Business Case'!B11*$C278*'Business Case'!B13*$D278-'Business Case'!B14*$E278)-MAX(0,(('Business Case'!B11*$C278*'Business Case'!B12*$B278)-'Business Case'!B11*$C278*'Business Case'!B13*$D278-'Business Case'!B14*$E278))*'Business Case'!$B$7-'Business Case'!$B$8*('Business Case'!B11*$C278*'Business Case'!B12*$B278)-'Business Case'!B15*$F278</f>
        <v>-2050613987.46916</v>
      </c>
      <c r="I278" s="39" t="n">
        <f aca="false">(('Business Case'!C11*$C278*'Business Case'!C12*$B278)-'Business Case'!C11*$C278*'Business Case'!C13*$D278-'Business Case'!C14*$E278)-MAX(0,(('Business Case'!C11*$C278*'Business Case'!C12*$B278)-'Business Case'!C11*$C278*'Business Case'!C13*$D278-'Business Case'!C14*$E278))*'Business Case'!$B$7-'Business Case'!$B$8*(('Business Case'!C11*$C278*'Business Case'!C12*$B278)-('Business Case'!B11*$C278*'Business Case'!B12*$B278))-'Business Case'!C15*$F278</f>
        <v>-26634362.102085</v>
      </c>
      <c r="J278" s="39" t="n">
        <f aca="false">(('Business Case'!D11*$C278*'Business Case'!D12*$B278)-'Business Case'!D11*$C278*'Business Case'!D13*$D278-'Business Case'!D14*$E278)-MAX(0,(('Business Case'!D11*$C278*'Business Case'!D12*$B278)-'Business Case'!D11*$C278*'Business Case'!D13*$D278-'Business Case'!D14*$E278))*'Business Case'!$B$7-'Business Case'!$B$8*(('Business Case'!D11*$C278*'Business Case'!D12*$B278)-('Business Case'!C11*$C278*'Business Case'!C12*$B278))-'Business Case'!D15*$F278</f>
        <v>243463958.422744</v>
      </c>
      <c r="K278" s="39" t="n">
        <f aca="false">(('Business Case'!E11*$C278*'Business Case'!E12*$B278)-'Business Case'!E11*$C278*'Business Case'!E13*$D278-'Business Case'!E14*$E278)-MAX(0,(('Business Case'!E11*$C278*'Business Case'!E12*$B278)-'Business Case'!E11*$C278*'Business Case'!E13*$D278-'Business Case'!E14*$E278))*'Business Case'!$B$7-'Business Case'!$B$8*(('Business Case'!E11*$C278*'Business Case'!E12*$B278)-('Business Case'!D11*$C278*'Business Case'!D12*$B278))-'Business Case'!E15*$F278</f>
        <v>564827628.634301</v>
      </c>
      <c r="L278" s="39" t="n">
        <f aca="false">(('Business Case'!F11*$C278*'Business Case'!F12*$B278)-'Business Case'!F11*$C278*'Business Case'!F13*$D278-'Business Case'!F14*$E278)-MAX(0,(('Business Case'!F11*$C278*'Business Case'!F12*$B278)-'Business Case'!F11*$C278*'Business Case'!F13*$D278-'Business Case'!F14*$E278))*'Business Case'!$B$7-'Business Case'!$B$8*(('Business Case'!F11*$C278*'Business Case'!F12*$B278)-('Business Case'!E11*$C278*'Business Case'!E12*$B278))-'Business Case'!F15*$F278</f>
        <v>685486467.912617</v>
      </c>
      <c r="M278" s="39" t="n">
        <f aca="false">(('Business Case'!G11*$C278*'Business Case'!G12*$B278)-'Business Case'!G11*$C278*'Business Case'!G13*$D278-'Business Case'!G14*$E278)-MAX(0,(('Business Case'!G11*$C278*'Business Case'!G12*$B278)-'Business Case'!G11*$C278*'Business Case'!G13*$D278-'Business Case'!G14*$E278))*'Business Case'!$B$7-'Business Case'!$B$8*(('Business Case'!G11*$C278*'Business Case'!G12*$B278)-('Business Case'!F11*$C278*'Business Case'!F12*$B278))-'Business Case'!G15*$F278+'Business Case'!$B$8*('Business Case'!G11*$C278*'Business Case'!G12*$B278)</f>
        <v>853929829.647836</v>
      </c>
      <c r="N278" s="39" t="n">
        <f aca="false">IF(COUNT('Business Case'!B11:G11)=0,"",H278+NPV(G278,I278:M278))</f>
        <v>-533262858.558697</v>
      </c>
      <c r="P278" s="40" t="n">
        <f aca="true">RAND()</f>
        <v>0.6677765973113</v>
      </c>
      <c r="Q278" s="40" t="n">
        <f aca="true">RAND()</f>
        <v>0.105932088997477</v>
      </c>
      <c r="R278" s="40" t="n">
        <f aca="true">RAND()</f>
        <v>0.454449969849837</v>
      </c>
      <c r="S278" s="40" t="n">
        <f aca="true">RAND()</f>
        <v>0.780627208777062</v>
      </c>
      <c r="T278" s="40" t="n">
        <f aca="true">RAND()</f>
        <v>0.389647071238996</v>
      </c>
      <c r="U278" s="40" t="n">
        <f aca="true">RAND()</f>
        <v>0.961671545812466</v>
      </c>
    </row>
    <row r="279" customFormat="false" ht="15" hidden="false" customHeight="false" outlineLevel="0" collapsed="false">
      <c r="A279" s="36" t="n">
        <v>199</v>
      </c>
      <c r="B279" s="37" t="n">
        <f aca="false">1+IF($G$6=$E$6,$F$6,IF(P279&lt;($F$6-$E$6)/($G$6-$E$6),$E$6+SQRT(P279*($G$6-$E$6)*($F$6-$E$6)),$G$6-SQRT((1-P279)*($G$6-$E$6)*($G$6-$F$6))))</f>
        <v>0.986752129654752</v>
      </c>
      <c r="C279" s="37" t="n">
        <f aca="false">1+IF($G$7=$E$7,$F$7,IF(Q279&lt;($F$7-$E$7)/($G$7-$E$7),$E$7+SQRT(Q279*($G$7-$E$7)*($F$7-$E$7)),$G$7-SQRT((1-Q279)*($G$7-$E$7)*($G$7-$F$7))))</f>
        <v>0.922166640844826</v>
      </c>
      <c r="D279" s="37" t="n">
        <f aca="false">1+IF($G$8=$E$8,$F$8,IF(R279&lt;($F$8-$E$8)/($G$8-$E$8),$E$8+SQRT(R279*($G$8-$E$8)*($F$8-$E$8)),$G$8-SQRT((1-R279)*($G$8-$E$8)*($G$8-$F$8))))</f>
        <v>0.999201757074368</v>
      </c>
      <c r="E279" s="37" t="n">
        <f aca="false">1+IF($G$9=$E$9,$F$9,IF(S279&lt;($F$9-$E$9)/($G$9-$E$9),$E$9+SQRT(S279*($G$9-$E$9)*($F$9-$E$9)),$G$9-SQRT((1-S279)*($G$9-$E$9)*($G$9-$F$9))))</f>
        <v>1.0683855375457</v>
      </c>
      <c r="F279" s="37" t="n">
        <f aca="false">1+IF($G$10=$E$10,$F$10,IF(T279&lt;($F$10-$E$10)/($G$10-$E$10),$E$10+SQRT(T279*($G$10-$E$10)*($F$10-$E$10)),$G$10-SQRT((1-T279)*($G$10-$E$10)*($G$10-$F$10))))</f>
        <v>1.03542673980534</v>
      </c>
      <c r="G279" s="38" t="n">
        <f aca="false">IF($G$11=$E$11,$F$11,IF(U279&lt;($F$11-$E$11)/($G$11-$E$11),$E$11+SQRT(U279*($G$11-$E$11)*($F$11-$E$11)),$G$11-SQRT((1-U279)*($G$11-$E$11)*($G$11-$F$11))))</f>
        <v>0.0974440861333604</v>
      </c>
      <c r="H279" s="39" t="n">
        <f aca="false">(('Business Case'!B11*$C279*'Business Case'!B12*$B279)-'Business Case'!B11*$C279*'Business Case'!B13*$D279-'Business Case'!B14*$E279)-MAX(0,(('Business Case'!B11*$C279*'Business Case'!B12*$B279)-'Business Case'!B11*$C279*'Business Case'!B13*$D279-'Business Case'!B14*$E279))*'Business Case'!$B$7-'Business Case'!$B$8*('Business Case'!B11*$C279*'Business Case'!B12*$B279)-'Business Case'!B15*$F279</f>
        <v>-2070853479.61067</v>
      </c>
      <c r="I279" s="39" t="n">
        <f aca="false">(('Business Case'!C11*$C279*'Business Case'!C12*$B279)-'Business Case'!C11*$C279*'Business Case'!C13*$D279-'Business Case'!C14*$E279)-MAX(0,(('Business Case'!C11*$C279*'Business Case'!C12*$B279)-'Business Case'!C11*$C279*'Business Case'!C13*$D279-'Business Case'!C14*$E279))*'Business Case'!$B$7-'Business Case'!$B$8*(('Business Case'!C11*$C279*'Business Case'!C12*$B279)-('Business Case'!B11*$C279*'Business Case'!B12*$B279))-'Business Case'!C15*$F279</f>
        <v>-29023134.0517837</v>
      </c>
      <c r="J279" s="39" t="n">
        <f aca="false">(('Business Case'!D11*$C279*'Business Case'!D12*$B279)-'Business Case'!D11*$C279*'Business Case'!D13*$D279-'Business Case'!D14*$E279)-MAX(0,(('Business Case'!D11*$C279*'Business Case'!D12*$B279)-'Business Case'!D11*$C279*'Business Case'!D13*$D279-'Business Case'!D14*$E279))*'Business Case'!$B$7-'Business Case'!$B$8*(('Business Case'!D11*$C279*'Business Case'!D12*$B279)-('Business Case'!C11*$C279*'Business Case'!C12*$B279))-'Business Case'!D15*$F279</f>
        <v>244592631.963495</v>
      </c>
      <c r="K279" s="39" t="n">
        <f aca="false">(('Business Case'!E11*$C279*'Business Case'!E12*$B279)-'Business Case'!E11*$C279*'Business Case'!E13*$D279-'Business Case'!E14*$E279)-MAX(0,(('Business Case'!E11*$C279*'Business Case'!E12*$B279)-'Business Case'!E11*$C279*'Business Case'!E13*$D279-'Business Case'!E14*$E279))*'Business Case'!$B$7-'Business Case'!$B$8*(('Business Case'!E11*$C279*'Business Case'!E12*$B279)-('Business Case'!D11*$C279*'Business Case'!D12*$B279))-'Business Case'!E15*$F279</f>
        <v>569979734.969041</v>
      </c>
      <c r="L279" s="39" t="n">
        <f aca="false">(('Business Case'!F11*$C279*'Business Case'!F12*$B279)-'Business Case'!F11*$C279*'Business Case'!F13*$D279-'Business Case'!F14*$E279)-MAX(0,(('Business Case'!F11*$C279*'Business Case'!F12*$B279)-'Business Case'!F11*$C279*'Business Case'!F13*$D279-'Business Case'!F14*$E279))*'Business Case'!$B$7-'Business Case'!$B$8*(('Business Case'!F11*$C279*'Business Case'!F12*$B279)-('Business Case'!E11*$C279*'Business Case'!E12*$B279))-'Business Case'!F15*$F279</f>
        <v>692632858.739154</v>
      </c>
      <c r="M279" s="39" t="n">
        <f aca="false">(('Business Case'!G11*$C279*'Business Case'!G12*$B279)-'Business Case'!G11*$C279*'Business Case'!G13*$D279-'Business Case'!G14*$E279)-MAX(0,(('Business Case'!G11*$C279*'Business Case'!G12*$B279)-'Business Case'!G11*$C279*'Business Case'!G13*$D279-'Business Case'!G14*$E279))*'Business Case'!$B$7-'Business Case'!$B$8*(('Business Case'!G11*$C279*'Business Case'!G12*$B279)-('Business Case'!F11*$C279*'Business Case'!F12*$B279))-'Business Case'!G15*$F279+'Business Case'!$B$8*('Business Case'!G11*$C279*'Business Case'!G12*$B279)</f>
        <v>865596135.113432</v>
      </c>
      <c r="N279" s="39" t="n">
        <f aca="false">IF(COUNT('Business Case'!B11:G11)=0,"",H279+NPV(G279,I279:M279))</f>
        <v>-441725886.24001</v>
      </c>
      <c r="P279" s="40" t="n">
        <f aca="true">RAND()</f>
        <v>0.464150709733834</v>
      </c>
      <c r="Q279" s="40" t="n">
        <f aca="true">RAND()</f>
        <v>0.213209830504409</v>
      </c>
      <c r="R279" s="40" t="n">
        <f aca="true">RAND()</f>
        <v>0.372432753723867</v>
      </c>
      <c r="S279" s="40" t="n">
        <f aca="true">RAND()</f>
        <v>0.933368384248383</v>
      </c>
      <c r="T279" s="40" t="n">
        <f aca="true">RAND()</f>
        <v>0.458312840577986</v>
      </c>
      <c r="U279" s="40" t="n">
        <f aca="true">RAND()</f>
        <v>0.184714727869628</v>
      </c>
    </row>
    <row r="280" customFormat="false" ht="15" hidden="false" customHeight="false" outlineLevel="0" collapsed="false">
      <c r="A280" s="36" t="n">
        <v>200</v>
      </c>
      <c r="B280" s="37" t="n">
        <f aca="false">1+IF($G$6=$E$6,$F$6,IF(P280&lt;($F$6-$E$6)/($G$6-$E$6),$E$6+SQRT(P280*($G$6-$E$6)*($F$6-$E$6)),$G$6-SQRT((1-P280)*($G$6-$E$6)*($G$6-$F$6))))</f>
        <v>0.996271496518293</v>
      </c>
      <c r="C280" s="37" t="n">
        <f aca="false">1+IF($G$7=$E$7,$F$7,IF(Q280&lt;($F$7-$E$7)/($G$7-$E$7),$E$7+SQRT(Q280*($G$7-$E$7)*($F$7-$E$7)),$G$7-SQRT((1-Q280)*($G$7-$E$7)*($G$7-$F$7))))</f>
        <v>0.864409440787451</v>
      </c>
      <c r="D280" s="37" t="n">
        <f aca="false">1+IF($G$8=$E$8,$F$8,IF(R280&lt;($F$8-$E$8)/($G$8-$E$8),$E$8+SQRT(R280*($G$8-$E$8)*($F$8-$E$8)),$G$8-SQRT((1-R280)*($G$8-$E$8)*($G$8-$F$8))))</f>
        <v>0.974642408823438</v>
      </c>
      <c r="E280" s="37" t="n">
        <f aca="false">1+IF($G$9=$E$9,$F$9,IF(S280&lt;($F$9-$E$9)/($G$9-$E$9),$E$9+SQRT(S280*($G$9-$E$9)*($F$9-$E$9)),$G$9-SQRT((1-S280)*($G$9-$E$9)*($G$9-$F$9))))</f>
        <v>0.980373601921256</v>
      </c>
      <c r="F280" s="37" t="n">
        <f aca="false">1+IF($G$10=$E$10,$F$10,IF(T280&lt;($F$10-$E$10)/($G$10-$E$10),$E$10+SQRT(T280*($G$10-$E$10)*($F$10-$E$10)),$G$10-SQRT((1-T280)*($G$10-$E$10)*($G$10-$F$10))))</f>
        <v>1.03835878607077</v>
      </c>
      <c r="G280" s="38" t="n">
        <f aca="false">IF($G$11=$E$11,$F$11,IF(U280&lt;($F$11-$E$11)/($G$11-$E$11),$E$11+SQRT(U280*($G$11-$E$11)*($F$11-$E$11)),$G$11-SQRT((1-U280)*($G$11-$E$11)*($G$11-$F$11))))</f>
        <v>0.109598545896595</v>
      </c>
      <c r="H280" s="39" t="n">
        <f aca="false">(('Business Case'!B11*$C280*'Business Case'!B12*$B280)-'Business Case'!B11*$C280*'Business Case'!B13*$D280-'Business Case'!B14*$E280)-MAX(0,(('Business Case'!B11*$C280*'Business Case'!B12*$B280)-'Business Case'!B11*$C280*'Business Case'!B13*$D280-'Business Case'!B14*$E280))*'Business Case'!$B$7-'Business Case'!$B$8*('Business Case'!B11*$C280*'Business Case'!B12*$B280)-'Business Case'!B15*$F280</f>
        <v>-2076717572.14155</v>
      </c>
      <c r="I280" s="39" t="n">
        <f aca="false">(('Business Case'!C11*$C280*'Business Case'!C12*$B280)-'Business Case'!C11*$C280*'Business Case'!C13*$D280-'Business Case'!C14*$E280)-MAX(0,(('Business Case'!C11*$C280*'Business Case'!C12*$B280)-'Business Case'!C11*$C280*'Business Case'!C13*$D280-'Business Case'!C14*$E280))*'Business Case'!$B$7-'Business Case'!$B$8*(('Business Case'!C11*$C280*'Business Case'!C12*$B280)-('Business Case'!B11*$C280*'Business Case'!B12*$B280))-'Business Case'!C15*$F280</f>
        <v>-13802705.6462207</v>
      </c>
      <c r="J280" s="39" t="n">
        <f aca="false">(('Business Case'!D11*$C280*'Business Case'!D12*$B280)-'Business Case'!D11*$C280*'Business Case'!D13*$D280-'Business Case'!D14*$E280)-MAX(0,(('Business Case'!D11*$C280*'Business Case'!D12*$B280)-'Business Case'!D11*$C280*'Business Case'!D13*$D280-'Business Case'!D14*$E280))*'Business Case'!$B$7-'Business Case'!$B$8*(('Business Case'!D11*$C280*'Business Case'!D12*$B280)-('Business Case'!C11*$C280*'Business Case'!C12*$B280))-'Business Case'!D15*$F280</f>
        <v>260283501.003139</v>
      </c>
      <c r="K280" s="39" t="n">
        <f aca="false">(('Business Case'!E11*$C280*'Business Case'!E12*$B280)-'Business Case'!E11*$C280*'Business Case'!E13*$D280-'Business Case'!E14*$E280)-MAX(0,(('Business Case'!E11*$C280*'Business Case'!E12*$B280)-'Business Case'!E11*$C280*'Business Case'!E13*$D280-'Business Case'!E14*$E280))*'Business Case'!$B$7-'Business Case'!$B$8*(('Business Case'!E11*$C280*'Business Case'!E12*$B280)-('Business Case'!D11*$C280*'Business Case'!D12*$B280))-'Business Case'!E15*$F280</f>
        <v>586287646.956037</v>
      </c>
      <c r="L280" s="39" t="n">
        <f aca="false">(('Business Case'!F11*$C280*'Business Case'!F12*$B280)-'Business Case'!F11*$C280*'Business Case'!F13*$D280-'Business Case'!F14*$E280)-MAX(0,(('Business Case'!F11*$C280*'Business Case'!F12*$B280)-'Business Case'!F11*$C280*'Business Case'!F13*$D280-'Business Case'!F14*$E280))*'Business Case'!$B$7-'Business Case'!$B$8*(('Business Case'!F11*$C280*'Business Case'!F12*$B280)-('Business Case'!E11*$C280*'Business Case'!E12*$B280))-'Business Case'!F15*$F280</f>
        <v>707412320.836024</v>
      </c>
      <c r="M280" s="39" t="n">
        <f aca="false">(('Business Case'!G11*$C280*'Business Case'!G12*$B280)-'Business Case'!G11*$C280*'Business Case'!G13*$D280-'Business Case'!G14*$E280)-MAX(0,(('Business Case'!G11*$C280*'Business Case'!G12*$B280)-'Business Case'!G11*$C280*'Business Case'!G13*$D280-'Business Case'!G14*$E280))*'Business Case'!$B$7-'Business Case'!$B$8*(('Business Case'!G11*$C280*'Business Case'!G12*$B280)-('Business Case'!F11*$C280*'Business Case'!F12*$B280))-'Business Case'!G15*$F280+'Business Case'!$B$8*('Business Case'!G11*$C280*'Business Case'!G12*$B280)</f>
        <v>871106648.318791</v>
      </c>
      <c r="N280" s="39" t="n">
        <f aca="false">IF(COUNT('Business Case'!B11:G11)=0,"",H280+NPV(G280,I280:M280))</f>
        <v>-464033760.102008</v>
      </c>
      <c r="P280" s="40" t="n">
        <f aca="true">RAND()</f>
        <v>0.605973039702086</v>
      </c>
      <c r="Q280" s="40" t="n">
        <f aca="true">RAND()</f>
        <v>0.0592653723221743</v>
      </c>
      <c r="R280" s="40" t="n">
        <f aca="true">RAND()</f>
        <v>0.093422817326379</v>
      </c>
      <c r="S280" s="40" t="n">
        <f aca="true">RAND()</f>
        <v>0.123007425822787</v>
      </c>
      <c r="T280" s="40" t="n">
        <f aca="true">RAND()</f>
        <v>0.47744235918973</v>
      </c>
      <c r="U280" s="40" t="n">
        <f aca="true">RAND()</f>
        <v>0.819682920891253</v>
      </c>
    </row>
    <row r="281" customFormat="false" ht="15" hidden="false" customHeight="false" outlineLevel="0" collapsed="false">
      <c r="A281" s="36" t="n">
        <v>201</v>
      </c>
      <c r="B281" s="37" t="n">
        <f aca="false">1+IF($G$6=$E$6,$F$6,IF(P281&lt;($F$6-$E$6)/($G$6-$E$6),$E$6+SQRT(P281*($G$6-$E$6)*($F$6-$E$6)),$G$6-SQRT((1-P281)*($G$6-$E$6)*($G$6-$F$6))))</f>
        <v>0.961749919926851</v>
      </c>
      <c r="C281" s="37" t="n">
        <f aca="false">1+IF($G$7=$E$7,$F$7,IF(Q281&lt;($F$7-$E$7)/($G$7-$E$7),$E$7+SQRT(Q281*($G$7-$E$7)*($F$7-$E$7)),$G$7-SQRT((1-Q281)*($G$7-$E$7)*($G$7-$F$7))))</f>
        <v>0.916112882051815</v>
      </c>
      <c r="D281" s="37" t="n">
        <f aca="false">1+IF($G$8=$E$8,$F$8,IF(R281&lt;($F$8-$E$8)/($G$8-$E$8),$E$8+SQRT(R281*($G$8-$E$8)*($F$8-$E$8)),$G$8-SQRT((1-R281)*($G$8-$E$8)*($G$8-$F$8))))</f>
        <v>0.993401489797742</v>
      </c>
      <c r="E281" s="37" t="n">
        <f aca="false">1+IF($G$9=$E$9,$F$9,IF(S281&lt;($F$9-$E$9)/($G$9-$E$9),$E$9+SQRT(S281*($G$9-$E$9)*($F$9-$E$9)),$G$9-SQRT((1-S281)*($G$9-$E$9)*($G$9-$F$9))))</f>
        <v>1.0043675956696</v>
      </c>
      <c r="F281" s="37" t="n">
        <f aca="false">1+IF($G$10=$E$10,$F$10,IF(T281&lt;($F$10-$E$10)/($G$10-$E$10),$E$10+SQRT(T281*($G$10-$E$10)*($F$10-$E$10)),$G$10-SQRT((1-T281)*($G$10-$E$10)*($G$10-$F$10))))</f>
        <v>0.978590281858298</v>
      </c>
      <c r="G281" s="38" t="n">
        <f aca="false">IF($G$11=$E$11,$F$11,IF(U281&lt;($F$11-$E$11)/($G$11-$E$11),$E$11+SQRT(U281*($G$11-$E$11)*($F$11-$E$11)),$G$11-SQRT((1-U281)*($G$11-$E$11)*($G$11-$F$11))))</f>
        <v>0.110987222670436</v>
      </c>
      <c r="H281" s="39" t="n">
        <f aca="false">(('Business Case'!B11*$C281*'Business Case'!B12*$B281)-'Business Case'!B11*$C281*'Business Case'!B13*$D281-'Business Case'!B14*$E281)-MAX(0,(('Business Case'!B11*$C281*'Business Case'!B12*$B281)-'Business Case'!B11*$C281*'Business Case'!B13*$D281-'Business Case'!B14*$E281))*'Business Case'!$B$7-'Business Case'!$B$8*('Business Case'!B11*$C281*'Business Case'!B12*$B281)-'Business Case'!B15*$F281</f>
        <v>-1957180563.7166</v>
      </c>
      <c r="I281" s="39" t="n">
        <f aca="false">(('Business Case'!C11*$C281*'Business Case'!C12*$B281)-'Business Case'!C11*$C281*'Business Case'!C13*$D281-'Business Case'!C14*$E281)-MAX(0,(('Business Case'!C11*$C281*'Business Case'!C12*$B281)-'Business Case'!C11*$C281*'Business Case'!C13*$D281-'Business Case'!C14*$E281))*'Business Case'!$B$7-'Business Case'!$B$8*(('Business Case'!C11*$C281*'Business Case'!C12*$B281)-('Business Case'!B11*$C281*'Business Case'!B12*$B281))-'Business Case'!C15*$F281</f>
        <v>-30575818.456582</v>
      </c>
      <c r="J281" s="39" t="n">
        <f aca="false">(('Business Case'!D11*$C281*'Business Case'!D12*$B281)-'Business Case'!D11*$C281*'Business Case'!D13*$D281-'Business Case'!D14*$E281)-MAX(0,(('Business Case'!D11*$C281*'Business Case'!D12*$B281)-'Business Case'!D11*$C281*'Business Case'!D13*$D281-'Business Case'!D14*$E281))*'Business Case'!$B$7-'Business Case'!$B$8*(('Business Case'!D11*$C281*'Business Case'!D12*$B281)-('Business Case'!C11*$C281*'Business Case'!C12*$B281))-'Business Case'!D15*$F281</f>
        <v>225203209.468109</v>
      </c>
      <c r="K281" s="39" t="n">
        <f aca="false">(('Business Case'!E11*$C281*'Business Case'!E12*$B281)-'Business Case'!E11*$C281*'Business Case'!E13*$D281-'Business Case'!E14*$E281)-MAX(0,(('Business Case'!E11*$C281*'Business Case'!E12*$B281)-'Business Case'!E11*$C281*'Business Case'!E13*$D281-'Business Case'!E14*$E281))*'Business Case'!$B$7-'Business Case'!$B$8*(('Business Case'!E11*$C281*'Business Case'!E12*$B281)-('Business Case'!D11*$C281*'Business Case'!D12*$B281))-'Business Case'!E15*$F281</f>
        <v>529911751.485716</v>
      </c>
      <c r="L281" s="39" t="n">
        <f aca="false">(('Business Case'!F11*$C281*'Business Case'!F12*$B281)-'Business Case'!F11*$C281*'Business Case'!F13*$D281-'Business Case'!F14*$E281)-MAX(0,(('Business Case'!F11*$C281*'Business Case'!F12*$B281)-'Business Case'!F11*$C281*'Business Case'!F13*$D281-'Business Case'!F14*$E281))*'Business Case'!$B$7-'Business Case'!$B$8*(('Business Case'!F11*$C281*'Business Case'!F12*$B281)-('Business Case'!E11*$C281*'Business Case'!E12*$B281))-'Business Case'!F15*$F281</f>
        <v>645621258.188097</v>
      </c>
      <c r="M281" s="39" t="n">
        <f aca="false">(('Business Case'!G11*$C281*'Business Case'!G12*$B281)-'Business Case'!G11*$C281*'Business Case'!G13*$D281-'Business Case'!G14*$E281)-MAX(0,(('Business Case'!G11*$C281*'Business Case'!G12*$B281)-'Business Case'!G11*$C281*'Business Case'!G13*$D281-'Business Case'!G14*$E281))*'Business Case'!$B$7-'Business Case'!$B$8*(('Business Case'!G11*$C281*'Business Case'!G12*$B281)-('Business Case'!F11*$C281*'Business Case'!F12*$B281))-'Business Case'!G15*$F281+'Business Case'!$B$8*('Business Case'!G11*$C281*'Business Case'!G12*$B281)</f>
        <v>813095327.189259</v>
      </c>
      <c r="N281" s="39" t="n">
        <f aca="false">IF(COUNT('Business Case'!B11:G11)=0,"",H281+NPV(G281,I281:M281))</f>
        <v>-511638170.321054</v>
      </c>
      <c r="P281" s="40" t="n">
        <f aca="true">RAND()</f>
        <v>0.18156831394776</v>
      </c>
      <c r="Q281" s="40" t="n">
        <f aca="true">RAND()</f>
        <v>0.192602876833982</v>
      </c>
      <c r="R281" s="40" t="n">
        <f aca="true">RAND()</f>
        <v>0.289798356409771</v>
      </c>
      <c r="S281" s="40" t="n">
        <f aca="true">RAND()</f>
        <v>0.390296216132514</v>
      </c>
      <c r="T281" s="40" t="n">
        <f aca="true">RAND()</f>
        <v>0.0653923373389532</v>
      </c>
      <c r="U281" s="40" t="n">
        <f aca="true">RAND()</f>
        <v>0.864616408012842</v>
      </c>
    </row>
    <row r="282" customFormat="false" ht="15" hidden="false" customHeight="false" outlineLevel="0" collapsed="false">
      <c r="A282" s="36" t="n">
        <v>202</v>
      </c>
      <c r="B282" s="37" t="n">
        <f aca="false">1+IF($G$6=$E$6,$F$6,IF(P282&lt;($F$6-$E$6)/($G$6-$E$6),$E$6+SQRT(P282*($G$6-$E$6)*($F$6-$E$6)),$G$6-SQRT((1-P282)*($G$6-$E$6)*($G$6-$F$6))))</f>
        <v>0.946867306728278</v>
      </c>
      <c r="C282" s="37" t="n">
        <f aca="false">1+IF($G$7=$E$7,$F$7,IF(Q282&lt;($F$7-$E$7)/($G$7-$E$7),$E$7+SQRT(Q282*($G$7-$E$7)*($F$7-$E$7)),$G$7-SQRT((1-Q282)*($G$7-$E$7)*($G$7-$F$7))))</f>
        <v>1.0285148464157</v>
      </c>
      <c r="D282" s="37" t="n">
        <f aca="false">1+IF($G$8=$E$8,$F$8,IF(R282&lt;($F$8-$E$8)/($G$8-$E$8),$E$8+SQRT(R282*($G$8-$E$8)*($F$8-$E$8)),$G$8-SQRT((1-R282)*($G$8-$E$8)*($G$8-$F$8))))</f>
        <v>0.996463086188157</v>
      </c>
      <c r="E282" s="37" t="n">
        <f aca="false">1+IF($G$9=$E$9,$F$9,IF(S282&lt;($F$9-$E$9)/($G$9-$E$9),$E$9+SQRT(S282*($G$9-$E$9)*($F$9-$E$9)),$G$9-SQRT((1-S282)*($G$9-$E$9)*($G$9-$F$9))))</f>
        <v>1.05576724900868</v>
      </c>
      <c r="F282" s="37" t="n">
        <f aca="false">1+IF($G$10=$E$10,$F$10,IF(T282&lt;($F$10-$E$10)/($G$10-$E$10),$E$10+SQRT(T282*($G$10-$E$10)*($F$10-$E$10)),$G$10-SQRT((1-T282)*($G$10-$E$10)*($G$10-$F$10))))</f>
        <v>0.995949129423394</v>
      </c>
      <c r="G282" s="38" t="n">
        <f aca="false">IF($G$11=$E$11,$F$11,IF(U282&lt;($F$11-$E$11)/($G$11-$E$11),$E$11+SQRT(U282*($G$11-$E$11)*($F$11-$E$11)),$G$11-SQRT((1-U282)*($G$11-$E$11)*($G$11-$F$11))))</f>
        <v>0.106757600078822</v>
      </c>
      <c r="H282" s="39" t="n">
        <f aca="false">(('Business Case'!B11*$C282*'Business Case'!B12*$B282)-'Business Case'!B11*$C282*'Business Case'!B13*$D282-'Business Case'!B14*$E282)-MAX(0,(('Business Case'!B11*$C282*'Business Case'!B12*$B282)-'Business Case'!B11*$C282*'Business Case'!B13*$D282-'Business Case'!B14*$E282))*'Business Case'!$B$7-'Business Case'!$B$8*('Business Case'!B11*$C282*'Business Case'!B12*$B282)-'Business Case'!B15*$F282</f>
        <v>-1991898258.84679</v>
      </c>
      <c r="I282" s="39" t="n">
        <f aca="false">(('Business Case'!C11*$C282*'Business Case'!C12*$B282)-'Business Case'!C11*$C282*'Business Case'!C13*$D282-'Business Case'!C14*$E282)-MAX(0,(('Business Case'!C11*$C282*'Business Case'!C12*$B282)-'Business Case'!C11*$C282*'Business Case'!C13*$D282-'Business Case'!C14*$E282))*'Business Case'!$B$7-'Business Case'!$B$8*(('Business Case'!C11*$C282*'Business Case'!C12*$B282)-('Business Case'!B11*$C282*'Business Case'!B12*$B282))-'Business Case'!C15*$F282</f>
        <v>-27198100.0632287</v>
      </c>
      <c r="J282" s="39" t="n">
        <f aca="false">(('Business Case'!D11*$C282*'Business Case'!D12*$B282)-'Business Case'!D11*$C282*'Business Case'!D13*$D282-'Business Case'!D14*$E282)-MAX(0,(('Business Case'!D11*$C282*'Business Case'!D12*$B282)-'Business Case'!D11*$C282*'Business Case'!D13*$D282-'Business Case'!D14*$E282))*'Business Case'!$B$7-'Business Case'!$B$8*(('Business Case'!D11*$C282*'Business Case'!D12*$B282)-('Business Case'!C11*$C282*'Business Case'!C12*$B282))-'Business Case'!D15*$F282</f>
        <v>245814085.184603</v>
      </c>
      <c r="K282" s="39" t="n">
        <f aca="false">(('Business Case'!E11*$C282*'Business Case'!E12*$B282)-'Business Case'!E11*$C282*'Business Case'!E13*$D282-'Business Case'!E14*$E282)-MAX(0,(('Business Case'!E11*$C282*'Business Case'!E12*$B282)-'Business Case'!E11*$C282*'Business Case'!E13*$D282-'Business Case'!E14*$E282))*'Business Case'!$B$7-'Business Case'!$B$8*(('Business Case'!E11*$C282*'Business Case'!E12*$B282)-('Business Case'!D11*$C282*'Business Case'!D12*$B282))-'Business Case'!E15*$F282</f>
        <v>568623726.903605</v>
      </c>
      <c r="L282" s="39" t="n">
        <f aca="false">(('Business Case'!F11*$C282*'Business Case'!F12*$B282)-'Business Case'!F11*$C282*'Business Case'!F13*$D282-'Business Case'!F14*$E282)-MAX(0,(('Business Case'!F11*$C282*'Business Case'!F12*$B282)-'Business Case'!F11*$C282*'Business Case'!F13*$D282-'Business Case'!F14*$E282))*'Business Case'!$B$7-'Business Case'!$B$8*(('Business Case'!F11*$C282*'Business Case'!F12*$B282)-('Business Case'!E11*$C282*'Business Case'!E12*$B282))-'Business Case'!F15*$F282</f>
        <v>693284635.026007</v>
      </c>
      <c r="M282" s="39" t="n">
        <f aca="false">(('Business Case'!G11*$C282*'Business Case'!G12*$B282)-'Business Case'!G11*$C282*'Business Case'!G13*$D282-'Business Case'!G14*$E282)-MAX(0,(('Business Case'!G11*$C282*'Business Case'!G12*$B282)-'Business Case'!G11*$C282*'Business Case'!G13*$D282-'Business Case'!G14*$E282))*'Business Case'!$B$7-'Business Case'!$B$8*(('Business Case'!G11*$C282*'Business Case'!G12*$B282)-('Business Case'!F11*$C282*'Business Case'!F12*$B282))-'Business Case'!G15*$F282+'Business Case'!$B$8*('Business Case'!G11*$C282*'Business Case'!G12*$B282)</f>
        <v>878397290.078192</v>
      </c>
      <c r="N282" s="39" t="n">
        <f aca="false">IF(COUNT('Business Case'!B11:G11)=0,"",H282+NPV(G282,I282:M282))</f>
        <v>-405326087.153345</v>
      </c>
      <c r="P282" s="40" t="n">
        <f aca="true">RAND()</f>
        <v>0.0751929344615985</v>
      </c>
      <c r="Q282" s="40" t="n">
        <f aca="true">RAND()</f>
        <v>0.718882999211428</v>
      </c>
      <c r="R282" s="40" t="n">
        <f aca="true">RAND()</f>
        <v>0.332125904327406</v>
      </c>
      <c r="S282" s="40" t="n">
        <f aca="true">RAND()</f>
        <v>0.869564249316011</v>
      </c>
      <c r="T282" s="40" t="n">
        <f aca="true">RAND()</f>
        <v>0.168905799581428</v>
      </c>
      <c r="U282" s="40" t="n">
        <f aca="true">RAND()</f>
        <v>0.707731407212632</v>
      </c>
    </row>
    <row r="283" customFormat="false" ht="15" hidden="false" customHeight="false" outlineLevel="0" collapsed="false">
      <c r="A283" s="36" t="n">
        <v>203</v>
      </c>
      <c r="B283" s="37" t="n">
        <f aca="false">1+IF($G$6=$E$6,$F$6,IF(P283&lt;($F$6-$E$6)/($G$6-$E$6),$E$6+SQRT(P283*($G$6-$E$6)*($F$6-$E$6)),$G$6-SQRT((1-P283)*($G$6-$E$6)*($G$6-$F$6))))</f>
        <v>0.966208723339296</v>
      </c>
      <c r="C283" s="37" t="n">
        <f aca="false">1+IF($G$7=$E$7,$F$7,IF(Q283&lt;($F$7-$E$7)/($G$7-$E$7),$E$7+SQRT(Q283*($G$7-$E$7)*($F$7-$E$7)),$G$7-SQRT((1-Q283)*($G$7-$E$7)*($G$7-$F$7))))</f>
        <v>0.91228155508804</v>
      </c>
      <c r="D283" s="37" t="n">
        <f aca="false">1+IF($G$8=$E$8,$F$8,IF(R283&lt;($F$8-$E$8)/($G$8-$E$8),$E$8+SQRT(R283*($G$8-$E$8)*($F$8-$E$8)),$G$8-SQRT((1-R283)*($G$8-$E$8)*($G$8-$F$8))))</f>
        <v>0.97458689240614</v>
      </c>
      <c r="E283" s="37" t="n">
        <f aca="false">1+IF($G$9=$E$9,$F$9,IF(S283&lt;($F$9-$E$9)/($G$9-$E$9),$E$9+SQRT(S283*($G$9-$E$9)*($F$9-$E$9)),$G$9-SQRT((1-S283)*($G$9-$E$9)*($G$9-$F$9))))</f>
        <v>0.995034697491647</v>
      </c>
      <c r="F283" s="37" t="n">
        <f aca="false">1+IF($G$10=$E$10,$F$10,IF(T283&lt;($F$10-$E$10)/($G$10-$E$10),$E$10+SQRT(T283*($G$10-$E$10)*($F$10-$E$10)),$G$10-SQRT((1-T283)*($G$10-$E$10)*($G$10-$F$10))))</f>
        <v>1.12152540543479</v>
      </c>
      <c r="G283" s="38" t="n">
        <f aca="false">IF($G$11=$E$11,$F$11,IF(U283&lt;($F$11-$E$11)/($G$11-$E$11),$E$11+SQRT(U283*($G$11-$E$11)*($F$11-$E$11)),$G$11-SQRT((1-U283)*($G$11-$E$11)*($G$11-$F$11))))</f>
        <v>0.11423399344304</v>
      </c>
      <c r="H283" s="39" t="n">
        <f aca="false">(('Business Case'!B11*$C283*'Business Case'!B12*$B283)-'Business Case'!B11*$C283*'Business Case'!B13*$D283-'Business Case'!B14*$E283)-MAX(0,(('Business Case'!B11*$C283*'Business Case'!B12*$B283)-'Business Case'!B11*$C283*'Business Case'!B13*$D283-'Business Case'!B14*$E283))*'Business Case'!$B$7-'Business Case'!$B$8*('Business Case'!B11*$C283*'Business Case'!B12*$B283)-'Business Case'!B15*$F283</f>
        <v>-2243050810.86958</v>
      </c>
      <c r="I283" s="39" t="n">
        <f aca="false">(('Business Case'!C11*$C283*'Business Case'!C12*$B283)-'Business Case'!C11*$C283*'Business Case'!C13*$D283-'Business Case'!C14*$E283)-MAX(0,(('Business Case'!C11*$C283*'Business Case'!C12*$B283)-'Business Case'!C11*$C283*'Business Case'!C13*$D283-'Business Case'!C14*$E283))*'Business Case'!$B$7-'Business Case'!$B$8*(('Business Case'!C11*$C283*'Business Case'!C12*$B283)-('Business Case'!B11*$C283*'Business Case'!B12*$B283))-'Business Case'!C15*$F283</f>
        <v>-32513321.6866702</v>
      </c>
      <c r="J283" s="39" t="n">
        <f aca="false">(('Business Case'!D11*$C283*'Business Case'!D12*$B283)-'Business Case'!D11*$C283*'Business Case'!D13*$D283-'Business Case'!D14*$E283)-MAX(0,(('Business Case'!D11*$C283*'Business Case'!D12*$B283)-'Business Case'!D11*$C283*'Business Case'!D13*$D283-'Business Case'!D14*$E283))*'Business Case'!$B$7-'Business Case'!$B$8*(('Business Case'!D11*$C283*'Business Case'!D12*$B283)-('Business Case'!C11*$C283*'Business Case'!C12*$B283))-'Business Case'!D15*$F283</f>
        <v>234314427.076699</v>
      </c>
      <c r="K283" s="39" t="n">
        <f aca="false">(('Business Case'!E11*$C283*'Business Case'!E12*$B283)-'Business Case'!E11*$C283*'Business Case'!E13*$D283-'Business Case'!E14*$E283)-MAX(0,(('Business Case'!E11*$C283*'Business Case'!E12*$B283)-'Business Case'!E11*$C283*'Business Case'!E13*$D283-'Business Case'!E14*$E283))*'Business Case'!$B$7-'Business Case'!$B$8*(('Business Case'!E11*$C283*'Business Case'!E12*$B283)-('Business Case'!D11*$C283*'Business Case'!D12*$B283))-'Business Case'!E15*$F283</f>
        <v>557218446.111808</v>
      </c>
      <c r="L283" s="39" t="n">
        <f aca="false">(('Business Case'!F11*$C283*'Business Case'!F12*$B283)-'Business Case'!F11*$C283*'Business Case'!F13*$D283-'Business Case'!F14*$E283)-MAX(0,(('Business Case'!F11*$C283*'Business Case'!F12*$B283)-'Business Case'!F11*$C283*'Business Case'!F13*$D283-'Business Case'!F14*$E283))*'Business Case'!$B$7-'Business Case'!$B$8*(('Business Case'!F11*$C283*'Business Case'!F12*$B283)-('Business Case'!E11*$C283*'Business Case'!E12*$B283))-'Business Case'!F15*$F283</f>
        <v>676624092.981763</v>
      </c>
      <c r="M283" s="39" t="n">
        <f aca="false">(('Business Case'!G11*$C283*'Business Case'!G12*$B283)-'Business Case'!G11*$C283*'Business Case'!G13*$D283-'Business Case'!G14*$E283)-MAX(0,(('Business Case'!G11*$C283*'Business Case'!G12*$B283)-'Business Case'!G11*$C283*'Business Case'!G13*$D283-'Business Case'!G14*$E283))*'Business Case'!$B$7-'Business Case'!$B$8*(('Business Case'!G11*$C283*'Business Case'!G12*$B283)-('Business Case'!F11*$C283*'Business Case'!F12*$B283))-'Business Case'!G15*$F283+'Business Case'!$B$8*('Business Case'!G11*$C283*'Business Case'!G12*$B283)</f>
        <v>844170944.700341</v>
      </c>
      <c r="N283" s="39" t="n">
        <f aca="false">IF(COUNT('Business Case'!B11:G11)=0,"",H283+NPV(G283,I283:M283))</f>
        <v>-750186964.390412</v>
      </c>
      <c r="P283" s="40" t="n">
        <f aca="true">RAND()</f>
        <v>0.222421470067459</v>
      </c>
      <c r="Q283" s="40" t="n">
        <f aca="true">RAND()</f>
        <v>0.18010210875698</v>
      </c>
      <c r="R283" s="40" t="n">
        <f aca="true">RAND()</f>
        <v>0.0930023504909418</v>
      </c>
      <c r="S283" s="40" t="n">
        <f aca="true">RAND()</f>
        <v>0.27041653042189</v>
      </c>
      <c r="T283" s="40" t="n">
        <f aca="true">RAND()</f>
        <v>0.876834760156512</v>
      </c>
      <c r="U283" s="40" t="n">
        <f aca="true">RAND()</f>
        <v>0.94458861397515</v>
      </c>
    </row>
    <row r="284" customFormat="false" ht="15" hidden="false" customHeight="false" outlineLevel="0" collapsed="false">
      <c r="A284" s="36" t="n">
        <v>204</v>
      </c>
      <c r="B284" s="37" t="n">
        <f aca="false">1+IF($G$6=$E$6,$F$6,IF(P284&lt;($F$6-$E$6)/($G$6-$E$6),$E$6+SQRT(P284*($G$6-$E$6)*($F$6-$E$6)),$G$6-SQRT((1-P284)*($G$6-$E$6)*($G$6-$F$6))))</f>
        <v>0.991020461203089</v>
      </c>
      <c r="C284" s="37" t="n">
        <f aca="false">1+IF($G$7=$E$7,$F$7,IF(Q284&lt;($F$7-$E$7)/($G$7-$E$7),$E$7+SQRT(Q284*($G$7-$E$7)*($F$7-$E$7)),$G$7-SQRT((1-Q284)*($G$7-$E$7)*($G$7-$F$7))))</f>
        <v>1.01717654868466</v>
      </c>
      <c r="D284" s="37" t="n">
        <f aca="false">1+IF($G$8=$E$8,$F$8,IF(R284&lt;($F$8-$E$8)/($G$8-$E$8),$E$8+SQRT(R284*($G$8-$E$8)*($F$8-$E$8)),$G$8-SQRT((1-R284)*($G$8-$E$8)*($G$8-$F$8))))</f>
        <v>0.978621776765228</v>
      </c>
      <c r="E284" s="37" t="n">
        <f aca="false">1+IF($G$9=$E$9,$F$9,IF(S284&lt;($F$9-$E$9)/($G$9-$E$9),$E$9+SQRT(S284*($G$9-$E$9)*($F$9-$E$9)),$G$9-SQRT((1-S284)*($G$9-$E$9)*($G$9-$F$9))))</f>
        <v>1.02226890957181</v>
      </c>
      <c r="F284" s="37" t="n">
        <f aca="false">1+IF($G$10=$E$10,$F$10,IF(T284&lt;($F$10-$E$10)/($G$10-$E$10),$E$10+SQRT(T284*($G$10-$E$10)*($F$10-$E$10)),$G$10-SQRT((1-T284)*($G$10-$E$10)*($G$10-$F$10))))</f>
        <v>0.983134940999212</v>
      </c>
      <c r="G284" s="38" t="n">
        <f aca="false">IF($G$11=$E$11,$F$11,IF(U284&lt;($F$11-$E$11)/($G$11-$E$11),$E$11+SQRT(U284*($G$11-$E$11)*($F$11-$E$11)),$G$11-SQRT((1-U284)*($G$11-$E$11)*($G$11-$F$11))))</f>
        <v>0.103394724828121</v>
      </c>
      <c r="H284" s="39" t="n">
        <f aca="false">(('Business Case'!B11*$C284*'Business Case'!B12*$B284)-'Business Case'!B11*$C284*'Business Case'!B13*$D284-'Business Case'!B14*$E284)-MAX(0,(('Business Case'!B11*$C284*'Business Case'!B12*$B284)-'Business Case'!B11*$C284*'Business Case'!B13*$D284-'Business Case'!B14*$E284))*'Business Case'!$B$7-'Business Case'!$B$8*('Business Case'!B11*$C284*'Business Case'!B12*$B284)-'Business Case'!B15*$F284</f>
        <v>-1966269881.99842</v>
      </c>
      <c r="I284" s="39" t="n">
        <f aca="false">(('Business Case'!C11*$C284*'Business Case'!C12*$B284)-'Business Case'!C11*$C284*'Business Case'!C13*$D284-'Business Case'!C14*$E284)-MAX(0,(('Business Case'!C11*$C284*'Business Case'!C12*$B284)-'Business Case'!C11*$C284*'Business Case'!C13*$D284-'Business Case'!C14*$E284))*'Business Case'!$B$7-'Business Case'!$B$8*(('Business Case'!C11*$C284*'Business Case'!C12*$B284)-('Business Case'!B11*$C284*'Business Case'!B12*$B284))-'Business Case'!C15*$F284</f>
        <v>20141439.6693987</v>
      </c>
      <c r="J284" s="39" t="n">
        <f aca="false">(('Business Case'!D11*$C284*'Business Case'!D12*$B284)-'Business Case'!D11*$C284*'Business Case'!D13*$D284-'Business Case'!D14*$E284)-MAX(0,(('Business Case'!D11*$C284*'Business Case'!D12*$B284)-'Business Case'!D11*$C284*'Business Case'!D13*$D284-'Business Case'!D14*$E284))*'Business Case'!$B$7-'Business Case'!$B$8*(('Business Case'!D11*$C284*'Business Case'!D12*$B284)-('Business Case'!C11*$C284*'Business Case'!C12*$B284))-'Business Case'!D15*$F284</f>
        <v>336219949.701172</v>
      </c>
      <c r="K284" s="39" t="n">
        <f aca="false">(('Business Case'!E11*$C284*'Business Case'!E12*$B284)-'Business Case'!E11*$C284*'Business Case'!E13*$D284-'Business Case'!E14*$E284)-MAX(0,(('Business Case'!E11*$C284*'Business Case'!E12*$B284)-'Business Case'!E11*$C284*'Business Case'!E13*$D284-'Business Case'!E14*$E284))*'Business Case'!$B$7-'Business Case'!$B$8*(('Business Case'!E11*$C284*'Business Case'!E12*$B284)-('Business Case'!D11*$C284*'Business Case'!D12*$B284))-'Business Case'!E15*$F284</f>
        <v>701455206.782905</v>
      </c>
      <c r="L284" s="39" t="n">
        <f aca="false">(('Business Case'!F11*$C284*'Business Case'!F12*$B284)-'Business Case'!F11*$C284*'Business Case'!F13*$D284-'Business Case'!F14*$E284)-MAX(0,(('Business Case'!F11*$C284*'Business Case'!F12*$B284)-'Business Case'!F11*$C284*'Business Case'!F13*$D284-'Business Case'!F14*$E284))*'Business Case'!$B$7-'Business Case'!$B$8*(('Business Case'!F11*$C284*'Business Case'!F12*$B284)-('Business Case'!E11*$C284*'Business Case'!E12*$B284))-'Business Case'!F15*$F284</f>
        <v>841652668.341058</v>
      </c>
      <c r="M284" s="39" t="n">
        <f aca="false">(('Business Case'!G11*$C284*'Business Case'!G12*$B284)-'Business Case'!G11*$C284*'Business Case'!G13*$D284-'Business Case'!G14*$E284)-MAX(0,(('Business Case'!G11*$C284*'Business Case'!G12*$B284)-'Business Case'!G11*$C284*'Business Case'!G13*$D284-'Business Case'!G14*$E284))*'Business Case'!$B$7-'Business Case'!$B$8*(('Business Case'!G11*$C284*'Business Case'!G12*$B284)-('Business Case'!F11*$C284*'Business Case'!F12*$B284))-'Business Case'!G15*$F284+'Business Case'!$B$8*('Business Case'!G11*$C284*'Business Case'!G12*$B284)</f>
        <v>1033261438.51931</v>
      </c>
      <c r="N284" s="39" t="n">
        <f aca="false">IF(COUNT('Business Case'!B11:G11)=0,"",H284+NPV(G284,I284:M284))</f>
        <v>49892508.7599084</v>
      </c>
      <c r="P284" s="40" t="n">
        <f aca="true">RAND()</f>
        <v>0.525406865572857</v>
      </c>
      <c r="Q284" s="40" t="n">
        <f aca="true">RAND()</f>
        <v>0.663960586298689</v>
      </c>
      <c r="R284" s="40" t="n">
        <f aca="true">RAND()</f>
        <v>0.126031708492086</v>
      </c>
      <c r="S284" s="40" t="n">
        <f aca="true">RAND()</f>
        <v>0.597191838722927</v>
      </c>
      <c r="T284" s="40" t="n">
        <f aca="true">RAND()</f>
        <v>0.0878339452016994</v>
      </c>
      <c r="U284" s="40" t="n">
        <f aca="true">RAND()</f>
        <v>0.540441394110303</v>
      </c>
    </row>
    <row r="285" customFormat="false" ht="15" hidden="false" customHeight="false" outlineLevel="0" collapsed="false">
      <c r="A285" s="36" t="n">
        <v>205</v>
      </c>
      <c r="B285" s="37" t="n">
        <f aca="false">1+IF($G$6=$E$6,$F$6,IF(P285&lt;($F$6-$E$6)/($G$6-$E$6),$E$6+SQRT(P285*($G$6-$E$6)*($F$6-$E$6)),$G$6-SQRT((1-P285)*($G$6-$E$6)*($G$6-$F$6))))</f>
        <v>1.00215517752728</v>
      </c>
      <c r="C285" s="37" t="n">
        <f aca="false">1+IF($G$7=$E$7,$F$7,IF(Q285&lt;($F$7-$E$7)/($G$7-$E$7),$E$7+SQRT(Q285*($G$7-$E$7)*($F$7-$E$7)),$G$7-SQRT((1-Q285)*($G$7-$E$7)*($G$7-$F$7))))</f>
        <v>1.04478030384616</v>
      </c>
      <c r="D285" s="37" t="n">
        <f aca="false">1+IF($G$8=$E$8,$F$8,IF(R285&lt;($F$8-$E$8)/($G$8-$E$8),$E$8+SQRT(R285*($G$8-$E$8)*($F$8-$E$8)),$G$8-SQRT((1-R285)*($G$8-$E$8)*($G$8-$F$8))))</f>
        <v>1.07439982757328</v>
      </c>
      <c r="E285" s="37" t="n">
        <f aca="false">1+IF($G$9=$E$9,$F$9,IF(S285&lt;($F$9-$E$9)/($G$9-$E$9),$E$9+SQRT(S285*($G$9-$E$9)*($F$9-$E$9)),$G$9-SQRT((1-S285)*($G$9-$E$9)*($G$9-$F$9))))</f>
        <v>1.00069542888009</v>
      </c>
      <c r="F285" s="37" t="n">
        <f aca="false">1+IF($G$10=$E$10,$F$10,IF(T285&lt;($F$10-$E$10)/($G$10-$E$10),$E$10+SQRT(T285*($G$10-$E$10)*($F$10-$E$10)),$G$10-SQRT((1-T285)*($G$10-$E$10)*($G$10-$F$10))))</f>
        <v>1.09685358013311</v>
      </c>
      <c r="G285" s="38" t="n">
        <f aca="false">IF($G$11=$E$11,$F$11,IF(U285&lt;($F$11-$E$11)/($G$11-$E$11),$E$11+SQRT(U285*($G$11-$E$11)*($F$11-$E$11)),$G$11-SQRT((1-U285)*($G$11-$E$11)*($G$11-$F$11))))</f>
        <v>0.0966649804087233</v>
      </c>
      <c r="H285" s="39" t="n">
        <f aca="false">(('Business Case'!B11*$C285*'Business Case'!B12*$B285)-'Business Case'!B11*$C285*'Business Case'!B13*$D285-'Business Case'!B14*$E285)-MAX(0,(('Business Case'!B11*$C285*'Business Case'!B12*$B285)-'Business Case'!B11*$C285*'Business Case'!B13*$D285-'Business Case'!B14*$E285))*'Business Case'!$B$7-'Business Case'!$B$8*('Business Case'!B11*$C285*'Business Case'!B12*$B285)-'Business Case'!B15*$F285</f>
        <v>-2193707160.26622</v>
      </c>
      <c r="I285" s="39" t="n">
        <f aca="false">(('Business Case'!C11*$C285*'Business Case'!C12*$B285)-'Business Case'!C11*$C285*'Business Case'!C13*$D285-'Business Case'!C14*$E285)-MAX(0,(('Business Case'!C11*$C285*'Business Case'!C12*$B285)-'Business Case'!C11*$C285*'Business Case'!C13*$D285-'Business Case'!C14*$E285))*'Business Case'!$B$7-'Business Case'!$B$8*(('Business Case'!C11*$C285*'Business Case'!C12*$B285)-('Business Case'!B11*$C285*'Business Case'!B12*$B285))-'Business Case'!C15*$F285</f>
        <v>-23304029.1243105</v>
      </c>
      <c r="J285" s="39" t="n">
        <f aca="false">(('Business Case'!D11*$C285*'Business Case'!D12*$B285)-'Business Case'!D11*$C285*'Business Case'!D13*$D285-'Business Case'!D14*$E285)-MAX(0,(('Business Case'!D11*$C285*'Business Case'!D12*$B285)-'Business Case'!D11*$C285*'Business Case'!D13*$D285-'Business Case'!D14*$E285))*'Business Case'!$B$7-'Business Case'!$B$8*(('Business Case'!D11*$C285*'Business Case'!D12*$B285)-('Business Case'!C11*$C285*'Business Case'!C12*$B285))-'Business Case'!D15*$F285</f>
        <v>259654328.158553</v>
      </c>
      <c r="K285" s="39" t="n">
        <f aca="false">(('Business Case'!E11*$C285*'Business Case'!E12*$B285)-'Business Case'!E11*$C285*'Business Case'!E13*$D285-'Business Case'!E14*$E285)-MAX(0,(('Business Case'!E11*$C285*'Business Case'!E12*$B285)-'Business Case'!E11*$C285*'Business Case'!E13*$D285-'Business Case'!E14*$E285))*'Business Case'!$B$7-'Business Case'!$B$8*(('Business Case'!E11*$C285*'Business Case'!E12*$B285)-('Business Case'!D11*$C285*'Business Case'!D12*$B285))-'Business Case'!E15*$F285</f>
        <v>597455364.448071</v>
      </c>
      <c r="L285" s="39" t="n">
        <f aca="false">(('Business Case'!F11*$C285*'Business Case'!F12*$B285)-'Business Case'!F11*$C285*'Business Case'!F13*$D285-'Business Case'!F14*$E285)-MAX(0,(('Business Case'!F11*$C285*'Business Case'!F12*$B285)-'Business Case'!F11*$C285*'Business Case'!F13*$D285-'Business Case'!F14*$E285))*'Business Case'!$B$7-'Business Case'!$B$8*(('Business Case'!F11*$C285*'Business Case'!F12*$B285)-('Business Case'!E11*$C285*'Business Case'!E12*$B285))-'Business Case'!F15*$F285</f>
        <v>727960242.480434</v>
      </c>
      <c r="M285" s="39" t="n">
        <f aca="false">(('Business Case'!G11*$C285*'Business Case'!G12*$B285)-'Business Case'!G11*$C285*'Business Case'!G13*$D285-'Business Case'!G14*$E285)-MAX(0,(('Business Case'!G11*$C285*'Business Case'!G12*$B285)-'Business Case'!G11*$C285*'Business Case'!G13*$D285-'Business Case'!G14*$E285))*'Business Case'!$B$7-'Business Case'!$B$8*(('Business Case'!G11*$C285*'Business Case'!G12*$B285)-('Business Case'!F11*$C285*'Business Case'!F12*$B285))-'Business Case'!G15*$F285+'Business Case'!$B$8*('Business Case'!G11*$C285*'Business Case'!G12*$B285)</f>
        <v>926980083.306515</v>
      </c>
      <c r="N285" s="39" t="n">
        <f aca="false">IF(COUNT('Business Case'!B11:G11)=0,"",H285+NPV(G285,I285:M285))</f>
        <v>-458405470.134451</v>
      </c>
      <c r="P285" s="40" t="n">
        <f aca="true">RAND()</f>
        <v>0.701618627501715</v>
      </c>
      <c r="Q285" s="40" t="n">
        <f aca="true">RAND()</f>
        <v>0.78912029602463</v>
      </c>
      <c r="R285" s="40" t="n">
        <f aca="true">RAND()</f>
        <v>0.996984429691442</v>
      </c>
      <c r="S285" s="40" t="n">
        <f aca="true">RAND()</f>
        <v>0.342573476979436</v>
      </c>
      <c r="T285" s="40" t="n">
        <f aca="true">RAND()</f>
        <v>0.787216321372868</v>
      </c>
      <c r="U285" s="40" t="n">
        <f aca="true">RAND()</f>
        <v>0.148073212828883</v>
      </c>
    </row>
    <row r="286" customFormat="false" ht="15" hidden="false" customHeight="false" outlineLevel="0" collapsed="false">
      <c r="A286" s="36" t="n">
        <v>206</v>
      </c>
      <c r="B286" s="37" t="n">
        <f aca="false">1+IF($G$6=$E$6,$F$6,IF(P286&lt;($F$6-$E$6)/($G$6-$E$6),$E$6+SQRT(P286*($G$6-$E$6)*($F$6-$E$6)),$G$6-SQRT((1-P286)*($G$6-$E$6)*($G$6-$F$6))))</f>
        <v>1.02357884807291</v>
      </c>
      <c r="C286" s="37" t="n">
        <f aca="false">1+IF($G$7=$E$7,$F$7,IF(Q286&lt;($F$7-$E$7)/($G$7-$E$7),$E$7+SQRT(Q286*($G$7-$E$7)*($F$7-$E$7)),$G$7-SQRT((1-Q286)*($G$7-$E$7)*($G$7-$F$7))))</f>
        <v>0.942386168844899</v>
      </c>
      <c r="D286" s="37" t="n">
        <f aca="false">1+IF($G$8=$E$8,$F$8,IF(R286&lt;($F$8-$E$8)/($G$8-$E$8),$E$8+SQRT(R286*($G$8-$E$8)*($F$8-$E$8)),$G$8-SQRT((1-R286)*($G$8-$E$8)*($G$8-$F$8))))</f>
        <v>1.01590259264582</v>
      </c>
      <c r="E286" s="37" t="n">
        <f aca="false">1+IF($G$9=$E$9,$F$9,IF(S286&lt;($F$9-$E$9)/($G$9-$E$9),$E$9+SQRT(S286*($G$9-$E$9)*($F$9-$E$9)),$G$9-SQRT((1-S286)*($G$9-$E$9)*($G$9-$F$9))))</f>
        <v>0.997955195517673</v>
      </c>
      <c r="F286" s="37" t="n">
        <f aca="false">1+IF($G$10=$E$10,$F$10,IF(T286&lt;($F$10-$E$10)/($G$10-$E$10),$E$10+SQRT(T286*($G$10-$E$10)*($F$10-$E$10)),$G$10-SQRT((1-T286)*($G$10-$E$10)*($G$10-$F$10))))</f>
        <v>0.988943708508703</v>
      </c>
      <c r="G286" s="38" t="n">
        <f aca="false">IF($G$11=$E$11,$F$11,IF(U286&lt;($F$11-$E$11)/($G$11-$E$11),$E$11+SQRT(U286*($G$11-$E$11)*($F$11-$E$11)),$G$11-SQRT((1-U286)*($G$11-$E$11)*($G$11-$F$11))))</f>
        <v>0.1121210781589</v>
      </c>
      <c r="H286" s="39" t="n">
        <f aca="false">(('Business Case'!B11*$C286*'Business Case'!B12*$B286)-'Business Case'!B11*$C286*'Business Case'!B13*$D286-'Business Case'!B14*$E286)-MAX(0,(('Business Case'!B11*$C286*'Business Case'!B12*$B286)-'Business Case'!B11*$C286*'Business Case'!B13*$D286-'Business Case'!B14*$E286))*'Business Case'!$B$7-'Business Case'!$B$8*('Business Case'!B11*$C286*'Business Case'!B12*$B286)-'Business Case'!B15*$F286</f>
        <v>-1977887417.01741</v>
      </c>
      <c r="I286" s="39" t="n">
        <f aca="false">(('Business Case'!C11*$C286*'Business Case'!C12*$B286)-'Business Case'!C11*$C286*'Business Case'!C13*$D286-'Business Case'!C14*$E286)-MAX(0,(('Business Case'!C11*$C286*'Business Case'!C12*$B286)-'Business Case'!C11*$C286*'Business Case'!C13*$D286-'Business Case'!C14*$E286))*'Business Case'!$B$7-'Business Case'!$B$8*(('Business Case'!C11*$C286*'Business Case'!C12*$B286)-('Business Case'!B11*$C286*'Business Case'!B12*$B286))-'Business Case'!C15*$F286</f>
        <v>9175255.33716978</v>
      </c>
      <c r="J286" s="39" t="n">
        <f aca="false">(('Business Case'!D11*$C286*'Business Case'!D12*$B286)-'Business Case'!D11*$C286*'Business Case'!D13*$D286-'Business Case'!D14*$E286)-MAX(0,(('Business Case'!D11*$C286*'Business Case'!D12*$B286)-'Business Case'!D11*$C286*'Business Case'!D13*$D286-'Business Case'!D14*$E286))*'Business Case'!$B$7-'Business Case'!$B$8*(('Business Case'!D11*$C286*'Business Case'!D12*$B286)-('Business Case'!C11*$C286*'Business Case'!C12*$B286))-'Business Case'!D15*$F286</f>
        <v>309159313.835557</v>
      </c>
      <c r="K286" s="39" t="n">
        <f aca="false">(('Business Case'!E11*$C286*'Business Case'!E12*$B286)-'Business Case'!E11*$C286*'Business Case'!E13*$D286-'Business Case'!E14*$E286)-MAX(0,(('Business Case'!E11*$C286*'Business Case'!E12*$B286)-'Business Case'!E11*$C286*'Business Case'!E13*$D286-'Business Case'!E14*$E286))*'Business Case'!$B$7-'Business Case'!$B$8*(('Business Case'!E11*$C286*'Business Case'!E12*$B286)-('Business Case'!D11*$C286*'Business Case'!D12*$B286))-'Business Case'!E15*$F286</f>
        <v>658590557.759379</v>
      </c>
      <c r="L286" s="39" t="n">
        <f aca="false">(('Business Case'!F11*$C286*'Business Case'!F12*$B286)-'Business Case'!F11*$C286*'Business Case'!F13*$D286-'Business Case'!F14*$E286)-MAX(0,(('Business Case'!F11*$C286*'Business Case'!F12*$B286)-'Business Case'!F11*$C286*'Business Case'!F13*$D286-'Business Case'!F14*$E286))*'Business Case'!$B$7-'Business Case'!$B$8*(('Business Case'!F11*$C286*'Business Case'!F12*$B286)-('Business Case'!E11*$C286*'Business Case'!E12*$B286))-'Business Case'!F15*$F286</f>
        <v>791922046.263997</v>
      </c>
      <c r="M286" s="39" t="n">
        <f aca="false">(('Business Case'!G11*$C286*'Business Case'!G12*$B286)-'Business Case'!G11*$C286*'Business Case'!G13*$D286-'Business Case'!G14*$E286)-MAX(0,(('Business Case'!G11*$C286*'Business Case'!G12*$B286)-'Business Case'!G11*$C286*'Business Case'!G13*$D286-'Business Case'!G14*$E286))*'Business Case'!$B$7-'Business Case'!$B$8*(('Business Case'!G11*$C286*'Business Case'!G12*$B286)-('Business Case'!F11*$C286*'Business Case'!F12*$B286))-'Business Case'!G15*$F286+'Business Case'!$B$8*('Business Case'!G11*$C286*'Business Case'!G12*$B286)</f>
        <v>975274459.125688</v>
      </c>
      <c r="N286" s="39" t="n">
        <f aca="false">IF(COUNT('Business Case'!B11:G11)=0,"",H286+NPV(G286,I286:M286))</f>
        <v>-149892288.340821</v>
      </c>
      <c r="P286" s="40" t="n">
        <f aca="true">RAND()</f>
        <v>0.943822035289035</v>
      </c>
      <c r="Q286" s="40" t="n">
        <f aca="true">RAND()</f>
        <v>0.289626015404686</v>
      </c>
      <c r="R286" s="40" t="n">
        <f aca="true">RAND()</f>
        <v>0.604954074083909</v>
      </c>
      <c r="S286" s="40" t="n">
        <f aca="true">RAND()</f>
        <v>0.306626770285104</v>
      </c>
      <c r="T286" s="40" t="n">
        <f aca="true">RAND()</f>
        <v>0.121328994592865</v>
      </c>
      <c r="U286" s="40" t="n">
        <f aca="true">RAND()</f>
        <v>0.896537651036393</v>
      </c>
    </row>
    <row r="287" customFormat="false" ht="15" hidden="false" customHeight="false" outlineLevel="0" collapsed="false">
      <c r="A287" s="36" t="n">
        <v>207</v>
      </c>
      <c r="B287" s="37" t="n">
        <f aca="false">1+IF($G$6=$E$6,$F$6,IF(P287&lt;($F$6-$E$6)/($G$6-$E$6),$E$6+SQRT(P287*($G$6-$E$6)*($F$6-$E$6)),$G$6-SQRT((1-P287)*($G$6-$E$6)*($G$6-$F$6))))</f>
        <v>0.973220238892785</v>
      </c>
      <c r="C287" s="37" t="n">
        <f aca="false">1+IF($G$7=$E$7,$F$7,IF(Q287&lt;($F$7-$E$7)/($G$7-$E$7),$E$7+SQRT(Q287*($G$7-$E$7)*($F$7-$E$7)),$G$7-SQRT((1-Q287)*($G$7-$E$7)*($G$7-$F$7))))</f>
        <v>0.981540416928827</v>
      </c>
      <c r="D287" s="37" t="n">
        <f aca="false">1+IF($G$8=$E$8,$F$8,IF(R287&lt;($F$8-$E$8)/($G$8-$E$8),$E$8+SQRT(R287*($G$8-$E$8)*($F$8-$E$8)),$G$8-SQRT((1-R287)*($G$8-$E$8)*($G$8-$F$8))))</f>
        <v>1.01440894409398</v>
      </c>
      <c r="E287" s="37" t="n">
        <f aca="false">1+IF($G$9=$E$9,$F$9,IF(S287&lt;($F$9-$E$9)/($G$9-$E$9),$E$9+SQRT(S287*($G$9-$E$9)*($F$9-$E$9)),$G$9-SQRT((1-S287)*($G$9-$E$9)*($G$9-$F$9))))</f>
        <v>0.967641154524732</v>
      </c>
      <c r="F287" s="37" t="n">
        <f aca="false">1+IF($G$10=$E$10,$F$10,IF(T287&lt;($F$10-$E$10)/($G$10-$E$10),$E$10+SQRT(T287*($G$10-$E$10)*($F$10-$E$10)),$G$10-SQRT((1-T287)*($G$10-$E$10)*($G$10-$F$10))))</f>
        <v>1.0349708440528</v>
      </c>
      <c r="G287" s="38" t="n">
        <f aca="false">IF($G$11=$E$11,$F$11,IF(U287&lt;($F$11-$E$11)/($G$11-$E$11),$E$11+SQRT(U287*($G$11-$E$11)*($F$11-$E$11)),$G$11-SQRT((1-U287)*($G$11-$E$11)*($G$11-$F$11))))</f>
        <v>0.102109933207184</v>
      </c>
      <c r="H287" s="39" t="n">
        <f aca="false">(('Business Case'!B11*$C287*'Business Case'!B12*$B287)-'Business Case'!B11*$C287*'Business Case'!B13*$D287-'Business Case'!B14*$E287)-MAX(0,(('Business Case'!B11*$C287*'Business Case'!B12*$B287)-'Business Case'!B11*$C287*'Business Case'!B13*$D287-'Business Case'!B14*$E287))*'Business Case'!$B$7-'Business Case'!$B$8*('Business Case'!B11*$C287*'Business Case'!B12*$B287)-'Business Case'!B15*$F287</f>
        <v>-2069941688.10559</v>
      </c>
      <c r="I287" s="39" t="n">
        <f aca="false">(('Business Case'!C11*$C287*'Business Case'!C12*$B287)-'Business Case'!C11*$C287*'Business Case'!C13*$D287-'Business Case'!C14*$E287)-MAX(0,(('Business Case'!C11*$C287*'Business Case'!C12*$B287)-'Business Case'!C11*$C287*'Business Case'!C13*$D287-'Business Case'!C14*$E287))*'Business Case'!$B$7-'Business Case'!$B$8*(('Business Case'!C11*$C287*'Business Case'!C12*$B287)-('Business Case'!B11*$C287*'Business Case'!B12*$B287))-'Business Case'!C15*$F287</f>
        <v>-17903687.9763328</v>
      </c>
      <c r="J287" s="39" t="n">
        <f aca="false">(('Business Case'!D11*$C287*'Business Case'!D12*$B287)-'Business Case'!D11*$C287*'Business Case'!D13*$D287-'Business Case'!D14*$E287)-MAX(0,(('Business Case'!D11*$C287*'Business Case'!D12*$B287)-'Business Case'!D11*$C287*'Business Case'!D13*$D287-'Business Case'!D14*$E287))*'Business Case'!$B$7-'Business Case'!$B$8*(('Business Case'!D11*$C287*'Business Case'!D12*$B287)-('Business Case'!C11*$C287*'Business Case'!C12*$B287))-'Business Case'!D15*$F287</f>
        <v>254808699.776596</v>
      </c>
      <c r="K287" s="39" t="n">
        <f aca="false">(('Business Case'!E11*$C287*'Business Case'!E12*$B287)-'Business Case'!E11*$C287*'Business Case'!E13*$D287-'Business Case'!E14*$E287)-MAX(0,(('Business Case'!E11*$C287*'Business Case'!E12*$B287)-'Business Case'!E11*$C287*'Business Case'!E13*$D287-'Business Case'!E14*$E287))*'Business Case'!$B$7-'Business Case'!$B$8*(('Business Case'!E11*$C287*'Business Case'!E12*$B287)-('Business Case'!D11*$C287*'Business Case'!D12*$B287))-'Business Case'!E15*$F287</f>
        <v>579269629.732165</v>
      </c>
      <c r="L287" s="39" t="n">
        <f aca="false">(('Business Case'!F11*$C287*'Business Case'!F12*$B287)-'Business Case'!F11*$C287*'Business Case'!F13*$D287-'Business Case'!F14*$E287)-MAX(0,(('Business Case'!F11*$C287*'Business Case'!F12*$B287)-'Business Case'!F11*$C287*'Business Case'!F13*$D287-'Business Case'!F14*$E287))*'Business Case'!$B$7-'Business Case'!$B$8*(('Business Case'!F11*$C287*'Business Case'!F12*$B287)-('Business Case'!E11*$C287*'Business Case'!E12*$B287))-'Business Case'!F15*$F287</f>
        <v>703187371.750185</v>
      </c>
      <c r="M287" s="39" t="n">
        <f aca="false">(('Business Case'!G11*$C287*'Business Case'!G12*$B287)-'Business Case'!G11*$C287*'Business Case'!G13*$D287-'Business Case'!G14*$E287)-MAX(0,(('Business Case'!G11*$C287*'Business Case'!G12*$B287)-'Business Case'!G11*$C287*'Business Case'!G13*$D287-'Business Case'!G14*$E287))*'Business Case'!$B$7-'Business Case'!$B$8*(('Business Case'!G11*$C287*'Business Case'!G12*$B287)-('Business Case'!F11*$C287*'Business Case'!F12*$B287))-'Business Case'!G15*$F287+'Business Case'!$B$8*('Business Case'!G11*$C287*'Business Case'!G12*$B287)</f>
        <v>884762241.968924</v>
      </c>
      <c r="N287" s="39" t="n">
        <f aca="false">IF(COUNT('Business Case'!B11:G11)=0,"",H287+NPV(G287,I287:M287))</f>
        <v>-422939195.396771</v>
      </c>
      <c r="P287" s="40" t="n">
        <f aca="true">RAND()</f>
        <v>0.295041023729702</v>
      </c>
      <c r="Q287" s="40" t="n">
        <f aca="true">RAND()</f>
        <v>0.470813185409893</v>
      </c>
      <c r="R287" s="40" t="n">
        <f aca="true">RAND()</f>
        <v>0.586328210108957</v>
      </c>
      <c r="S287" s="40" t="n">
        <f aca="true">RAND()</f>
        <v>0.0414947110620624</v>
      </c>
      <c r="T287" s="40" t="n">
        <f aca="true">RAND()</f>
        <v>0.455307553747076</v>
      </c>
      <c r="U287" s="40" t="n">
        <f aca="true">RAND()</f>
        <v>0.466575850247609</v>
      </c>
    </row>
    <row r="288" customFormat="false" ht="15" hidden="false" customHeight="false" outlineLevel="0" collapsed="false">
      <c r="A288" s="36" t="n">
        <v>208</v>
      </c>
      <c r="B288" s="37" t="n">
        <f aca="false">1+IF($G$6=$E$6,$F$6,IF(P288&lt;($F$6-$E$6)/($G$6-$E$6),$E$6+SQRT(P288*($G$6-$E$6)*($F$6-$E$6)),$G$6-SQRT((1-P288)*($G$6-$E$6)*($G$6-$F$6))))</f>
        <v>0.965553869864497</v>
      </c>
      <c r="C288" s="37" t="n">
        <f aca="false">1+IF($G$7=$E$7,$F$7,IF(Q288&lt;($F$7-$E$7)/($G$7-$E$7),$E$7+SQRT(Q288*($G$7-$E$7)*($F$7-$E$7)),$G$7-SQRT((1-Q288)*($G$7-$E$7)*($G$7-$F$7))))</f>
        <v>1.00264047123153</v>
      </c>
      <c r="D288" s="37" t="n">
        <f aca="false">1+IF($G$8=$E$8,$F$8,IF(R288&lt;($F$8-$E$8)/($G$8-$E$8),$E$8+SQRT(R288*($G$8-$E$8)*($F$8-$E$8)),$G$8-SQRT((1-R288)*($G$8-$E$8)*($G$8-$F$8))))</f>
        <v>1.02969183499464</v>
      </c>
      <c r="E288" s="37" t="n">
        <f aca="false">1+IF($G$9=$E$9,$F$9,IF(S288&lt;($F$9-$E$9)/($G$9-$E$9),$E$9+SQRT(S288*($G$9-$E$9)*($F$9-$E$9)),$G$9-SQRT((1-S288)*($G$9-$E$9)*($G$9-$F$9))))</f>
        <v>1.00428183468265</v>
      </c>
      <c r="F288" s="37" t="n">
        <f aca="false">1+IF($G$10=$E$10,$F$10,IF(T288&lt;($F$10-$E$10)/($G$10-$E$10),$E$10+SQRT(T288*($G$10-$E$10)*($F$10-$E$10)),$G$10-SQRT((1-T288)*($G$10-$E$10)*($G$10-$F$10))))</f>
        <v>1.0339250130718</v>
      </c>
      <c r="G288" s="38" t="n">
        <f aca="false">IF($G$11=$E$11,$F$11,IF(U288&lt;($F$11-$E$11)/($G$11-$E$11),$E$11+SQRT(U288*($G$11-$E$11)*($F$11-$E$11)),$G$11-SQRT((1-U288)*($G$11-$E$11)*($G$11-$F$11))))</f>
        <v>0.101018571782895</v>
      </c>
      <c r="H288" s="39" t="n">
        <f aca="false">(('Business Case'!B11*$C288*'Business Case'!B12*$B288)-'Business Case'!B11*$C288*'Business Case'!B13*$D288-'Business Case'!B14*$E288)-MAX(0,(('Business Case'!B11*$C288*'Business Case'!B12*$B288)-'Business Case'!B11*$C288*'Business Case'!B13*$D288-'Business Case'!B14*$E288))*'Business Case'!$B$7-'Business Case'!$B$8*('Business Case'!B11*$C288*'Business Case'!B12*$B288)-'Business Case'!B15*$F288</f>
        <v>-2067850026.1436</v>
      </c>
      <c r="I288" s="39" t="n">
        <f aca="false">(('Business Case'!C11*$C288*'Business Case'!C12*$B288)-'Business Case'!C11*$C288*'Business Case'!C13*$D288-'Business Case'!C14*$E288)-MAX(0,(('Business Case'!C11*$C288*'Business Case'!C12*$B288)-'Business Case'!C11*$C288*'Business Case'!C13*$D288-'Business Case'!C14*$E288))*'Business Case'!$B$7-'Business Case'!$B$8*(('Business Case'!C11*$C288*'Business Case'!C12*$B288)-('Business Case'!B11*$C288*'Business Case'!B12*$B288))-'Business Case'!C15*$F288</f>
        <v>-31953169.2771663</v>
      </c>
      <c r="J288" s="39" t="n">
        <f aca="false">(('Business Case'!D11*$C288*'Business Case'!D12*$B288)-'Business Case'!D11*$C288*'Business Case'!D13*$D288-'Business Case'!D14*$E288)-MAX(0,(('Business Case'!D11*$C288*'Business Case'!D12*$B288)-'Business Case'!D11*$C288*'Business Case'!D13*$D288-'Business Case'!D14*$E288))*'Business Case'!$B$7-'Business Case'!$B$8*(('Business Case'!D11*$C288*'Business Case'!D12*$B288)-('Business Case'!C11*$C288*'Business Case'!C12*$B288))-'Business Case'!D15*$F288</f>
        <v>232481519.230966</v>
      </c>
      <c r="K288" s="39" t="n">
        <f aca="false">(('Business Case'!E11*$C288*'Business Case'!E12*$B288)-'Business Case'!E11*$C288*'Business Case'!E13*$D288-'Business Case'!E14*$E288)-MAX(0,(('Business Case'!E11*$C288*'Business Case'!E12*$B288)-'Business Case'!E11*$C288*'Business Case'!E13*$D288-'Business Case'!E14*$E288))*'Business Case'!$B$7-'Business Case'!$B$8*(('Business Case'!E11*$C288*'Business Case'!E12*$B288)-('Business Case'!D11*$C288*'Business Case'!D12*$B288))-'Business Case'!E15*$F288</f>
        <v>548612458.392687</v>
      </c>
      <c r="L288" s="39" t="n">
        <f aca="false">(('Business Case'!F11*$C288*'Business Case'!F12*$B288)-'Business Case'!F11*$C288*'Business Case'!F13*$D288-'Business Case'!F14*$E288)-MAX(0,(('Business Case'!F11*$C288*'Business Case'!F12*$B288)-'Business Case'!F11*$C288*'Business Case'!F13*$D288-'Business Case'!F14*$E288))*'Business Case'!$B$7-'Business Case'!$B$8*(('Business Case'!F11*$C288*'Business Case'!F12*$B288)-('Business Case'!E11*$C288*'Business Case'!E12*$B288))-'Business Case'!F15*$F288</f>
        <v>670215007.619562</v>
      </c>
      <c r="M288" s="39" t="n">
        <f aca="false">(('Business Case'!G11*$C288*'Business Case'!G12*$B288)-'Business Case'!G11*$C288*'Business Case'!G13*$D288-'Business Case'!G14*$E288)-MAX(0,(('Business Case'!G11*$C288*'Business Case'!G12*$B288)-'Business Case'!G11*$C288*'Business Case'!G13*$D288-'Business Case'!G14*$E288))*'Business Case'!$B$7-'Business Case'!$B$8*(('Business Case'!G11*$C288*'Business Case'!G12*$B288)-('Business Case'!F11*$C288*'Business Case'!F12*$B288))-'Business Case'!G15*$F288+'Business Case'!$B$8*('Business Case'!G11*$C288*'Business Case'!G12*$B288)</f>
        <v>854232099.435798</v>
      </c>
      <c r="N288" s="39" t="n">
        <f aca="false">IF(COUNT('Business Case'!B11:G11)=0,"",H288+NPV(G288,I288:M288))</f>
        <v>-510019292.379386</v>
      </c>
      <c r="P288" s="40" t="n">
        <f aca="true">RAND()</f>
        <v>0.216161985378286</v>
      </c>
      <c r="Q288" s="40" t="n">
        <f aca="true">RAND()</f>
        <v>0.586384176783492</v>
      </c>
      <c r="R288" s="40" t="n">
        <f aca="true">RAND()</f>
        <v>0.75664312824938</v>
      </c>
      <c r="S288" s="40" t="n">
        <f aca="true">RAND()</f>
        <v>0.389202188551979</v>
      </c>
      <c r="T288" s="40" t="n">
        <f aca="true">RAND()</f>
        <v>0.448381974335968</v>
      </c>
      <c r="U288" s="40" t="n">
        <f aca="true">RAND()</f>
        <v>0.399508971398124</v>
      </c>
    </row>
    <row r="289" customFormat="false" ht="15" hidden="false" customHeight="false" outlineLevel="0" collapsed="false">
      <c r="A289" s="36" t="n">
        <v>209</v>
      </c>
      <c r="B289" s="37" t="n">
        <f aca="false">1+IF($G$6=$E$6,$F$6,IF(P289&lt;($F$6-$E$6)/($G$6-$E$6),$E$6+SQRT(P289*($G$6-$E$6)*($F$6-$E$6)),$G$6-SQRT((1-P289)*($G$6-$E$6)*($G$6-$F$6))))</f>
        <v>1.01543705131464</v>
      </c>
      <c r="C289" s="37" t="n">
        <f aca="false">1+IF($G$7=$E$7,$F$7,IF(Q289&lt;($F$7-$E$7)/($G$7-$E$7),$E$7+SQRT(Q289*($G$7-$E$7)*($F$7-$E$7)),$G$7-SQRT((1-Q289)*($G$7-$E$7)*($G$7-$F$7))))</f>
        <v>1.05793762025128</v>
      </c>
      <c r="D289" s="37" t="n">
        <f aca="false">1+IF($G$8=$E$8,$F$8,IF(R289&lt;($F$8-$E$8)/($G$8-$E$8),$E$8+SQRT(R289*($G$8-$E$8)*($F$8-$E$8)),$G$8-SQRT((1-R289)*($G$8-$E$8)*($G$8-$F$8))))</f>
        <v>1.00086357573691</v>
      </c>
      <c r="E289" s="37" t="n">
        <f aca="false">1+IF($G$9=$E$9,$F$9,IF(S289&lt;($F$9-$E$9)/($G$9-$E$9),$E$9+SQRT(S289*($G$9-$E$9)*($F$9-$E$9)),$G$9-SQRT((1-S289)*($G$9-$E$9)*($G$9-$F$9))))</f>
        <v>0.999036994505099</v>
      </c>
      <c r="F289" s="37" t="n">
        <f aca="false">1+IF($G$10=$E$10,$F$10,IF(T289&lt;($F$10-$E$10)/($G$10-$E$10),$E$10+SQRT(T289*($G$10-$E$10)*($F$10-$E$10)),$G$10-SQRT((1-T289)*($G$10-$E$10)*($G$10-$F$10))))</f>
        <v>1.03915037800693</v>
      </c>
      <c r="G289" s="38" t="n">
        <f aca="false">IF($G$11=$E$11,$F$11,IF(U289&lt;($F$11-$E$11)/($G$11-$E$11),$E$11+SQRT(U289*($G$11-$E$11)*($F$11-$E$11)),$G$11-SQRT((1-U289)*($G$11-$E$11)*($G$11-$F$11))))</f>
        <v>0.10403662831416</v>
      </c>
      <c r="H289" s="39" t="n">
        <f aca="false">(('Business Case'!B11*$C289*'Business Case'!B12*$B289)-'Business Case'!B11*$C289*'Business Case'!B13*$D289-'Business Case'!B14*$E289)-MAX(0,(('Business Case'!B11*$C289*'Business Case'!B12*$B289)-'Business Case'!B11*$C289*'Business Case'!B13*$D289-'Business Case'!B14*$E289))*'Business Case'!$B$7-'Business Case'!$B$8*('Business Case'!B11*$C289*'Business Case'!B12*$B289)-'Business Case'!B15*$F289</f>
        <v>-2078300756.01386</v>
      </c>
      <c r="I289" s="39" t="n">
        <f aca="false">(('Business Case'!C11*$C289*'Business Case'!C12*$B289)-'Business Case'!C11*$C289*'Business Case'!C13*$D289-'Business Case'!C14*$E289)-MAX(0,(('Business Case'!C11*$C289*'Business Case'!C12*$B289)-'Business Case'!C11*$C289*'Business Case'!C13*$D289-'Business Case'!C14*$E289))*'Business Case'!$B$7-'Business Case'!$B$8*(('Business Case'!C11*$C289*'Business Case'!C12*$B289)-('Business Case'!B11*$C289*'Business Case'!B12*$B289))-'Business Case'!C15*$F289</f>
        <v>36188377.7566222</v>
      </c>
      <c r="J289" s="39" t="n">
        <f aca="false">(('Business Case'!D11*$C289*'Business Case'!D12*$B289)-'Business Case'!D11*$C289*'Business Case'!D13*$D289-'Business Case'!D14*$E289)-MAX(0,(('Business Case'!D11*$C289*'Business Case'!D12*$B289)-'Business Case'!D11*$C289*'Business Case'!D13*$D289-'Business Case'!D14*$E289))*'Business Case'!$B$7-'Business Case'!$B$8*(('Business Case'!D11*$C289*'Business Case'!D12*$B289)-('Business Case'!C11*$C289*'Business Case'!C12*$B289))-'Business Case'!D15*$F289</f>
        <v>374044961.877654</v>
      </c>
      <c r="K289" s="39" t="n">
        <f aca="false">(('Business Case'!E11*$C289*'Business Case'!E12*$B289)-'Business Case'!E11*$C289*'Business Case'!E13*$D289-'Business Case'!E14*$E289)-MAX(0,(('Business Case'!E11*$C289*'Business Case'!E12*$B289)-'Business Case'!E11*$C289*'Business Case'!E13*$D289-'Business Case'!E14*$E289))*'Business Case'!$B$7-'Business Case'!$B$8*(('Business Case'!E11*$C289*'Business Case'!E12*$B289)-('Business Case'!D11*$C289*'Business Case'!D12*$B289))-'Business Case'!E15*$F289</f>
        <v>763859064.899032</v>
      </c>
      <c r="L289" s="39" t="n">
        <f aca="false">(('Business Case'!F11*$C289*'Business Case'!F12*$B289)-'Business Case'!F11*$C289*'Business Case'!F13*$D289-'Business Case'!F14*$E289)-MAX(0,(('Business Case'!F11*$C289*'Business Case'!F12*$B289)-'Business Case'!F11*$C289*'Business Case'!F13*$D289-'Business Case'!F14*$E289))*'Business Case'!$B$7-'Business Case'!$B$8*(('Business Case'!F11*$C289*'Business Case'!F12*$B289)-('Business Case'!E11*$C289*'Business Case'!E12*$B289))-'Business Case'!F15*$F289</f>
        <v>913604664.90277</v>
      </c>
      <c r="M289" s="39" t="n">
        <f aca="false">(('Business Case'!G11*$C289*'Business Case'!G12*$B289)-'Business Case'!G11*$C289*'Business Case'!G13*$D289-'Business Case'!G14*$E289)-MAX(0,(('Business Case'!G11*$C289*'Business Case'!G12*$B289)-'Business Case'!G11*$C289*'Business Case'!G13*$D289-'Business Case'!G14*$E289))*'Business Case'!$B$7-'Business Case'!$B$8*(('Business Case'!G11*$C289*'Business Case'!G12*$B289)-('Business Case'!F11*$C289*'Business Case'!F12*$B289))-'Business Case'!G15*$F289+'Business Case'!$B$8*('Business Case'!G11*$C289*'Business Case'!G12*$B289)</f>
        <v>1117801727.36811</v>
      </c>
      <c r="N289" s="39" t="n">
        <f aca="false">IF(COUNT('Business Case'!B11:G11)=0,"",H289+NPV(G289,I289:M289))</f>
        <v>125374992.781173</v>
      </c>
      <c r="P289" s="40" t="n">
        <f aca="true">RAND()</f>
        <v>0.874304489975117</v>
      </c>
      <c r="Q289" s="40" t="n">
        <f aca="true">RAND()</f>
        <v>0.838562252095275</v>
      </c>
      <c r="R289" s="40" t="n">
        <f aca="true">RAND()</f>
        <v>0.397829457197276</v>
      </c>
      <c r="S289" s="40" t="n">
        <f aca="true">RAND()</f>
        <v>0.320616910679081</v>
      </c>
      <c r="T289" s="40" t="n">
        <f aca="true">RAND()</f>
        <v>0.482547982093716</v>
      </c>
      <c r="U289" s="40" t="n">
        <f aca="true">RAND()</f>
        <v>0.57528460736621</v>
      </c>
    </row>
    <row r="290" customFormat="false" ht="15" hidden="false" customHeight="false" outlineLevel="0" collapsed="false">
      <c r="A290" s="36" t="n">
        <v>210</v>
      </c>
      <c r="B290" s="37" t="n">
        <f aca="false">1+IF($G$6=$E$6,$F$6,IF(P290&lt;($F$6-$E$6)/($G$6-$E$6),$E$6+SQRT(P290*($G$6-$E$6)*($F$6-$E$6)),$G$6-SQRT((1-P290)*($G$6-$E$6)*($G$6-$F$6))))</f>
        <v>1.02361035526922</v>
      </c>
      <c r="C290" s="37" t="n">
        <f aca="false">1+IF($G$7=$E$7,$F$7,IF(Q290&lt;($F$7-$E$7)/($G$7-$E$7),$E$7+SQRT(Q290*($G$7-$E$7)*($F$7-$E$7)),$G$7-SQRT((1-Q290)*($G$7-$E$7)*($G$7-$F$7))))</f>
        <v>1.00732866585073</v>
      </c>
      <c r="D290" s="37" t="n">
        <f aca="false">1+IF($G$8=$E$8,$F$8,IF(R290&lt;($F$8-$E$8)/($G$8-$E$8),$E$8+SQRT(R290*($G$8-$E$8)*($F$8-$E$8)),$G$8-SQRT((1-R290)*($G$8-$E$8)*($G$8-$F$8))))</f>
        <v>1.03960263198518</v>
      </c>
      <c r="E290" s="37" t="n">
        <f aca="false">1+IF($G$9=$E$9,$F$9,IF(S290&lt;($F$9-$E$9)/($G$9-$E$9),$E$9+SQRT(S290*($G$9-$E$9)*($F$9-$E$9)),$G$9-SQRT((1-S290)*($G$9-$E$9)*($G$9-$F$9))))</f>
        <v>0.965897759157031</v>
      </c>
      <c r="F290" s="37" t="n">
        <f aca="false">1+IF($G$10=$E$10,$F$10,IF(T290&lt;($F$10-$E$10)/($G$10-$E$10),$E$10+SQRT(T290*($G$10-$E$10)*($F$10-$E$10)),$G$10-SQRT((1-T290)*($G$10-$E$10)*($G$10-$F$10))))</f>
        <v>1.1018758253297</v>
      </c>
      <c r="G290" s="38" t="n">
        <f aca="false">IF($G$11=$E$11,$F$11,IF(U290&lt;($F$11-$E$11)/($G$11-$E$11),$E$11+SQRT(U290*($G$11-$E$11)*($F$11-$E$11)),$G$11-SQRT((1-U290)*($G$11-$E$11)*($G$11-$F$11))))</f>
        <v>0.10354518416687</v>
      </c>
      <c r="H290" s="39" t="n">
        <f aca="false">(('Business Case'!B11*$C290*'Business Case'!B12*$B290)-'Business Case'!B11*$C290*'Business Case'!B13*$D290-'Business Case'!B14*$E290)-MAX(0,(('Business Case'!B11*$C290*'Business Case'!B12*$B290)-'Business Case'!B11*$C290*'Business Case'!B13*$D290-'Business Case'!B14*$E290))*'Business Case'!$B$7-'Business Case'!$B$8*('Business Case'!B11*$C290*'Business Case'!B12*$B290)-'Business Case'!B15*$F290</f>
        <v>-2203751650.6594</v>
      </c>
      <c r="I290" s="39" t="n">
        <f aca="false">(('Business Case'!C11*$C290*'Business Case'!C12*$B290)-'Business Case'!C11*$C290*'Business Case'!C13*$D290-'Business Case'!C14*$E290)-MAX(0,(('Business Case'!C11*$C290*'Business Case'!C12*$B290)-'Business Case'!C11*$C290*'Business Case'!C13*$D290-'Business Case'!C14*$E290))*'Business Case'!$B$7-'Business Case'!$B$8*(('Business Case'!C11*$C290*'Business Case'!C12*$B290)-('Business Case'!B11*$C290*'Business Case'!B12*$B290))-'Business Case'!C15*$F290</f>
        <v>7470272.35328393</v>
      </c>
      <c r="J290" s="39" t="n">
        <f aca="false">(('Business Case'!D11*$C290*'Business Case'!D12*$B290)-'Business Case'!D11*$C290*'Business Case'!D13*$D290-'Business Case'!D14*$E290)-MAX(0,(('Business Case'!D11*$C290*'Business Case'!D12*$B290)-'Business Case'!D11*$C290*'Business Case'!D13*$D290-'Business Case'!D14*$E290))*'Business Case'!$B$7-'Business Case'!$B$8*(('Business Case'!D11*$C290*'Business Case'!D12*$B290)-('Business Case'!C11*$C290*'Business Case'!C12*$B290))-'Business Case'!D15*$F290</f>
        <v>315931637.446369</v>
      </c>
      <c r="K290" s="39" t="n">
        <f aca="false">(('Business Case'!E11*$C290*'Business Case'!E12*$B290)-'Business Case'!E11*$C290*'Business Case'!E13*$D290-'Business Case'!E14*$E290)-MAX(0,(('Business Case'!E11*$C290*'Business Case'!E12*$B290)-'Business Case'!E11*$C290*'Business Case'!E13*$D290-'Business Case'!E14*$E290))*'Business Case'!$B$7-'Business Case'!$B$8*(('Business Case'!E11*$C290*'Business Case'!E12*$B290)-('Business Case'!D11*$C290*'Business Case'!D12*$B290))-'Business Case'!E15*$F290</f>
        <v>679486793.80594</v>
      </c>
      <c r="L290" s="39" t="n">
        <f aca="false">(('Business Case'!F11*$C290*'Business Case'!F12*$B290)-'Business Case'!F11*$C290*'Business Case'!F13*$D290-'Business Case'!F14*$E290)-MAX(0,(('Business Case'!F11*$C290*'Business Case'!F12*$B290)-'Business Case'!F11*$C290*'Business Case'!F13*$D290-'Business Case'!F14*$E290))*'Business Case'!$B$7-'Business Case'!$B$8*(('Business Case'!F11*$C290*'Business Case'!F12*$B290)-('Business Case'!E11*$C290*'Business Case'!E12*$B290))-'Business Case'!F15*$F290</f>
        <v>817942481.406769</v>
      </c>
      <c r="M290" s="39" t="n">
        <f aca="false">(('Business Case'!G11*$C290*'Business Case'!G12*$B290)-'Business Case'!G11*$C290*'Business Case'!G13*$D290-'Business Case'!G14*$E290)-MAX(0,(('Business Case'!G11*$C290*'Business Case'!G12*$B290)-'Business Case'!G11*$C290*'Business Case'!G13*$D290-'Business Case'!G14*$E290))*'Business Case'!$B$7-'Business Case'!$B$8*(('Business Case'!G11*$C290*'Business Case'!G12*$B290)-('Business Case'!F11*$C290*'Business Case'!F12*$B290))-'Business Case'!G15*$F290+'Business Case'!$B$8*('Business Case'!G11*$C290*'Business Case'!G12*$B290)</f>
        <v>1013936260.54067</v>
      </c>
      <c r="N290" s="39" t="n">
        <f aca="false">IF(COUNT('Business Case'!B11:G11)=0,"",H290+NPV(G290,I290:M290))</f>
        <v>-260904462.533903</v>
      </c>
      <c r="P290" s="40" t="n">
        <f aca="true">RAND()</f>
        <v>0.944037405333077</v>
      </c>
      <c r="Q290" s="40" t="n">
        <f aca="true">RAND()</f>
        <v>0.612283626896512</v>
      </c>
      <c r="R290" s="40" t="n">
        <f aca="true">RAND()</f>
        <v>0.843081986295704</v>
      </c>
      <c r="S290" s="40" t="n">
        <f aca="true">RAND()</f>
        <v>0.0336984994953293</v>
      </c>
      <c r="T290" s="40" t="n">
        <f aca="true">RAND()</f>
        <v>0.807432926905455</v>
      </c>
      <c r="U290" s="40" t="n">
        <f aca="true">RAND()</f>
        <v>0.548731726496292</v>
      </c>
    </row>
    <row r="291" customFormat="false" ht="15" hidden="false" customHeight="false" outlineLevel="0" collapsed="false">
      <c r="A291" s="36" t="n">
        <v>211</v>
      </c>
      <c r="B291" s="37" t="n">
        <f aca="false">1+IF($G$6=$E$6,$F$6,IF(P291&lt;($F$6-$E$6)/($G$6-$E$6),$E$6+SQRT(P291*($G$6-$E$6)*($F$6-$E$6)),$G$6-SQRT((1-P291)*($G$6-$E$6)*($G$6-$F$6))))</f>
        <v>1.01824451040335</v>
      </c>
      <c r="C291" s="37" t="n">
        <f aca="false">1+IF($G$7=$E$7,$F$7,IF(Q291&lt;($F$7-$E$7)/($G$7-$E$7),$E$7+SQRT(Q291*($G$7-$E$7)*($F$7-$E$7)),$G$7-SQRT((1-Q291)*($G$7-$E$7)*($G$7-$F$7))))</f>
        <v>1.03778598073257</v>
      </c>
      <c r="D291" s="37" t="n">
        <f aca="false">1+IF($G$8=$E$8,$F$8,IF(R291&lt;($F$8-$E$8)/($G$8-$E$8),$E$8+SQRT(R291*($G$8-$E$8)*($F$8-$E$8)),$G$8-SQRT((1-R291)*($G$8-$E$8)*($G$8-$F$8))))</f>
        <v>0.992023067946247</v>
      </c>
      <c r="E291" s="37" t="n">
        <f aca="false">1+IF($G$9=$E$9,$F$9,IF(S291&lt;($F$9-$E$9)/($G$9-$E$9),$E$9+SQRT(S291*($G$9-$E$9)*($F$9-$E$9)),$G$9-SQRT((1-S291)*($G$9-$E$9)*($G$9-$F$9))))</f>
        <v>1.0022872654469</v>
      </c>
      <c r="F291" s="37" t="n">
        <f aca="false">1+IF($G$10=$E$10,$F$10,IF(T291&lt;($F$10-$E$10)/($G$10-$E$10),$E$10+SQRT(T291*($G$10-$E$10)*($F$10-$E$10)),$G$10-SQRT((1-T291)*($G$10-$E$10)*($G$10-$F$10))))</f>
        <v>1.0228257065657</v>
      </c>
      <c r="G291" s="38" t="n">
        <f aca="false">IF($G$11=$E$11,$F$11,IF(U291&lt;($F$11-$E$11)/($G$11-$E$11),$E$11+SQRT(U291*($G$11-$E$11)*($F$11-$E$11)),$G$11-SQRT((1-U291)*($G$11-$E$11)*($G$11-$F$11))))</f>
        <v>0.111577272171465</v>
      </c>
      <c r="H291" s="39" t="n">
        <f aca="false">(('Business Case'!B11*$C291*'Business Case'!B12*$B291)-'Business Case'!B11*$C291*'Business Case'!B13*$D291-'Business Case'!B14*$E291)-MAX(0,(('Business Case'!B11*$C291*'Business Case'!B12*$B291)-'Business Case'!B11*$C291*'Business Case'!B13*$D291-'Business Case'!B14*$E291))*'Business Case'!$B$7-'Business Case'!$B$8*('Business Case'!B11*$C291*'Business Case'!B12*$B291)-'Business Case'!B15*$F291</f>
        <v>-2045651413.1314</v>
      </c>
      <c r="I291" s="39" t="n">
        <f aca="false">(('Business Case'!C11*$C291*'Business Case'!C12*$B291)-'Business Case'!C11*$C291*'Business Case'!C13*$D291-'Business Case'!C14*$E291)-MAX(0,(('Business Case'!C11*$C291*'Business Case'!C12*$B291)-'Business Case'!C11*$C291*'Business Case'!C13*$D291-'Business Case'!C14*$E291))*'Business Case'!$B$7-'Business Case'!$B$8*(('Business Case'!C11*$C291*'Business Case'!C12*$B291)-('Business Case'!B11*$C291*'Business Case'!B12*$B291))-'Business Case'!C15*$F291</f>
        <v>38915938.3048432</v>
      </c>
      <c r="J291" s="39" t="n">
        <f aca="false">(('Business Case'!D11*$C291*'Business Case'!D12*$B291)-'Business Case'!D11*$C291*'Business Case'!D13*$D291-'Business Case'!D14*$E291)-MAX(0,(('Business Case'!D11*$C291*'Business Case'!D12*$B291)-'Business Case'!D11*$C291*'Business Case'!D13*$D291-'Business Case'!D14*$E291))*'Business Case'!$B$7-'Business Case'!$B$8*(('Business Case'!D11*$C291*'Business Case'!D12*$B291)-('Business Case'!C11*$C291*'Business Case'!C12*$B291))-'Business Case'!D15*$F291</f>
        <v>377420054.880783</v>
      </c>
      <c r="K291" s="39" t="n">
        <f aca="false">(('Business Case'!E11*$C291*'Business Case'!E12*$B291)-'Business Case'!E11*$C291*'Business Case'!E13*$D291-'Business Case'!E14*$E291)-MAX(0,(('Business Case'!E11*$C291*'Business Case'!E12*$B291)-'Business Case'!E11*$C291*'Business Case'!E13*$D291-'Business Case'!E14*$E291))*'Business Case'!$B$7-'Business Case'!$B$8*(('Business Case'!E11*$C291*'Business Case'!E12*$B291)-('Business Case'!D11*$C291*'Business Case'!D12*$B291))-'Business Case'!E15*$F291</f>
        <v>767065456.785008</v>
      </c>
      <c r="L291" s="39" t="n">
        <f aca="false">(('Business Case'!F11*$C291*'Business Case'!F12*$B291)-'Business Case'!F11*$C291*'Business Case'!F13*$D291-'Business Case'!F14*$E291)-MAX(0,(('Business Case'!F11*$C291*'Business Case'!F12*$B291)-'Business Case'!F11*$C291*'Business Case'!F13*$D291-'Business Case'!F14*$E291))*'Business Case'!$B$7-'Business Case'!$B$8*(('Business Case'!F11*$C291*'Business Case'!F12*$B291)-('Business Case'!E11*$C291*'Business Case'!E12*$B291))-'Business Case'!F15*$F291</f>
        <v>916420401.288973</v>
      </c>
      <c r="M291" s="39" t="n">
        <f aca="false">(('Business Case'!G11*$C291*'Business Case'!G12*$B291)-'Business Case'!G11*$C291*'Business Case'!G13*$D291-'Business Case'!G14*$E291)-MAX(0,(('Business Case'!G11*$C291*'Business Case'!G12*$B291)-'Business Case'!G11*$C291*'Business Case'!G13*$D291-'Business Case'!G14*$E291))*'Business Case'!$B$7-'Business Case'!$B$8*(('Business Case'!G11*$C291*'Business Case'!G12*$B291)-('Business Case'!F11*$C291*'Business Case'!F12*$B291))-'Business Case'!G15*$F291+'Business Case'!$B$8*('Business Case'!G11*$C291*'Business Case'!G12*$B291)</f>
        <v>1117281715.67156</v>
      </c>
      <c r="N291" s="39" t="n">
        <f aca="false">IF(COUNT('Business Case'!B11:G11)=0,"",H291+NPV(G291,I291:M291))</f>
        <v>111916536.256433</v>
      </c>
      <c r="P291" s="40" t="n">
        <f aca="true">RAND()</f>
        <v>0.901395556752138</v>
      </c>
      <c r="Q291" s="40" t="n">
        <f aca="true">RAND()</f>
        <v>0.760152645330446</v>
      </c>
      <c r="R291" s="40" t="n">
        <f aca="true">RAND()</f>
        <v>0.271682806094599</v>
      </c>
      <c r="S291" s="40" t="n">
        <f aca="true">RAND()</f>
        <v>0.363481433743722</v>
      </c>
      <c r="T291" s="40" t="n">
        <f aca="true">RAND()</f>
        <v>0.372185394921135</v>
      </c>
      <c r="U291" s="40" t="n">
        <f aca="true">RAND()</f>
        <v>0.881762759877363</v>
      </c>
    </row>
    <row r="292" customFormat="false" ht="15" hidden="false" customHeight="false" outlineLevel="0" collapsed="false">
      <c r="A292" s="36" t="n">
        <v>212</v>
      </c>
      <c r="B292" s="37" t="n">
        <f aca="false">1+IF($G$6=$E$6,$F$6,IF(P292&lt;($F$6-$E$6)/($G$6-$E$6),$E$6+SQRT(P292*($G$6-$E$6)*($F$6-$E$6)),$G$6-SQRT((1-P292)*($G$6-$E$6)*($G$6-$F$6))))</f>
        <v>1.02393264874065</v>
      </c>
      <c r="C292" s="37" t="n">
        <f aca="false">1+IF($G$7=$E$7,$F$7,IF(Q292&lt;($F$7-$E$7)/($G$7-$E$7),$E$7+SQRT(Q292*($G$7-$E$7)*($F$7-$E$7)),$G$7-SQRT((1-Q292)*($G$7-$E$7)*($G$7-$F$7))))</f>
        <v>1.0330461895936</v>
      </c>
      <c r="D292" s="37" t="n">
        <f aca="false">1+IF($G$8=$E$8,$F$8,IF(R292&lt;($F$8-$E$8)/($G$8-$E$8),$E$8+SQRT(R292*($G$8-$E$8)*($F$8-$E$8)),$G$8-SQRT((1-R292)*($G$8-$E$8)*($G$8-$F$8))))</f>
        <v>0.992104938930585</v>
      </c>
      <c r="E292" s="37" t="n">
        <f aca="false">1+IF($G$9=$E$9,$F$9,IF(S292&lt;($F$9-$E$9)/($G$9-$E$9),$E$9+SQRT(S292*($G$9-$E$9)*($F$9-$E$9)),$G$9-SQRT((1-S292)*($G$9-$E$9)*($G$9-$F$9))))</f>
        <v>1.01258116254459</v>
      </c>
      <c r="F292" s="37" t="n">
        <f aca="false">1+IF($G$10=$E$10,$F$10,IF(T292&lt;($F$10-$E$10)/($G$10-$E$10),$E$10+SQRT(T292*($G$10-$E$10)*($F$10-$E$10)),$G$10-SQRT((1-T292)*($G$10-$E$10)*($G$10-$F$10))))</f>
        <v>1.02228973427446</v>
      </c>
      <c r="G292" s="38" t="n">
        <f aca="false">IF($G$11=$E$11,$F$11,IF(U292&lt;($F$11-$E$11)/($G$11-$E$11),$E$11+SQRT(U292*($G$11-$E$11)*($F$11-$E$11)),$G$11-SQRT((1-U292)*($G$11-$E$11)*($G$11-$F$11))))</f>
        <v>0.100501584584204</v>
      </c>
      <c r="H292" s="39" t="n">
        <f aca="false">(('Business Case'!B11*$C292*'Business Case'!B12*$B292)-'Business Case'!B11*$C292*'Business Case'!B13*$D292-'Business Case'!B14*$E292)-MAX(0,(('Business Case'!B11*$C292*'Business Case'!B12*$B292)-'Business Case'!B11*$C292*'Business Case'!B13*$D292-'Business Case'!B14*$E292))*'Business Case'!$B$7-'Business Case'!$B$8*('Business Case'!B11*$C292*'Business Case'!B12*$B292)-'Business Case'!B15*$F292</f>
        <v>-2044579468.54893</v>
      </c>
      <c r="I292" s="39" t="n">
        <f aca="false">(('Business Case'!C11*$C292*'Business Case'!C12*$B292)-'Business Case'!C11*$C292*'Business Case'!C13*$D292-'Business Case'!C14*$E292)-MAX(0,(('Business Case'!C11*$C292*'Business Case'!C12*$B292)-'Business Case'!C11*$C292*'Business Case'!C13*$D292-'Business Case'!C14*$E292))*'Business Case'!$B$7-'Business Case'!$B$8*(('Business Case'!C11*$C292*'Business Case'!C12*$B292)-('Business Case'!B11*$C292*'Business Case'!B12*$B292))-'Business Case'!C15*$F292</f>
        <v>40674959.0570862</v>
      </c>
      <c r="J292" s="39" t="n">
        <f aca="false">(('Business Case'!D11*$C292*'Business Case'!D12*$B292)-'Business Case'!D11*$C292*'Business Case'!D13*$D292-'Business Case'!D14*$E292)-MAX(0,(('Business Case'!D11*$C292*'Business Case'!D12*$B292)-'Business Case'!D11*$C292*'Business Case'!D13*$D292-'Business Case'!D14*$E292))*'Business Case'!$B$7-'Business Case'!$B$8*(('Business Case'!D11*$C292*'Business Case'!D12*$B292)-('Business Case'!C11*$C292*'Business Case'!C12*$B292))-'Business Case'!D15*$F292</f>
        <v>382402715.201534</v>
      </c>
      <c r="K292" s="39" t="n">
        <f aca="false">(('Business Case'!E11*$C292*'Business Case'!E12*$B292)-'Business Case'!E11*$C292*'Business Case'!E13*$D292-'Business Case'!E14*$E292)-MAX(0,(('Business Case'!E11*$C292*'Business Case'!E12*$B292)-'Business Case'!E11*$C292*'Business Case'!E13*$D292-'Business Case'!E14*$E292))*'Business Case'!$B$7-'Business Case'!$B$8*(('Business Case'!E11*$C292*'Business Case'!E12*$B292)-('Business Case'!D11*$C292*'Business Case'!D12*$B292))-'Business Case'!E15*$F292</f>
        <v>775244958.059705</v>
      </c>
      <c r="L292" s="39" t="n">
        <f aca="false">(('Business Case'!F11*$C292*'Business Case'!F12*$B292)-'Business Case'!F11*$C292*'Business Case'!F13*$D292-'Business Case'!F14*$E292)-MAX(0,(('Business Case'!F11*$C292*'Business Case'!F12*$B292)-'Business Case'!F11*$C292*'Business Case'!F13*$D292-'Business Case'!F14*$E292))*'Business Case'!$B$7-'Business Case'!$B$8*(('Business Case'!F11*$C292*'Business Case'!F12*$B292)-('Business Case'!E11*$C292*'Business Case'!E12*$B292))-'Business Case'!F15*$F292</f>
        <v>925710731.671904</v>
      </c>
      <c r="M292" s="39" t="n">
        <f aca="false">(('Business Case'!G11*$C292*'Business Case'!G12*$B292)-'Business Case'!G11*$C292*'Business Case'!G13*$D292-'Business Case'!G14*$E292)-MAX(0,(('Business Case'!G11*$C292*'Business Case'!G12*$B292)-'Business Case'!G11*$C292*'Business Case'!G13*$D292-'Business Case'!G14*$E292))*'Business Case'!$B$7-'Business Case'!$B$8*(('Business Case'!G11*$C292*'Business Case'!G12*$B292)-('Business Case'!F11*$C292*'Business Case'!F12*$B292))-'Business Case'!G15*$F292+'Business Case'!$B$8*('Business Case'!G11*$C292*'Business Case'!G12*$B292)</f>
        <v>1126771600.27418</v>
      </c>
      <c r="N292" s="39" t="n">
        <f aca="false">IF(COUNT('Business Case'!B11:G11)=0,"",H292+NPV(G292,I292:M292))</f>
        <v>218949702.197613</v>
      </c>
      <c r="P292" s="40" t="n">
        <f aca="true">RAND()</f>
        <v>0.946216713230947</v>
      </c>
      <c r="Q292" s="40" t="n">
        <f aca="true">RAND()</f>
        <v>0.739462975836627</v>
      </c>
      <c r="R292" s="40" t="n">
        <f aca="true">RAND()</f>
        <v>0.272742443438196</v>
      </c>
      <c r="S292" s="40" t="n">
        <f aca="true">RAND()</f>
        <v>0.490529790529602</v>
      </c>
      <c r="T292" s="40" t="n">
        <f aca="true">RAND()</f>
        <v>0.368381229115178</v>
      </c>
      <c r="U292" s="40" t="n">
        <f aca="true">RAND()</f>
        <v>0.366352993788386</v>
      </c>
    </row>
    <row r="293" customFormat="false" ht="15" hidden="false" customHeight="false" outlineLevel="0" collapsed="false">
      <c r="A293" s="36" t="n">
        <v>213</v>
      </c>
      <c r="B293" s="37" t="n">
        <f aca="false">1+IF($G$6=$E$6,$F$6,IF(P293&lt;($F$6-$E$6)/($G$6-$E$6),$E$6+SQRT(P293*($G$6-$E$6)*($F$6-$E$6)),$G$6-SQRT((1-P293)*($G$6-$E$6)*($G$6-$F$6))))</f>
        <v>0.925509319170764</v>
      </c>
      <c r="C293" s="37" t="n">
        <f aca="false">1+IF($G$7=$E$7,$F$7,IF(Q293&lt;($F$7-$E$7)/($G$7-$E$7),$E$7+SQRT(Q293*($G$7-$E$7)*($F$7-$E$7)),$G$7-SQRT((1-Q293)*($G$7-$E$7)*($G$7-$F$7))))</f>
        <v>0.987263417677786</v>
      </c>
      <c r="D293" s="37" t="n">
        <f aca="false">1+IF($G$8=$E$8,$F$8,IF(R293&lt;($F$8-$E$8)/($G$8-$E$8),$E$8+SQRT(R293*($G$8-$E$8)*($F$8-$E$8)),$G$8-SQRT((1-R293)*($G$8-$E$8)*($G$8-$F$8))))</f>
        <v>1.01342061635959</v>
      </c>
      <c r="E293" s="37" t="n">
        <f aca="false">1+IF($G$9=$E$9,$F$9,IF(S293&lt;($F$9-$E$9)/($G$9-$E$9),$E$9+SQRT(S293*($G$9-$E$9)*($F$9-$E$9)),$G$9-SQRT((1-S293)*($G$9-$E$9)*($G$9-$F$9))))</f>
        <v>1.09361522893521</v>
      </c>
      <c r="F293" s="37" t="n">
        <f aca="false">1+IF($G$10=$E$10,$F$10,IF(T293&lt;($F$10-$E$10)/($G$10-$E$10),$E$10+SQRT(T293*($G$10-$E$10)*($F$10-$E$10)),$G$10-SQRT((1-T293)*($G$10-$E$10)*($G$10-$F$10))))</f>
        <v>0.971691157518986</v>
      </c>
      <c r="G293" s="38" t="n">
        <f aca="false">IF($G$11=$E$11,$F$11,IF(U293&lt;($F$11-$E$11)/($G$11-$E$11),$E$11+SQRT(U293*($G$11-$E$11)*($F$11-$E$11)),$G$11-SQRT((1-U293)*($G$11-$E$11)*($G$11-$F$11))))</f>
        <v>0.100239546442656</v>
      </c>
      <c r="H293" s="39" t="n">
        <f aca="false">(('Business Case'!B11*$C293*'Business Case'!B12*$B293)-'Business Case'!B11*$C293*'Business Case'!B13*$D293-'Business Case'!B14*$E293)-MAX(0,(('Business Case'!B11*$C293*'Business Case'!B12*$B293)-'Business Case'!B11*$C293*'Business Case'!B13*$D293-'Business Case'!B14*$E293))*'Business Case'!$B$7-'Business Case'!$B$8*('Business Case'!B11*$C293*'Business Case'!B12*$B293)-'Business Case'!B15*$F293</f>
        <v>-1943382315.03797</v>
      </c>
      <c r="I293" s="39" t="n">
        <f aca="false">(('Business Case'!C11*$C293*'Business Case'!C12*$B293)-'Business Case'!C11*$C293*'Business Case'!C13*$D293-'Business Case'!C14*$E293)-MAX(0,(('Business Case'!C11*$C293*'Business Case'!C12*$B293)-'Business Case'!C11*$C293*'Business Case'!C13*$D293-'Business Case'!C14*$E293))*'Business Case'!$B$7-'Business Case'!$B$8*(('Business Case'!C11*$C293*'Business Case'!C12*$B293)-('Business Case'!B11*$C293*'Business Case'!B12*$B293))-'Business Case'!C15*$F293</f>
        <v>-63827499.1700515</v>
      </c>
      <c r="J293" s="39" t="n">
        <f aca="false">(('Business Case'!D11*$C293*'Business Case'!D12*$B293)-'Business Case'!D11*$C293*'Business Case'!D13*$D293-'Business Case'!D14*$E293)-MAX(0,(('Business Case'!D11*$C293*'Business Case'!D12*$B293)-'Business Case'!D11*$C293*'Business Case'!D13*$D293-'Business Case'!D14*$E293))*'Business Case'!$B$7-'Business Case'!$B$8*(('Business Case'!D11*$C293*'Business Case'!D12*$B293)-('Business Case'!C11*$C293*'Business Case'!C12*$B293))-'Business Case'!D15*$F293</f>
        <v>172393525.19135</v>
      </c>
      <c r="K293" s="39" t="n">
        <f aca="false">(('Business Case'!E11*$C293*'Business Case'!E12*$B293)-'Business Case'!E11*$C293*'Business Case'!E13*$D293-'Business Case'!E14*$E293)-MAX(0,(('Business Case'!E11*$C293*'Business Case'!E12*$B293)-'Business Case'!E11*$C293*'Business Case'!E13*$D293-'Business Case'!E14*$E293))*'Business Case'!$B$7-'Business Case'!$B$8*(('Business Case'!E11*$C293*'Business Case'!E12*$B293)-('Business Case'!D11*$C293*'Business Case'!D12*$B293))-'Business Case'!E15*$F293</f>
        <v>457199107.4287</v>
      </c>
      <c r="L293" s="39" t="n">
        <f aca="false">(('Business Case'!F11*$C293*'Business Case'!F12*$B293)-'Business Case'!F11*$C293*'Business Case'!F13*$D293-'Business Case'!F14*$E293)-MAX(0,(('Business Case'!F11*$C293*'Business Case'!F12*$B293)-'Business Case'!F11*$C293*'Business Case'!F13*$D293-'Business Case'!F14*$E293))*'Business Case'!$B$7-'Business Case'!$B$8*(('Business Case'!F11*$C293*'Business Case'!F12*$B293)-('Business Case'!E11*$C293*'Business Case'!E12*$B293))-'Business Case'!F15*$F293</f>
        <v>567517663.699145</v>
      </c>
      <c r="M293" s="39" t="n">
        <f aca="false">(('Business Case'!G11*$C293*'Business Case'!G12*$B293)-'Business Case'!G11*$C293*'Business Case'!G13*$D293-'Business Case'!G14*$E293)-MAX(0,(('Business Case'!G11*$C293*'Business Case'!G12*$B293)-'Business Case'!G11*$C293*'Business Case'!G13*$D293-'Business Case'!G14*$E293))*'Business Case'!$B$7-'Business Case'!$B$8*(('Business Case'!G11*$C293*'Business Case'!G12*$B293)-('Business Case'!F11*$C293*'Business Case'!F12*$B293))-'Business Case'!G15*$F293+'Business Case'!$B$8*('Business Case'!G11*$C293*'Business Case'!G12*$B293)</f>
        <v>741197845.19069</v>
      </c>
      <c r="N293" s="39" t="n">
        <f aca="false">IF(COUNT('Business Case'!B11:G11)=0,"",H293+NPV(G293,I293:M293))</f>
        <v>-668697090.069243</v>
      </c>
      <c r="P293" s="40" t="n">
        <f aca="true">RAND()</f>
        <v>0.00316172892972362</v>
      </c>
      <c r="Q293" s="40" t="n">
        <f aca="true">RAND()</f>
        <v>0.500965537148069</v>
      </c>
      <c r="R293" s="40" t="n">
        <f aca="true">RAND()</f>
        <v>0.573767853275276</v>
      </c>
      <c r="S293" s="40" t="n">
        <f aca="true">RAND()</f>
        <v>0.997282313230017</v>
      </c>
      <c r="T293" s="40" t="n">
        <f aca="true">RAND()</f>
        <v>0.0376405051610759</v>
      </c>
      <c r="U293" s="40" t="n">
        <f aca="true">RAND()</f>
        <v>0.349207458680055</v>
      </c>
    </row>
    <row r="294" customFormat="false" ht="15" hidden="false" customHeight="false" outlineLevel="0" collapsed="false">
      <c r="A294" s="36" t="n">
        <v>214</v>
      </c>
      <c r="B294" s="37" t="n">
        <f aca="false">1+IF($G$6=$E$6,$F$6,IF(P294&lt;($F$6-$E$6)/($G$6-$E$6),$E$6+SQRT(P294*($G$6-$E$6)*($F$6-$E$6)),$G$6-SQRT((1-P294)*($G$6-$E$6)*($G$6-$F$6))))</f>
        <v>0.957372060579603</v>
      </c>
      <c r="C294" s="37" t="n">
        <f aca="false">1+IF($G$7=$E$7,$F$7,IF(Q294&lt;($F$7-$E$7)/($G$7-$E$7),$E$7+SQRT(Q294*($G$7-$E$7)*($F$7-$E$7)),$G$7-SQRT((1-Q294)*($G$7-$E$7)*($G$7-$F$7))))</f>
        <v>1.01339106988143</v>
      </c>
      <c r="D294" s="37" t="n">
        <f aca="false">1+IF($G$8=$E$8,$F$8,IF(R294&lt;($F$8-$E$8)/($G$8-$E$8),$E$8+SQRT(R294*($G$8-$E$8)*($F$8-$E$8)),$G$8-SQRT((1-R294)*($G$8-$E$8)*($G$8-$F$8))))</f>
        <v>0.953610435805287</v>
      </c>
      <c r="E294" s="37" t="n">
        <f aca="false">1+IF($G$9=$E$9,$F$9,IF(S294&lt;($F$9-$E$9)/($G$9-$E$9),$E$9+SQRT(S294*($G$9-$E$9)*($F$9-$E$9)),$G$9-SQRT((1-S294)*($G$9-$E$9)*($G$9-$F$9))))</f>
        <v>1.07901806720761</v>
      </c>
      <c r="F294" s="37" t="n">
        <f aca="false">1+IF($G$10=$E$10,$F$10,IF(T294&lt;($F$10-$E$10)/($G$10-$E$10),$E$10+SQRT(T294*($G$10-$E$10)*($F$10-$E$10)),$G$10-SQRT((1-T294)*($G$10-$E$10)*($G$10-$F$10))))</f>
        <v>1.06139449000206</v>
      </c>
      <c r="G294" s="38" t="n">
        <f aca="false">IF($G$11=$E$11,$F$11,IF(U294&lt;($F$11-$E$11)/($G$11-$E$11),$E$11+SQRT(U294*($G$11-$E$11)*($F$11-$E$11)),$G$11-SQRT((1-U294)*($G$11-$E$11)*($G$11-$F$11))))</f>
        <v>0.0948010809198242</v>
      </c>
      <c r="H294" s="39" t="n">
        <f aca="false">(('Business Case'!B11*$C294*'Business Case'!B12*$B294)-'Business Case'!B11*$C294*'Business Case'!B13*$D294-'Business Case'!B14*$E294)-MAX(0,(('Business Case'!B11*$C294*'Business Case'!B12*$B294)-'Business Case'!B11*$C294*'Business Case'!B13*$D294-'Business Case'!B14*$E294))*'Business Case'!$B$7-'Business Case'!$B$8*('Business Case'!B11*$C294*'Business Case'!B12*$B294)-'Business Case'!B15*$F294</f>
        <v>-2122788980.00412</v>
      </c>
      <c r="I294" s="39" t="n">
        <f aca="false">(('Business Case'!C11*$C294*'Business Case'!C12*$B294)-'Business Case'!C11*$C294*'Business Case'!C13*$D294-'Business Case'!C14*$E294)-MAX(0,(('Business Case'!C11*$C294*'Business Case'!C12*$B294)-'Business Case'!C11*$C294*'Business Case'!C13*$D294-'Business Case'!C14*$E294))*'Business Case'!$B$7-'Business Case'!$B$8*(('Business Case'!C11*$C294*'Business Case'!C12*$B294)-('Business Case'!B11*$C294*'Business Case'!B12*$B294))-'Business Case'!C15*$F294</f>
        <v>-9922645.0095135</v>
      </c>
      <c r="J294" s="39" t="n">
        <f aca="false">(('Business Case'!D11*$C294*'Business Case'!D12*$B294)-'Business Case'!D11*$C294*'Business Case'!D13*$D294-'Business Case'!D14*$E294)-MAX(0,(('Business Case'!D11*$C294*'Business Case'!D12*$B294)-'Business Case'!D11*$C294*'Business Case'!D13*$D294-'Business Case'!D14*$E294))*'Business Case'!$B$7-'Business Case'!$B$8*(('Business Case'!D11*$C294*'Business Case'!D12*$B294)-('Business Case'!C11*$C294*'Business Case'!C12*$B294))-'Business Case'!D15*$F294</f>
        <v>290025296.80138</v>
      </c>
      <c r="K294" s="39" t="n">
        <f aca="false">(('Business Case'!E11*$C294*'Business Case'!E12*$B294)-'Business Case'!E11*$C294*'Business Case'!E13*$D294-'Business Case'!E14*$E294)-MAX(0,(('Business Case'!E11*$C294*'Business Case'!E12*$B294)-'Business Case'!E11*$C294*'Business Case'!E13*$D294-'Business Case'!E14*$E294))*'Business Case'!$B$7-'Business Case'!$B$8*(('Business Case'!E11*$C294*'Business Case'!E12*$B294)-('Business Case'!D11*$C294*'Business Case'!D12*$B294))-'Business Case'!E15*$F294</f>
        <v>643042963.112377</v>
      </c>
      <c r="L294" s="39" t="n">
        <f aca="false">(('Business Case'!F11*$C294*'Business Case'!F12*$B294)-'Business Case'!F11*$C294*'Business Case'!F13*$D294-'Business Case'!F14*$E294)-MAX(0,(('Business Case'!F11*$C294*'Business Case'!F12*$B294)-'Business Case'!F11*$C294*'Business Case'!F13*$D294-'Business Case'!F14*$E294))*'Business Case'!$B$7-'Business Case'!$B$8*(('Business Case'!F11*$C294*'Business Case'!F12*$B294)-('Business Case'!E11*$C294*'Business Case'!E12*$B294))-'Business Case'!F15*$F294</f>
        <v>776555456.158194</v>
      </c>
      <c r="M294" s="39" t="n">
        <f aca="false">(('Business Case'!G11*$C294*'Business Case'!G12*$B294)-'Business Case'!G11*$C294*'Business Case'!G13*$D294-'Business Case'!G14*$E294)-MAX(0,(('Business Case'!G11*$C294*'Business Case'!G12*$B294)-'Business Case'!G11*$C294*'Business Case'!G13*$D294-'Business Case'!G14*$E294))*'Business Case'!$B$7-'Business Case'!$B$8*(('Business Case'!G11*$C294*'Business Case'!G12*$B294)-('Business Case'!F11*$C294*'Business Case'!F12*$B294))-'Business Case'!G15*$F294+'Business Case'!$B$8*('Business Case'!G11*$C294*'Business Case'!G12*$B294)</f>
        <v>960969607.92355</v>
      </c>
      <c r="N294" s="39" t="n">
        <f aca="false">IF(COUNT('Business Case'!B11:G11)=0,"",H294+NPV(G294,I294:M294))</f>
        <v>-248303117.855511</v>
      </c>
      <c r="P294" s="40" t="n">
        <f aca="true">RAND()</f>
        <v>0.145486553329741</v>
      </c>
      <c r="Q294" s="40" t="n">
        <f aca="true">RAND()</f>
        <v>0.644533337368729</v>
      </c>
      <c r="R294" s="40" t="n">
        <f aca="true">RAND()</f>
        <v>0.00200542256986102</v>
      </c>
      <c r="S294" s="40" t="n">
        <f aca="true">RAND()</f>
        <v>0.970650566419712</v>
      </c>
      <c r="T294" s="40" t="n">
        <f aca="true">RAND()</f>
        <v>0.615770251964223</v>
      </c>
      <c r="U294" s="40" t="n">
        <f aca="true">RAND()</f>
        <v>0.0768345933289997</v>
      </c>
    </row>
    <row r="295" customFormat="false" ht="15" hidden="false" customHeight="false" outlineLevel="0" collapsed="false">
      <c r="A295" s="36" t="n">
        <v>215</v>
      </c>
      <c r="B295" s="37" t="n">
        <f aca="false">1+IF($G$6=$E$6,$F$6,IF(P295&lt;($F$6-$E$6)/($G$6-$E$6),$E$6+SQRT(P295*($G$6-$E$6)*($F$6-$E$6)),$G$6-SQRT((1-P295)*($G$6-$E$6)*($G$6-$F$6))))</f>
        <v>1.00210321483027</v>
      </c>
      <c r="C295" s="37" t="n">
        <f aca="false">1+IF($G$7=$E$7,$F$7,IF(Q295&lt;($F$7-$E$7)/($G$7-$E$7),$E$7+SQRT(Q295*($G$7-$E$7)*($F$7-$E$7)),$G$7-SQRT((1-Q295)*($G$7-$E$7)*($G$7-$F$7))))</f>
        <v>0.941488940465793</v>
      </c>
      <c r="D295" s="37" t="n">
        <f aca="false">1+IF($G$8=$E$8,$F$8,IF(R295&lt;($F$8-$E$8)/($G$8-$E$8),$E$8+SQRT(R295*($G$8-$E$8)*($F$8-$E$8)),$G$8-SQRT((1-R295)*($G$8-$E$8)*($G$8-$F$8))))</f>
        <v>1.01199252122213</v>
      </c>
      <c r="E295" s="37" t="n">
        <f aca="false">1+IF($G$9=$E$9,$F$9,IF(S295&lt;($F$9-$E$9)/($G$9-$E$9),$E$9+SQRT(S295*($G$9-$E$9)*($F$9-$E$9)),$G$9-SQRT((1-S295)*($G$9-$E$9)*($G$9-$F$9))))</f>
        <v>1.04316024748687</v>
      </c>
      <c r="F295" s="37" t="n">
        <f aca="false">1+IF($G$10=$E$10,$F$10,IF(T295&lt;($F$10-$E$10)/($G$10-$E$10),$E$10+SQRT(T295*($G$10-$E$10)*($F$10-$E$10)),$G$10-SQRT((1-T295)*($G$10-$E$10)*($G$10-$F$10))))</f>
        <v>1.00676977811409</v>
      </c>
      <c r="G295" s="38" t="n">
        <f aca="false">IF($G$11=$E$11,$F$11,IF(U295&lt;($F$11-$E$11)/($G$11-$E$11),$E$11+SQRT(U295*($G$11-$E$11)*($F$11-$E$11)),$G$11-SQRT((1-U295)*($G$11-$E$11)*($G$11-$F$11))))</f>
        <v>0.117626001819818</v>
      </c>
      <c r="H295" s="39" t="n">
        <f aca="false">(('Business Case'!B11*$C295*'Business Case'!B12*$B295)-'Business Case'!B11*$C295*'Business Case'!B13*$D295-'Business Case'!B14*$E295)-MAX(0,(('Business Case'!B11*$C295*'Business Case'!B12*$B295)-'Business Case'!B11*$C295*'Business Case'!B13*$D295-'Business Case'!B14*$E295))*'Business Case'!$B$7-'Business Case'!$B$8*('Business Case'!B11*$C295*'Business Case'!B12*$B295)-'Business Case'!B15*$F295</f>
        <v>-2013539556.22818</v>
      </c>
      <c r="I295" s="39" t="n">
        <f aca="false">(('Business Case'!C11*$C295*'Business Case'!C12*$B295)-'Business Case'!C11*$C295*'Business Case'!C13*$D295-'Business Case'!C14*$E295)-MAX(0,(('Business Case'!C11*$C295*'Business Case'!C12*$B295)-'Business Case'!C11*$C295*'Business Case'!C13*$D295-'Business Case'!C14*$E295))*'Business Case'!$B$7-'Business Case'!$B$8*(('Business Case'!C11*$C295*'Business Case'!C12*$B295)-('Business Case'!B11*$C295*'Business Case'!B12*$B295))-'Business Case'!C15*$F295</f>
        <v>-12901703.2006622</v>
      </c>
      <c r="J295" s="39" t="n">
        <f aca="false">(('Business Case'!D11*$C295*'Business Case'!D12*$B295)-'Business Case'!D11*$C295*'Business Case'!D13*$D295-'Business Case'!D14*$E295)-MAX(0,(('Business Case'!D11*$C295*'Business Case'!D12*$B295)-'Business Case'!D11*$C295*'Business Case'!D13*$D295-'Business Case'!D14*$E295))*'Business Case'!$B$7-'Business Case'!$B$8*(('Business Case'!D11*$C295*'Business Case'!D12*$B295)-('Business Case'!C11*$C295*'Business Case'!C12*$B295))-'Business Case'!D15*$F295</f>
        <v>272120396.434014</v>
      </c>
      <c r="K295" s="39" t="n">
        <f aca="false">(('Business Case'!E11*$C295*'Business Case'!E12*$B295)-'Business Case'!E11*$C295*'Business Case'!E13*$D295-'Business Case'!E14*$E295)-MAX(0,(('Business Case'!E11*$C295*'Business Case'!E12*$B295)-'Business Case'!E11*$C295*'Business Case'!E13*$D295-'Business Case'!E14*$E295))*'Business Case'!$B$7-'Business Case'!$B$8*(('Business Case'!E11*$C295*'Business Case'!E12*$B295)-('Business Case'!D11*$C295*'Business Case'!D12*$B295))-'Business Case'!E15*$F295</f>
        <v>607480984.974395</v>
      </c>
      <c r="L295" s="39" t="n">
        <f aca="false">(('Business Case'!F11*$C295*'Business Case'!F12*$B295)-'Business Case'!F11*$C295*'Business Case'!F13*$D295-'Business Case'!F14*$E295)-MAX(0,(('Business Case'!F11*$C295*'Business Case'!F12*$B295)-'Business Case'!F11*$C295*'Business Case'!F13*$D295-'Business Case'!F14*$E295))*'Business Case'!$B$7-'Business Case'!$B$8*(('Business Case'!F11*$C295*'Business Case'!F12*$B295)-('Business Case'!E11*$C295*'Business Case'!E12*$B295))-'Business Case'!F15*$F295</f>
        <v>735094643.406819</v>
      </c>
      <c r="M295" s="39" t="n">
        <f aca="false">(('Business Case'!G11*$C295*'Business Case'!G12*$B295)-'Business Case'!G11*$C295*'Business Case'!G13*$D295-'Business Case'!G14*$E295)-MAX(0,(('Business Case'!G11*$C295*'Business Case'!G12*$B295)-'Business Case'!G11*$C295*'Business Case'!G13*$D295-'Business Case'!G14*$E295))*'Business Case'!$B$7-'Business Case'!$B$8*(('Business Case'!G11*$C295*'Business Case'!G12*$B295)-('Business Case'!F11*$C295*'Business Case'!F12*$B295))-'Business Case'!G15*$F295+'Business Case'!$B$8*('Business Case'!G11*$C295*'Business Case'!G12*$B295)</f>
        <v>914429248.788241</v>
      </c>
      <c r="N295" s="39" t="n">
        <f aca="false">IF(COUNT('Business Case'!B11:G11)=0,"",H295+NPV(G295,I295:M295))</f>
        <v>-376520024.905626</v>
      </c>
      <c r="P295" s="40" t="n">
        <f aca="true">RAND()</f>
        <v>0.700798682041581</v>
      </c>
      <c r="Q295" s="40" t="n">
        <f aca="true">RAND()</f>
        <v>0.285987432487611</v>
      </c>
      <c r="R295" s="40" t="n">
        <f aca="true">RAND()</f>
        <v>0.555286810603573</v>
      </c>
      <c r="S295" s="40" t="n">
        <f aca="true">RAND()</f>
        <v>0.78461616894974</v>
      </c>
      <c r="T295" s="40" t="n">
        <f aca="true">RAND()</f>
        <v>0.253241626998432</v>
      </c>
      <c r="U295" s="40" t="n">
        <f aca="true">RAND()</f>
        <v>0.990606887734152</v>
      </c>
    </row>
    <row r="296" customFormat="false" ht="15" hidden="false" customHeight="false" outlineLevel="0" collapsed="false">
      <c r="A296" s="36" t="n">
        <v>216</v>
      </c>
      <c r="B296" s="37" t="n">
        <f aca="false">1+IF($G$6=$E$6,$F$6,IF(P296&lt;($F$6-$E$6)/($G$6-$E$6),$E$6+SQRT(P296*($G$6-$E$6)*($F$6-$E$6)),$G$6-SQRT((1-P296)*($G$6-$E$6)*($G$6-$F$6))))</f>
        <v>1.02180185823561</v>
      </c>
      <c r="C296" s="37" t="n">
        <f aca="false">1+IF($G$7=$E$7,$F$7,IF(Q296&lt;($F$7-$E$7)/($G$7-$E$7),$E$7+SQRT(Q296*($G$7-$E$7)*($F$7-$E$7)),$G$7-SQRT((1-Q296)*($G$7-$E$7)*($G$7-$F$7))))</f>
        <v>0.863527258034831</v>
      </c>
      <c r="D296" s="37" t="n">
        <f aca="false">1+IF($G$8=$E$8,$F$8,IF(R296&lt;($F$8-$E$8)/($G$8-$E$8),$E$8+SQRT(R296*($G$8-$E$8)*($F$8-$E$8)),$G$8-SQRT((1-R296)*($G$8-$E$8)*($G$8-$F$8))))</f>
        <v>0.971871519705056</v>
      </c>
      <c r="E296" s="37" t="n">
        <f aca="false">1+IF($G$9=$E$9,$F$9,IF(S296&lt;($F$9-$E$9)/($G$9-$E$9),$E$9+SQRT(S296*($G$9-$E$9)*($F$9-$E$9)),$G$9-SQRT((1-S296)*($G$9-$E$9)*($G$9-$F$9))))</f>
        <v>0.994874731916632</v>
      </c>
      <c r="F296" s="37" t="n">
        <f aca="false">1+IF($G$10=$E$10,$F$10,IF(T296&lt;($F$10-$E$10)/($G$10-$E$10),$E$10+SQRT(T296*($G$10-$E$10)*($F$10-$E$10)),$G$10-SQRT((1-T296)*($G$10-$E$10)*($G$10-$F$10))))</f>
        <v>0.983267074347368</v>
      </c>
      <c r="G296" s="38" t="n">
        <f aca="false">IF($G$11=$E$11,$F$11,IF(U296&lt;($F$11-$E$11)/($G$11-$E$11),$E$11+SQRT(U296*($G$11-$E$11)*($F$11-$E$11)),$G$11-SQRT((1-U296)*($G$11-$E$11)*($G$11-$F$11))))</f>
        <v>0.107112195005952</v>
      </c>
      <c r="H296" s="39" t="n">
        <f aca="false">(('Business Case'!B11*$C296*'Business Case'!B12*$B296)-'Business Case'!B11*$C296*'Business Case'!B13*$D296-'Business Case'!B14*$E296)-MAX(0,(('Business Case'!B11*$C296*'Business Case'!B12*$B296)-'Business Case'!B11*$C296*'Business Case'!B13*$D296-'Business Case'!B14*$E296))*'Business Case'!$B$7-'Business Case'!$B$8*('Business Case'!B11*$C296*'Business Case'!B12*$B296)-'Business Case'!B15*$F296</f>
        <v>-1966534148.69474</v>
      </c>
      <c r="I296" s="39" t="n">
        <f aca="false">(('Business Case'!C11*$C296*'Business Case'!C12*$B296)-'Business Case'!C11*$C296*'Business Case'!C13*$D296-'Business Case'!C14*$E296)-MAX(0,(('Business Case'!C11*$C296*'Business Case'!C12*$B296)-'Business Case'!C11*$C296*'Business Case'!C13*$D296-'Business Case'!C14*$E296))*'Business Case'!$B$7-'Business Case'!$B$8*(('Business Case'!C11*$C296*'Business Case'!C12*$B296)-('Business Case'!B11*$C296*'Business Case'!B12*$B296))-'Business Case'!C15*$F296</f>
        <v>7549657.43287024</v>
      </c>
      <c r="J296" s="39" t="n">
        <f aca="false">(('Business Case'!D11*$C296*'Business Case'!D12*$B296)-'Business Case'!D11*$C296*'Business Case'!D13*$D296-'Business Case'!D14*$E296)-MAX(0,(('Business Case'!D11*$C296*'Business Case'!D12*$B296)-'Business Case'!D11*$C296*'Business Case'!D13*$D296-'Business Case'!D14*$E296))*'Business Case'!$B$7-'Business Case'!$B$8*(('Business Case'!D11*$C296*'Business Case'!D12*$B296)-('Business Case'!C11*$C296*'Business Case'!C12*$B296))-'Business Case'!D15*$F296</f>
        <v>300638427.936567</v>
      </c>
      <c r="K296" s="39" t="n">
        <f aca="false">(('Business Case'!E11*$C296*'Business Case'!E12*$B296)-'Business Case'!E11*$C296*'Business Case'!E13*$D296-'Business Case'!E14*$E296)-MAX(0,(('Business Case'!E11*$C296*'Business Case'!E12*$B296)-'Business Case'!E11*$C296*'Business Case'!E13*$D296-'Business Case'!E14*$E296))*'Business Case'!$B$7-'Business Case'!$B$8*(('Business Case'!E11*$C296*'Business Case'!E12*$B296)-('Business Case'!D11*$C296*'Business Case'!D12*$B296))-'Business Case'!E15*$F296</f>
        <v>642890552.157633</v>
      </c>
      <c r="L296" s="39" t="n">
        <f aca="false">(('Business Case'!F11*$C296*'Business Case'!F12*$B296)-'Business Case'!F11*$C296*'Business Case'!F13*$D296-'Business Case'!F14*$E296)-MAX(0,(('Business Case'!F11*$C296*'Business Case'!F12*$B296)-'Business Case'!F11*$C296*'Business Case'!F13*$D296-'Business Case'!F14*$E296))*'Business Case'!$B$7-'Business Case'!$B$8*(('Business Case'!F11*$C296*'Business Case'!F12*$B296)-('Business Case'!E11*$C296*'Business Case'!E12*$B296))-'Business Case'!F15*$F296</f>
        <v>771080954.830563</v>
      </c>
      <c r="M296" s="39" t="n">
        <f aca="false">(('Business Case'!G11*$C296*'Business Case'!G12*$B296)-'Business Case'!G11*$C296*'Business Case'!G13*$D296-'Business Case'!G14*$E296)-MAX(0,(('Business Case'!G11*$C296*'Business Case'!G12*$B296)-'Business Case'!G11*$C296*'Business Case'!G13*$D296-'Business Case'!G14*$E296))*'Business Case'!$B$7-'Business Case'!$B$8*(('Business Case'!G11*$C296*'Business Case'!G12*$B296)-('Business Case'!F11*$C296*'Business Case'!F12*$B296))-'Business Case'!G15*$F296+'Business Case'!$B$8*('Business Case'!G11*$C296*'Business Case'!G12*$B296)</f>
        <v>938798756.941562</v>
      </c>
      <c r="N296" s="39" t="n">
        <f aca="false">IF(COUNT('Business Case'!B11:G11)=0,"",H296+NPV(G296,I296:M296))</f>
        <v>-162980530.649291</v>
      </c>
      <c r="P296" s="40" t="n">
        <f aca="true">RAND()</f>
        <v>0.931005757567318</v>
      </c>
      <c r="Q296" s="40" t="n">
        <f aca="true">RAND()</f>
        <v>0.0576530359060577</v>
      </c>
      <c r="R296" s="40" t="n">
        <f aca="true">RAND()</f>
        <v>0.0735943652628714</v>
      </c>
      <c r="S296" s="40" t="n">
        <f aca="true">RAND()</f>
        <v>0.268498875278606</v>
      </c>
      <c r="T296" s="40" t="n">
        <f aca="true">RAND()</f>
        <v>0.0885358588506637</v>
      </c>
      <c r="U296" s="40" t="n">
        <f aca="true">RAND()</f>
        <v>0.723174137392308</v>
      </c>
    </row>
    <row r="297" customFormat="false" ht="15" hidden="false" customHeight="false" outlineLevel="0" collapsed="false">
      <c r="A297" s="36" t="n">
        <v>217</v>
      </c>
      <c r="B297" s="37" t="n">
        <f aca="false">1+IF($G$6=$E$6,$F$6,IF(P297&lt;($F$6-$E$6)/($G$6-$E$6),$E$6+SQRT(P297*($G$6-$E$6)*($F$6-$E$6)),$G$6-SQRT((1-P297)*($G$6-$E$6)*($G$6-$F$6))))</f>
        <v>1.00090988375106</v>
      </c>
      <c r="C297" s="37" t="n">
        <f aca="false">1+IF($G$7=$E$7,$F$7,IF(Q297&lt;($F$7-$E$7)/($G$7-$E$7),$E$7+SQRT(Q297*($G$7-$E$7)*($F$7-$E$7)),$G$7-SQRT((1-Q297)*($G$7-$E$7)*($G$7-$F$7))))</f>
        <v>0.899078494262323</v>
      </c>
      <c r="D297" s="37" t="n">
        <f aca="false">1+IF($G$8=$E$8,$F$8,IF(R297&lt;($F$8-$E$8)/($G$8-$E$8),$E$8+SQRT(R297*($G$8-$E$8)*($F$8-$E$8)),$G$8-SQRT((1-R297)*($G$8-$E$8)*($G$8-$F$8))))</f>
        <v>1.05247114600401</v>
      </c>
      <c r="E297" s="37" t="n">
        <f aca="false">1+IF($G$9=$E$9,$F$9,IF(S297&lt;($F$9-$E$9)/($G$9-$E$9),$E$9+SQRT(S297*($G$9-$E$9)*($F$9-$E$9)),$G$9-SQRT((1-S297)*($G$9-$E$9)*($G$9-$F$9))))</f>
        <v>1.02645798641184</v>
      </c>
      <c r="F297" s="37" t="n">
        <f aca="false">1+IF($G$10=$E$10,$F$10,IF(T297&lt;($F$10-$E$10)/($G$10-$E$10),$E$10+SQRT(T297*($G$10-$E$10)*($F$10-$E$10)),$G$10-SQRT((1-T297)*($G$10-$E$10)*($G$10-$F$10))))</f>
        <v>1.03807308436526</v>
      </c>
      <c r="G297" s="38" t="n">
        <f aca="false">IF($G$11=$E$11,$F$11,IF(U297&lt;($F$11-$E$11)/($G$11-$E$11),$E$11+SQRT(U297*($G$11-$E$11)*($F$11-$E$11)),$G$11-SQRT((1-U297)*($G$11-$E$11)*($G$11-$F$11))))</f>
        <v>0.102164061325737</v>
      </c>
      <c r="H297" s="39" t="n">
        <f aca="false">(('Business Case'!B11*$C297*'Business Case'!B12*$B297)-'Business Case'!B11*$C297*'Business Case'!B13*$D297-'Business Case'!B14*$E297)-MAX(0,(('Business Case'!B11*$C297*'Business Case'!B12*$B297)-'Business Case'!B11*$C297*'Business Case'!B13*$D297-'Business Case'!B14*$E297))*'Business Case'!$B$7-'Business Case'!$B$8*('Business Case'!B11*$C297*'Business Case'!B12*$B297)-'Business Case'!B15*$F297</f>
        <v>-2076146168.73052</v>
      </c>
      <c r="I297" s="39" t="n">
        <f aca="false">(('Business Case'!C11*$C297*'Business Case'!C12*$B297)-'Business Case'!C11*$C297*'Business Case'!C13*$D297-'Business Case'!C14*$E297)-MAX(0,(('Business Case'!C11*$C297*'Business Case'!C12*$B297)-'Business Case'!C11*$C297*'Business Case'!C13*$D297-'Business Case'!C14*$E297))*'Business Case'!$B$7-'Business Case'!$B$8*(('Business Case'!C11*$C297*'Business Case'!C12*$B297)-('Business Case'!B11*$C297*'Business Case'!B12*$B297))-'Business Case'!C15*$F297</f>
        <v>-43746639.6995548</v>
      </c>
      <c r="J297" s="39" t="n">
        <f aca="false">(('Business Case'!D11*$C297*'Business Case'!D12*$B297)-'Business Case'!D11*$C297*'Business Case'!D13*$D297-'Business Case'!D14*$E297)-MAX(0,(('Business Case'!D11*$C297*'Business Case'!D12*$B297)-'Business Case'!D11*$C297*'Business Case'!D13*$D297-'Business Case'!D14*$E297))*'Business Case'!$B$7-'Business Case'!$B$8*(('Business Case'!D11*$C297*'Business Case'!D12*$B297)-('Business Case'!C11*$C297*'Business Case'!C12*$B297))-'Business Case'!D15*$F297</f>
        <v>208926991.918102</v>
      </c>
      <c r="K297" s="39" t="n">
        <f aca="false">(('Business Case'!E11*$C297*'Business Case'!E12*$B297)-'Business Case'!E11*$C297*'Business Case'!E13*$D297-'Business Case'!E14*$E297)-MAX(0,(('Business Case'!E11*$C297*'Business Case'!E12*$B297)-'Business Case'!E11*$C297*'Business Case'!E13*$D297-'Business Case'!E14*$E297))*'Business Case'!$B$7-'Business Case'!$B$8*(('Business Case'!E11*$C297*'Business Case'!E12*$B297)-('Business Case'!D11*$C297*'Business Case'!D12*$B297))-'Business Case'!E15*$F297</f>
        <v>513504277.754021</v>
      </c>
      <c r="L297" s="39" t="n">
        <f aca="false">(('Business Case'!F11*$C297*'Business Case'!F12*$B297)-'Business Case'!F11*$C297*'Business Case'!F13*$D297-'Business Case'!F14*$E297)-MAX(0,(('Business Case'!F11*$C297*'Business Case'!F12*$B297)-'Business Case'!F11*$C297*'Business Case'!F13*$D297-'Business Case'!F14*$E297))*'Business Case'!$B$7-'Business Case'!$B$8*(('Business Case'!F11*$C297*'Business Case'!F12*$B297)-('Business Case'!E11*$C297*'Business Case'!E12*$B297))-'Business Case'!F15*$F297</f>
        <v>628829246.435187</v>
      </c>
      <c r="M297" s="39" t="n">
        <f aca="false">(('Business Case'!G11*$C297*'Business Case'!G12*$B297)-'Business Case'!G11*$C297*'Business Case'!G13*$D297-'Business Case'!G14*$E297)-MAX(0,(('Business Case'!G11*$C297*'Business Case'!G12*$B297)-'Business Case'!G11*$C297*'Business Case'!G13*$D297-'Business Case'!G14*$E297))*'Business Case'!$B$7-'Business Case'!$B$8*(('Business Case'!G11*$C297*'Business Case'!G12*$B297)-('Business Case'!F11*$C297*'Business Case'!F12*$B297))-'Business Case'!G15*$F297+'Business Case'!$B$8*('Business Case'!G11*$C297*'Business Case'!G12*$B297)</f>
        <v>799881582.882566</v>
      </c>
      <c r="N297" s="39" t="n">
        <f aca="false">IF(COUNT('Business Case'!B11:G11)=0,"",H297+NPV(G297,I297:M297))</f>
        <v>-642370651.712598</v>
      </c>
      <c r="P297" s="40" t="n">
        <f aca="true">RAND()</f>
        <v>0.681658919092613</v>
      </c>
      <c r="Q297" s="40" t="n">
        <f aca="true">RAND()</f>
        <v>0.140236400361273</v>
      </c>
      <c r="R297" s="40" t="n">
        <f aca="true">RAND()</f>
        <v>0.927130980544939</v>
      </c>
      <c r="S297" s="40" t="n">
        <f aca="true">RAND()</f>
        <v>0.639438149159912</v>
      </c>
      <c r="T297" s="40" t="n">
        <f aca="true">RAND()</f>
        <v>0.475593479860409</v>
      </c>
      <c r="U297" s="40" t="n">
        <f aca="true">RAND()</f>
        <v>0.46979881934657</v>
      </c>
    </row>
    <row r="298" customFormat="false" ht="15" hidden="false" customHeight="false" outlineLevel="0" collapsed="false">
      <c r="A298" s="36" t="n">
        <v>218</v>
      </c>
      <c r="B298" s="37" t="n">
        <f aca="false">1+IF($G$6=$E$6,$F$6,IF(P298&lt;($F$6-$E$6)/($G$6-$E$6),$E$6+SQRT(P298*($G$6-$E$6)*($F$6-$E$6)),$G$6-SQRT((1-P298)*($G$6-$E$6)*($G$6-$F$6))))</f>
        <v>0.995906611688307</v>
      </c>
      <c r="C298" s="37" t="n">
        <f aca="false">1+IF($G$7=$E$7,$F$7,IF(Q298&lt;($F$7-$E$7)/($G$7-$E$7),$E$7+SQRT(Q298*($G$7-$E$7)*($F$7-$E$7)),$G$7-SQRT((1-Q298)*($G$7-$E$7)*($G$7-$F$7))))</f>
        <v>0.859952756512236</v>
      </c>
      <c r="D298" s="37" t="n">
        <f aca="false">1+IF($G$8=$E$8,$F$8,IF(R298&lt;($F$8-$E$8)/($G$8-$E$8),$E$8+SQRT(R298*($G$8-$E$8)*($F$8-$E$8)),$G$8-SQRT((1-R298)*($G$8-$E$8)*($G$8-$F$8))))</f>
        <v>1.02665333283955</v>
      </c>
      <c r="E298" s="37" t="n">
        <f aca="false">1+IF($G$9=$E$9,$F$9,IF(S298&lt;($F$9-$E$9)/($G$9-$E$9),$E$9+SQRT(S298*($G$9-$E$9)*($F$9-$E$9)),$G$9-SQRT((1-S298)*($G$9-$E$9)*($G$9-$F$9))))</f>
        <v>1.01732142597879</v>
      </c>
      <c r="F298" s="37" t="n">
        <f aca="false">1+IF($G$10=$E$10,$F$10,IF(T298&lt;($F$10-$E$10)/($G$10-$E$10),$E$10+SQRT(T298*($G$10-$E$10)*($F$10-$E$10)),$G$10-SQRT((1-T298)*($G$10-$E$10)*($G$10-$F$10))))</f>
        <v>1.04377815770042</v>
      </c>
      <c r="G298" s="38" t="n">
        <f aca="false">IF($G$11=$E$11,$F$11,IF(U298&lt;($F$11-$E$11)/($G$11-$E$11),$E$11+SQRT(U298*($G$11-$E$11)*($F$11-$E$11)),$G$11-SQRT((1-U298)*($G$11-$E$11)*($G$11-$F$11))))</f>
        <v>0.108892493818987</v>
      </c>
      <c r="H298" s="39" t="n">
        <f aca="false">(('Business Case'!B11*$C298*'Business Case'!B12*$B298)-'Business Case'!B11*$C298*'Business Case'!B13*$D298-'Business Case'!B14*$E298)-MAX(0,(('Business Case'!B11*$C298*'Business Case'!B12*$B298)-'Business Case'!B11*$C298*'Business Case'!B13*$D298-'Business Case'!B14*$E298))*'Business Case'!$B$7-'Business Case'!$B$8*('Business Case'!B11*$C298*'Business Case'!B12*$B298)-'Business Case'!B15*$F298</f>
        <v>-2087556315.40083</v>
      </c>
      <c r="I298" s="39" t="n">
        <f aca="false">(('Business Case'!C11*$C298*'Business Case'!C12*$B298)-'Business Case'!C11*$C298*'Business Case'!C13*$D298-'Business Case'!C14*$E298)-MAX(0,(('Business Case'!C11*$C298*'Business Case'!C12*$B298)-'Business Case'!C11*$C298*'Business Case'!C13*$D298-'Business Case'!C14*$E298))*'Business Case'!$B$7-'Business Case'!$B$8*(('Business Case'!C11*$C298*'Business Case'!C12*$B298)-('Business Case'!B11*$C298*'Business Case'!B12*$B298))-'Business Case'!C15*$F298</f>
        <v>-43918930.6714753</v>
      </c>
      <c r="J298" s="39" t="n">
        <f aca="false">(('Business Case'!D11*$C298*'Business Case'!D12*$B298)-'Business Case'!D11*$C298*'Business Case'!D13*$D298-'Business Case'!D14*$E298)-MAX(0,(('Business Case'!D11*$C298*'Business Case'!D12*$B298)-'Business Case'!D11*$C298*'Business Case'!D13*$D298-'Business Case'!D14*$E298))*'Business Case'!$B$7-'Business Case'!$B$8*(('Business Case'!D11*$C298*'Business Case'!D12*$B298)-('Business Case'!C11*$C298*'Business Case'!C12*$B298))-'Business Case'!D15*$F298</f>
        <v>205600529.048929</v>
      </c>
      <c r="K298" s="39" t="n">
        <f aca="false">(('Business Case'!E11*$C298*'Business Case'!E12*$B298)-'Business Case'!E11*$C298*'Business Case'!E13*$D298-'Business Case'!E14*$E298)-MAX(0,(('Business Case'!E11*$C298*'Business Case'!E12*$B298)-'Business Case'!E11*$C298*'Business Case'!E13*$D298-'Business Case'!E14*$E298))*'Business Case'!$B$7-'Business Case'!$B$8*(('Business Case'!E11*$C298*'Business Case'!E12*$B298)-('Business Case'!D11*$C298*'Business Case'!D12*$B298))-'Business Case'!E15*$F298</f>
        <v>507308896.654353</v>
      </c>
      <c r="L298" s="39" t="n">
        <f aca="false">(('Business Case'!F11*$C298*'Business Case'!F12*$B298)-'Business Case'!F11*$C298*'Business Case'!F13*$D298-'Business Case'!F14*$E298)-MAX(0,(('Business Case'!F11*$C298*'Business Case'!F12*$B298)-'Business Case'!F11*$C298*'Business Case'!F13*$D298-'Business Case'!F14*$E298))*'Business Case'!$B$7-'Business Case'!$B$8*(('Business Case'!F11*$C298*'Business Case'!F12*$B298)-('Business Case'!E11*$C298*'Business Case'!E12*$B298))-'Business Case'!F15*$F298</f>
        <v>620080361.792924</v>
      </c>
      <c r="M298" s="39" t="n">
        <f aca="false">(('Business Case'!G11*$C298*'Business Case'!G12*$B298)-'Business Case'!G11*$C298*'Business Case'!G13*$D298-'Business Case'!G14*$E298)-MAX(0,(('Business Case'!G11*$C298*'Business Case'!G12*$B298)-'Business Case'!G11*$C298*'Business Case'!G13*$D298-'Business Case'!G14*$E298))*'Business Case'!$B$7-'Business Case'!$B$8*(('Business Case'!G11*$C298*'Business Case'!G12*$B298)-('Business Case'!F11*$C298*'Business Case'!F12*$B298))-'Business Case'!G15*$F298+'Business Case'!$B$8*('Business Case'!G11*$C298*'Business Case'!G12*$B298)</f>
        <v>782871077.234323</v>
      </c>
      <c r="N298" s="39" t="n">
        <f aca="false">IF(COUNT('Business Case'!B11:G11)=0,"",H298+NPV(G298,I298:M298))</f>
        <v>-710885510.364008</v>
      </c>
      <c r="P298" s="40" t="n">
        <f aca="true">RAND()</f>
        <v>0.600188926874941</v>
      </c>
      <c r="Q298" s="40" t="n">
        <f aca="true">RAND()</f>
        <v>0.0513476144773627</v>
      </c>
      <c r="R298" s="40" t="n">
        <f aca="true">RAND()</f>
        <v>0.726358952199273</v>
      </c>
      <c r="S298" s="40" t="n">
        <f aca="true">RAND()</f>
        <v>0.544283559854577</v>
      </c>
      <c r="T298" s="40" t="n">
        <f aca="true">RAND()</f>
        <v>0.511894719770475</v>
      </c>
      <c r="U298" s="40" t="n">
        <f aca="true">RAND()</f>
        <v>0.794372177397931</v>
      </c>
    </row>
    <row r="299" customFormat="false" ht="15" hidden="false" customHeight="false" outlineLevel="0" collapsed="false">
      <c r="A299" s="36" t="n">
        <v>219</v>
      </c>
      <c r="B299" s="37" t="n">
        <f aca="false">1+IF($G$6=$E$6,$F$6,IF(P299&lt;($F$6-$E$6)/($G$6-$E$6),$E$6+SQRT(P299*($G$6-$E$6)*($F$6-$E$6)),$G$6-SQRT((1-P299)*($G$6-$E$6)*($G$6-$F$6))))</f>
        <v>0.982514045230603</v>
      </c>
      <c r="C299" s="37" t="n">
        <f aca="false">1+IF($G$7=$E$7,$F$7,IF(Q299&lt;($F$7-$E$7)/($G$7-$E$7),$E$7+SQRT(Q299*($G$7-$E$7)*($F$7-$E$7)),$G$7-SQRT((1-Q299)*($G$7-$E$7)*($G$7-$F$7))))</f>
        <v>1.07657334176883</v>
      </c>
      <c r="D299" s="37" t="n">
        <f aca="false">1+IF($G$8=$E$8,$F$8,IF(R299&lt;($F$8-$E$8)/($G$8-$E$8),$E$8+SQRT(R299*($G$8-$E$8)*($F$8-$E$8)),$G$8-SQRT((1-R299)*($G$8-$E$8)*($G$8-$F$8))))</f>
        <v>1.01717834903455</v>
      </c>
      <c r="E299" s="37" t="n">
        <f aca="false">1+IF($G$9=$E$9,$F$9,IF(S299&lt;($F$9-$E$9)/($G$9-$E$9),$E$9+SQRT(S299*($G$9-$E$9)*($F$9-$E$9)),$G$9-SQRT((1-S299)*($G$9-$E$9)*($G$9-$F$9))))</f>
        <v>1.00277665074251</v>
      </c>
      <c r="F299" s="37" t="n">
        <f aca="false">1+IF($G$10=$E$10,$F$10,IF(T299&lt;($F$10-$E$10)/($G$10-$E$10),$E$10+SQRT(T299*($G$10-$E$10)*($F$10-$E$10)),$G$10-SQRT((1-T299)*($G$10-$E$10)*($G$10-$F$10))))</f>
        <v>1.06794472517171</v>
      </c>
      <c r="G299" s="38" t="n">
        <f aca="false">IF($G$11=$E$11,$F$11,IF(U299&lt;($F$11-$E$11)/($G$11-$E$11),$E$11+SQRT(U299*($G$11-$E$11)*($F$11-$E$11)),$G$11-SQRT((1-U299)*($G$11-$E$11)*($G$11-$F$11))))</f>
        <v>0.112941439741729</v>
      </c>
      <c r="H299" s="39" t="n">
        <f aca="false">(('Business Case'!B11*$C299*'Business Case'!B12*$B299)-'Business Case'!B11*$C299*'Business Case'!B13*$D299-'Business Case'!B14*$E299)-MAX(0,(('Business Case'!B11*$C299*'Business Case'!B12*$B299)-'Business Case'!B11*$C299*'Business Case'!B13*$D299-'Business Case'!B14*$E299))*'Business Case'!$B$7-'Business Case'!$B$8*('Business Case'!B11*$C299*'Business Case'!B12*$B299)-'Business Case'!B15*$F299</f>
        <v>-2135889450.34342</v>
      </c>
      <c r="I299" s="39" t="n">
        <f aca="false">(('Business Case'!C11*$C299*'Business Case'!C12*$B299)-'Business Case'!C11*$C299*'Business Case'!C13*$D299-'Business Case'!C14*$E299)-MAX(0,(('Business Case'!C11*$C299*'Business Case'!C12*$B299)-'Business Case'!C11*$C299*'Business Case'!C13*$D299-'Business Case'!C14*$E299))*'Business Case'!$B$7-'Business Case'!$B$8*(('Business Case'!C11*$C299*'Business Case'!C12*$B299)-('Business Case'!B11*$C299*'Business Case'!B12*$B299))-'Business Case'!C15*$F299</f>
        <v>1562383.46975952</v>
      </c>
      <c r="J299" s="39" t="n">
        <f aca="false">(('Business Case'!D11*$C299*'Business Case'!D12*$B299)-'Business Case'!D11*$C299*'Business Case'!D13*$D299-'Business Case'!D14*$E299)-MAX(0,(('Business Case'!D11*$C299*'Business Case'!D12*$B299)-'Business Case'!D11*$C299*'Business Case'!D13*$D299-'Business Case'!D14*$E299))*'Business Case'!$B$7-'Business Case'!$B$8*(('Business Case'!D11*$C299*'Business Case'!D12*$B299)-('Business Case'!C11*$C299*'Business Case'!C12*$B299))-'Business Case'!D15*$F299</f>
        <v>307347757.752086</v>
      </c>
      <c r="K299" s="39" t="n">
        <f aca="false">(('Business Case'!E11*$C299*'Business Case'!E12*$B299)-'Business Case'!E11*$C299*'Business Case'!E13*$D299-'Business Case'!E14*$E299)-MAX(0,(('Business Case'!E11*$C299*'Business Case'!E12*$B299)-'Business Case'!E11*$C299*'Business Case'!E13*$D299-'Business Case'!E14*$E299))*'Business Case'!$B$7-'Business Case'!$B$8*(('Business Case'!E11*$C299*'Business Case'!E12*$B299)-('Business Case'!D11*$C299*'Business Case'!D12*$B299))-'Business Case'!E15*$F299</f>
        <v>666530368.292999</v>
      </c>
      <c r="L299" s="39" t="n">
        <f aca="false">(('Business Case'!F11*$C299*'Business Case'!F12*$B299)-'Business Case'!F11*$C299*'Business Case'!F13*$D299-'Business Case'!F14*$E299)-MAX(0,(('Business Case'!F11*$C299*'Business Case'!F12*$B299)-'Business Case'!F11*$C299*'Business Case'!F13*$D299-'Business Case'!F14*$E299))*'Business Case'!$B$7-'Business Case'!$B$8*(('Business Case'!F11*$C299*'Business Case'!F12*$B299)-('Business Case'!E11*$C299*'Business Case'!E12*$B299))-'Business Case'!F15*$F299</f>
        <v>805014612.093649</v>
      </c>
      <c r="M299" s="39" t="n">
        <f aca="false">(('Business Case'!G11*$C299*'Business Case'!G12*$B299)-'Business Case'!G11*$C299*'Business Case'!G13*$D299-'Business Case'!G14*$E299)-MAX(0,(('Business Case'!G11*$C299*'Business Case'!G12*$B299)-'Business Case'!G11*$C299*'Business Case'!G13*$D299-'Business Case'!G14*$E299))*'Business Case'!$B$7-'Business Case'!$B$8*(('Business Case'!G11*$C299*'Business Case'!G12*$B299)-('Business Case'!F11*$C299*'Business Case'!F12*$B299))-'Business Case'!G15*$F299+'Business Case'!$B$8*('Business Case'!G11*$C299*'Business Case'!G12*$B299)</f>
        <v>1006071433.47963</v>
      </c>
      <c r="N299" s="39" t="n">
        <f aca="false">IF(COUNT('Business Case'!B11:G11)=0,"",H299+NPV(G299,I299:M299))</f>
        <v>-288934559.160555</v>
      </c>
      <c r="P299" s="40" t="n">
        <f aca="true">RAND()</f>
        <v>0.40708394282228</v>
      </c>
      <c r="Q299" s="40" t="n">
        <f aca="true">RAND()</f>
        <v>0.897305254495285</v>
      </c>
      <c r="R299" s="40" t="n">
        <f aca="true">RAND()</f>
        <v>0.62052309326688</v>
      </c>
      <c r="S299" s="40" t="n">
        <f aca="true">RAND()</f>
        <v>0.369841357277012</v>
      </c>
      <c r="T299" s="40" t="n">
        <f aca="true">RAND()</f>
        <v>0.651228087800506</v>
      </c>
      <c r="U299" s="40" t="n">
        <f aca="true">RAND()</f>
        <v>0.916961211800594</v>
      </c>
    </row>
    <row r="300" customFormat="false" ht="15" hidden="false" customHeight="false" outlineLevel="0" collapsed="false">
      <c r="A300" s="36" t="n">
        <v>220</v>
      </c>
      <c r="B300" s="37" t="n">
        <f aca="false">1+IF($G$6=$E$6,$F$6,IF(P300&lt;($F$6-$E$6)/($G$6-$E$6),$E$6+SQRT(P300*($G$6-$E$6)*($F$6-$E$6)),$G$6-SQRT((1-P300)*($G$6-$E$6)*($G$6-$F$6))))</f>
        <v>1.00803029130331</v>
      </c>
      <c r="C300" s="37" t="n">
        <f aca="false">1+IF($G$7=$E$7,$F$7,IF(Q300&lt;($F$7-$E$7)/($G$7-$E$7),$E$7+SQRT(Q300*($G$7-$E$7)*($F$7-$E$7)),$G$7-SQRT((1-Q300)*($G$7-$E$7)*($G$7-$F$7))))</f>
        <v>0.982736486901814</v>
      </c>
      <c r="D300" s="37" t="n">
        <f aca="false">1+IF($G$8=$E$8,$F$8,IF(R300&lt;($F$8-$E$8)/($G$8-$E$8),$E$8+SQRT(R300*($G$8-$E$8)*($F$8-$E$8)),$G$8-SQRT((1-R300)*($G$8-$E$8)*($G$8-$F$8))))</f>
        <v>0.980956009534124</v>
      </c>
      <c r="E300" s="37" t="n">
        <f aca="false">1+IF($G$9=$E$9,$F$9,IF(S300&lt;($F$9-$E$9)/($G$9-$E$9),$E$9+SQRT(S300*($G$9-$E$9)*($F$9-$E$9)),$G$9-SQRT((1-S300)*($G$9-$E$9)*($G$9-$F$9))))</f>
        <v>1.04406229680841</v>
      </c>
      <c r="F300" s="37" t="n">
        <f aca="false">1+IF($G$10=$E$10,$F$10,IF(T300&lt;($F$10-$E$10)/($G$10-$E$10),$E$10+SQRT(T300*($G$10-$E$10)*($F$10-$E$10)),$G$10-SQRT((1-T300)*($G$10-$E$10)*($G$10-$F$10))))</f>
        <v>1.04189634110866</v>
      </c>
      <c r="G300" s="38" t="n">
        <f aca="false">IF($G$11=$E$11,$F$11,IF(U300&lt;($F$11-$E$11)/($G$11-$E$11),$E$11+SQRT(U300*($G$11-$E$11)*($F$11-$E$11)),$G$11-SQRT((1-U300)*($G$11-$E$11)*($G$11-$F$11))))</f>
        <v>0.0984205663020693</v>
      </c>
      <c r="H300" s="39" t="n">
        <f aca="false">(('Business Case'!B11*$C300*'Business Case'!B12*$B300)-'Business Case'!B11*$C300*'Business Case'!B13*$D300-'Business Case'!B14*$E300)-MAX(0,(('Business Case'!B11*$C300*'Business Case'!B12*$B300)-'Business Case'!B11*$C300*'Business Case'!B13*$D300-'Business Case'!B14*$E300))*'Business Case'!$B$7-'Business Case'!$B$8*('Business Case'!B11*$C300*'Business Case'!B12*$B300)-'Business Case'!B15*$F300</f>
        <v>-2083792682.21732</v>
      </c>
      <c r="I300" s="39" t="n">
        <f aca="false">(('Business Case'!C11*$C300*'Business Case'!C12*$B300)-'Business Case'!C11*$C300*'Business Case'!C13*$D300-'Business Case'!C14*$E300)-MAX(0,(('Business Case'!C11*$C300*'Business Case'!C12*$B300)-'Business Case'!C11*$C300*'Business Case'!C13*$D300-'Business Case'!C14*$E300))*'Business Case'!$B$7-'Business Case'!$B$8*(('Business Case'!C11*$C300*'Business Case'!C12*$B300)-('Business Case'!B11*$C300*'Business Case'!B12*$B300))-'Business Case'!C15*$F300</f>
        <v>13884557.1317013</v>
      </c>
      <c r="J300" s="39" t="n">
        <f aca="false">(('Business Case'!D11*$C300*'Business Case'!D12*$B300)-'Business Case'!D11*$C300*'Business Case'!D13*$D300-'Business Case'!D14*$E300)-MAX(0,(('Business Case'!D11*$C300*'Business Case'!D12*$B300)-'Business Case'!D11*$C300*'Business Case'!D13*$D300-'Business Case'!D14*$E300))*'Business Case'!$B$7-'Business Case'!$B$8*(('Business Case'!D11*$C300*'Business Case'!D12*$B300)-('Business Case'!C11*$C300*'Business Case'!C12*$B300))-'Business Case'!D15*$F300</f>
        <v>331778570.129511</v>
      </c>
      <c r="K300" s="39" t="n">
        <f aca="false">(('Business Case'!E11*$C300*'Business Case'!E12*$B300)-'Business Case'!E11*$C300*'Business Case'!E13*$D300-'Business Case'!E14*$E300)-MAX(0,(('Business Case'!E11*$C300*'Business Case'!E12*$B300)-'Business Case'!E11*$C300*'Business Case'!E13*$D300-'Business Case'!E14*$E300))*'Business Case'!$B$7-'Business Case'!$B$8*(('Business Case'!E11*$C300*'Business Case'!E12*$B300)-('Business Case'!D11*$C300*'Business Case'!D12*$B300))-'Business Case'!E15*$F300</f>
        <v>701767400.182753</v>
      </c>
      <c r="L300" s="39" t="n">
        <f aca="false">(('Business Case'!F11*$C300*'Business Case'!F12*$B300)-'Business Case'!F11*$C300*'Business Case'!F13*$D300-'Business Case'!F14*$E300)-MAX(0,(('Business Case'!F11*$C300*'Business Case'!F12*$B300)-'Business Case'!F11*$C300*'Business Case'!F13*$D300-'Business Case'!F14*$E300))*'Business Case'!$B$7-'Business Case'!$B$8*(('Business Case'!F11*$C300*'Business Case'!F12*$B300)-('Business Case'!E11*$C300*'Business Case'!E12*$B300))-'Business Case'!F15*$F300</f>
        <v>841968179.948081</v>
      </c>
      <c r="M300" s="39" t="n">
        <f aca="false">(('Business Case'!G11*$C300*'Business Case'!G12*$B300)-'Business Case'!G11*$C300*'Business Case'!G13*$D300-'Business Case'!G14*$E300)-MAX(0,(('Business Case'!G11*$C300*'Business Case'!G12*$B300)-'Business Case'!G11*$C300*'Business Case'!G13*$D300-'Business Case'!G14*$E300))*'Business Case'!$B$7-'Business Case'!$B$8*(('Business Case'!G11*$C300*'Business Case'!G12*$B300)-('Business Case'!F11*$C300*'Business Case'!F12*$B300))-'Business Case'!G15*$F300+'Business Case'!$B$8*('Business Case'!G11*$C300*'Business Case'!G12*$B300)</f>
        <v>1030266778.1614</v>
      </c>
      <c r="N300" s="39" t="n">
        <f aca="false">IF(COUNT('Business Case'!B11:G11)=0,"",H300+NPV(G300,I300:M300))</f>
        <v>-43922512.8135421</v>
      </c>
      <c r="P300" s="40" t="n">
        <f aca="true">RAND()</f>
        <v>0.787070359551817</v>
      </c>
      <c r="Q300" s="40" t="n">
        <f aca="true">RAND()</f>
        <v>0.477037480645955</v>
      </c>
      <c r="R300" s="40" t="n">
        <f aca="true">RAND()</f>
        <v>0.147426850196426</v>
      </c>
      <c r="S300" s="40" t="n">
        <f aca="true">RAND()</f>
        <v>0.79139822410996</v>
      </c>
      <c r="T300" s="40" t="n">
        <f aca="true">RAND()</f>
        <v>0.500064660903401</v>
      </c>
      <c r="U300" s="40" t="n">
        <f aca="true">RAND()</f>
        <v>0.236353122825149</v>
      </c>
    </row>
    <row r="301" customFormat="false" ht="15" hidden="false" customHeight="false" outlineLevel="0" collapsed="false">
      <c r="A301" s="36" t="n">
        <v>221</v>
      </c>
      <c r="B301" s="37" t="n">
        <f aca="false">1+IF($G$6=$E$6,$F$6,IF(P301&lt;($F$6-$E$6)/($G$6-$E$6),$E$6+SQRT(P301*($G$6-$E$6)*($F$6-$E$6)),$G$6-SQRT((1-P301)*($G$6-$E$6)*($G$6-$F$6))))</f>
        <v>1.01884945807367</v>
      </c>
      <c r="C301" s="37" t="n">
        <f aca="false">1+IF($G$7=$E$7,$F$7,IF(Q301&lt;($F$7-$E$7)/($G$7-$E$7),$E$7+SQRT(Q301*($G$7-$E$7)*($F$7-$E$7)),$G$7-SQRT((1-Q301)*($G$7-$E$7)*($G$7-$F$7))))</f>
        <v>0.987535295556455</v>
      </c>
      <c r="D301" s="37" t="n">
        <f aca="false">1+IF($G$8=$E$8,$F$8,IF(R301&lt;($F$8-$E$8)/($G$8-$E$8),$E$8+SQRT(R301*($G$8-$E$8)*($F$8-$E$8)),$G$8-SQRT((1-R301)*($G$8-$E$8)*($G$8-$F$8))))</f>
        <v>0.981443063796006</v>
      </c>
      <c r="E301" s="37" t="n">
        <f aca="false">1+IF($G$9=$E$9,$F$9,IF(S301&lt;($F$9-$E$9)/($G$9-$E$9),$E$9+SQRT(S301*($G$9-$E$9)*($F$9-$E$9)),$G$9-SQRT((1-S301)*($G$9-$E$9)*($G$9-$F$9))))</f>
        <v>1.02885642236111</v>
      </c>
      <c r="F301" s="37" t="n">
        <f aca="false">1+IF($G$10=$E$10,$F$10,IF(T301&lt;($F$10-$E$10)/($G$10-$E$10),$E$10+SQRT(T301*($G$10-$E$10)*($F$10-$E$10)),$G$10-SQRT((1-T301)*($G$10-$E$10)*($G$10-$F$10))))</f>
        <v>1.05485820114542</v>
      </c>
      <c r="G301" s="38" t="n">
        <f aca="false">IF($G$11=$E$11,$F$11,IF(U301&lt;($F$11-$E$11)/($G$11-$E$11),$E$11+SQRT(U301*($G$11-$E$11)*($F$11-$E$11)),$G$11-SQRT((1-U301)*($G$11-$E$11)*($G$11-$F$11))))</f>
        <v>0.0973226637664596</v>
      </c>
      <c r="H301" s="39" t="n">
        <f aca="false">(('Business Case'!B11*$C301*'Business Case'!B12*$B301)-'Business Case'!B11*$C301*'Business Case'!B13*$D301-'Business Case'!B14*$E301)-MAX(0,(('Business Case'!B11*$C301*'Business Case'!B12*$B301)-'Business Case'!B11*$C301*'Business Case'!B13*$D301-'Business Case'!B14*$E301))*'Business Case'!$B$7-'Business Case'!$B$8*('Business Case'!B11*$C301*'Business Case'!B12*$B301)-'Business Case'!B15*$F301</f>
        <v>-2109716402.29083</v>
      </c>
      <c r="I301" s="39" t="n">
        <f aca="false">(('Business Case'!C11*$C301*'Business Case'!C12*$B301)-'Business Case'!C11*$C301*'Business Case'!C13*$D301-'Business Case'!C14*$E301)-MAX(0,(('Business Case'!C11*$C301*'Business Case'!C12*$B301)-'Business Case'!C11*$C301*'Business Case'!C13*$D301-'Business Case'!C14*$E301))*'Business Case'!$B$7-'Business Case'!$B$8*(('Business Case'!C11*$C301*'Business Case'!C12*$B301)-('Business Case'!B11*$C301*'Business Case'!B12*$B301))-'Business Case'!C15*$F301</f>
        <v>24003308.262757</v>
      </c>
      <c r="J301" s="39" t="n">
        <f aca="false">(('Business Case'!D11*$C301*'Business Case'!D12*$B301)-'Business Case'!D11*$C301*'Business Case'!D13*$D301-'Business Case'!D14*$E301)-MAX(0,(('Business Case'!D11*$C301*'Business Case'!D12*$B301)-'Business Case'!D11*$C301*'Business Case'!D13*$D301-'Business Case'!D14*$E301))*'Business Case'!$B$7-'Business Case'!$B$8*(('Business Case'!D11*$C301*'Business Case'!D12*$B301)-('Business Case'!C11*$C301*'Business Case'!C12*$B301))-'Business Case'!D15*$F301</f>
        <v>351954625.56842</v>
      </c>
      <c r="K301" s="39" t="n">
        <f aca="false">(('Business Case'!E11*$C301*'Business Case'!E12*$B301)-'Business Case'!E11*$C301*'Business Case'!E13*$D301-'Business Case'!E14*$E301)-MAX(0,(('Business Case'!E11*$C301*'Business Case'!E12*$B301)-'Business Case'!E11*$C301*'Business Case'!E13*$D301-'Business Case'!E14*$E301))*'Business Case'!$B$7-'Business Case'!$B$8*(('Business Case'!E11*$C301*'Business Case'!E12*$B301)-('Business Case'!D11*$C301*'Business Case'!D12*$B301))-'Business Case'!E15*$F301</f>
        <v>732648852.931354</v>
      </c>
      <c r="L301" s="39" t="n">
        <f aca="false">(('Business Case'!F11*$C301*'Business Case'!F12*$B301)-'Business Case'!F11*$C301*'Business Case'!F13*$D301-'Business Case'!F14*$E301)-MAX(0,(('Business Case'!F11*$C301*'Business Case'!F12*$B301)-'Business Case'!F11*$C301*'Business Case'!F13*$D301-'Business Case'!F14*$E301))*'Business Case'!$B$7-'Business Case'!$B$8*(('Business Case'!F11*$C301*'Business Case'!F12*$B301)-('Business Case'!E11*$C301*'Business Case'!E12*$B301))-'Business Case'!F15*$F301</f>
        <v>876738495.812319</v>
      </c>
      <c r="M301" s="39" t="n">
        <f aca="false">(('Business Case'!G11*$C301*'Business Case'!G12*$B301)-'Business Case'!G11*$C301*'Business Case'!G13*$D301-'Business Case'!G14*$E301)-MAX(0,(('Business Case'!G11*$C301*'Business Case'!G12*$B301)-'Business Case'!G11*$C301*'Business Case'!G13*$D301-'Business Case'!G14*$E301))*'Business Case'!$B$7-'Business Case'!$B$8*(('Business Case'!G11*$C301*'Business Case'!G12*$B301)-('Business Case'!F11*$C301*'Business Case'!F12*$B301))-'Business Case'!G15*$F301+'Business Case'!$B$8*('Business Case'!G11*$C301*'Business Case'!G12*$B301)</f>
        <v>1067987449.93057</v>
      </c>
      <c r="N301" s="39" t="n">
        <f aca="false">IF(COUNT('Business Case'!B11:G11)=0,"",H301+NPV(G301,I301:M301))</f>
        <v>34895066.7460914</v>
      </c>
      <c r="P301" s="40" t="n">
        <f aca="true">RAND()</f>
        <v>0.90680303671299</v>
      </c>
      <c r="Q301" s="40" t="n">
        <f aca="true">RAND()</f>
        <v>0.5024212439921</v>
      </c>
      <c r="R301" s="40" t="n">
        <f aca="true">RAND()</f>
        <v>0.152102501673805</v>
      </c>
      <c r="S301" s="40" t="n">
        <f aca="true">RAND()</f>
        <v>0.662572757382591</v>
      </c>
      <c r="T301" s="40" t="n">
        <f aca="true">RAND()</f>
        <v>0.578677164505113</v>
      </c>
      <c r="U301" s="40" t="n">
        <f aca="true">RAND()</f>
        <v>0.178738015455401</v>
      </c>
    </row>
    <row r="302" customFormat="false" ht="15" hidden="false" customHeight="false" outlineLevel="0" collapsed="false">
      <c r="A302" s="36" t="n">
        <v>222</v>
      </c>
      <c r="B302" s="37" t="n">
        <f aca="false">1+IF($G$6=$E$6,$F$6,IF(P302&lt;($F$6-$E$6)/($G$6-$E$6),$E$6+SQRT(P302*($G$6-$E$6)*($F$6-$E$6)),$G$6-SQRT((1-P302)*($G$6-$E$6)*($G$6-$F$6))))</f>
        <v>0.929612575995766</v>
      </c>
      <c r="C302" s="37" t="n">
        <f aca="false">1+IF($G$7=$E$7,$F$7,IF(Q302&lt;($F$7-$E$7)/($G$7-$E$7),$E$7+SQRT(Q302*($G$7-$E$7)*($F$7-$E$7)),$G$7-SQRT((1-Q302)*($G$7-$E$7)*($G$7-$F$7))))</f>
        <v>0.999360536347412</v>
      </c>
      <c r="D302" s="37" t="n">
        <f aca="false">1+IF($G$8=$E$8,$F$8,IF(R302&lt;($F$8-$E$8)/($G$8-$E$8),$E$8+SQRT(R302*($G$8-$E$8)*($F$8-$E$8)),$G$8-SQRT((1-R302)*($G$8-$E$8)*($G$8-$F$8))))</f>
        <v>1.04042658329672</v>
      </c>
      <c r="E302" s="37" t="n">
        <f aca="false">1+IF($G$9=$E$9,$F$9,IF(S302&lt;($F$9-$E$9)/($G$9-$E$9),$E$9+SQRT(S302*($G$9-$E$9)*($F$9-$E$9)),$G$9-SQRT((1-S302)*($G$9-$E$9)*($G$9-$F$9))))</f>
        <v>0.991878878252797</v>
      </c>
      <c r="F302" s="37" t="n">
        <f aca="false">1+IF($G$10=$E$10,$F$10,IF(T302&lt;($F$10-$E$10)/($G$10-$E$10),$E$10+SQRT(T302*($G$10-$E$10)*($F$10-$E$10)),$G$10-SQRT((1-T302)*($G$10-$E$10)*($G$10-$F$10))))</f>
        <v>1.05350349424297</v>
      </c>
      <c r="G302" s="38" t="n">
        <f aca="false">IF($G$11=$E$11,$F$11,IF(U302&lt;($F$11-$E$11)/($G$11-$E$11),$E$11+SQRT(U302*($G$11-$E$11)*($F$11-$E$11)),$G$11-SQRT((1-U302)*($G$11-$E$11)*($G$11-$F$11))))</f>
        <v>0.106931558766774</v>
      </c>
      <c r="H302" s="39" t="n">
        <f aca="false">(('Business Case'!B11*$C302*'Business Case'!B12*$B302)-'Business Case'!B11*$C302*'Business Case'!B13*$D302-'Business Case'!B14*$E302)-MAX(0,(('Business Case'!B11*$C302*'Business Case'!B12*$B302)-'Business Case'!B11*$C302*'Business Case'!B13*$D302-'Business Case'!B14*$E302))*'Business Case'!$B$7-'Business Case'!$B$8*('Business Case'!B11*$C302*'Business Case'!B12*$B302)-'Business Case'!B15*$F302</f>
        <v>-2107006988.48595</v>
      </c>
      <c r="I302" s="39" t="n">
        <f aca="false">(('Business Case'!C11*$C302*'Business Case'!C12*$B302)-'Business Case'!C11*$C302*'Business Case'!C13*$D302-'Business Case'!C14*$E302)-MAX(0,(('Business Case'!C11*$C302*'Business Case'!C12*$B302)-'Business Case'!C11*$C302*'Business Case'!C13*$D302-'Business Case'!C14*$E302))*'Business Case'!$B$7-'Business Case'!$B$8*(('Business Case'!C11*$C302*'Business Case'!C12*$B302)-('Business Case'!B11*$C302*'Business Case'!B12*$B302))-'Business Case'!C15*$F302</f>
        <v>-65897682.1924271</v>
      </c>
      <c r="J302" s="39" t="n">
        <f aca="false">(('Business Case'!D11*$C302*'Business Case'!D12*$B302)-'Business Case'!D11*$C302*'Business Case'!D13*$D302-'Business Case'!D14*$E302)-MAX(0,(('Business Case'!D11*$C302*'Business Case'!D12*$B302)-'Business Case'!D11*$C302*'Business Case'!D13*$D302-'Business Case'!D14*$E302))*'Business Case'!$B$7-'Business Case'!$B$8*(('Business Case'!D11*$C302*'Business Case'!D12*$B302)-('Business Case'!C11*$C302*'Business Case'!C12*$B302))-'Business Case'!D15*$F302</f>
        <v>162760460.99959</v>
      </c>
      <c r="K302" s="39" t="n">
        <f aca="false">(('Business Case'!E11*$C302*'Business Case'!E12*$B302)-'Business Case'!E11*$C302*'Business Case'!E13*$D302-'Business Case'!E14*$E302)-MAX(0,(('Business Case'!E11*$C302*'Business Case'!E12*$B302)-'Business Case'!E11*$C302*'Business Case'!E13*$D302-'Business Case'!E14*$E302))*'Business Case'!$B$7-'Business Case'!$B$8*(('Business Case'!E11*$C302*'Business Case'!E12*$B302)-('Business Case'!D11*$C302*'Business Case'!D12*$B302))-'Business Case'!E15*$F302</f>
        <v>444093778.903756</v>
      </c>
      <c r="L302" s="39" t="n">
        <f aca="false">(('Business Case'!F11*$C302*'Business Case'!F12*$B302)-'Business Case'!F11*$C302*'Business Case'!F13*$D302-'Business Case'!F14*$E302)-MAX(0,(('Business Case'!F11*$C302*'Business Case'!F12*$B302)-'Business Case'!F11*$C302*'Business Case'!F13*$D302-'Business Case'!F14*$E302))*'Business Case'!$B$7-'Business Case'!$B$8*(('Business Case'!F11*$C302*'Business Case'!F12*$B302)-('Business Case'!E11*$C302*'Business Case'!E12*$B302))-'Business Case'!F15*$F302</f>
        <v>552420026.282829</v>
      </c>
      <c r="M302" s="39" t="n">
        <f aca="false">(('Business Case'!G11*$C302*'Business Case'!G12*$B302)-'Business Case'!G11*$C302*'Business Case'!G13*$D302-'Business Case'!G14*$E302)-MAX(0,(('Business Case'!G11*$C302*'Business Case'!G12*$B302)-'Business Case'!G11*$C302*'Business Case'!G13*$D302-'Business Case'!G14*$E302))*'Business Case'!$B$7-'Business Case'!$B$8*(('Business Case'!G11*$C302*'Business Case'!G12*$B302)-('Business Case'!F11*$C302*'Business Case'!F12*$B302))-'Business Case'!G15*$F302+'Business Case'!$B$8*('Business Case'!G11*$C302*'Business Case'!G12*$B302)</f>
        <v>729007791.015693</v>
      </c>
      <c r="N302" s="39" t="n">
        <f aca="false">IF(COUNT('Business Case'!B11:G11)=0,"",H302+NPV(G302,I302:M302))</f>
        <v>-899671802.949051</v>
      </c>
      <c r="P302" s="40" t="n">
        <f aca="true">RAND()</f>
        <v>0.00962516846608068</v>
      </c>
      <c r="Q302" s="40" t="n">
        <f aca="true">RAND()</f>
        <v>0.567780335038967</v>
      </c>
      <c r="R302" s="40" t="n">
        <f aca="true">RAND()</f>
        <v>0.849417758695042</v>
      </c>
      <c r="S302" s="40" t="n">
        <f aca="true">RAND()</f>
        <v>0.233845392495012</v>
      </c>
      <c r="T302" s="40" t="n">
        <f aca="true">RAND()</f>
        <v>0.57077547601963</v>
      </c>
      <c r="U302" s="40" t="n">
        <f aca="true">RAND()</f>
        <v>0.715359739556213</v>
      </c>
    </row>
    <row r="303" customFormat="false" ht="15" hidden="false" customHeight="false" outlineLevel="0" collapsed="false">
      <c r="A303" s="36" t="n">
        <v>223</v>
      </c>
      <c r="B303" s="37" t="n">
        <f aca="false">1+IF($G$6=$E$6,$F$6,IF(P303&lt;($F$6-$E$6)/($G$6-$E$6),$E$6+SQRT(P303*($G$6-$E$6)*($F$6-$E$6)),$G$6-SQRT((1-P303)*($G$6-$E$6)*($G$6-$F$6))))</f>
        <v>1.02039907044348</v>
      </c>
      <c r="C303" s="37" t="n">
        <f aca="false">1+IF($G$7=$E$7,$F$7,IF(Q303&lt;($F$7-$E$7)/($G$7-$E$7),$E$7+SQRT(Q303*($G$7-$E$7)*($F$7-$E$7)),$G$7-SQRT((1-Q303)*($G$7-$E$7)*($G$7-$F$7))))</f>
        <v>1.04133784817539</v>
      </c>
      <c r="D303" s="37" t="n">
        <f aca="false">1+IF($G$8=$E$8,$F$8,IF(R303&lt;($F$8-$E$8)/($G$8-$E$8),$E$8+SQRT(R303*($G$8-$E$8)*($F$8-$E$8)),$G$8-SQRT((1-R303)*($G$8-$E$8)*($G$8-$F$8))))</f>
        <v>1.03488231682701</v>
      </c>
      <c r="E303" s="37" t="n">
        <f aca="false">1+IF($G$9=$E$9,$F$9,IF(S303&lt;($F$9-$E$9)/($G$9-$E$9),$E$9+SQRT(S303*($G$9-$E$9)*($F$9-$E$9)),$G$9-SQRT((1-S303)*($G$9-$E$9)*($G$9-$F$9))))</f>
        <v>1.03572867170226</v>
      </c>
      <c r="F303" s="37" t="n">
        <f aca="false">1+IF($G$10=$E$10,$F$10,IF(T303&lt;($F$10-$E$10)/($G$10-$E$10),$E$10+SQRT(T303*($G$10-$E$10)*($F$10-$E$10)),$G$10-SQRT((1-T303)*($G$10-$E$10)*($G$10-$F$10))))</f>
        <v>0.960428857290981</v>
      </c>
      <c r="G303" s="38" t="n">
        <f aca="false">IF($G$11=$E$11,$F$11,IF(U303&lt;($F$11-$E$11)/($G$11-$E$11),$E$11+SQRT(U303*($G$11-$E$11)*($F$11-$E$11)),$G$11-SQRT((1-U303)*($G$11-$E$11)*($G$11-$F$11))))</f>
        <v>0.100700619866007</v>
      </c>
      <c r="H303" s="39" t="n">
        <f aca="false">(('Business Case'!B11*$C303*'Business Case'!B12*$B303)-'Business Case'!B11*$C303*'Business Case'!B13*$D303-'Business Case'!B14*$E303)-MAX(0,(('Business Case'!B11*$C303*'Business Case'!B12*$B303)-'Business Case'!B11*$C303*'Business Case'!B13*$D303-'Business Case'!B14*$E303))*'Business Case'!$B$7-'Business Case'!$B$8*('Business Case'!B11*$C303*'Business Case'!B12*$B303)-'Business Case'!B15*$F303</f>
        <v>-1920857714.58196</v>
      </c>
      <c r="I303" s="39" t="n">
        <f aca="false">(('Business Case'!C11*$C303*'Business Case'!C12*$B303)-'Business Case'!C11*$C303*'Business Case'!C13*$D303-'Business Case'!C14*$E303)-MAX(0,(('Business Case'!C11*$C303*'Business Case'!C12*$B303)-'Business Case'!C11*$C303*'Business Case'!C13*$D303-'Business Case'!C14*$E303))*'Business Case'!$B$7-'Business Case'!$B$8*(('Business Case'!C11*$C303*'Business Case'!C12*$B303)-('Business Case'!B11*$C303*'Business Case'!B12*$B303))-'Business Case'!C15*$F303</f>
        <v>20245212.9169389</v>
      </c>
      <c r="J303" s="39" t="n">
        <f aca="false">(('Business Case'!D11*$C303*'Business Case'!D12*$B303)-'Business Case'!D11*$C303*'Business Case'!D13*$D303-'Business Case'!D14*$E303)-MAX(0,(('Business Case'!D11*$C303*'Business Case'!D12*$B303)-'Business Case'!D11*$C303*'Business Case'!D13*$D303-'Business Case'!D14*$E303))*'Business Case'!$B$7-'Business Case'!$B$8*(('Business Case'!D11*$C303*'Business Case'!D12*$B303)-('Business Case'!C11*$C303*'Business Case'!C12*$B303))-'Business Case'!D15*$F303</f>
        <v>338898084.810851</v>
      </c>
      <c r="K303" s="39" t="n">
        <f aca="false">(('Business Case'!E11*$C303*'Business Case'!E12*$B303)-'Business Case'!E11*$C303*'Business Case'!E13*$D303-'Business Case'!E14*$E303)-MAX(0,(('Business Case'!E11*$C303*'Business Case'!E12*$B303)-'Business Case'!E11*$C303*'Business Case'!E13*$D303-'Business Case'!E14*$E303))*'Business Case'!$B$7-'Business Case'!$B$8*(('Business Case'!E11*$C303*'Business Case'!E12*$B303)-('Business Case'!D11*$C303*'Business Case'!D12*$B303))-'Business Case'!E15*$F303</f>
        <v>705572399.569312</v>
      </c>
      <c r="L303" s="39" t="n">
        <f aca="false">(('Business Case'!F11*$C303*'Business Case'!F12*$B303)-'Business Case'!F11*$C303*'Business Case'!F13*$D303-'Business Case'!F14*$E303)-MAX(0,(('Business Case'!F11*$C303*'Business Case'!F12*$B303)-'Business Case'!F11*$C303*'Business Case'!F13*$D303-'Business Case'!F14*$E303))*'Business Case'!$B$7-'Business Case'!$B$8*(('Business Case'!F11*$C303*'Business Case'!F12*$B303)-('Business Case'!E11*$C303*'Business Case'!E12*$B303))-'Business Case'!F15*$F303</f>
        <v>848512794.288492</v>
      </c>
      <c r="M303" s="39" t="n">
        <f aca="false">(('Business Case'!G11*$C303*'Business Case'!G12*$B303)-'Business Case'!G11*$C303*'Business Case'!G13*$D303-'Business Case'!G14*$E303)-MAX(0,(('Business Case'!G11*$C303*'Business Case'!G12*$B303)-'Business Case'!G11*$C303*'Business Case'!G13*$D303-'Business Case'!G14*$E303))*'Business Case'!$B$7-'Business Case'!$B$8*(('Business Case'!G11*$C303*'Business Case'!G12*$B303)-('Business Case'!F11*$C303*'Business Case'!F12*$B303))-'Business Case'!G15*$F303+'Business Case'!$B$8*('Business Case'!G11*$C303*'Business Case'!G12*$B303)</f>
        <v>1050488033.43847</v>
      </c>
      <c r="N303" s="39" t="n">
        <f aca="false">IF(COUNT('Business Case'!B11:G11)=0,"",H303+NPV(G303,I303:M303))</f>
        <v>134623915.934743</v>
      </c>
      <c r="P303" s="40" t="n">
        <f aca="true">RAND()</f>
        <v>0.919959075108424</v>
      </c>
      <c r="Q303" s="40" t="n">
        <f aca="true">RAND()</f>
        <v>0.775095938301823</v>
      </c>
      <c r="R303" s="40" t="n">
        <f aca="true">RAND()</f>
        <v>0.804268717798261</v>
      </c>
      <c r="S303" s="40" t="n">
        <f aca="true">RAND()</f>
        <v>0.724613090589619</v>
      </c>
      <c r="T303" s="40" t="n">
        <f aca="true">RAND()</f>
        <v>0.00870088515165217</v>
      </c>
      <c r="U303" s="40" t="n">
        <f aca="true">RAND()</f>
        <v>0.379223210739394</v>
      </c>
    </row>
    <row r="304" customFormat="false" ht="15" hidden="false" customHeight="false" outlineLevel="0" collapsed="false">
      <c r="A304" s="36" t="n">
        <v>224</v>
      </c>
      <c r="B304" s="37" t="n">
        <f aca="false">1+IF($G$6=$E$6,$F$6,IF(P304&lt;($F$6-$E$6)/($G$6-$E$6),$E$6+SQRT(P304*($G$6-$E$6)*($F$6-$E$6)),$G$6-SQRT((1-P304)*($G$6-$E$6)*($G$6-$F$6))))</f>
        <v>0.961959748825335</v>
      </c>
      <c r="C304" s="37" t="n">
        <f aca="false">1+IF($G$7=$E$7,$F$7,IF(Q304&lt;($F$7-$E$7)/($G$7-$E$7),$E$7+SQRT(Q304*($G$7-$E$7)*($F$7-$E$7)),$G$7-SQRT((1-Q304)*($G$7-$E$7)*($G$7-$F$7))))</f>
        <v>1.01280872292503</v>
      </c>
      <c r="D304" s="37" t="n">
        <f aca="false">1+IF($G$8=$E$8,$F$8,IF(R304&lt;($F$8-$E$8)/($G$8-$E$8),$E$8+SQRT(R304*($G$8-$E$8)*($F$8-$E$8)),$G$8-SQRT((1-R304)*($G$8-$E$8)*($G$8-$F$8))))</f>
        <v>0.982110709764102</v>
      </c>
      <c r="E304" s="37" t="n">
        <f aca="false">1+IF($G$9=$E$9,$F$9,IF(S304&lt;($F$9-$E$9)/($G$9-$E$9),$E$9+SQRT(S304*($G$9-$E$9)*($F$9-$E$9)),$G$9-SQRT((1-S304)*($G$9-$E$9)*($G$9-$F$9))))</f>
        <v>0.99422995712981</v>
      </c>
      <c r="F304" s="37" t="n">
        <f aca="false">1+IF($G$10=$E$10,$F$10,IF(T304&lt;($F$10-$E$10)/($G$10-$E$10),$E$10+SQRT(T304*($G$10-$E$10)*($F$10-$E$10)),$G$10-SQRT((1-T304)*($G$10-$E$10)*($G$10-$F$10))))</f>
        <v>1.0291606903897</v>
      </c>
      <c r="G304" s="38" t="n">
        <f aca="false">IF($G$11=$E$11,$F$11,IF(U304&lt;($F$11-$E$11)/($G$11-$E$11),$E$11+SQRT(U304*($G$11-$E$11)*($F$11-$E$11)),$G$11-SQRT((1-U304)*($G$11-$E$11)*($G$11-$F$11))))</f>
        <v>0.104002253821964</v>
      </c>
      <c r="H304" s="39" t="n">
        <f aca="false">(('Business Case'!B11*$C304*'Business Case'!B12*$B304)-'Business Case'!B11*$C304*'Business Case'!B13*$D304-'Business Case'!B14*$E304)-MAX(0,(('Business Case'!B11*$C304*'Business Case'!B12*$B304)-'Business Case'!B11*$C304*'Business Case'!B13*$D304-'Business Case'!B14*$E304))*'Business Case'!$B$7-'Business Case'!$B$8*('Business Case'!B11*$C304*'Business Case'!B12*$B304)-'Business Case'!B15*$F304</f>
        <v>-2058321380.77941</v>
      </c>
      <c r="I304" s="39" t="n">
        <f aca="false">(('Business Case'!C11*$C304*'Business Case'!C12*$B304)-'Business Case'!C11*$C304*'Business Case'!C13*$D304-'Business Case'!C14*$E304)-MAX(0,(('Business Case'!C11*$C304*'Business Case'!C12*$B304)-'Business Case'!C11*$C304*'Business Case'!C13*$D304-'Business Case'!C14*$E304))*'Business Case'!$B$7-'Business Case'!$B$8*(('Business Case'!C11*$C304*'Business Case'!C12*$B304)-('Business Case'!B11*$C304*'Business Case'!B12*$B304))-'Business Case'!C15*$F304</f>
        <v>-5997691.50858675</v>
      </c>
      <c r="J304" s="39" t="n">
        <f aca="false">(('Business Case'!D11*$C304*'Business Case'!D12*$B304)-'Business Case'!D11*$C304*'Business Case'!D13*$D304-'Business Case'!D14*$E304)-MAX(0,(('Business Case'!D11*$C304*'Business Case'!D12*$B304)-'Business Case'!D11*$C304*'Business Case'!D13*$D304-'Business Case'!D14*$E304))*'Business Case'!$B$7-'Business Case'!$B$8*(('Business Case'!D11*$C304*'Business Case'!D12*$B304)-('Business Case'!C11*$C304*'Business Case'!C12*$B304))-'Business Case'!D15*$F304</f>
        <v>282806924.614781</v>
      </c>
      <c r="K304" s="39" t="n">
        <f aca="false">(('Business Case'!E11*$C304*'Business Case'!E12*$B304)-'Business Case'!E11*$C304*'Business Case'!E13*$D304-'Business Case'!E14*$E304)-MAX(0,(('Business Case'!E11*$C304*'Business Case'!E12*$B304)-'Business Case'!E11*$C304*'Business Case'!E13*$D304-'Business Case'!E14*$E304))*'Business Case'!$B$7-'Business Case'!$B$8*(('Business Case'!E11*$C304*'Business Case'!E12*$B304)-('Business Case'!D11*$C304*'Business Case'!D12*$B304))-'Business Case'!E15*$F304</f>
        <v>623069575.257635</v>
      </c>
      <c r="L304" s="39" t="n">
        <f aca="false">(('Business Case'!F11*$C304*'Business Case'!F12*$B304)-'Business Case'!F11*$C304*'Business Case'!F13*$D304-'Business Case'!F14*$E304)-MAX(0,(('Business Case'!F11*$C304*'Business Case'!F12*$B304)-'Business Case'!F11*$C304*'Business Case'!F13*$D304-'Business Case'!F14*$E304))*'Business Case'!$B$7-'Business Case'!$B$8*(('Business Case'!F11*$C304*'Business Case'!F12*$B304)-('Business Case'!E11*$C304*'Business Case'!E12*$B304))-'Business Case'!F15*$F304</f>
        <v>753008939.758175</v>
      </c>
      <c r="M304" s="39" t="n">
        <f aca="false">(('Business Case'!G11*$C304*'Business Case'!G12*$B304)-'Business Case'!G11*$C304*'Business Case'!G13*$D304-'Business Case'!G14*$E304)-MAX(0,(('Business Case'!G11*$C304*'Business Case'!G12*$B304)-'Business Case'!G11*$C304*'Business Case'!G13*$D304-'Business Case'!G14*$E304))*'Business Case'!$B$7-'Business Case'!$B$8*(('Business Case'!G11*$C304*'Business Case'!G12*$B304)-('Business Case'!F11*$C304*'Business Case'!F12*$B304))-'Business Case'!G15*$F304+'Business Case'!$B$8*('Business Case'!G11*$C304*'Business Case'!G12*$B304)</f>
        <v>938200314.951635</v>
      </c>
      <c r="N304" s="39" t="n">
        <f aca="false">IF(COUNT('Business Case'!B11:G11)=0,"",H304+NPV(G304,I304:M304))</f>
        <v>-289708982.070493</v>
      </c>
      <c r="P304" s="40" t="n">
        <f aca="true">RAND()</f>
        <v>0.183397970988044</v>
      </c>
      <c r="Q304" s="40" t="n">
        <f aca="true">RAND()</f>
        <v>0.641496257038826</v>
      </c>
      <c r="R304" s="40" t="n">
        <f aca="true">RAND()</f>
        <v>0.158630412546832</v>
      </c>
      <c r="S304" s="40" t="n">
        <f aca="true">RAND()</f>
        <v>0.260838547693982</v>
      </c>
      <c r="T304" s="40" t="n">
        <f aca="true">RAND()</f>
        <v>0.416278605837544</v>
      </c>
      <c r="U304" s="40" t="n">
        <f aca="true">RAND()</f>
        <v>0.573453528705244</v>
      </c>
    </row>
    <row r="305" customFormat="false" ht="15" hidden="false" customHeight="false" outlineLevel="0" collapsed="false">
      <c r="A305" s="36" t="n">
        <v>225</v>
      </c>
      <c r="B305" s="37" t="n">
        <f aca="false">1+IF($G$6=$E$6,$F$6,IF(P305&lt;($F$6-$E$6)/($G$6-$E$6),$E$6+SQRT(P305*($G$6-$E$6)*($F$6-$E$6)),$G$6-SQRT((1-P305)*($G$6-$E$6)*($G$6-$F$6))))</f>
        <v>0.992408955514246</v>
      </c>
      <c r="C305" s="37" t="n">
        <f aca="false">1+IF($G$7=$E$7,$F$7,IF(Q305&lt;($F$7-$E$7)/($G$7-$E$7),$E$7+SQRT(Q305*($G$7-$E$7)*($F$7-$E$7)),$G$7-SQRT((1-Q305)*($G$7-$E$7)*($G$7-$F$7))))</f>
        <v>1.09449049267074</v>
      </c>
      <c r="D305" s="37" t="n">
        <f aca="false">1+IF($G$8=$E$8,$F$8,IF(R305&lt;($F$8-$E$8)/($G$8-$E$8),$E$8+SQRT(R305*($G$8-$E$8)*($F$8-$E$8)),$G$8-SQRT((1-R305)*($G$8-$E$8)*($G$8-$F$8))))</f>
        <v>0.977267890891215</v>
      </c>
      <c r="E305" s="37" t="n">
        <f aca="false">1+IF($G$9=$E$9,$F$9,IF(S305&lt;($F$9-$E$9)/($G$9-$E$9),$E$9+SQRT(S305*($G$9-$E$9)*($F$9-$E$9)),$G$9-SQRT((1-S305)*($G$9-$E$9)*($G$9-$F$9))))</f>
        <v>0.959903664623406</v>
      </c>
      <c r="F305" s="37" t="n">
        <f aca="false">1+IF($G$10=$E$10,$F$10,IF(T305&lt;($F$10-$E$10)/($G$10-$E$10),$E$10+SQRT(T305*($G$10-$E$10)*($F$10-$E$10)),$G$10-SQRT((1-T305)*($G$10-$E$10)*($G$10-$F$10))))</f>
        <v>1.10330370322109</v>
      </c>
      <c r="G305" s="38" t="n">
        <f aca="false">IF($G$11=$E$11,$F$11,IF(U305&lt;($F$11-$E$11)/($G$11-$E$11),$E$11+SQRT(U305*($G$11-$E$11)*($F$11-$E$11)),$G$11-SQRT((1-U305)*($G$11-$E$11)*($G$11-$F$11))))</f>
        <v>0.106109991052987</v>
      </c>
      <c r="H305" s="39" t="n">
        <f aca="false">(('Business Case'!B11*$C305*'Business Case'!B12*$B305)-'Business Case'!B11*$C305*'Business Case'!B13*$D305-'Business Case'!B14*$E305)-MAX(0,(('Business Case'!B11*$C305*'Business Case'!B12*$B305)-'Business Case'!B11*$C305*'Business Case'!B13*$D305-'Business Case'!B14*$E305))*'Business Case'!$B$7-'Business Case'!$B$8*('Business Case'!B11*$C305*'Business Case'!B12*$B305)-'Business Case'!B15*$F305</f>
        <v>-2206607406.44218</v>
      </c>
      <c r="I305" s="39" t="n">
        <f aca="false">(('Business Case'!C11*$C305*'Business Case'!C12*$B305)-'Business Case'!C11*$C305*'Business Case'!C13*$D305-'Business Case'!C14*$E305)-MAX(0,(('Business Case'!C11*$C305*'Business Case'!C12*$B305)-'Business Case'!C11*$C305*'Business Case'!C13*$D305-'Business Case'!C14*$E305))*'Business Case'!$B$7-'Business Case'!$B$8*(('Business Case'!C11*$C305*'Business Case'!C12*$B305)-('Business Case'!B11*$C305*'Business Case'!B12*$B305))-'Business Case'!C15*$F305</f>
        <v>38970080.8152605</v>
      </c>
      <c r="J305" s="39" t="n">
        <f aca="false">(('Business Case'!D11*$C305*'Business Case'!D12*$B305)-'Business Case'!D11*$C305*'Business Case'!D13*$D305-'Business Case'!D14*$E305)-MAX(0,(('Business Case'!D11*$C305*'Business Case'!D12*$B305)-'Business Case'!D11*$C305*'Business Case'!D13*$D305-'Business Case'!D14*$E305))*'Business Case'!$B$7-'Business Case'!$B$8*(('Business Case'!D11*$C305*'Business Case'!D12*$B305)-('Business Case'!C11*$C305*'Business Case'!C12*$B305))-'Business Case'!D15*$F305</f>
        <v>381076516.581299</v>
      </c>
      <c r="K305" s="39" t="n">
        <f aca="false">(('Business Case'!E11*$C305*'Business Case'!E12*$B305)-'Business Case'!E11*$C305*'Business Case'!E13*$D305-'Business Case'!E14*$E305)-MAX(0,(('Business Case'!E11*$C305*'Business Case'!E12*$B305)-'Business Case'!E11*$C305*'Business Case'!E13*$D305-'Business Case'!E14*$E305))*'Business Case'!$B$7-'Business Case'!$B$8*(('Business Case'!E11*$C305*'Business Case'!E12*$B305)-('Business Case'!D11*$C305*'Business Case'!D12*$B305))-'Business Case'!E15*$F305</f>
        <v>778348137.508392</v>
      </c>
      <c r="L305" s="39" t="n">
        <f aca="false">(('Business Case'!F11*$C305*'Business Case'!F12*$B305)-'Business Case'!F11*$C305*'Business Case'!F13*$D305-'Business Case'!F14*$E305)-MAX(0,(('Business Case'!F11*$C305*'Business Case'!F12*$B305)-'Business Case'!F11*$C305*'Business Case'!F13*$D305-'Business Case'!F14*$E305))*'Business Case'!$B$7-'Business Case'!$B$8*(('Business Case'!F11*$C305*'Business Case'!F12*$B305)-('Business Case'!E11*$C305*'Business Case'!E12*$B305))-'Business Case'!F15*$F305</f>
        <v>929922071.776552</v>
      </c>
      <c r="M305" s="39" t="n">
        <f aca="false">(('Business Case'!G11*$C305*'Business Case'!G12*$B305)-'Business Case'!G11*$C305*'Business Case'!G13*$D305-'Business Case'!G14*$E305)-MAX(0,(('Business Case'!G11*$C305*'Business Case'!G12*$B305)-'Business Case'!G11*$C305*'Business Case'!G13*$D305-'Business Case'!G14*$E305))*'Business Case'!$B$7-'Business Case'!$B$8*(('Business Case'!G11*$C305*'Business Case'!G12*$B305)-('Business Case'!F11*$C305*'Business Case'!F12*$B305))-'Business Case'!G15*$F305+'Business Case'!$B$8*('Business Case'!G11*$C305*'Business Case'!G12*$B305)</f>
        <v>1136383578.0137</v>
      </c>
      <c r="N305" s="39" t="n">
        <f aca="false">IF(COUNT('Business Case'!B11:G11)=0,"",H305+NPV(G305,I305:M305))</f>
        <v>22802749.4997535</v>
      </c>
      <c r="P305" s="40" t="n">
        <f aca="true">RAND()</f>
        <v>0.546151754027497</v>
      </c>
      <c r="Q305" s="40" t="n">
        <f aca="true">RAND()</f>
        <v>0.941308468496435</v>
      </c>
      <c r="R305" s="40" t="n">
        <f aca="true">RAND()</f>
        <v>0.114390442100799</v>
      </c>
      <c r="S305" s="40" t="n">
        <f aca="true">RAND()</f>
        <v>0.0130776763963882</v>
      </c>
      <c r="T305" s="40" t="n">
        <f aca="true">RAND()</f>
        <v>0.812996523784889</v>
      </c>
      <c r="U305" s="40" t="n">
        <f aca="true">RAND()</f>
        <v>0.678446085753146</v>
      </c>
    </row>
    <row r="306" customFormat="false" ht="15" hidden="false" customHeight="false" outlineLevel="0" collapsed="false">
      <c r="A306" s="36" t="n">
        <v>226</v>
      </c>
      <c r="B306" s="37" t="n">
        <f aca="false">1+IF($G$6=$E$6,$F$6,IF(P306&lt;($F$6-$E$6)/($G$6-$E$6),$E$6+SQRT(P306*($G$6-$E$6)*($F$6-$E$6)),$G$6-SQRT((1-P306)*($G$6-$E$6)*($G$6-$F$6))))</f>
        <v>1.02213528902907</v>
      </c>
      <c r="C306" s="37" t="n">
        <f aca="false">1+IF($G$7=$E$7,$F$7,IF(Q306&lt;($F$7-$E$7)/($G$7-$E$7),$E$7+SQRT(Q306*($G$7-$E$7)*($F$7-$E$7)),$G$7-SQRT((1-Q306)*($G$7-$E$7)*($G$7-$F$7))))</f>
        <v>0.887841341008431</v>
      </c>
      <c r="D306" s="37" t="n">
        <f aca="false">1+IF($G$8=$E$8,$F$8,IF(R306&lt;($F$8-$E$8)/($G$8-$E$8),$E$8+SQRT(R306*($G$8-$E$8)*($F$8-$E$8)),$G$8-SQRT((1-R306)*($G$8-$E$8)*($G$8-$F$8))))</f>
        <v>1.00870921260724</v>
      </c>
      <c r="E306" s="37" t="n">
        <f aca="false">1+IF($G$9=$E$9,$F$9,IF(S306&lt;($F$9-$E$9)/($G$9-$E$9),$E$9+SQRT(S306*($G$9-$E$9)*($F$9-$E$9)),$G$9-SQRT((1-S306)*($G$9-$E$9)*($G$9-$F$9))))</f>
        <v>1.01115285269374</v>
      </c>
      <c r="F306" s="37" t="n">
        <f aca="false">1+IF($G$10=$E$10,$F$10,IF(T306&lt;($F$10-$E$10)/($G$10-$E$10),$E$10+SQRT(T306*($G$10-$E$10)*($F$10-$E$10)),$G$10-SQRT((1-T306)*($G$10-$E$10)*($G$10-$F$10))))</f>
        <v>1.04894251455613</v>
      </c>
      <c r="G306" s="38" t="n">
        <f aca="false">IF($G$11=$E$11,$F$11,IF(U306&lt;($F$11-$E$11)/($G$11-$E$11),$E$11+SQRT(U306*($G$11-$E$11)*($F$11-$E$11)),$G$11-SQRT((1-U306)*($G$11-$E$11)*($G$11-$F$11))))</f>
        <v>0.10755000637416</v>
      </c>
      <c r="H306" s="39" t="n">
        <f aca="false">(('Business Case'!B11*$C306*'Business Case'!B12*$B306)-'Business Case'!B11*$C306*'Business Case'!B13*$D306-'Business Case'!B14*$E306)-MAX(0,(('Business Case'!B11*$C306*'Business Case'!B12*$B306)-'Business Case'!B11*$C306*'Business Case'!B13*$D306-'Business Case'!B14*$E306))*'Business Case'!$B$7-'Business Case'!$B$8*('Business Case'!B11*$C306*'Business Case'!B12*$B306)-'Business Case'!B15*$F306</f>
        <v>-2097885029.11225</v>
      </c>
      <c r="I306" s="39" t="n">
        <f aca="false">(('Business Case'!C11*$C306*'Business Case'!C12*$B306)-'Business Case'!C11*$C306*'Business Case'!C13*$D306-'Business Case'!C14*$E306)-MAX(0,(('Business Case'!C11*$C306*'Business Case'!C12*$B306)-'Business Case'!C11*$C306*'Business Case'!C13*$D306-'Business Case'!C14*$E306))*'Business Case'!$B$7-'Business Case'!$B$8*(('Business Case'!C11*$C306*'Business Case'!C12*$B306)-('Business Case'!B11*$C306*'Business Case'!B12*$B306))-'Business Case'!C15*$F306</f>
        <v>-10883885.7992449</v>
      </c>
      <c r="J306" s="39" t="n">
        <f aca="false">(('Business Case'!D11*$C306*'Business Case'!D12*$B306)-'Business Case'!D11*$C306*'Business Case'!D13*$D306-'Business Case'!D14*$E306)-MAX(0,(('Business Case'!D11*$C306*'Business Case'!D12*$B306)-'Business Case'!D11*$C306*'Business Case'!D13*$D306-'Business Case'!D14*$E306))*'Business Case'!$B$7-'Business Case'!$B$8*(('Business Case'!D11*$C306*'Business Case'!D12*$B306)-('Business Case'!C11*$C306*'Business Case'!C12*$B306))-'Business Case'!D15*$F306</f>
        <v>273956902.692248</v>
      </c>
      <c r="K306" s="39" t="n">
        <f aca="false">(('Business Case'!E11*$C306*'Business Case'!E12*$B306)-'Business Case'!E11*$C306*'Business Case'!E13*$D306-'Business Case'!E14*$E306)-MAX(0,(('Business Case'!E11*$C306*'Business Case'!E12*$B306)-'Business Case'!E11*$C306*'Business Case'!E13*$D306-'Business Case'!E14*$E306))*'Business Case'!$B$7-'Business Case'!$B$8*(('Business Case'!E11*$C306*'Business Case'!E12*$B306)-('Business Case'!D11*$C306*'Business Case'!D12*$B306))-'Business Case'!E15*$F306</f>
        <v>611244816.911548</v>
      </c>
      <c r="L306" s="39" t="n">
        <f aca="false">(('Business Case'!F11*$C306*'Business Case'!F12*$B306)-'Business Case'!F11*$C306*'Business Case'!F13*$D306-'Business Case'!F14*$E306)-MAX(0,(('Business Case'!F11*$C306*'Business Case'!F12*$B306)-'Business Case'!F11*$C306*'Business Case'!F13*$D306-'Business Case'!F14*$E306))*'Business Case'!$B$7-'Business Case'!$B$8*(('Business Case'!F11*$C306*'Business Case'!F12*$B306)-('Business Case'!E11*$C306*'Business Case'!E12*$B306))-'Business Case'!F15*$F306</f>
        <v>737554737.863429</v>
      </c>
      <c r="M306" s="39" t="n">
        <f aca="false">(('Business Case'!G11*$C306*'Business Case'!G12*$B306)-'Business Case'!G11*$C306*'Business Case'!G13*$D306-'Business Case'!G14*$E306)-MAX(0,(('Business Case'!G11*$C306*'Business Case'!G12*$B306)-'Business Case'!G11*$C306*'Business Case'!G13*$D306-'Business Case'!G14*$E306))*'Business Case'!$B$7-'Business Case'!$B$8*(('Business Case'!G11*$C306*'Business Case'!G12*$B306)-('Business Case'!F11*$C306*'Business Case'!F12*$B306))-'Business Case'!G15*$F306+'Business Case'!$B$8*('Business Case'!G11*$C306*'Business Case'!G12*$B306)</f>
        <v>910051190.864371</v>
      </c>
      <c r="N306" s="39" t="n">
        <f aca="false">IF(COUNT('Business Case'!B11:G11)=0,"",H306+NPV(G306,I306:M306))</f>
        <v>-398233771.382645</v>
      </c>
      <c r="P306" s="40" t="n">
        <f aca="true">RAND()</f>
        <v>0.933510854567717</v>
      </c>
      <c r="Q306" s="40" t="n">
        <f aca="true">RAND()</f>
        <v>0.110230017002279</v>
      </c>
      <c r="R306" s="40" t="n">
        <f aca="true">RAND()</f>
        <v>0.511309964703939</v>
      </c>
      <c r="S306" s="40" t="n">
        <f aca="true">RAND()</f>
        <v>0.4737456277027</v>
      </c>
      <c r="T306" s="40" t="n">
        <f aca="true">RAND()</f>
        <v>0.543632721827478</v>
      </c>
      <c r="U306" s="40" t="n">
        <f aca="true">RAND()</f>
        <v>0.74166276452756</v>
      </c>
    </row>
    <row r="307" customFormat="false" ht="15" hidden="false" customHeight="false" outlineLevel="0" collapsed="false">
      <c r="A307" s="36" t="n">
        <v>227</v>
      </c>
      <c r="B307" s="37" t="n">
        <f aca="false">1+IF($G$6=$E$6,$F$6,IF(P307&lt;($F$6-$E$6)/($G$6-$E$6),$E$6+SQRT(P307*($G$6-$E$6)*($F$6-$E$6)),$G$6-SQRT((1-P307)*($G$6-$E$6)*($G$6-$F$6))))</f>
        <v>1.03304714852313</v>
      </c>
      <c r="C307" s="37" t="n">
        <f aca="false">1+IF($G$7=$E$7,$F$7,IF(Q307&lt;($F$7-$E$7)/($G$7-$E$7),$E$7+SQRT(Q307*($G$7-$E$7)*($F$7-$E$7)),$G$7-SQRT((1-Q307)*($G$7-$E$7)*($G$7-$F$7))))</f>
        <v>0.932662306543972</v>
      </c>
      <c r="D307" s="37" t="n">
        <f aca="false">1+IF($G$8=$E$8,$F$8,IF(R307&lt;($F$8-$E$8)/($G$8-$E$8),$E$8+SQRT(R307*($G$8-$E$8)*($F$8-$E$8)),$G$8-SQRT((1-R307)*($G$8-$E$8)*($G$8-$F$8))))</f>
        <v>1.02738414556721</v>
      </c>
      <c r="E307" s="37" t="n">
        <f aca="false">1+IF($G$9=$E$9,$F$9,IF(S307&lt;($F$9-$E$9)/($G$9-$E$9),$E$9+SQRT(S307*($G$9-$E$9)*($F$9-$E$9)),$G$9-SQRT((1-S307)*($G$9-$E$9)*($G$9-$F$9))))</f>
        <v>1.01111040893669</v>
      </c>
      <c r="F307" s="37" t="n">
        <f aca="false">1+IF($G$10=$E$10,$F$10,IF(T307&lt;($F$10-$E$10)/($G$10-$E$10),$E$10+SQRT(T307*($G$10-$E$10)*($F$10-$E$10)),$G$10-SQRT((1-T307)*($G$10-$E$10)*($G$10-$F$10))))</f>
        <v>1.09291171363547</v>
      </c>
      <c r="G307" s="38" t="n">
        <f aca="false">IF($G$11=$E$11,$F$11,IF(U307&lt;($F$11-$E$11)/($G$11-$E$11),$E$11+SQRT(U307*($G$11-$E$11)*($F$11-$E$11)),$G$11-SQRT((1-U307)*($G$11-$E$11)*($G$11-$F$11))))</f>
        <v>0.100487403270238</v>
      </c>
      <c r="H307" s="39" t="n">
        <f aca="false">(('Business Case'!B11*$C307*'Business Case'!B12*$B307)-'Business Case'!B11*$C307*'Business Case'!B13*$D307-'Business Case'!B14*$E307)-MAX(0,(('Business Case'!B11*$C307*'Business Case'!B12*$B307)-'Business Case'!B11*$C307*'Business Case'!B13*$D307-'Business Case'!B14*$E307))*'Business Case'!$B$7-'Business Case'!$B$8*('Business Case'!B11*$C307*'Business Case'!B12*$B307)-'Business Case'!B15*$F307</f>
        <v>-2185823427.27094</v>
      </c>
      <c r="I307" s="39" t="n">
        <f aca="false">(('Business Case'!C11*$C307*'Business Case'!C12*$B307)-'Business Case'!C11*$C307*'Business Case'!C13*$D307-'Business Case'!C14*$E307)-MAX(0,(('Business Case'!C11*$C307*'Business Case'!C12*$B307)-'Business Case'!C11*$C307*'Business Case'!C13*$D307-'Business Case'!C14*$E307))*'Business Case'!$B$7-'Business Case'!$B$8*(('Business Case'!C11*$C307*'Business Case'!C12*$B307)-('Business Case'!B11*$C307*'Business Case'!B12*$B307))-'Business Case'!C15*$F307</f>
        <v>-4378217.50605415</v>
      </c>
      <c r="J307" s="39" t="n">
        <f aca="false">(('Business Case'!D11*$C307*'Business Case'!D12*$B307)-'Business Case'!D11*$C307*'Business Case'!D13*$D307-'Business Case'!D14*$E307)-MAX(0,(('Business Case'!D11*$C307*'Business Case'!D12*$B307)-'Business Case'!D11*$C307*'Business Case'!D13*$D307-'Business Case'!D14*$E307))*'Business Case'!$B$7-'Business Case'!$B$8*(('Business Case'!D11*$C307*'Business Case'!D12*$B307)-('Business Case'!C11*$C307*'Business Case'!C12*$B307))-'Business Case'!D15*$F307</f>
        <v>294261654.128559</v>
      </c>
      <c r="K307" s="39" t="n">
        <f aca="false">(('Business Case'!E11*$C307*'Business Case'!E12*$B307)-'Business Case'!E11*$C307*'Business Case'!E13*$D307-'Business Case'!E14*$E307)-MAX(0,(('Business Case'!E11*$C307*'Business Case'!E12*$B307)-'Business Case'!E11*$C307*'Business Case'!E13*$D307-'Business Case'!E14*$E307))*'Business Case'!$B$7-'Business Case'!$B$8*(('Business Case'!E11*$C307*'Business Case'!E12*$B307)-('Business Case'!D11*$C307*'Business Case'!D12*$B307))-'Business Case'!E15*$F307</f>
        <v>647547111.444946</v>
      </c>
      <c r="L307" s="39" t="n">
        <f aca="false">(('Business Case'!F11*$C307*'Business Case'!F12*$B307)-'Business Case'!F11*$C307*'Business Case'!F13*$D307-'Business Case'!F14*$E307)-MAX(0,(('Business Case'!F11*$C307*'Business Case'!F12*$B307)-'Business Case'!F11*$C307*'Business Case'!F13*$D307-'Business Case'!F14*$E307))*'Business Case'!$B$7-'Business Case'!$B$8*(('Business Case'!F11*$C307*'Business Case'!F12*$B307)-('Business Case'!E11*$C307*'Business Case'!E12*$B307))-'Business Case'!F15*$F307</f>
        <v>780391747.074033</v>
      </c>
      <c r="M307" s="39" t="n">
        <f aca="false">(('Business Case'!G11*$C307*'Business Case'!G12*$B307)-'Business Case'!G11*$C307*'Business Case'!G13*$D307-'Business Case'!G14*$E307)-MAX(0,(('Business Case'!G11*$C307*'Business Case'!G12*$B307)-'Business Case'!G11*$C307*'Business Case'!G13*$D307-'Business Case'!G14*$E307))*'Business Case'!$B$7-'Business Case'!$B$8*(('Business Case'!G11*$C307*'Business Case'!G12*$B307)-('Business Case'!F11*$C307*'Business Case'!F12*$B307))-'Business Case'!G15*$F307+'Business Case'!$B$8*('Business Case'!G11*$C307*'Business Case'!G12*$B307)</f>
        <v>963530811.703886</v>
      </c>
      <c r="N307" s="39" t="n">
        <f aca="false">IF(COUNT('Business Case'!B11:G11)=0,"",H307+NPV(G307,I307:M307))</f>
        <v>-331932668.347865</v>
      </c>
      <c r="P307" s="40" t="n">
        <f aca="true">RAND()</f>
        <v>0.989928720070944</v>
      </c>
      <c r="Q307" s="40" t="n">
        <f aca="true">RAND()</f>
        <v>0.25141839396524</v>
      </c>
      <c r="R307" s="40" t="n">
        <f aca="true">RAND()</f>
        <v>0.73380498676038</v>
      </c>
      <c r="S307" s="40" t="n">
        <f aca="true">RAND()</f>
        <v>0.473242706706473</v>
      </c>
      <c r="T307" s="40" t="n">
        <f aca="true">RAND()</f>
        <v>0.770641978470167</v>
      </c>
      <c r="U307" s="40" t="n">
        <f aca="true">RAND()</f>
        <v>0.365430948102772</v>
      </c>
    </row>
    <row r="308" customFormat="false" ht="15" hidden="false" customHeight="false" outlineLevel="0" collapsed="false">
      <c r="A308" s="36" t="n">
        <v>228</v>
      </c>
      <c r="B308" s="37" t="n">
        <f aca="false">1+IF($G$6=$E$6,$F$6,IF(P308&lt;($F$6-$E$6)/($G$6-$E$6),$E$6+SQRT(P308*($G$6-$E$6)*($F$6-$E$6)),$G$6-SQRT((1-P308)*($G$6-$E$6)*($G$6-$F$6))))</f>
        <v>0.940565293401118</v>
      </c>
      <c r="C308" s="37" t="n">
        <f aca="false">1+IF($G$7=$E$7,$F$7,IF(Q308&lt;($F$7-$E$7)/($G$7-$E$7),$E$7+SQRT(Q308*($G$7-$E$7)*($F$7-$E$7)),$G$7-SQRT((1-Q308)*($G$7-$E$7)*($G$7-$F$7))))</f>
        <v>0.850975684756114</v>
      </c>
      <c r="D308" s="37" t="n">
        <f aca="false">1+IF($G$8=$E$8,$F$8,IF(R308&lt;($F$8-$E$8)/($G$8-$E$8),$E$8+SQRT(R308*($G$8-$E$8)*($F$8-$E$8)),$G$8-SQRT((1-R308)*($G$8-$E$8)*($G$8-$F$8))))</f>
        <v>1.00715653253304</v>
      </c>
      <c r="E308" s="37" t="n">
        <f aca="false">1+IF($G$9=$E$9,$F$9,IF(S308&lt;($F$9-$E$9)/($G$9-$E$9),$E$9+SQRT(S308*($G$9-$E$9)*($F$9-$E$9)),$G$9-SQRT((1-S308)*($G$9-$E$9)*($G$9-$F$9))))</f>
        <v>1.04240643357432</v>
      </c>
      <c r="F308" s="37" t="n">
        <f aca="false">1+IF($G$10=$E$10,$F$10,IF(T308&lt;($F$10-$E$10)/($G$10-$E$10),$E$10+SQRT(T308*($G$10-$E$10)*($F$10-$E$10)),$G$10-SQRT((1-T308)*($G$10-$E$10)*($G$10-$F$10))))</f>
        <v>1.07544560283303</v>
      </c>
      <c r="G308" s="38" t="n">
        <f aca="false">IF($G$11=$E$11,$F$11,IF(U308&lt;($F$11-$E$11)/($G$11-$E$11),$E$11+SQRT(U308*($G$11-$E$11)*($F$11-$E$11)),$G$11-SQRT((1-U308)*($G$11-$E$11)*($G$11-$F$11))))</f>
        <v>0.0975820091527152</v>
      </c>
      <c r="H308" s="39" t="n">
        <f aca="false">(('Business Case'!B11*$C308*'Business Case'!B12*$B308)-'Business Case'!B11*$C308*'Business Case'!B13*$D308-'Business Case'!B14*$E308)-MAX(0,(('Business Case'!B11*$C308*'Business Case'!B12*$B308)-'Business Case'!B11*$C308*'Business Case'!B13*$D308-'Business Case'!B14*$E308))*'Business Case'!$B$7-'Business Case'!$B$8*('Business Case'!B11*$C308*'Business Case'!B12*$B308)-'Business Case'!B15*$F308</f>
        <v>-2150891205.66605</v>
      </c>
      <c r="I308" s="39" t="n">
        <f aca="false">(('Business Case'!C11*$C308*'Business Case'!C12*$B308)-'Business Case'!C11*$C308*'Business Case'!C13*$D308-'Business Case'!C14*$E308)-MAX(0,(('Business Case'!C11*$C308*'Business Case'!C12*$B308)-'Business Case'!C11*$C308*'Business Case'!C13*$D308-'Business Case'!C14*$E308))*'Business Case'!$B$7-'Business Case'!$B$8*(('Business Case'!C11*$C308*'Business Case'!C12*$B308)-('Business Case'!B11*$C308*'Business Case'!B12*$B308))-'Business Case'!C15*$F308</f>
        <v>-80432730.8366659</v>
      </c>
      <c r="J308" s="39" t="n">
        <f aca="false">(('Business Case'!D11*$C308*'Business Case'!D12*$B308)-'Business Case'!D11*$C308*'Business Case'!D13*$D308-'Business Case'!D14*$E308)-MAX(0,(('Business Case'!D11*$C308*'Business Case'!D12*$B308)-'Business Case'!D11*$C308*'Business Case'!D13*$D308-'Business Case'!D14*$E308))*'Business Case'!$B$7-'Business Case'!$B$8*(('Business Case'!D11*$C308*'Business Case'!D12*$B308)-('Business Case'!C11*$C308*'Business Case'!C12*$B308))-'Business Case'!D15*$F308</f>
        <v>136401935.872814</v>
      </c>
      <c r="K308" s="39" t="n">
        <f aca="false">(('Business Case'!E11*$C308*'Business Case'!E12*$B308)-'Business Case'!E11*$C308*'Business Case'!E13*$D308-'Business Case'!E14*$E308)-MAX(0,(('Business Case'!E11*$C308*'Business Case'!E12*$B308)-'Business Case'!E11*$C308*'Business Case'!E13*$D308-'Business Case'!E14*$E308))*'Business Case'!$B$7-'Business Case'!$B$8*(('Business Case'!E11*$C308*'Business Case'!E12*$B308)-('Business Case'!D11*$C308*'Business Case'!D12*$B308))-'Business Case'!E15*$F308</f>
        <v>407008882.723945</v>
      </c>
      <c r="L308" s="39" t="n">
        <f aca="false">(('Business Case'!F11*$C308*'Business Case'!F12*$B308)-'Business Case'!F11*$C308*'Business Case'!F13*$D308-'Business Case'!F14*$E308)-MAX(0,(('Business Case'!F11*$C308*'Business Case'!F12*$B308)-'Business Case'!F11*$C308*'Business Case'!F13*$D308-'Business Case'!F14*$E308))*'Business Case'!$B$7-'Business Case'!$B$8*(('Business Case'!F11*$C308*'Business Case'!F12*$B308)-('Business Case'!E11*$C308*'Business Case'!E12*$B308))-'Business Case'!F15*$F308</f>
        <v>506948866.566154</v>
      </c>
      <c r="M308" s="39" t="n">
        <f aca="false">(('Business Case'!G11*$C308*'Business Case'!G12*$B308)-'Business Case'!G11*$C308*'Business Case'!G13*$D308-'Business Case'!G14*$E308)-MAX(0,(('Business Case'!G11*$C308*'Business Case'!G12*$B308)-'Business Case'!G11*$C308*'Business Case'!G13*$D308-'Business Case'!G14*$E308))*'Business Case'!$B$7-'Business Case'!$B$8*(('Business Case'!G11*$C308*'Business Case'!G12*$B308)-('Business Case'!F11*$C308*'Business Case'!F12*$B308))-'Business Case'!G15*$F308+'Business Case'!$B$8*('Business Case'!G11*$C308*'Business Case'!G12*$B308)</f>
        <v>659088555.397595</v>
      </c>
      <c r="N308" s="39" t="n">
        <f aca="false">IF(COUNT('Business Case'!B11:G11)=0,"",H308+NPV(G308,I308:M308))</f>
        <v>-1040045527.39687</v>
      </c>
      <c r="P308" s="40" t="n">
        <f aca="true">RAND()</f>
        <v>0.0440553429868835</v>
      </c>
      <c r="Q308" s="40" t="n">
        <f aca="true">RAND()</f>
        <v>0.0371217205193525</v>
      </c>
      <c r="R308" s="40" t="n">
        <f aca="true">RAND()</f>
        <v>0.489791273787494</v>
      </c>
      <c r="S308" s="40" t="n">
        <f aca="true">RAND()</f>
        <v>0.778865407091381</v>
      </c>
      <c r="T308" s="40" t="n">
        <f aca="true">RAND()</f>
        <v>0.689724042927432</v>
      </c>
      <c r="U308" s="40" t="n">
        <f aca="true">RAND()</f>
        <v>0.191622875972857</v>
      </c>
    </row>
    <row r="309" customFormat="false" ht="15" hidden="false" customHeight="false" outlineLevel="0" collapsed="false">
      <c r="A309" s="36" t="n">
        <v>229</v>
      </c>
      <c r="B309" s="37" t="n">
        <f aca="false">1+IF($G$6=$E$6,$F$6,IF(P309&lt;($F$6-$E$6)/($G$6-$E$6),$E$6+SQRT(P309*($G$6-$E$6)*($F$6-$E$6)),$G$6-SQRT((1-P309)*($G$6-$E$6)*($G$6-$F$6))))</f>
        <v>0.965206331825754</v>
      </c>
      <c r="C309" s="37" t="n">
        <f aca="false">1+IF($G$7=$E$7,$F$7,IF(Q309&lt;($F$7-$E$7)/($G$7-$E$7),$E$7+SQRT(Q309*($G$7-$E$7)*($F$7-$E$7)),$G$7-SQRT((1-Q309)*($G$7-$E$7)*($G$7-$F$7))))</f>
        <v>0.987142925346723</v>
      </c>
      <c r="D309" s="37" t="n">
        <f aca="false">1+IF($G$8=$E$8,$F$8,IF(R309&lt;($F$8-$E$8)/($G$8-$E$8),$E$8+SQRT(R309*($G$8-$E$8)*($F$8-$E$8)),$G$8-SQRT((1-R309)*($G$8-$E$8)*($G$8-$F$8))))</f>
        <v>1.0048145302499</v>
      </c>
      <c r="E309" s="37" t="n">
        <f aca="false">1+IF($G$9=$E$9,$F$9,IF(S309&lt;($F$9-$E$9)/($G$9-$E$9),$E$9+SQRT(S309*($G$9-$E$9)*($F$9-$E$9)),$G$9-SQRT((1-S309)*($G$9-$E$9)*($G$9-$F$9))))</f>
        <v>1.06295398111586</v>
      </c>
      <c r="F309" s="37" t="n">
        <f aca="false">1+IF($G$10=$E$10,$F$10,IF(T309&lt;($F$10-$E$10)/($G$10-$E$10),$E$10+SQRT(T309*($G$10-$E$10)*($F$10-$E$10)),$G$10-SQRT((1-T309)*($G$10-$E$10)*($G$10-$F$10))))</f>
        <v>1.0949469599372</v>
      </c>
      <c r="G309" s="38" t="n">
        <f aca="false">IF($G$11=$E$11,$F$11,IF(U309&lt;($F$11-$E$11)/($G$11-$E$11),$E$11+SQRT(U309*($G$11-$E$11)*($F$11-$E$11)),$G$11-SQRT((1-U309)*($G$11-$E$11)*($G$11-$F$11))))</f>
        <v>0.11571201429774</v>
      </c>
      <c r="H309" s="39" t="n">
        <f aca="false">(('Business Case'!B11*$C309*'Business Case'!B12*$B309)-'Business Case'!B11*$C309*'Business Case'!B13*$D309-'Business Case'!B14*$E309)-MAX(0,(('Business Case'!B11*$C309*'Business Case'!B12*$B309)-'Business Case'!B11*$C309*'Business Case'!B13*$D309-'Business Case'!B14*$E309))*'Business Case'!$B$7-'Business Case'!$B$8*('Business Case'!B11*$C309*'Business Case'!B12*$B309)-'Business Case'!B15*$F309</f>
        <v>-2189893919.8744</v>
      </c>
      <c r="I309" s="39" t="n">
        <f aca="false">(('Business Case'!C11*$C309*'Business Case'!C12*$B309)-'Business Case'!C11*$C309*'Business Case'!C13*$D309-'Business Case'!C14*$E309)-MAX(0,(('Business Case'!C11*$C309*'Business Case'!C12*$B309)-'Business Case'!C11*$C309*'Business Case'!C13*$D309-'Business Case'!C14*$E309))*'Business Case'!$B$7-'Business Case'!$B$8*(('Business Case'!C11*$C309*'Business Case'!C12*$B309)-('Business Case'!B11*$C309*'Business Case'!B12*$B309))-'Business Case'!C15*$F309</f>
        <v>-37401882.0165146</v>
      </c>
      <c r="J309" s="39" t="n">
        <f aca="false">(('Business Case'!D11*$C309*'Business Case'!D12*$B309)-'Business Case'!D11*$C309*'Business Case'!D13*$D309-'Business Case'!D14*$E309)-MAX(0,(('Business Case'!D11*$C309*'Business Case'!D12*$B309)-'Business Case'!D11*$C309*'Business Case'!D13*$D309-'Business Case'!D14*$E309))*'Business Case'!$B$7-'Business Case'!$B$8*(('Business Case'!D11*$C309*'Business Case'!D12*$B309)-('Business Case'!C11*$C309*'Business Case'!C12*$B309))-'Business Case'!D15*$F309</f>
        <v>235235963.921059</v>
      </c>
      <c r="K309" s="39" t="n">
        <f aca="false">(('Business Case'!E11*$C309*'Business Case'!E12*$B309)-'Business Case'!E11*$C309*'Business Case'!E13*$D309-'Business Case'!E14*$E309)-MAX(0,(('Business Case'!E11*$C309*'Business Case'!E12*$B309)-'Business Case'!E11*$C309*'Business Case'!E13*$D309-'Business Case'!E14*$E309))*'Business Case'!$B$7-'Business Case'!$B$8*(('Business Case'!E11*$C309*'Business Case'!E12*$B309)-('Business Case'!D11*$C309*'Business Case'!D12*$B309))-'Business Case'!E15*$F309</f>
        <v>562621157.855492</v>
      </c>
      <c r="L309" s="39" t="n">
        <f aca="false">(('Business Case'!F11*$C309*'Business Case'!F12*$B309)-'Business Case'!F11*$C309*'Business Case'!F13*$D309-'Business Case'!F14*$E309)-MAX(0,(('Business Case'!F11*$C309*'Business Case'!F12*$B309)-'Business Case'!F11*$C309*'Business Case'!F13*$D309-'Business Case'!F14*$E309))*'Business Case'!$B$7-'Business Case'!$B$8*(('Business Case'!F11*$C309*'Business Case'!F12*$B309)-('Business Case'!E11*$C309*'Business Case'!E12*$B309))-'Business Case'!F15*$F309</f>
        <v>686429090.398478</v>
      </c>
      <c r="M309" s="39" t="n">
        <f aca="false">(('Business Case'!G11*$C309*'Business Case'!G12*$B309)-'Business Case'!G11*$C309*'Business Case'!G13*$D309-'Business Case'!G14*$E309)-MAX(0,(('Business Case'!G11*$C309*'Business Case'!G12*$B309)-'Business Case'!G11*$C309*'Business Case'!G13*$D309-'Business Case'!G14*$E309))*'Business Case'!$B$7-'Business Case'!$B$8*(('Business Case'!G11*$C309*'Business Case'!G12*$B309)-('Business Case'!F11*$C309*'Business Case'!F12*$B309))-'Business Case'!G15*$F309+'Business Case'!$B$8*('Business Case'!G11*$C309*'Business Case'!G12*$B309)</f>
        <v>867536668.499349</v>
      </c>
      <c r="N309" s="39" t="n">
        <f aca="false">IF(COUNT('Business Case'!B11:G11)=0,"",H309+NPV(G309,I309:M309))</f>
        <v>-684566960.201618</v>
      </c>
      <c r="P309" s="40" t="n">
        <f aca="true">RAND()</f>
        <v>0.212876295535435</v>
      </c>
      <c r="Q309" s="40" t="n">
        <f aca="true">RAND()</f>
        <v>0.500321064390418</v>
      </c>
      <c r="R309" s="40" t="n">
        <f aca="true">RAND()</f>
        <v>0.456456263313088</v>
      </c>
      <c r="S309" s="40" t="n">
        <f aca="true">RAND()</f>
        <v>0.908506165655742</v>
      </c>
      <c r="T309" s="40" t="n">
        <f aca="true">RAND()</f>
        <v>0.779277175471278</v>
      </c>
      <c r="U309" s="40" t="n">
        <f aca="true">RAND()</f>
        <v>0.969355297695359</v>
      </c>
    </row>
    <row r="310" customFormat="false" ht="15" hidden="false" customHeight="false" outlineLevel="0" collapsed="false">
      <c r="A310" s="36" t="n">
        <v>230</v>
      </c>
      <c r="B310" s="37" t="n">
        <f aca="false">1+IF($G$6=$E$6,$F$6,IF(P310&lt;($F$6-$E$6)/($G$6-$E$6),$E$6+SQRT(P310*($G$6-$E$6)*($F$6-$E$6)),$G$6-SQRT((1-P310)*($G$6-$E$6)*($G$6-$F$6))))</f>
        <v>1.01884340045073</v>
      </c>
      <c r="C310" s="37" t="n">
        <f aca="false">1+IF($G$7=$E$7,$F$7,IF(Q310&lt;($F$7-$E$7)/($G$7-$E$7),$E$7+SQRT(Q310*($G$7-$E$7)*($F$7-$E$7)),$G$7-SQRT((1-Q310)*($G$7-$E$7)*($G$7-$F$7))))</f>
        <v>1.00671323336487</v>
      </c>
      <c r="D310" s="37" t="n">
        <f aca="false">1+IF($G$8=$E$8,$F$8,IF(R310&lt;($F$8-$E$8)/($G$8-$E$8),$E$8+SQRT(R310*($G$8-$E$8)*($F$8-$E$8)),$G$8-SQRT((1-R310)*($G$8-$E$8)*($G$8-$F$8))))</f>
        <v>0.996840000585237</v>
      </c>
      <c r="E310" s="37" t="n">
        <f aca="false">1+IF($G$9=$E$9,$F$9,IF(S310&lt;($F$9-$E$9)/($G$9-$E$9),$E$9+SQRT(S310*($G$9-$E$9)*($F$9-$E$9)),$G$9-SQRT((1-S310)*($G$9-$E$9)*($G$9-$F$9))))</f>
        <v>1.01699484918714</v>
      </c>
      <c r="F310" s="37" t="n">
        <f aca="false">1+IF($G$10=$E$10,$F$10,IF(T310&lt;($F$10-$E$10)/($G$10-$E$10),$E$10+SQRT(T310*($G$10-$E$10)*($F$10-$E$10)),$G$10-SQRT((1-T310)*($G$10-$E$10)*($G$10-$F$10))))</f>
        <v>1.02054443468681</v>
      </c>
      <c r="G310" s="38" t="n">
        <f aca="false">IF($G$11=$E$11,$F$11,IF(U310&lt;($F$11-$E$11)/($G$11-$E$11),$E$11+SQRT(U310*($G$11-$E$11)*($F$11-$E$11)),$G$11-SQRT((1-U310)*($G$11-$E$11)*($G$11-$F$11))))</f>
        <v>0.102662404223662</v>
      </c>
      <c r="H310" s="39" t="n">
        <f aca="false">(('Business Case'!B11*$C310*'Business Case'!B12*$B310)-'Business Case'!B11*$C310*'Business Case'!B13*$D310-'Business Case'!B14*$E310)-MAX(0,(('Business Case'!B11*$C310*'Business Case'!B12*$B310)-'Business Case'!B11*$C310*'Business Case'!B13*$D310-'Business Case'!B14*$E310))*'Business Case'!$B$7-'Business Case'!$B$8*('Business Case'!B11*$C310*'Business Case'!B12*$B310)-'Business Case'!B15*$F310</f>
        <v>-2041088869.37362</v>
      </c>
      <c r="I310" s="39" t="n">
        <f aca="false">(('Business Case'!C11*$C310*'Business Case'!C12*$B310)-'Business Case'!C11*$C310*'Business Case'!C13*$D310-'Business Case'!C14*$E310)-MAX(0,(('Business Case'!C11*$C310*'Business Case'!C12*$B310)-'Business Case'!C11*$C310*'Business Case'!C13*$D310-'Business Case'!C14*$E310))*'Business Case'!$B$7-'Business Case'!$B$8*(('Business Case'!C11*$C310*'Business Case'!C12*$B310)-('Business Case'!B11*$C310*'Business Case'!B12*$B310))-'Business Case'!C15*$F310</f>
        <v>26537699.4631435</v>
      </c>
      <c r="J310" s="39" t="n">
        <f aca="false">(('Business Case'!D11*$C310*'Business Case'!D12*$B310)-'Business Case'!D11*$C310*'Business Case'!D13*$D310-'Business Case'!D14*$E310)-MAX(0,(('Business Case'!D11*$C310*'Business Case'!D12*$B310)-'Business Case'!D11*$C310*'Business Case'!D13*$D310-'Business Case'!D14*$E310))*'Business Case'!$B$7-'Business Case'!$B$8*(('Business Case'!D11*$C310*'Business Case'!D12*$B310)-('Business Case'!C11*$C310*'Business Case'!C12*$B310))-'Business Case'!D15*$F310</f>
        <v>352917923.613877</v>
      </c>
      <c r="K310" s="39" t="n">
        <f aca="false">(('Business Case'!E11*$C310*'Business Case'!E12*$B310)-'Business Case'!E11*$C310*'Business Case'!E13*$D310-'Business Case'!E14*$E310)-MAX(0,(('Business Case'!E11*$C310*'Business Case'!E12*$B310)-'Business Case'!E11*$C310*'Business Case'!E13*$D310-'Business Case'!E14*$E310))*'Business Case'!$B$7-'Business Case'!$B$8*(('Business Case'!E11*$C310*'Business Case'!E12*$B310)-('Business Case'!D11*$C310*'Business Case'!D12*$B310))-'Business Case'!E15*$F310</f>
        <v>730325369.498952</v>
      </c>
      <c r="L310" s="39" t="n">
        <f aca="false">(('Business Case'!F11*$C310*'Business Case'!F12*$B310)-'Business Case'!F11*$C310*'Business Case'!F13*$D310-'Business Case'!F14*$E310)-MAX(0,(('Business Case'!F11*$C310*'Business Case'!F12*$B310)-'Business Case'!F11*$C310*'Business Case'!F13*$D310-'Business Case'!F14*$E310))*'Business Case'!$B$7-'Business Case'!$B$8*(('Business Case'!F11*$C310*'Business Case'!F12*$B310)-('Business Case'!E11*$C310*'Business Case'!E12*$B310))-'Business Case'!F15*$F310</f>
        <v>874566386.658861</v>
      </c>
      <c r="M310" s="39" t="n">
        <f aca="false">(('Business Case'!G11*$C310*'Business Case'!G12*$B310)-'Business Case'!G11*$C310*'Business Case'!G13*$D310-'Business Case'!G14*$E310)-MAX(0,(('Business Case'!G11*$C310*'Business Case'!G12*$B310)-'Business Case'!G11*$C310*'Business Case'!G13*$D310-'Business Case'!G14*$E310))*'Business Case'!$B$7-'Business Case'!$B$8*(('Business Case'!G11*$C310*'Business Case'!G12*$B310)-('Business Case'!F11*$C310*'Business Case'!F12*$B310))-'Business Case'!G15*$F310+'Business Case'!$B$8*('Business Case'!G11*$C310*'Business Case'!G12*$B310)</f>
        <v>1069528236.76202</v>
      </c>
      <c r="N310" s="39" t="n">
        <f aca="false">IF(COUNT('Business Case'!B11:G11)=0,"",H310+NPV(G310,I310:M310))</f>
        <v>65684731.1526444</v>
      </c>
      <c r="P310" s="40" t="n">
        <f aca="true">RAND()</f>
        <v>0.90674964489833</v>
      </c>
      <c r="Q310" s="40" t="n">
        <f aca="true">RAND()</f>
        <v>0.608931476328576</v>
      </c>
      <c r="R310" s="40" t="n">
        <f aca="true">RAND()</f>
        <v>0.33753625458846</v>
      </c>
      <c r="S310" s="40" t="n">
        <f aca="true">RAND()</f>
        <v>0.540676329235627</v>
      </c>
      <c r="T310" s="40" t="n">
        <f aca="true">RAND()</f>
        <v>0.355914001562483</v>
      </c>
      <c r="U310" s="40" t="n">
        <f aca="true">RAND()</f>
        <v>0.499012954493855</v>
      </c>
    </row>
    <row r="311" customFormat="false" ht="15" hidden="false" customHeight="false" outlineLevel="0" collapsed="false">
      <c r="A311" s="36" t="n">
        <v>231</v>
      </c>
      <c r="B311" s="37" t="n">
        <f aca="false">1+IF($G$6=$E$6,$F$6,IF(P311&lt;($F$6-$E$6)/($G$6-$E$6),$E$6+SQRT(P311*($G$6-$E$6)*($F$6-$E$6)),$G$6-SQRT((1-P311)*($G$6-$E$6)*($G$6-$F$6))))</f>
        <v>0.993636196053755</v>
      </c>
      <c r="C311" s="37" t="n">
        <f aca="false">1+IF($G$7=$E$7,$F$7,IF(Q311&lt;($F$7-$E$7)/($G$7-$E$7),$E$7+SQRT(Q311*($G$7-$E$7)*($F$7-$E$7)),$G$7-SQRT((1-Q311)*($G$7-$E$7)*($G$7-$F$7))))</f>
        <v>0.973306457007073</v>
      </c>
      <c r="D311" s="37" t="n">
        <f aca="false">1+IF($G$8=$E$8,$F$8,IF(R311&lt;($F$8-$E$8)/($G$8-$E$8),$E$8+SQRT(R311*($G$8-$E$8)*($F$8-$E$8)),$G$8-SQRT((1-R311)*($G$8-$E$8)*($G$8-$F$8))))</f>
        <v>1.01596523447802</v>
      </c>
      <c r="E311" s="37" t="n">
        <f aca="false">1+IF($G$9=$E$9,$F$9,IF(S311&lt;($F$9-$E$9)/($G$9-$E$9),$E$9+SQRT(S311*($G$9-$E$9)*($F$9-$E$9)),$G$9-SQRT((1-S311)*($G$9-$E$9)*($G$9-$F$9))))</f>
        <v>0.986106346413915</v>
      </c>
      <c r="F311" s="37" t="n">
        <f aca="false">1+IF($G$10=$E$10,$F$10,IF(T311&lt;($F$10-$E$10)/($G$10-$E$10),$E$10+SQRT(T311*($G$10-$E$10)*($F$10-$E$10)),$G$10-SQRT((1-T311)*($G$10-$E$10)*($G$10-$F$10))))</f>
        <v>1.10422881148196</v>
      </c>
      <c r="G311" s="38" t="n">
        <f aca="false">IF($G$11=$E$11,$F$11,IF(U311&lt;($F$11-$E$11)/($G$11-$E$11),$E$11+SQRT(U311*($G$11-$E$11)*($F$11-$E$11)),$G$11-SQRT((1-U311)*($G$11-$E$11)*($G$11-$F$11))))</f>
        <v>0.100412285970547</v>
      </c>
      <c r="H311" s="39" t="n">
        <f aca="false">(('Business Case'!B11*$C311*'Business Case'!B12*$B311)-'Business Case'!B11*$C311*'Business Case'!B13*$D311-'Business Case'!B14*$E311)-MAX(0,(('Business Case'!B11*$C311*'Business Case'!B12*$B311)-'Business Case'!B11*$C311*'Business Case'!B13*$D311-'Business Case'!B14*$E311))*'Business Case'!$B$7-'Business Case'!$B$8*('Business Case'!B11*$C311*'Business Case'!B12*$B311)-'Business Case'!B15*$F311</f>
        <v>-2208457622.96392</v>
      </c>
      <c r="I311" s="39" t="n">
        <f aca="false">(('Business Case'!C11*$C311*'Business Case'!C12*$B311)-'Business Case'!C11*$C311*'Business Case'!C13*$D311-'Business Case'!C14*$E311)-MAX(0,(('Business Case'!C11*$C311*'Business Case'!C12*$B311)-'Business Case'!C11*$C311*'Business Case'!C13*$D311-'Business Case'!C14*$E311))*'Business Case'!$B$7-'Business Case'!$B$8*(('Business Case'!C11*$C311*'Business Case'!C12*$B311)-('Business Case'!B11*$C311*'Business Case'!B12*$B311))-'Business Case'!C15*$F311</f>
        <v>-14857326.4549393</v>
      </c>
      <c r="J311" s="39" t="n">
        <f aca="false">(('Business Case'!D11*$C311*'Business Case'!D12*$B311)-'Business Case'!D11*$C311*'Business Case'!D13*$D311-'Business Case'!D14*$E311)-MAX(0,(('Business Case'!D11*$C311*'Business Case'!D12*$B311)-'Business Case'!D11*$C311*'Business Case'!D13*$D311-'Business Case'!D14*$E311))*'Business Case'!$B$7-'Business Case'!$B$8*(('Business Case'!D11*$C311*'Business Case'!D12*$B311)-('Business Case'!C11*$C311*'Business Case'!C12*$B311))-'Business Case'!D15*$F311</f>
        <v>271067664.022114</v>
      </c>
      <c r="K311" s="39" t="n">
        <f aca="false">(('Business Case'!E11*$C311*'Business Case'!E12*$B311)-'Business Case'!E11*$C311*'Business Case'!E13*$D311-'Business Case'!E14*$E311)-MAX(0,(('Business Case'!E11*$C311*'Business Case'!E12*$B311)-'Business Case'!E11*$C311*'Business Case'!E13*$D311-'Business Case'!E14*$E311))*'Business Case'!$B$7-'Business Case'!$B$8*(('Business Case'!E11*$C311*'Business Case'!E12*$B311)-('Business Case'!D11*$C311*'Business Case'!D12*$B311))-'Business Case'!E15*$F311</f>
        <v>612204095.073264</v>
      </c>
      <c r="L311" s="39" t="n">
        <f aca="false">(('Business Case'!F11*$C311*'Business Case'!F12*$B311)-'Business Case'!F11*$C311*'Business Case'!F13*$D311-'Business Case'!F14*$E311)-MAX(0,(('Business Case'!F11*$C311*'Business Case'!F12*$B311)-'Business Case'!F11*$C311*'Business Case'!F13*$D311-'Business Case'!F14*$E311))*'Business Case'!$B$7-'Business Case'!$B$8*(('Business Case'!F11*$C311*'Business Case'!F12*$B311)-('Business Case'!E11*$C311*'Business Case'!E12*$B311))-'Business Case'!F15*$F311</f>
        <v>740935834.114774</v>
      </c>
      <c r="M311" s="39" t="n">
        <f aca="false">(('Business Case'!G11*$C311*'Business Case'!G12*$B311)-'Business Case'!G11*$C311*'Business Case'!G13*$D311-'Business Case'!G14*$E311)-MAX(0,(('Business Case'!G11*$C311*'Business Case'!G12*$B311)-'Business Case'!G11*$C311*'Business Case'!G13*$D311-'Business Case'!G14*$E311))*'Business Case'!$B$7-'Business Case'!$B$8*(('Business Case'!G11*$C311*'Business Case'!G12*$B311)-('Business Case'!F11*$C311*'Business Case'!F12*$B311))-'Business Case'!G15*$F311+'Business Case'!$B$8*('Business Case'!G11*$C311*'Business Case'!G12*$B311)</f>
        <v>924764582.968479</v>
      </c>
      <c r="N311" s="39" t="n">
        <f aca="false">IF(COUNT('Business Case'!B11:G11)=0,"",H311+NPV(G311,I311:M311))</f>
        <v>-460220670.336132</v>
      </c>
      <c r="P311" s="40" t="n">
        <f aca="true">RAND()</f>
        <v>0.564821809298646</v>
      </c>
      <c r="Q311" s="40" t="n">
        <f aca="true">RAND()</f>
        <v>0.429073257719206</v>
      </c>
      <c r="R311" s="40" t="n">
        <f aca="true">RAND()</f>
        <v>0.605725846590927</v>
      </c>
      <c r="S311" s="40" t="n">
        <f aca="true">RAND()</f>
        <v>0.173822433514882</v>
      </c>
      <c r="T311" s="40" t="n">
        <f aca="true">RAND()</f>
        <v>0.816557588996832</v>
      </c>
      <c r="U311" s="40" t="n">
        <f aca="true">RAND()</f>
        <v>0.360535765167275</v>
      </c>
    </row>
    <row r="312" customFormat="false" ht="15" hidden="false" customHeight="false" outlineLevel="0" collapsed="false">
      <c r="A312" s="36" t="n">
        <v>232</v>
      </c>
      <c r="B312" s="37" t="n">
        <f aca="false">1+IF($G$6=$E$6,$F$6,IF(P312&lt;($F$6-$E$6)/($G$6-$E$6),$E$6+SQRT(P312*($G$6-$E$6)*($F$6-$E$6)),$G$6-SQRT((1-P312)*($G$6-$E$6)*($G$6-$F$6))))</f>
        <v>1.00901623146044</v>
      </c>
      <c r="C312" s="37" t="n">
        <f aca="false">1+IF($G$7=$E$7,$F$7,IF(Q312&lt;($F$7-$E$7)/($G$7-$E$7),$E$7+SQRT(Q312*($G$7-$E$7)*($F$7-$E$7)),$G$7-SQRT((1-Q312)*($G$7-$E$7)*($G$7-$F$7))))</f>
        <v>0.991122520583656</v>
      </c>
      <c r="D312" s="37" t="n">
        <f aca="false">1+IF($G$8=$E$8,$F$8,IF(R312&lt;($F$8-$E$8)/($G$8-$E$8),$E$8+SQRT(R312*($G$8-$E$8)*($F$8-$E$8)),$G$8-SQRT((1-R312)*($G$8-$E$8)*($G$8-$F$8))))</f>
        <v>1.00087361737703</v>
      </c>
      <c r="E312" s="37" t="n">
        <f aca="false">1+IF($G$9=$E$9,$F$9,IF(S312&lt;($F$9-$E$9)/($G$9-$E$9),$E$9+SQRT(S312*($G$9-$E$9)*($F$9-$E$9)),$G$9-SQRT((1-S312)*($G$9-$E$9)*($G$9-$F$9))))</f>
        <v>0.999339474337493</v>
      </c>
      <c r="F312" s="37" t="n">
        <f aca="false">1+IF($G$10=$E$10,$F$10,IF(T312&lt;($F$10-$E$10)/($G$10-$E$10),$E$10+SQRT(T312*($G$10-$E$10)*($F$10-$E$10)),$G$10-SQRT((1-T312)*($G$10-$E$10)*($G$10-$F$10))))</f>
        <v>0.990249287260199</v>
      </c>
      <c r="G312" s="38" t="n">
        <f aca="false">IF($G$11=$E$11,$F$11,IF(U312&lt;($F$11-$E$11)/($G$11-$E$11),$E$11+SQRT(U312*($G$11-$E$11)*($F$11-$E$11)),$G$11-SQRT((1-U312)*($G$11-$E$11)*($G$11-$F$11))))</f>
        <v>0.10183802094256</v>
      </c>
      <c r="H312" s="39" t="n">
        <f aca="false">(('Business Case'!B11*$C312*'Business Case'!B12*$B312)-'Business Case'!B11*$C312*'Business Case'!B13*$D312-'Business Case'!B14*$E312)-MAX(0,(('Business Case'!B11*$C312*'Business Case'!B12*$B312)-'Business Case'!B11*$C312*'Business Case'!B13*$D312-'Business Case'!B14*$E312))*'Business Case'!$B$7-'Business Case'!$B$8*('Business Case'!B11*$C312*'Business Case'!B12*$B312)-'Business Case'!B15*$F312</f>
        <v>-1980498574.5204</v>
      </c>
      <c r="I312" s="39" t="n">
        <f aca="false">(('Business Case'!C11*$C312*'Business Case'!C12*$B312)-'Business Case'!C11*$C312*'Business Case'!C13*$D312-'Business Case'!C14*$E312)-MAX(0,(('Business Case'!C11*$C312*'Business Case'!C12*$B312)-'Business Case'!C11*$C312*'Business Case'!C13*$D312-'Business Case'!C14*$E312))*'Business Case'!$B$7-'Business Case'!$B$8*(('Business Case'!C11*$C312*'Business Case'!C12*$B312)-('Business Case'!B11*$C312*'Business Case'!B12*$B312))-'Business Case'!C15*$F312</f>
        <v>18327349.9621267</v>
      </c>
      <c r="J312" s="39" t="n">
        <f aca="false">(('Business Case'!D11*$C312*'Business Case'!D12*$B312)-'Business Case'!D11*$C312*'Business Case'!D13*$D312-'Business Case'!D14*$E312)-MAX(0,(('Business Case'!D11*$C312*'Business Case'!D12*$B312)-'Business Case'!D11*$C312*'Business Case'!D13*$D312-'Business Case'!D14*$E312))*'Business Case'!$B$7-'Business Case'!$B$8*(('Business Case'!D11*$C312*'Business Case'!D12*$B312)-('Business Case'!C11*$C312*'Business Case'!C12*$B312))-'Business Case'!D15*$F312</f>
        <v>329628745.460378</v>
      </c>
      <c r="K312" s="39" t="n">
        <f aca="false">(('Business Case'!E11*$C312*'Business Case'!E12*$B312)-'Business Case'!E11*$C312*'Business Case'!E13*$D312-'Business Case'!E14*$E312)-MAX(0,(('Business Case'!E11*$C312*'Business Case'!E12*$B312)-'Business Case'!E11*$C312*'Business Case'!E13*$D312-'Business Case'!E14*$E312))*'Business Case'!$B$7-'Business Case'!$B$8*(('Business Case'!E11*$C312*'Business Case'!E12*$B312)-('Business Case'!D11*$C312*'Business Case'!D12*$B312))-'Business Case'!E15*$F312</f>
        <v>690442605.321638</v>
      </c>
      <c r="L312" s="39" t="n">
        <f aca="false">(('Business Case'!F11*$C312*'Business Case'!F12*$B312)-'Business Case'!F11*$C312*'Business Case'!F13*$D312-'Business Case'!F14*$E312)-MAX(0,(('Business Case'!F11*$C312*'Business Case'!F12*$B312)-'Business Case'!F11*$C312*'Business Case'!F13*$D312-'Business Case'!F14*$E312))*'Business Case'!$B$7-'Business Case'!$B$8*(('Business Case'!F11*$C312*'Business Case'!F12*$B312)-('Business Case'!E11*$C312*'Business Case'!E12*$B312))-'Business Case'!F15*$F312</f>
        <v>828771766.193931</v>
      </c>
      <c r="M312" s="39" t="n">
        <f aca="false">(('Business Case'!G11*$C312*'Business Case'!G12*$B312)-'Business Case'!G11*$C312*'Business Case'!G13*$D312-'Business Case'!G14*$E312)-MAX(0,(('Business Case'!G11*$C312*'Business Case'!G12*$B312)-'Business Case'!G11*$C312*'Business Case'!G13*$D312-'Business Case'!G14*$E312))*'Business Case'!$B$7-'Business Case'!$B$8*(('Business Case'!G11*$C312*'Business Case'!G12*$B312)-('Business Case'!F11*$C312*'Business Case'!F12*$B312))-'Business Case'!G15*$F312+'Business Case'!$B$8*('Business Case'!G11*$C312*'Business Case'!G12*$B312)</f>
        <v>1018862925.91141</v>
      </c>
      <c r="N312" s="39" t="n">
        <f aca="false">IF(COUNT('Business Case'!B11:G11)=0,"",H312+NPV(G312,I312:M312))</f>
        <v>13464583.2408667</v>
      </c>
      <c r="P312" s="40" t="n">
        <f aca="true">RAND()</f>
        <v>0.800001268143115</v>
      </c>
      <c r="Q312" s="40" t="n">
        <f aca="true">RAND()</f>
        <v>0.521825969632141</v>
      </c>
      <c r="R312" s="40" t="n">
        <f aca="true">RAND()</f>
        <v>0.397982266634944</v>
      </c>
      <c r="S312" s="40" t="n">
        <f aca="true">RAND()</f>
        <v>0.32458449705335</v>
      </c>
      <c r="T312" s="40" t="n">
        <f aca="true">RAND()</f>
        <v>0.129600409996323</v>
      </c>
      <c r="U312" s="40" t="n">
        <f aca="true">RAND()</f>
        <v>0.450237527861848</v>
      </c>
    </row>
    <row r="313" customFormat="false" ht="15" hidden="false" customHeight="false" outlineLevel="0" collapsed="false">
      <c r="A313" s="36" t="n">
        <v>233</v>
      </c>
      <c r="B313" s="37" t="n">
        <f aca="false">1+IF($G$6=$E$6,$F$6,IF(P313&lt;($F$6-$E$6)/($G$6-$E$6),$E$6+SQRT(P313*($G$6-$E$6)*($F$6-$E$6)),$G$6-SQRT((1-P313)*($G$6-$E$6)*($G$6-$F$6))))</f>
        <v>0.931660954746348</v>
      </c>
      <c r="C313" s="37" t="n">
        <f aca="false">1+IF($G$7=$E$7,$F$7,IF(Q313&lt;($F$7-$E$7)/($G$7-$E$7),$E$7+SQRT(Q313*($G$7-$E$7)*($F$7-$E$7)),$G$7-SQRT((1-Q313)*($G$7-$E$7)*($G$7-$F$7))))</f>
        <v>0.907820582409423</v>
      </c>
      <c r="D313" s="37" t="n">
        <f aca="false">1+IF($G$8=$E$8,$F$8,IF(R313&lt;($F$8-$E$8)/($G$8-$E$8),$E$8+SQRT(R313*($G$8-$E$8)*($F$8-$E$8)),$G$8-SQRT((1-R313)*($G$8-$E$8)*($G$8-$F$8))))</f>
        <v>1.01773832515049</v>
      </c>
      <c r="E313" s="37" t="n">
        <f aca="false">1+IF($G$9=$E$9,$F$9,IF(S313&lt;($F$9-$E$9)/($G$9-$E$9),$E$9+SQRT(S313*($G$9-$E$9)*($F$9-$E$9)),$G$9-SQRT((1-S313)*($G$9-$E$9)*($G$9-$F$9))))</f>
        <v>1.00398688656075</v>
      </c>
      <c r="F313" s="37" t="n">
        <f aca="false">1+IF($G$10=$E$10,$F$10,IF(T313&lt;($F$10-$E$10)/($G$10-$E$10),$E$10+SQRT(T313*($G$10-$E$10)*($F$10-$E$10)),$G$10-SQRT((1-T313)*($G$10-$E$10)*($G$10-$F$10))))</f>
        <v>1.04242076210702</v>
      </c>
      <c r="G313" s="38" t="n">
        <f aca="false">IF($G$11=$E$11,$F$11,IF(U313&lt;($F$11-$E$11)/($G$11-$E$11),$E$11+SQRT(U313*($G$11-$E$11)*($F$11-$E$11)),$G$11-SQRT((1-U313)*($G$11-$E$11)*($G$11-$F$11))))</f>
        <v>0.104550754492346</v>
      </c>
      <c r="H313" s="39" t="n">
        <f aca="false">(('Business Case'!B11*$C313*'Business Case'!B12*$B313)-'Business Case'!B11*$C313*'Business Case'!B13*$D313-'Business Case'!B14*$E313)-MAX(0,(('Business Case'!B11*$C313*'Business Case'!B12*$B313)-'Business Case'!B11*$C313*'Business Case'!B13*$D313-'Business Case'!B14*$E313))*'Business Case'!$B$7-'Business Case'!$B$8*('Business Case'!B11*$C313*'Business Case'!B12*$B313)-'Business Case'!B15*$F313</f>
        <v>-2084841524.21403</v>
      </c>
      <c r="I313" s="39" t="n">
        <f aca="false">(('Business Case'!C11*$C313*'Business Case'!C12*$B313)-'Business Case'!C11*$C313*'Business Case'!C13*$D313-'Business Case'!C14*$E313)-MAX(0,(('Business Case'!C11*$C313*'Business Case'!C12*$B313)-'Business Case'!C11*$C313*'Business Case'!C13*$D313-'Business Case'!C14*$E313))*'Business Case'!$B$7-'Business Case'!$B$8*(('Business Case'!C11*$C313*'Business Case'!C12*$B313)-('Business Case'!B11*$C313*'Business Case'!B12*$B313))-'Business Case'!C15*$F313</f>
        <v>-71073841.7653626</v>
      </c>
      <c r="J313" s="39" t="n">
        <f aca="false">(('Business Case'!D11*$C313*'Business Case'!D12*$B313)-'Business Case'!D11*$C313*'Business Case'!D13*$D313-'Business Case'!D14*$E313)-MAX(0,(('Business Case'!D11*$C313*'Business Case'!D12*$B313)-'Business Case'!D11*$C313*'Business Case'!D13*$D313-'Business Case'!D14*$E313))*'Business Case'!$B$7-'Business Case'!$B$8*(('Business Case'!D11*$C313*'Business Case'!D12*$B313)-('Business Case'!C11*$C313*'Business Case'!C12*$B313))-'Business Case'!D15*$F313</f>
        <v>148706614.498817</v>
      </c>
      <c r="K313" s="39" t="n">
        <f aca="false">(('Business Case'!E11*$C313*'Business Case'!E12*$B313)-'Business Case'!E11*$C313*'Business Case'!E13*$D313-'Business Case'!E14*$E313)-MAX(0,(('Business Case'!E11*$C313*'Business Case'!E12*$B313)-'Business Case'!E11*$C313*'Business Case'!E13*$D313-'Business Case'!E14*$E313))*'Business Case'!$B$7-'Business Case'!$B$8*(('Business Case'!E11*$C313*'Business Case'!E12*$B313)-('Business Case'!D11*$C313*'Business Case'!D12*$B313))-'Business Case'!E15*$F313</f>
        <v>420608108.868347</v>
      </c>
      <c r="L313" s="39" t="n">
        <f aca="false">(('Business Case'!F11*$C313*'Business Case'!F12*$B313)-'Business Case'!F11*$C313*'Business Case'!F13*$D313-'Business Case'!F14*$E313)-MAX(0,(('Business Case'!F11*$C313*'Business Case'!F12*$B313)-'Business Case'!F11*$C313*'Business Case'!F13*$D313-'Business Case'!F14*$E313))*'Business Case'!$B$7-'Business Case'!$B$8*(('Business Case'!F11*$C313*'Business Case'!F12*$B313)-('Business Case'!E11*$C313*'Business Case'!E12*$B313))-'Business Case'!F15*$F313</f>
        <v>523098451.989675</v>
      </c>
      <c r="M313" s="39" t="n">
        <f aca="false">(('Business Case'!G11*$C313*'Business Case'!G12*$B313)-'Business Case'!G11*$C313*'Business Case'!G13*$D313-'Business Case'!G14*$E313)-MAX(0,(('Business Case'!G11*$C313*'Business Case'!G12*$B313)-'Business Case'!G11*$C313*'Business Case'!G13*$D313-'Business Case'!G14*$E313))*'Business Case'!$B$7-'Business Case'!$B$8*(('Business Case'!G11*$C313*'Business Case'!G12*$B313)-('Business Case'!F11*$C313*'Business Case'!F12*$B313))-'Business Case'!G15*$F313+'Business Case'!$B$8*('Business Case'!G11*$C313*'Business Case'!G12*$B313)</f>
        <v>683864502.672649</v>
      </c>
      <c r="N313" s="39" t="n">
        <f aca="false">IF(COUNT('Business Case'!B11:G11)=0,"",H313+NPV(G313,I313:M313))</f>
        <v>-947799118.826426</v>
      </c>
      <c r="P313" s="40" t="n">
        <f aca="true">RAND()</f>
        <v>0.014164360999623</v>
      </c>
      <c r="Q313" s="40" t="n">
        <f aca="true">RAND()</f>
        <v>0.166075399872958</v>
      </c>
      <c r="R313" s="40" t="n">
        <f aca="true">RAND()</f>
        <v>0.627258062012923</v>
      </c>
      <c r="S313" s="40" t="n">
        <f aca="true">RAND()</f>
        <v>0.38543213651342</v>
      </c>
      <c r="T313" s="40" t="n">
        <f aca="true">RAND()</f>
        <v>0.503375675701336</v>
      </c>
      <c r="U313" s="40" t="n">
        <f aca="true">RAND()</f>
        <v>0.602201355407045</v>
      </c>
    </row>
    <row r="314" customFormat="false" ht="15" hidden="false" customHeight="false" outlineLevel="0" collapsed="false">
      <c r="A314" s="36" t="n">
        <v>234</v>
      </c>
      <c r="B314" s="37" t="n">
        <f aca="false">1+IF($G$6=$E$6,$F$6,IF(P314&lt;($F$6-$E$6)/($G$6-$E$6),$E$6+SQRT(P314*($G$6-$E$6)*($F$6-$E$6)),$G$6-SQRT((1-P314)*($G$6-$E$6)*($G$6-$F$6))))</f>
        <v>0.958974969974634</v>
      </c>
      <c r="C314" s="37" t="n">
        <f aca="false">1+IF($G$7=$E$7,$F$7,IF(Q314&lt;($F$7-$E$7)/($G$7-$E$7),$E$7+SQRT(Q314*($G$7-$E$7)*($F$7-$E$7)),$G$7-SQRT((1-Q314)*($G$7-$E$7)*($G$7-$F$7))))</f>
        <v>1.00156304585384</v>
      </c>
      <c r="D314" s="37" t="n">
        <f aca="false">1+IF($G$8=$E$8,$F$8,IF(R314&lt;($F$8-$E$8)/($G$8-$E$8),$E$8+SQRT(R314*($G$8-$E$8)*($F$8-$E$8)),$G$8-SQRT((1-R314)*($G$8-$E$8)*($G$8-$F$8))))</f>
        <v>1.02514524480337</v>
      </c>
      <c r="E314" s="37" t="n">
        <f aca="false">1+IF($G$9=$E$9,$F$9,IF(S314&lt;($F$9-$E$9)/($G$9-$E$9),$E$9+SQRT(S314*($G$9-$E$9)*($F$9-$E$9)),$G$9-SQRT((1-S314)*($G$9-$E$9)*($G$9-$F$9))))</f>
        <v>1.00358249213336</v>
      </c>
      <c r="F314" s="37" t="n">
        <f aca="false">1+IF($G$10=$E$10,$F$10,IF(T314&lt;($F$10-$E$10)/($G$10-$E$10),$E$10+SQRT(T314*($G$10-$E$10)*($F$10-$E$10)),$G$10-SQRT((1-T314)*($G$10-$E$10)*($G$10-$F$10))))</f>
        <v>1.02939986921414</v>
      </c>
      <c r="G314" s="38" t="n">
        <f aca="false">IF($G$11=$E$11,$F$11,IF(U314&lt;($F$11-$E$11)/($G$11-$E$11),$E$11+SQRT(U314*($G$11-$E$11)*($F$11-$E$11)),$G$11-SQRT((1-U314)*($G$11-$E$11)*($G$11-$F$11))))</f>
        <v>0.115613785481332</v>
      </c>
      <c r="H314" s="39" t="n">
        <f aca="false">(('Business Case'!B11*$C314*'Business Case'!B12*$B314)-'Business Case'!B11*$C314*'Business Case'!B13*$D314-'Business Case'!B14*$E314)-MAX(0,(('Business Case'!B11*$C314*'Business Case'!B12*$B314)-'Business Case'!B11*$C314*'Business Case'!B13*$D314-'Business Case'!B14*$E314))*'Business Case'!$B$7-'Business Case'!$B$8*('Business Case'!B11*$C314*'Business Case'!B12*$B314)-'Business Case'!B15*$F314</f>
        <v>-2058799738.42828</v>
      </c>
      <c r="I314" s="39" t="n">
        <f aca="false">(('Business Case'!C11*$C314*'Business Case'!C12*$B314)-'Business Case'!C11*$C314*'Business Case'!C13*$D314-'Business Case'!C14*$E314)-MAX(0,(('Business Case'!C11*$C314*'Business Case'!C12*$B314)-'Business Case'!C11*$C314*'Business Case'!C13*$D314-'Business Case'!C14*$E314))*'Business Case'!$B$7-'Business Case'!$B$8*(('Business Case'!C11*$C314*'Business Case'!C12*$B314)-('Business Case'!B11*$C314*'Business Case'!B12*$B314))-'Business Case'!C15*$F314</f>
        <v>-34355740.5621515</v>
      </c>
      <c r="J314" s="39" t="n">
        <f aca="false">(('Business Case'!D11*$C314*'Business Case'!D12*$B314)-'Business Case'!D11*$C314*'Business Case'!D13*$D314-'Business Case'!D14*$E314)-MAX(0,(('Business Case'!D11*$C314*'Business Case'!D12*$B314)-'Business Case'!D11*$C314*'Business Case'!D13*$D314-'Business Case'!D14*$E314))*'Business Case'!$B$7-'Business Case'!$B$8*(('Business Case'!D11*$C314*'Business Case'!D12*$B314)-('Business Case'!C11*$C314*'Business Case'!C12*$B314))-'Business Case'!D15*$F314</f>
        <v>226728902.730703</v>
      </c>
      <c r="K314" s="39" t="n">
        <f aca="false">(('Business Case'!E11*$C314*'Business Case'!E12*$B314)-'Business Case'!E11*$C314*'Business Case'!E13*$D314-'Business Case'!E14*$E314)-MAX(0,(('Business Case'!E11*$C314*'Business Case'!E12*$B314)-'Business Case'!E11*$C314*'Business Case'!E13*$D314-'Business Case'!E14*$E314))*'Business Case'!$B$7-'Business Case'!$B$8*(('Business Case'!E11*$C314*'Business Case'!E12*$B314)-('Business Case'!D11*$C314*'Business Case'!D12*$B314))-'Business Case'!E15*$F314</f>
        <v>539283539.484264</v>
      </c>
      <c r="L314" s="39" t="n">
        <f aca="false">(('Business Case'!F11*$C314*'Business Case'!F12*$B314)-'Business Case'!F11*$C314*'Business Case'!F13*$D314-'Business Case'!F14*$E314)-MAX(0,(('Business Case'!F11*$C314*'Business Case'!F12*$B314)-'Business Case'!F11*$C314*'Business Case'!F13*$D314-'Business Case'!F14*$E314))*'Business Case'!$B$7-'Business Case'!$B$8*(('Business Case'!F11*$C314*'Business Case'!F12*$B314)-('Business Case'!E11*$C314*'Business Case'!E12*$B314))-'Business Case'!F15*$F314</f>
        <v>659505731.616701</v>
      </c>
      <c r="M314" s="39" t="n">
        <f aca="false">(('Business Case'!G11*$C314*'Business Case'!G12*$B314)-'Business Case'!G11*$C314*'Business Case'!G13*$D314-'Business Case'!G14*$E314)-MAX(0,(('Business Case'!G11*$C314*'Business Case'!G12*$B314)-'Business Case'!G11*$C314*'Business Case'!G13*$D314-'Business Case'!G14*$E314))*'Business Case'!$B$7-'Business Case'!$B$8*(('Business Case'!G11*$C314*'Business Case'!G12*$B314)-('Business Case'!F11*$C314*'Business Case'!F12*$B314))-'Business Case'!G15*$F314+'Business Case'!$B$8*('Business Case'!G11*$C314*'Business Case'!G12*$B314)</f>
        <v>842072608.974871</v>
      </c>
      <c r="N314" s="39" t="n">
        <f aca="false">IF(COUNT('Business Case'!B11:G11)=0,"",H314+NPV(G314,I314:M314))</f>
        <v>-605987385.280481</v>
      </c>
      <c r="P314" s="40" t="n">
        <f aca="true">RAND()</f>
        <v>0.158234196304545</v>
      </c>
      <c r="Q314" s="40" t="n">
        <f aca="true">RAND()</f>
        <v>0.580313726548783</v>
      </c>
      <c r="R314" s="40" t="n">
        <f aca="true">RAND()</f>
        <v>0.710668830030595</v>
      </c>
      <c r="S314" s="40" t="n">
        <f aca="true">RAND()</f>
        <v>0.380244278452364</v>
      </c>
      <c r="T314" s="40" t="n">
        <f aca="true">RAND()</f>
        <v>0.417911907516959</v>
      </c>
      <c r="U314" s="40" t="n">
        <f aca="true">RAND()</f>
        <v>0.967935203660379</v>
      </c>
    </row>
    <row r="315" customFormat="false" ht="15" hidden="false" customHeight="false" outlineLevel="0" collapsed="false">
      <c r="A315" s="36" t="n">
        <v>235</v>
      </c>
      <c r="B315" s="37" t="n">
        <f aca="false">1+IF($G$6=$E$6,$F$6,IF(P315&lt;($F$6-$E$6)/($G$6-$E$6),$E$6+SQRT(P315*($G$6-$E$6)*($F$6-$E$6)),$G$6-SQRT((1-P315)*($G$6-$E$6)*($G$6-$F$6))))</f>
        <v>0.99878895997961</v>
      </c>
      <c r="C315" s="37" t="n">
        <f aca="false">1+IF($G$7=$E$7,$F$7,IF(Q315&lt;($F$7-$E$7)/($G$7-$E$7),$E$7+SQRT(Q315*($G$7-$E$7)*($F$7-$E$7)),$G$7-SQRT((1-Q315)*($G$7-$E$7)*($G$7-$F$7))))</f>
        <v>0.952696244733092</v>
      </c>
      <c r="D315" s="37" t="n">
        <f aca="false">1+IF($G$8=$E$8,$F$8,IF(R315&lt;($F$8-$E$8)/($G$8-$E$8),$E$8+SQRT(R315*($G$8-$E$8)*($F$8-$E$8)),$G$8-SQRT((1-R315)*($G$8-$E$8)*($G$8-$F$8))))</f>
        <v>1.01361259305318</v>
      </c>
      <c r="E315" s="37" t="n">
        <f aca="false">1+IF($G$9=$E$9,$F$9,IF(S315&lt;($F$9-$E$9)/($G$9-$E$9),$E$9+SQRT(S315*($G$9-$E$9)*($F$9-$E$9)),$G$9-SQRT((1-S315)*($G$9-$E$9)*($G$9-$F$9))))</f>
        <v>1.00878895686923</v>
      </c>
      <c r="F315" s="37" t="n">
        <f aca="false">1+IF($G$10=$E$10,$F$10,IF(T315&lt;($F$10-$E$10)/($G$10-$E$10),$E$10+SQRT(T315*($G$10-$E$10)*($F$10-$E$10)),$G$10-SQRT((1-T315)*($G$10-$E$10)*($G$10-$F$10))))</f>
        <v>1.09289270998019</v>
      </c>
      <c r="G315" s="38" t="n">
        <f aca="false">IF($G$11=$E$11,$F$11,IF(U315&lt;($F$11-$E$11)/($G$11-$E$11),$E$11+SQRT(U315*($G$11-$E$11)*($F$11-$E$11)),$G$11-SQRT((1-U315)*($G$11-$E$11)*($G$11-$F$11))))</f>
        <v>0.106758003164265</v>
      </c>
      <c r="H315" s="39" t="n">
        <f aca="false">(('Business Case'!B11*$C315*'Business Case'!B12*$B315)-'Business Case'!B11*$C315*'Business Case'!B13*$D315-'Business Case'!B14*$E315)-MAX(0,(('Business Case'!B11*$C315*'Business Case'!B12*$B315)-'Business Case'!B11*$C315*'Business Case'!B13*$D315-'Business Case'!B14*$E315))*'Business Case'!$B$7-'Business Case'!$B$8*('Business Case'!B11*$C315*'Business Case'!B12*$B315)-'Business Case'!B15*$F315</f>
        <v>-2185785419.96037</v>
      </c>
      <c r="I315" s="39" t="n">
        <f aca="false">(('Business Case'!C11*$C315*'Business Case'!C12*$B315)-'Business Case'!C11*$C315*'Business Case'!C13*$D315-'Business Case'!C14*$E315)-MAX(0,(('Business Case'!C11*$C315*'Business Case'!C12*$B315)-'Business Case'!C11*$C315*'Business Case'!C13*$D315-'Business Case'!C14*$E315))*'Business Case'!$B$7-'Business Case'!$B$8*(('Business Case'!C11*$C315*'Business Case'!C12*$B315)-('Business Case'!B11*$C315*'Business Case'!B12*$B315))-'Business Case'!C15*$F315</f>
        <v>-17028393.10929</v>
      </c>
      <c r="J315" s="39" t="n">
        <f aca="false">(('Business Case'!D11*$C315*'Business Case'!D12*$B315)-'Business Case'!D11*$C315*'Business Case'!D13*$D315-'Business Case'!D14*$E315)-MAX(0,(('Business Case'!D11*$C315*'Business Case'!D12*$B315)-'Business Case'!D11*$C315*'Business Case'!D13*$D315-'Business Case'!D14*$E315))*'Business Case'!$B$7-'Business Case'!$B$8*(('Business Case'!D11*$C315*'Business Case'!D12*$B315)-('Business Case'!C11*$C315*'Business Case'!C12*$B315))-'Business Case'!D15*$F315</f>
        <v>268010237.203189</v>
      </c>
      <c r="K315" s="39" t="n">
        <f aca="false">(('Business Case'!E11*$C315*'Business Case'!E12*$B315)-'Business Case'!E11*$C315*'Business Case'!E13*$D315-'Business Case'!E14*$E315)-MAX(0,(('Business Case'!E11*$C315*'Business Case'!E12*$B315)-'Business Case'!E11*$C315*'Business Case'!E13*$D315-'Business Case'!E14*$E315))*'Business Case'!$B$7-'Business Case'!$B$8*(('Business Case'!E11*$C315*'Business Case'!E12*$B315)-('Business Case'!D11*$C315*'Business Case'!D12*$B315))-'Business Case'!E15*$F315</f>
        <v>607693503.014678</v>
      </c>
      <c r="L315" s="39" t="n">
        <f aca="false">(('Business Case'!F11*$C315*'Business Case'!F12*$B315)-'Business Case'!F11*$C315*'Business Case'!F13*$D315-'Business Case'!F14*$E315)-MAX(0,(('Business Case'!F11*$C315*'Business Case'!F12*$B315)-'Business Case'!F11*$C315*'Business Case'!F13*$D315-'Business Case'!F14*$E315))*'Business Case'!$B$7-'Business Case'!$B$8*(('Business Case'!F11*$C315*'Business Case'!F12*$B315)-('Business Case'!E11*$C315*'Business Case'!E12*$B315))-'Business Case'!F15*$F315</f>
        <v>735591688.290135</v>
      </c>
      <c r="M315" s="39" t="n">
        <f aca="false">(('Business Case'!G11*$C315*'Business Case'!G12*$B315)-'Business Case'!G11*$C315*'Business Case'!G13*$D315-'Business Case'!G14*$E315)-MAX(0,(('Business Case'!G11*$C315*'Business Case'!G12*$B315)-'Business Case'!G11*$C315*'Business Case'!G13*$D315-'Business Case'!G14*$E315))*'Business Case'!$B$7-'Business Case'!$B$8*(('Business Case'!G11*$C315*'Business Case'!G12*$B315)-('Business Case'!F11*$C315*'Business Case'!F12*$B315))-'Business Case'!G15*$F315+'Business Case'!$B$8*('Business Case'!G11*$C315*'Business Case'!G12*$B315)</f>
        <v>916460885.065606</v>
      </c>
      <c r="N315" s="39" t="n">
        <f aca="false">IF(COUNT('Business Case'!B11:G11)=0,"",H315+NPV(G315,I315:M315))</f>
        <v>-491968260.682965</v>
      </c>
      <c r="P315" s="40" t="n">
        <f aca="true">RAND()</f>
        <v>0.646635439027978</v>
      </c>
      <c r="Q315" s="40" t="n">
        <f aca="true">RAND()</f>
        <v>0.333087759365549</v>
      </c>
      <c r="R315" s="40" t="n">
        <f aca="true">RAND()</f>
        <v>0.576222326815099</v>
      </c>
      <c r="S315" s="40" t="n">
        <f aca="true">RAND()</f>
        <v>0.445369707399733</v>
      </c>
      <c r="T315" s="40" t="n">
        <f aca="true">RAND()</f>
        <v>0.770560568492226</v>
      </c>
      <c r="U315" s="40" t="n">
        <f aca="true">RAND()</f>
        <v>0.70774919967064</v>
      </c>
    </row>
    <row r="316" customFormat="false" ht="15" hidden="false" customHeight="false" outlineLevel="0" collapsed="false">
      <c r="A316" s="36" t="n">
        <v>236</v>
      </c>
      <c r="B316" s="37" t="n">
        <f aca="false">1+IF($G$6=$E$6,$F$6,IF(P316&lt;($F$6-$E$6)/($G$6-$E$6),$E$6+SQRT(P316*($G$6-$E$6)*($F$6-$E$6)),$G$6-SQRT((1-P316)*($G$6-$E$6)*($G$6-$F$6))))</f>
        <v>0.958964763684724</v>
      </c>
      <c r="C316" s="37" t="n">
        <f aca="false">1+IF($G$7=$E$7,$F$7,IF(Q316&lt;($F$7-$E$7)/($G$7-$E$7),$E$7+SQRT(Q316*($G$7-$E$7)*($F$7-$E$7)),$G$7-SQRT((1-Q316)*($G$7-$E$7)*($G$7-$F$7))))</f>
        <v>1.03217477470217</v>
      </c>
      <c r="D316" s="37" t="n">
        <f aca="false">1+IF($G$8=$E$8,$F$8,IF(R316&lt;($F$8-$E$8)/($G$8-$E$8),$E$8+SQRT(R316*($G$8-$E$8)*($F$8-$E$8)),$G$8-SQRT((1-R316)*($G$8-$E$8)*($G$8-$F$8))))</f>
        <v>0.980452629655981</v>
      </c>
      <c r="E316" s="37" t="n">
        <f aca="false">1+IF($G$9=$E$9,$F$9,IF(S316&lt;($F$9-$E$9)/($G$9-$E$9),$E$9+SQRT(S316*($G$9-$E$9)*($F$9-$E$9)),$G$9-SQRT((1-S316)*($G$9-$E$9)*($G$9-$F$9))))</f>
        <v>1.06240077386451</v>
      </c>
      <c r="F316" s="37" t="n">
        <f aca="false">1+IF($G$10=$E$10,$F$10,IF(T316&lt;($F$10-$E$10)/($G$10-$E$10),$E$10+SQRT(T316*($G$10-$E$10)*($F$10-$E$10)),$G$10-SQRT((1-T316)*($G$10-$E$10)*($G$10-$F$10))))</f>
        <v>1.0349280348751</v>
      </c>
      <c r="G316" s="38" t="n">
        <f aca="false">IF($G$11=$E$11,$F$11,IF(U316&lt;($F$11-$E$11)/($G$11-$E$11),$E$11+SQRT(U316*($G$11-$E$11)*($F$11-$E$11)),$G$11-SQRT((1-U316)*($G$11-$E$11)*($G$11-$F$11))))</f>
        <v>0.106817362876763</v>
      </c>
      <c r="H316" s="39" t="n">
        <f aca="false">(('Business Case'!B11*$C316*'Business Case'!B12*$B316)-'Business Case'!B11*$C316*'Business Case'!B13*$D316-'Business Case'!B14*$E316)-MAX(0,(('Business Case'!B11*$C316*'Business Case'!B12*$B316)-'Business Case'!B11*$C316*'Business Case'!B13*$D316-'Business Case'!B14*$E316))*'Business Case'!$B$7-'Business Case'!$B$8*('Business Case'!B11*$C316*'Business Case'!B12*$B316)-'Business Case'!B15*$F316</f>
        <v>-2069856069.75021</v>
      </c>
      <c r="I316" s="39" t="n">
        <f aca="false">(('Business Case'!C11*$C316*'Business Case'!C12*$B316)-'Business Case'!C11*$C316*'Business Case'!C13*$D316-'Business Case'!C14*$E316)-MAX(0,(('Business Case'!C11*$C316*'Business Case'!C12*$B316)-'Business Case'!C11*$C316*'Business Case'!C13*$D316-'Business Case'!C14*$E316))*'Business Case'!$B$7-'Business Case'!$B$8*(('Business Case'!C11*$C316*'Business Case'!C12*$B316)-('Business Case'!B11*$C316*'Business Case'!B12*$B316))-'Business Case'!C15*$F316</f>
        <v>-13207457.0768987</v>
      </c>
      <c r="J316" s="39" t="n">
        <f aca="false">(('Business Case'!D11*$C316*'Business Case'!D12*$B316)-'Business Case'!D11*$C316*'Business Case'!D13*$D316-'Business Case'!D14*$E316)-MAX(0,(('Business Case'!D11*$C316*'Business Case'!D12*$B316)-'Business Case'!D11*$C316*'Business Case'!D13*$D316-'Business Case'!D14*$E316))*'Business Case'!$B$7-'Business Case'!$B$8*(('Business Case'!D11*$C316*'Business Case'!D12*$B316)-('Business Case'!C11*$C316*'Business Case'!C12*$B316))-'Business Case'!D15*$F316</f>
        <v>279463508.722009</v>
      </c>
      <c r="K316" s="39" t="n">
        <f aca="false">(('Business Case'!E11*$C316*'Business Case'!E12*$B316)-'Business Case'!E11*$C316*'Business Case'!E13*$D316-'Business Case'!E14*$E316)-MAX(0,(('Business Case'!E11*$C316*'Business Case'!E12*$B316)-'Business Case'!E11*$C316*'Business Case'!E13*$D316-'Business Case'!E14*$E316))*'Business Case'!$B$7-'Business Case'!$B$8*(('Business Case'!E11*$C316*'Business Case'!E12*$B316)-('Business Case'!D11*$C316*'Business Case'!D12*$B316))-'Business Case'!E15*$F316</f>
        <v>623880876.264671</v>
      </c>
      <c r="L316" s="39" t="n">
        <f aca="false">(('Business Case'!F11*$C316*'Business Case'!F12*$B316)-'Business Case'!F11*$C316*'Business Case'!F13*$D316-'Business Case'!F14*$E316)-MAX(0,(('Business Case'!F11*$C316*'Business Case'!F12*$B316)-'Business Case'!F11*$C316*'Business Case'!F13*$D316-'Business Case'!F14*$E316))*'Business Case'!$B$7-'Business Case'!$B$8*(('Business Case'!F11*$C316*'Business Case'!F12*$B316)-('Business Case'!E11*$C316*'Business Case'!E12*$B316))-'Business Case'!F15*$F316</f>
        <v>755646017.760816</v>
      </c>
      <c r="M316" s="39" t="n">
        <f aca="false">(('Business Case'!G11*$C316*'Business Case'!G12*$B316)-'Business Case'!G11*$C316*'Business Case'!G13*$D316-'Business Case'!G14*$E316)-MAX(0,(('Business Case'!G11*$C316*'Business Case'!G12*$B316)-'Business Case'!G11*$C316*'Business Case'!G13*$D316-'Business Case'!G14*$E316))*'Business Case'!$B$7-'Business Case'!$B$8*(('Business Case'!G11*$C316*'Business Case'!G12*$B316)-('Business Case'!F11*$C316*'Business Case'!F12*$B316))-'Business Case'!G15*$F316+'Business Case'!$B$8*('Business Case'!G11*$C316*'Business Case'!G12*$B316)</f>
        <v>943790858.691612</v>
      </c>
      <c r="N316" s="39" t="n">
        <f aca="false">IF(COUNT('Business Case'!B11:G11)=0,"",H316+NPV(G316,I316:M316))</f>
        <v>-321830342.434934</v>
      </c>
      <c r="P316" s="40" t="n">
        <f aca="true">RAND()</f>
        <v>0.158151334271496</v>
      </c>
      <c r="Q316" s="40" t="n">
        <f aca="true">RAND()</f>
        <v>0.735566024447926</v>
      </c>
      <c r="R316" s="40" t="n">
        <f aca="true">RAND()</f>
        <v>0.142671177379127</v>
      </c>
      <c r="S316" s="40" t="n">
        <f aca="true">RAND()</f>
        <v>0.905753212934144</v>
      </c>
      <c r="T316" s="40" t="n">
        <f aca="true">RAND()</f>
        <v>0.4550249265961</v>
      </c>
      <c r="U316" s="40" t="n">
        <f aca="true">RAND()</f>
        <v>0.710363464128433</v>
      </c>
    </row>
    <row r="317" customFormat="false" ht="15" hidden="false" customHeight="false" outlineLevel="0" collapsed="false">
      <c r="A317" s="36" t="n">
        <v>237</v>
      </c>
      <c r="B317" s="37" t="n">
        <f aca="false">1+IF($G$6=$E$6,$F$6,IF(P317&lt;($F$6-$E$6)/($G$6-$E$6),$E$6+SQRT(P317*($G$6-$E$6)*($F$6-$E$6)),$G$6-SQRT((1-P317)*($G$6-$E$6)*($G$6-$F$6))))</f>
        <v>0.962534064563424</v>
      </c>
      <c r="C317" s="37" t="n">
        <f aca="false">1+IF($G$7=$E$7,$F$7,IF(Q317&lt;($F$7-$E$7)/($G$7-$E$7),$E$7+SQRT(Q317*($G$7-$E$7)*($F$7-$E$7)),$G$7-SQRT((1-Q317)*($G$7-$E$7)*($G$7-$F$7))))</f>
        <v>0.973541452738819</v>
      </c>
      <c r="D317" s="37" t="n">
        <f aca="false">1+IF($G$8=$E$8,$F$8,IF(R317&lt;($F$8-$E$8)/($G$8-$E$8),$E$8+SQRT(R317*($G$8-$E$8)*($F$8-$E$8)),$G$8-SQRT((1-R317)*($G$8-$E$8)*($G$8-$F$8))))</f>
        <v>1.02988890698627</v>
      </c>
      <c r="E317" s="37" t="n">
        <f aca="false">1+IF($G$9=$E$9,$F$9,IF(S317&lt;($F$9-$E$9)/($G$9-$E$9),$E$9+SQRT(S317*($G$9-$E$9)*($F$9-$E$9)),$G$9-SQRT((1-S317)*($G$9-$E$9)*($G$9-$F$9))))</f>
        <v>1.04026542243954</v>
      </c>
      <c r="F317" s="37" t="n">
        <f aca="false">1+IF($G$10=$E$10,$F$10,IF(T317&lt;($F$10-$E$10)/($G$10-$E$10),$E$10+SQRT(T317*($G$10-$E$10)*($F$10-$E$10)),$G$10-SQRT((1-T317)*($G$10-$E$10)*($G$10-$F$10))))</f>
        <v>1.10461123810961</v>
      </c>
      <c r="G317" s="38" t="n">
        <f aca="false">IF($G$11=$E$11,$F$11,IF(U317&lt;($F$11-$E$11)/($G$11-$E$11),$E$11+SQRT(U317*($G$11-$E$11)*($F$11-$E$11)),$G$11-SQRT((1-U317)*($G$11-$E$11)*($G$11-$F$11))))</f>
        <v>0.101786982439906</v>
      </c>
      <c r="H317" s="39" t="n">
        <f aca="false">(('Business Case'!B11*$C317*'Business Case'!B12*$B317)-'Business Case'!B11*$C317*'Business Case'!B13*$D317-'Business Case'!B14*$E317)-MAX(0,(('Business Case'!B11*$C317*'Business Case'!B12*$B317)-'Business Case'!B11*$C317*'Business Case'!B13*$D317-'Business Case'!B14*$E317))*'Business Case'!$B$7-'Business Case'!$B$8*('Business Case'!B11*$C317*'Business Case'!B12*$B317)-'Business Case'!B15*$F317</f>
        <v>-2209222476.21921</v>
      </c>
      <c r="I317" s="39" t="n">
        <f aca="false">(('Business Case'!C11*$C317*'Business Case'!C12*$B317)-'Business Case'!C11*$C317*'Business Case'!C13*$D317-'Business Case'!C14*$E317)-MAX(0,(('Business Case'!C11*$C317*'Business Case'!C12*$B317)-'Business Case'!C11*$C317*'Business Case'!C13*$D317-'Business Case'!C14*$E317))*'Business Case'!$B$7-'Business Case'!$B$8*(('Business Case'!C11*$C317*'Business Case'!C12*$B317)-('Business Case'!B11*$C317*'Business Case'!B12*$B317))-'Business Case'!C15*$F317</f>
        <v>-52710457.6234903</v>
      </c>
      <c r="J317" s="39" t="n">
        <f aca="false">(('Business Case'!D11*$C317*'Business Case'!D12*$B317)-'Business Case'!D11*$C317*'Business Case'!D13*$D317-'Business Case'!D14*$E317)-MAX(0,(('Business Case'!D11*$C317*'Business Case'!D12*$B317)-'Business Case'!D11*$C317*'Business Case'!D13*$D317-'Business Case'!D14*$E317))*'Business Case'!$B$7-'Business Case'!$B$8*(('Business Case'!D11*$C317*'Business Case'!D12*$B317)-('Business Case'!C11*$C317*'Business Case'!C12*$B317))-'Business Case'!D15*$F317</f>
        <v>201543495.144373</v>
      </c>
      <c r="K317" s="39" t="n">
        <f aca="false">(('Business Case'!E11*$C317*'Business Case'!E12*$B317)-'Business Case'!E11*$C317*'Business Case'!E13*$D317-'Business Case'!E14*$E317)-MAX(0,(('Business Case'!E11*$C317*'Business Case'!E12*$B317)-'Business Case'!E11*$C317*'Business Case'!E13*$D317-'Business Case'!E14*$E317))*'Business Case'!$B$7-'Business Case'!$B$8*(('Business Case'!E11*$C317*'Business Case'!E12*$B317)-('Business Case'!D11*$C317*'Business Case'!D12*$B317))-'Business Case'!E15*$F317</f>
        <v>511028009.817717</v>
      </c>
      <c r="L317" s="39" t="n">
        <f aca="false">(('Business Case'!F11*$C317*'Business Case'!F12*$B317)-'Business Case'!F11*$C317*'Business Case'!F13*$D317-'Business Case'!F14*$E317)-MAX(0,(('Business Case'!F11*$C317*'Business Case'!F12*$B317)-'Business Case'!F11*$C317*'Business Case'!F13*$D317-'Business Case'!F14*$E317))*'Business Case'!$B$7-'Business Case'!$B$8*(('Business Case'!F11*$C317*'Business Case'!F12*$B317)-('Business Case'!E11*$C317*'Business Case'!E12*$B317))-'Business Case'!F15*$F317</f>
        <v>628164356.413333</v>
      </c>
      <c r="M317" s="39" t="n">
        <f aca="false">(('Business Case'!G11*$C317*'Business Case'!G12*$B317)-'Business Case'!G11*$C317*'Business Case'!G13*$D317-'Business Case'!G14*$E317)-MAX(0,(('Business Case'!G11*$C317*'Business Case'!G12*$B317)-'Business Case'!G11*$C317*'Business Case'!G13*$D317-'Business Case'!G14*$E317))*'Business Case'!$B$7-'Business Case'!$B$8*(('Business Case'!G11*$C317*'Business Case'!G12*$B317)-('Business Case'!F11*$C317*'Business Case'!F12*$B317))-'Business Case'!G15*$F317+'Business Case'!$B$8*('Business Case'!G11*$C317*'Business Case'!G12*$B317)</f>
        <v>806282015.948133</v>
      </c>
      <c r="N317" s="39" t="n">
        <f aca="false">IF(COUNT('Business Case'!B11:G11)=0,"",H317+NPV(G317,I317:M317))</f>
        <v>-786101608.560514</v>
      </c>
      <c r="P317" s="40" t="n">
        <f aca="true">RAND()</f>
        <v>0.188452775863071</v>
      </c>
      <c r="Q317" s="40" t="n">
        <f aca="true">RAND()</f>
        <v>0.430237654552852</v>
      </c>
      <c r="R317" s="40" t="n">
        <f aca="true">RAND()</f>
        <v>0.758545995862432</v>
      </c>
      <c r="S317" s="40" t="n">
        <f aca="true">RAND()</f>
        <v>0.762118682911525</v>
      </c>
      <c r="T317" s="40" t="n">
        <f aca="true">RAND()</f>
        <v>0.818019682100358</v>
      </c>
      <c r="U317" s="40" t="n">
        <f aca="true">RAND()</f>
        <v>0.447143318926176</v>
      </c>
    </row>
    <row r="318" customFormat="false" ht="15" hidden="false" customHeight="false" outlineLevel="0" collapsed="false">
      <c r="A318" s="36" t="n">
        <v>238</v>
      </c>
      <c r="B318" s="37" t="n">
        <f aca="false">1+IF($G$6=$E$6,$F$6,IF(P318&lt;($F$6-$E$6)/($G$6-$E$6),$E$6+SQRT(P318*($G$6-$E$6)*($F$6-$E$6)),$G$6-SQRT((1-P318)*($G$6-$E$6)*($G$6-$F$6))))</f>
        <v>0.939186336280215</v>
      </c>
      <c r="C318" s="37" t="n">
        <f aca="false">1+IF($G$7=$E$7,$F$7,IF(Q318&lt;($F$7-$E$7)/($G$7-$E$7),$E$7+SQRT(Q318*($G$7-$E$7)*($F$7-$E$7)),$G$7-SQRT((1-Q318)*($G$7-$E$7)*($G$7-$F$7))))</f>
        <v>1.00480979282</v>
      </c>
      <c r="D318" s="37" t="n">
        <f aca="false">1+IF($G$8=$E$8,$F$8,IF(R318&lt;($F$8-$E$8)/($G$8-$E$8),$E$8+SQRT(R318*($G$8-$E$8)*($F$8-$E$8)),$G$8-SQRT((1-R318)*($G$8-$E$8)*($G$8-$F$8))))</f>
        <v>0.997677796481777</v>
      </c>
      <c r="E318" s="37" t="n">
        <f aca="false">1+IF($G$9=$E$9,$F$9,IF(S318&lt;($F$9-$E$9)/($G$9-$E$9),$E$9+SQRT(S318*($G$9-$E$9)*($F$9-$E$9)),$G$9-SQRT((1-S318)*($G$9-$E$9)*($G$9-$F$9))))</f>
        <v>1.030311696841</v>
      </c>
      <c r="F318" s="37" t="n">
        <f aca="false">1+IF($G$10=$E$10,$F$10,IF(T318&lt;($F$10-$E$10)/($G$10-$E$10),$E$10+SQRT(T318*($G$10-$E$10)*($F$10-$E$10)),$G$10-SQRT((1-T318)*($G$10-$E$10)*($G$10-$F$10))))</f>
        <v>1.0470303316253</v>
      </c>
      <c r="G318" s="38" t="n">
        <f aca="false">IF($G$11=$E$11,$F$11,IF(U318&lt;($F$11-$E$11)/($G$11-$E$11),$E$11+SQRT(U318*($G$11-$E$11)*($F$11-$E$11)),$G$11-SQRT((1-U318)*($G$11-$E$11)*($G$11-$F$11))))</f>
        <v>0.103370163531442</v>
      </c>
      <c r="H318" s="39" t="n">
        <f aca="false">(('Business Case'!B11*$C318*'Business Case'!B12*$B318)-'Business Case'!B11*$C318*'Business Case'!B13*$D318-'Business Case'!B14*$E318)-MAX(0,(('Business Case'!B11*$C318*'Business Case'!B12*$B318)-'Business Case'!B11*$C318*'Business Case'!B13*$D318-'Business Case'!B14*$E318))*'Business Case'!$B$7-'Business Case'!$B$8*('Business Case'!B11*$C318*'Business Case'!B12*$B318)-'Business Case'!B15*$F318</f>
        <v>-2094060663.2506</v>
      </c>
      <c r="I318" s="39" t="n">
        <f aca="false">(('Business Case'!C11*$C318*'Business Case'!C12*$B318)-'Business Case'!C11*$C318*'Business Case'!C13*$D318-'Business Case'!C14*$E318)-MAX(0,(('Business Case'!C11*$C318*'Business Case'!C12*$B318)-'Business Case'!C11*$C318*'Business Case'!C13*$D318-'Business Case'!C14*$E318))*'Business Case'!$B$7-'Business Case'!$B$8*(('Business Case'!C11*$C318*'Business Case'!C12*$B318)-('Business Case'!B11*$C318*'Business Case'!B12*$B318))-'Business Case'!C15*$F318</f>
        <v>-40361463.4713882</v>
      </c>
      <c r="J318" s="39" t="n">
        <f aca="false">(('Business Case'!D11*$C318*'Business Case'!D12*$B318)-'Business Case'!D11*$C318*'Business Case'!D13*$D318-'Business Case'!D14*$E318)-MAX(0,(('Business Case'!D11*$C318*'Business Case'!D12*$B318)-'Business Case'!D11*$C318*'Business Case'!D13*$D318-'Business Case'!D14*$E318))*'Business Case'!$B$7-'Business Case'!$B$8*(('Business Case'!D11*$C318*'Business Case'!D12*$B318)-('Business Case'!C11*$C318*'Business Case'!C12*$B318))-'Business Case'!D15*$F318</f>
        <v>219412025.584877</v>
      </c>
      <c r="K318" s="39" t="n">
        <f aca="false">(('Business Case'!E11*$C318*'Business Case'!E12*$B318)-'Business Case'!E11*$C318*'Business Case'!E13*$D318-'Business Case'!E14*$E318)-MAX(0,(('Business Case'!E11*$C318*'Business Case'!E12*$B318)-'Business Case'!E11*$C318*'Business Case'!E13*$D318-'Business Case'!E14*$E318))*'Business Case'!$B$7-'Business Case'!$B$8*(('Business Case'!E11*$C318*'Business Case'!E12*$B318)-('Business Case'!D11*$C318*'Business Case'!D12*$B318))-'Business Case'!E15*$F318</f>
        <v>531537031.222407</v>
      </c>
      <c r="L318" s="39" t="n">
        <f aca="false">(('Business Case'!F11*$C318*'Business Case'!F12*$B318)-'Business Case'!F11*$C318*'Business Case'!F13*$D318-'Business Case'!F14*$E318)-MAX(0,(('Business Case'!F11*$C318*'Business Case'!F12*$B318)-'Business Case'!F11*$C318*'Business Case'!F13*$D318-'Business Case'!F14*$E318))*'Business Case'!$B$7-'Business Case'!$B$8*(('Business Case'!F11*$C318*'Business Case'!F12*$B318)-('Business Case'!E11*$C318*'Business Case'!E12*$B318))-'Business Case'!F15*$F318</f>
        <v>650742591.624051</v>
      </c>
      <c r="M318" s="39" t="n">
        <f aca="false">(('Business Case'!G11*$C318*'Business Case'!G12*$B318)-'Business Case'!G11*$C318*'Business Case'!G13*$D318-'Business Case'!G14*$E318)-MAX(0,(('Business Case'!G11*$C318*'Business Case'!G12*$B318)-'Business Case'!G11*$C318*'Business Case'!G13*$D318-'Business Case'!G14*$E318))*'Business Case'!$B$7-'Business Case'!$B$8*(('Business Case'!G11*$C318*'Business Case'!G12*$B318)-('Business Case'!F11*$C318*'Business Case'!F12*$B318))-'Business Case'!G15*$F318+'Business Case'!$B$8*('Business Case'!G11*$C318*'Business Case'!G12*$B318)</f>
        <v>830121777.229938</v>
      </c>
      <c r="N318" s="39" t="n">
        <f aca="false">IF(COUNT('Business Case'!B11:G11)=0,"",H318+NPV(G318,I318:M318))</f>
        <v>-608034383.222222</v>
      </c>
      <c r="P318" s="40" t="n">
        <f aca="true">RAND()</f>
        <v>0.0383453645684902</v>
      </c>
      <c r="Q318" s="40" t="n">
        <f aca="true">RAND()</f>
        <v>0.598472452171992</v>
      </c>
      <c r="R318" s="40" t="n">
        <f aca="true">RAND()</f>
        <v>0.349718811901197</v>
      </c>
      <c r="S318" s="40" t="n">
        <f aca="true">RAND()</f>
        <v>0.67623602685464</v>
      </c>
      <c r="T318" s="40" t="n">
        <f aca="true">RAND()</f>
        <v>0.532005611146676</v>
      </c>
      <c r="U318" s="40" t="n">
        <f aca="true">RAND()</f>
        <v>0.539080898381679</v>
      </c>
    </row>
    <row r="319" customFormat="false" ht="15" hidden="false" customHeight="false" outlineLevel="0" collapsed="false">
      <c r="A319" s="36" t="n">
        <v>239</v>
      </c>
      <c r="B319" s="37" t="n">
        <f aca="false">1+IF($G$6=$E$6,$F$6,IF(P319&lt;($F$6-$E$6)/($G$6-$E$6),$E$6+SQRT(P319*($G$6-$E$6)*($F$6-$E$6)),$G$6-SQRT((1-P319)*($G$6-$E$6)*($G$6-$F$6))))</f>
        <v>0.993309557018586</v>
      </c>
      <c r="C319" s="37" t="n">
        <f aca="false">1+IF($G$7=$E$7,$F$7,IF(Q319&lt;($F$7-$E$7)/($G$7-$E$7),$E$7+SQRT(Q319*($G$7-$E$7)*($F$7-$E$7)),$G$7-SQRT((1-Q319)*($G$7-$E$7)*($G$7-$F$7))))</f>
        <v>1.13697092785541</v>
      </c>
      <c r="D319" s="37" t="n">
        <f aca="false">1+IF($G$8=$E$8,$F$8,IF(R319&lt;($F$8-$E$8)/($G$8-$E$8),$E$8+SQRT(R319*($G$8-$E$8)*($F$8-$E$8)),$G$8-SQRT((1-R319)*($G$8-$E$8)*($G$8-$F$8))))</f>
        <v>1.02320753548386</v>
      </c>
      <c r="E319" s="37" t="n">
        <f aca="false">1+IF($G$9=$E$9,$F$9,IF(S319&lt;($F$9-$E$9)/($G$9-$E$9),$E$9+SQRT(S319*($G$9-$E$9)*($F$9-$E$9)),$G$9-SQRT((1-S319)*($G$9-$E$9)*($G$9-$F$9))))</f>
        <v>1.00054177195432</v>
      </c>
      <c r="F319" s="37" t="n">
        <f aca="false">1+IF($G$10=$E$10,$F$10,IF(T319&lt;($F$10-$E$10)/($G$10-$E$10),$E$10+SQRT(T319*($G$10-$E$10)*($F$10-$E$10)),$G$10-SQRT((1-T319)*($G$10-$E$10)*($G$10-$F$10))))</f>
        <v>1.11165643425827</v>
      </c>
      <c r="G319" s="38" t="n">
        <f aca="false">IF($G$11=$E$11,$F$11,IF(U319&lt;($F$11-$E$11)/($G$11-$E$11),$E$11+SQRT(U319*($G$11-$E$11)*($F$11-$E$11)),$G$11-SQRT((1-U319)*($G$11-$E$11)*($G$11-$F$11))))</f>
        <v>0.0973065986315</v>
      </c>
      <c r="H319" s="39" t="n">
        <f aca="false">(('Business Case'!B11*$C319*'Business Case'!B12*$B319)-'Business Case'!B11*$C319*'Business Case'!B13*$D319-'Business Case'!B14*$E319)-MAX(0,(('Business Case'!B11*$C319*'Business Case'!B12*$B319)-'Business Case'!B11*$C319*'Business Case'!B13*$D319-'Business Case'!B14*$E319))*'Business Case'!$B$7-'Business Case'!$B$8*('Business Case'!B11*$C319*'Business Case'!B12*$B319)-'Business Case'!B15*$F319</f>
        <v>-2223312868.51655</v>
      </c>
      <c r="I319" s="39" t="n">
        <f aca="false">(('Business Case'!C11*$C319*'Business Case'!C12*$B319)-'Business Case'!C11*$C319*'Business Case'!C13*$D319-'Business Case'!C14*$E319)-MAX(0,(('Business Case'!C11*$C319*'Business Case'!C12*$B319)-'Business Case'!C11*$C319*'Business Case'!C13*$D319-'Business Case'!C14*$E319))*'Business Case'!$B$7-'Business Case'!$B$8*(('Business Case'!C11*$C319*'Business Case'!C12*$B319)-('Business Case'!B11*$C319*'Business Case'!B12*$B319))-'Business Case'!C15*$F319</f>
        <v>17495756.5186135</v>
      </c>
      <c r="J319" s="39" t="n">
        <f aca="false">(('Business Case'!D11*$C319*'Business Case'!D12*$B319)-'Business Case'!D11*$C319*'Business Case'!D13*$D319-'Business Case'!D14*$E319)-MAX(0,(('Business Case'!D11*$C319*'Business Case'!D12*$B319)-'Business Case'!D11*$C319*'Business Case'!D13*$D319-'Business Case'!D14*$E319))*'Business Case'!$B$7-'Business Case'!$B$8*(('Business Case'!D11*$C319*'Business Case'!D12*$B319)-('Business Case'!C11*$C319*'Business Case'!C12*$B319))-'Business Case'!D15*$F319</f>
        <v>346980430.792704</v>
      </c>
      <c r="K319" s="39" t="n">
        <f aca="false">(('Business Case'!E11*$C319*'Business Case'!E12*$B319)-'Business Case'!E11*$C319*'Business Case'!E13*$D319-'Business Case'!E14*$E319)-MAX(0,(('Business Case'!E11*$C319*'Business Case'!E12*$B319)-'Business Case'!E11*$C319*'Business Case'!E13*$D319-'Business Case'!E14*$E319))*'Business Case'!$B$7-'Business Case'!$B$8*(('Business Case'!E11*$C319*'Business Case'!E12*$B319)-('Business Case'!D11*$C319*'Business Case'!D12*$B319))-'Business Case'!E15*$F319</f>
        <v>732047926.779709</v>
      </c>
      <c r="L319" s="39" t="n">
        <f aca="false">(('Business Case'!F11*$C319*'Business Case'!F12*$B319)-'Business Case'!F11*$C319*'Business Case'!F13*$D319-'Business Case'!F14*$E319)-MAX(0,(('Business Case'!F11*$C319*'Business Case'!F12*$B319)-'Business Case'!F11*$C319*'Business Case'!F13*$D319-'Business Case'!F14*$E319))*'Business Case'!$B$7-'Business Case'!$B$8*(('Business Case'!F11*$C319*'Business Case'!F12*$B319)-('Business Case'!E11*$C319*'Business Case'!E12*$B319))-'Business Case'!F15*$F319</f>
        <v>880906974.442903</v>
      </c>
      <c r="M319" s="39" t="n">
        <f aca="false">(('Business Case'!G11*$C319*'Business Case'!G12*$B319)-'Business Case'!G11*$C319*'Business Case'!G13*$D319-'Business Case'!G14*$E319)-MAX(0,(('Business Case'!G11*$C319*'Business Case'!G12*$B319)-'Business Case'!G11*$C319*'Business Case'!G13*$D319-'Business Case'!G14*$E319))*'Business Case'!$B$7-'Business Case'!$B$8*(('Business Case'!G11*$C319*'Business Case'!G12*$B319)-('Business Case'!F11*$C319*'Business Case'!F12*$B319))-'Business Case'!G15*$F319+'Business Case'!$B$8*('Business Case'!G11*$C319*'Business Case'!G12*$B319)</f>
        <v>1095576500.4213</v>
      </c>
      <c r="N319" s="39" t="n">
        <f aca="false">IF(COUNT('Business Case'!B11:G11)=0,"",H319+NPV(G319,I319:M319))</f>
        <v>-68882930.0679851</v>
      </c>
      <c r="P319" s="40" t="n">
        <f aca="true">RAND()</f>
        <v>0.559821994818884</v>
      </c>
      <c r="Q319" s="40" t="n">
        <f aca="true">RAND()</f>
        <v>0.996766538648594</v>
      </c>
      <c r="R319" s="40" t="n">
        <f aca="true">RAND()</f>
        <v>0.689866920594563</v>
      </c>
      <c r="S319" s="40" t="n">
        <f aca="true">RAND()</f>
        <v>0.340537391600956</v>
      </c>
      <c r="T319" s="40" t="n">
        <f aca="true">RAND()</f>
        <v>0.843908287840743</v>
      </c>
      <c r="U319" s="40" t="n">
        <f aca="true">RAND()</f>
        <v>0.177954611872794</v>
      </c>
    </row>
    <row r="320" customFormat="false" ht="15" hidden="false" customHeight="false" outlineLevel="0" collapsed="false">
      <c r="A320" s="36" t="n">
        <v>240</v>
      </c>
      <c r="B320" s="37" t="n">
        <f aca="false">1+IF($G$6=$E$6,$F$6,IF(P320&lt;($F$6-$E$6)/($G$6-$E$6),$E$6+SQRT(P320*($G$6-$E$6)*($F$6-$E$6)),$G$6-SQRT((1-P320)*($G$6-$E$6)*($G$6-$F$6))))</f>
        <v>0.97058681516756</v>
      </c>
      <c r="C320" s="37" t="n">
        <f aca="false">1+IF($G$7=$E$7,$F$7,IF(Q320&lt;($F$7-$E$7)/($G$7-$E$7),$E$7+SQRT(Q320*($G$7-$E$7)*($F$7-$E$7)),$G$7-SQRT((1-Q320)*($G$7-$E$7)*($G$7-$F$7))))</f>
        <v>0.898285411361605</v>
      </c>
      <c r="D320" s="37" t="n">
        <f aca="false">1+IF($G$8=$E$8,$F$8,IF(R320&lt;($F$8-$E$8)/($G$8-$E$8),$E$8+SQRT(R320*($G$8-$E$8)*($F$8-$E$8)),$G$8-SQRT((1-R320)*($G$8-$E$8)*($G$8-$F$8))))</f>
        <v>0.985406105322772</v>
      </c>
      <c r="E320" s="37" t="n">
        <f aca="false">1+IF($G$9=$E$9,$F$9,IF(S320&lt;($F$9-$E$9)/($G$9-$E$9),$E$9+SQRT(S320*($G$9-$E$9)*($F$9-$E$9)),$G$9-SQRT((1-S320)*($G$9-$E$9)*($G$9-$F$9))))</f>
        <v>1.00288517294774</v>
      </c>
      <c r="F320" s="37" t="n">
        <f aca="false">1+IF($G$10=$E$10,$F$10,IF(T320&lt;($F$10-$E$10)/($G$10-$E$10),$E$10+SQRT(T320*($G$10-$E$10)*($F$10-$E$10)),$G$10-SQRT((1-T320)*($G$10-$E$10)*($G$10-$F$10))))</f>
        <v>1.12713995662761</v>
      </c>
      <c r="G320" s="38" t="n">
        <f aca="false">IF($G$11=$E$11,$F$11,IF(U320&lt;($F$11-$E$11)/($G$11-$E$11),$E$11+SQRT(U320*($G$11-$E$11)*($F$11-$E$11)),$G$11-SQRT((1-U320)*($G$11-$E$11)*($G$11-$F$11))))</f>
        <v>0.105269369749046</v>
      </c>
      <c r="H320" s="39" t="n">
        <f aca="false">(('Business Case'!B11*$C320*'Business Case'!B12*$B320)-'Business Case'!B11*$C320*'Business Case'!B13*$D320-'Business Case'!B14*$E320)-MAX(0,(('Business Case'!B11*$C320*'Business Case'!B12*$B320)-'Business Case'!B11*$C320*'Business Case'!B13*$D320-'Business Case'!B14*$E320))*'Business Case'!$B$7-'Business Case'!$B$8*('Business Case'!B11*$C320*'Business Case'!B12*$B320)-'Business Case'!B15*$F320</f>
        <v>-2254279913.25522</v>
      </c>
      <c r="I320" s="39" t="n">
        <f aca="false">(('Business Case'!C11*$C320*'Business Case'!C12*$B320)-'Business Case'!C11*$C320*'Business Case'!C13*$D320-'Business Case'!C14*$E320)-MAX(0,(('Business Case'!C11*$C320*'Business Case'!C12*$B320)-'Business Case'!C11*$C320*'Business Case'!C13*$D320-'Business Case'!C14*$E320))*'Business Case'!$B$7-'Business Case'!$B$8*(('Business Case'!C11*$C320*'Business Case'!C12*$B320)-('Business Case'!B11*$C320*'Business Case'!B12*$B320))-'Business Case'!C15*$F320</f>
        <v>-39541586.2276398</v>
      </c>
      <c r="J320" s="39" t="n">
        <f aca="false">(('Business Case'!D11*$C320*'Business Case'!D12*$B320)-'Business Case'!D11*$C320*'Business Case'!D13*$D320-'Business Case'!D14*$E320)-MAX(0,(('Business Case'!D11*$C320*'Business Case'!D12*$B320)-'Business Case'!D11*$C320*'Business Case'!D13*$D320-'Business Case'!D14*$E320))*'Business Case'!$B$7-'Business Case'!$B$8*(('Business Case'!D11*$C320*'Business Case'!D12*$B320)-('Business Case'!C11*$C320*'Business Case'!C12*$B320))-'Business Case'!D15*$F320</f>
        <v>221438523.343703</v>
      </c>
      <c r="K320" s="39" t="n">
        <f aca="false">(('Business Case'!E11*$C320*'Business Case'!E12*$B320)-'Business Case'!E11*$C320*'Business Case'!E13*$D320-'Business Case'!E14*$E320)-MAX(0,(('Business Case'!E11*$C320*'Business Case'!E12*$B320)-'Business Case'!E11*$C320*'Business Case'!E13*$D320-'Business Case'!E14*$E320))*'Business Case'!$B$7-'Business Case'!$B$8*(('Business Case'!E11*$C320*'Business Case'!E12*$B320)-('Business Case'!D11*$C320*'Business Case'!D12*$B320))-'Business Case'!E15*$F320</f>
        <v>538775630.746425</v>
      </c>
      <c r="L320" s="39" t="n">
        <f aca="false">(('Business Case'!F11*$C320*'Business Case'!F12*$B320)-'Business Case'!F11*$C320*'Business Case'!F13*$D320-'Business Case'!F14*$E320)-MAX(0,(('Business Case'!F11*$C320*'Business Case'!F12*$B320)-'Business Case'!F11*$C320*'Business Case'!F13*$D320-'Business Case'!F14*$E320))*'Business Case'!$B$7-'Business Case'!$B$8*(('Business Case'!F11*$C320*'Business Case'!F12*$B320)-('Business Case'!E11*$C320*'Business Case'!E12*$B320))-'Business Case'!F15*$F320</f>
        <v>655900619.632241</v>
      </c>
      <c r="M320" s="39" t="n">
        <f aca="false">(('Business Case'!G11*$C320*'Business Case'!G12*$B320)-'Business Case'!G11*$C320*'Business Case'!G13*$D320-'Business Case'!G14*$E320)-MAX(0,(('Business Case'!G11*$C320*'Business Case'!G12*$B320)-'Business Case'!G11*$C320*'Business Case'!G13*$D320-'Business Case'!G14*$E320))*'Business Case'!$B$7-'Business Case'!$B$8*(('Business Case'!G11*$C320*'Business Case'!G12*$B320)-('Business Case'!F11*$C320*'Business Case'!F12*$B320))-'Business Case'!G15*$F320+'Business Case'!$B$8*('Business Case'!G11*$C320*'Business Case'!G12*$B320)</f>
        <v>821624524.290102</v>
      </c>
      <c r="N320" s="39" t="n">
        <f aca="false">IF(COUNT('Business Case'!B11:G11)=0,"",H320+NPV(G320,I320:M320))</f>
        <v>-772135786.793952</v>
      </c>
      <c r="P320" s="40" t="n">
        <f aca="true">RAND()</f>
        <v>0.266565194666339</v>
      </c>
      <c r="Q320" s="40" t="n">
        <f aca="true">RAND()</f>
        <v>0.138000315521714</v>
      </c>
      <c r="R320" s="40" t="n">
        <f aca="true">RAND()</f>
        <v>0.192860352942653</v>
      </c>
      <c r="S320" s="40" t="n">
        <f aca="true">RAND()</f>
        <v>0.371247357773925</v>
      </c>
      <c r="T320" s="40" t="n">
        <f aca="true">RAND()</f>
        <v>0.893828281595468</v>
      </c>
      <c r="U320" s="40" t="n">
        <f aca="true">RAND()</f>
        <v>0.63834755401614</v>
      </c>
    </row>
    <row r="321" customFormat="false" ht="15" hidden="false" customHeight="false" outlineLevel="0" collapsed="false">
      <c r="A321" s="36" t="n">
        <v>241</v>
      </c>
      <c r="B321" s="37" t="n">
        <f aca="false">1+IF($G$6=$E$6,$F$6,IF(P321&lt;($F$6-$E$6)/($G$6-$E$6),$E$6+SQRT(P321*($G$6-$E$6)*($F$6-$E$6)),$G$6-SQRT((1-P321)*($G$6-$E$6)*($G$6-$F$6))))</f>
        <v>0.977930976364407</v>
      </c>
      <c r="C321" s="37" t="n">
        <f aca="false">1+IF($G$7=$E$7,$F$7,IF(Q321&lt;($F$7-$E$7)/($G$7-$E$7),$E$7+SQRT(Q321*($G$7-$E$7)*($F$7-$E$7)),$G$7-SQRT((1-Q321)*($G$7-$E$7)*($G$7-$F$7))))</f>
        <v>0.928185587794241</v>
      </c>
      <c r="D321" s="37" t="n">
        <f aca="false">1+IF($G$8=$E$8,$F$8,IF(R321&lt;($F$8-$E$8)/($G$8-$E$8),$E$8+SQRT(R321*($G$8-$E$8)*($F$8-$E$8)),$G$8-SQRT((1-R321)*($G$8-$E$8)*($G$8-$F$8))))</f>
        <v>0.99284526847738</v>
      </c>
      <c r="E321" s="37" t="n">
        <f aca="false">1+IF($G$9=$E$9,$F$9,IF(S321&lt;($F$9-$E$9)/($G$9-$E$9),$E$9+SQRT(S321*($G$9-$E$9)*($F$9-$E$9)),$G$9-SQRT((1-S321)*($G$9-$E$9)*($G$9-$F$9))))</f>
        <v>1.0395134274824</v>
      </c>
      <c r="F321" s="37" t="n">
        <f aca="false">1+IF($G$10=$E$10,$F$10,IF(T321&lt;($F$10-$E$10)/($G$10-$E$10),$E$10+SQRT(T321*($G$10-$E$10)*($F$10-$E$10)),$G$10-SQRT((1-T321)*($G$10-$E$10)*($G$10-$F$10))))</f>
        <v>1.11903140864558</v>
      </c>
      <c r="G321" s="38" t="n">
        <f aca="false">IF($G$11=$E$11,$F$11,IF(U321&lt;($F$11-$E$11)/($G$11-$E$11),$E$11+SQRT(U321*($G$11-$E$11)*($F$11-$E$11)),$G$11-SQRT((1-U321)*($G$11-$E$11)*($G$11-$F$11))))</f>
        <v>0.11582328467887</v>
      </c>
      <c r="H321" s="39" t="n">
        <f aca="false">(('Business Case'!B11*$C321*'Business Case'!B12*$B321)-'Business Case'!B11*$C321*'Business Case'!B13*$D321-'Business Case'!B14*$E321)-MAX(0,(('Business Case'!B11*$C321*'Business Case'!B12*$B321)-'Business Case'!B11*$C321*'Business Case'!B13*$D321-'Business Case'!B14*$E321))*'Business Case'!$B$7-'Business Case'!$B$8*('Business Case'!B11*$C321*'Business Case'!B12*$B321)-'Business Case'!B15*$F321</f>
        <v>-2238062817.29116</v>
      </c>
      <c r="I321" s="39" t="n">
        <f aca="false">(('Business Case'!C11*$C321*'Business Case'!C12*$B321)-'Business Case'!C11*$C321*'Business Case'!C13*$D321-'Business Case'!C14*$E321)-MAX(0,(('Business Case'!C11*$C321*'Business Case'!C12*$B321)-'Business Case'!C11*$C321*'Business Case'!C13*$D321-'Business Case'!C14*$E321))*'Business Case'!$B$7-'Business Case'!$B$8*(('Business Case'!C11*$C321*'Business Case'!C12*$B321)-('Business Case'!B11*$C321*'Business Case'!B12*$B321))-'Business Case'!C15*$F321</f>
        <v>-35061507.4926432</v>
      </c>
      <c r="J321" s="39" t="n">
        <f aca="false">(('Business Case'!D11*$C321*'Business Case'!D12*$B321)-'Business Case'!D11*$C321*'Business Case'!D13*$D321-'Business Case'!D14*$E321)-MAX(0,(('Business Case'!D11*$C321*'Business Case'!D12*$B321)-'Business Case'!D11*$C321*'Business Case'!D13*$D321-'Business Case'!D14*$E321))*'Business Case'!$B$7-'Business Case'!$B$8*(('Business Case'!D11*$C321*'Business Case'!D12*$B321)-('Business Case'!C11*$C321*'Business Case'!C12*$B321))-'Business Case'!D15*$F321</f>
        <v>236654177.819357</v>
      </c>
      <c r="K321" s="39" t="n">
        <f aca="false">(('Business Case'!E11*$C321*'Business Case'!E12*$B321)-'Business Case'!E11*$C321*'Business Case'!E13*$D321-'Business Case'!E14*$E321)-MAX(0,(('Business Case'!E11*$C321*'Business Case'!E12*$B321)-'Business Case'!E11*$C321*'Business Case'!E13*$D321-'Business Case'!E14*$E321))*'Business Case'!$B$7-'Business Case'!$B$8*(('Business Case'!E11*$C321*'Business Case'!E12*$B321)-('Business Case'!D11*$C321*'Business Case'!D12*$B321))-'Business Case'!E15*$F321</f>
        <v>564321433.563636</v>
      </c>
      <c r="L321" s="39" t="n">
        <f aca="false">(('Business Case'!F11*$C321*'Business Case'!F12*$B321)-'Business Case'!F11*$C321*'Business Case'!F13*$D321-'Business Case'!F14*$E321)-MAX(0,(('Business Case'!F11*$C321*'Business Case'!F12*$B321)-'Business Case'!F11*$C321*'Business Case'!F13*$D321-'Business Case'!F14*$E321))*'Business Case'!$B$7-'Business Case'!$B$8*(('Business Case'!F11*$C321*'Business Case'!F12*$B321)-('Business Case'!E11*$C321*'Business Case'!E12*$B321))-'Business Case'!F15*$F321</f>
        <v>686263490.369028</v>
      </c>
      <c r="M321" s="39" t="n">
        <f aca="false">(('Business Case'!G11*$C321*'Business Case'!G12*$B321)-'Business Case'!G11*$C321*'Business Case'!G13*$D321-'Business Case'!G14*$E321)-MAX(0,(('Business Case'!G11*$C321*'Business Case'!G12*$B321)-'Business Case'!G11*$C321*'Business Case'!G13*$D321-'Business Case'!G14*$E321))*'Business Case'!$B$7-'Business Case'!$B$8*(('Business Case'!G11*$C321*'Business Case'!G12*$B321)-('Business Case'!F11*$C321*'Business Case'!F12*$B321))-'Business Case'!G15*$F321+'Business Case'!$B$8*('Business Case'!G11*$C321*'Business Case'!G12*$B321)</f>
        <v>858799379.726687</v>
      </c>
      <c r="N321" s="39" t="n">
        <f aca="false">IF(COUNT('Business Case'!B11:G11)=0,"",H321+NPV(G321,I321:M321))</f>
        <v>-734015905.302955</v>
      </c>
      <c r="P321" s="40" t="n">
        <f aca="true">RAND()</f>
        <v>0.349583127347236</v>
      </c>
      <c r="Q321" s="40" t="n">
        <f aca="true">RAND()</f>
        <v>0.234736355973644</v>
      </c>
      <c r="R321" s="40" t="n">
        <f aca="true">RAND()</f>
        <v>0.282418004753651</v>
      </c>
      <c r="S321" s="40" t="n">
        <f aca="true">RAND()</f>
        <v>0.756091636338168</v>
      </c>
      <c r="T321" s="40" t="n">
        <f aca="true">RAND()</f>
        <v>0.868881744281621</v>
      </c>
      <c r="U321" s="40" t="n">
        <f aca="true">RAND()</f>
        <v>0.97092508187706</v>
      </c>
    </row>
    <row r="322" customFormat="false" ht="15" hidden="false" customHeight="false" outlineLevel="0" collapsed="false">
      <c r="A322" s="36" t="n">
        <v>242</v>
      </c>
      <c r="B322" s="37" t="n">
        <f aca="false">1+IF($G$6=$E$6,$F$6,IF(P322&lt;($F$6-$E$6)/($G$6-$E$6),$E$6+SQRT(P322*($G$6-$E$6)*($F$6-$E$6)),$G$6-SQRT((1-P322)*($G$6-$E$6)*($G$6-$F$6))))</f>
        <v>1.01160650512524</v>
      </c>
      <c r="C322" s="37" t="n">
        <f aca="false">1+IF($G$7=$E$7,$F$7,IF(Q322&lt;($F$7-$E$7)/($G$7-$E$7),$E$7+SQRT(Q322*($G$7-$E$7)*($F$7-$E$7)),$G$7-SQRT((1-Q322)*($G$7-$E$7)*($G$7-$F$7))))</f>
        <v>0.971364847716605</v>
      </c>
      <c r="D322" s="37" t="n">
        <f aca="false">1+IF($G$8=$E$8,$F$8,IF(R322&lt;($F$8-$E$8)/($G$8-$E$8),$E$8+SQRT(R322*($G$8-$E$8)*($F$8-$E$8)),$G$8-SQRT((1-R322)*($G$8-$E$8)*($G$8-$F$8))))</f>
        <v>0.987483762064903</v>
      </c>
      <c r="E322" s="37" t="n">
        <f aca="false">1+IF($G$9=$E$9,$F$9,IF(S322&lt;($F$9-$E$9)/($G$9-$E$9),$E$9+SQRT(S322*($G$9-$E$9)*($F$9-$E$9)),$G$9-SQRT((1-S322)*($G$9-$E$9)*($G$9-$F$9))))</f>
        <v>1.02933947947033</v>
      </c>
      <c r="F322" s="37" t="n">
        <f aca="false">1+IF($G$10=$E$10,$F$10,IF(T322&lt;($F$10-$E$10)/($G$10-$E$10),$E$10+SQRT(T322*($G$10-$E$10)*($F$10-$E$10)),$G$10-SQRT((1-T322)*($G$10-$E$10)*($G$10-$F$10))))</f>
        <v>0.990676699489095</v>
      </c>
      <c r="G322" s="38" t="n">
        <f aca="false">IF($G$11=$E$11,$F$11,IF(U322&lt;($F$11-$E$11)/($G$11-$E$11),$E$11+SQRT(U322*($G$11-$E$11)*($F$11-$E$11)),$G$11-SQRT((1-U322)*($G$11-$E$11)*($G$11-$F$11))))</f>
        <v>0.0950679620447243</v>
      </c>
      <c r="H322" s="39" t="n">
        <f aca="false">(('Business Case'!B11*$C322*'Business Case'!B12*$B322)-'Business Case'!B11*$C322*'Business Case'!B13*$D322-'Business Case'!B14*$E322)-MAX(0,(('Business Case'!B11*$C322*'Business Case'!B12*$B322)-'Business Case'!B11*$C322*'Business Case'!B13*$D322-'Business Case'!B14*$E322))*'Business Case'!$B$7-'Business Case'!$B$8*('Business Case'!B11*$C322*'Business Case'!B12*$B322)-'Business Case'!B15*$F322</f>
        <v>-1981353398.97819</v>
      </c>
      <c r="I322" s="39" t="n">
        <f aca="false">(('Business Case'!C11*$C322*'Business Case'!C12*$B322)-'Business Case'!C11*$C322*'Business Case'!C13*$D322-'Business Case'!C14*$E322)-MAX(0,(('Business Case'!C11*$C322*'Business Case'!C12*$B322)-'Business Case'!C11*$C322*'Business Case'!C13*$D322-'Business Case'!C14*$E322))*'Business Case'!$B$7-'Business Case'!$B$8*(('Business Case'!C11*$C322*'Business Case'!C12*$B322)-('Business Case'!B11*$C322*'Business Case'!B12*$B322))-'Business Case'!C15*$F322</f>
        <v>17435085.7086196</v>
      </c>
      <c r="J322" s="39" t="n">
        <f aca="false">(('Business Case'!D11*$C322*'Business Case'!D12*$B322)-'Business Case'!D11*$C322*'Business Case'!D13*$D322-'Business Case'!D14*$E322)-MAX(0,(('Business Case'!D11*$C322*'Business Case'!D12*$B322)-'Business Case'!D11*$C322*'Business Case'!D13*$D322-'Business Case'!D14*$E322))*'Business Case'!$B$7-'Business Case'!$B$8*(('Business Case'!D11*$C322*'Business Case'!D12*$B322)-('Business Case'!C11*$C322*'Business Case'!C12*$B322))-'Business Case'!D15*$F322</f>
        <v>331249921.044627</v>
      </c>
      <c r="K322" s="39" t="n">
        <f aca="false">(('Business Case'!E11*$C322*'Business Case'!E12*$B322)-'Business Case'!E11*$C322*'Business Case'!E13*$D322-'Business Case'!E14*$E322)-MAX(0,(('Business Case'!E11*$C322*'Business Case'!E12*$B322)-'Business Case'!E11*$C322*'Business Case'!E13*$D322-'Business Case'!E14*$E322))*'Business Case'!$B$7-'Business Case'!$B$8*(('Business Case'!E11*$C322*'Business Case'!E12*$B322)-('Business Case'!D11*$C322*'Business Case'!D12*$B322))-'Business Case'!E15*$F322</f>
        <v>694598591.355089</v>
      </c>
      <c r="L322" s="39" t="n">
        <f aca="false">(('Business Case'!F11*$C322*'Business Case'!F12*$B322)-'Business Case'!F11*$C322*'Business Case'!F13*$D322-'Business Case'!F14*$E322)-MAX(0,(('Business Case'!F11*$C322*'Business Case'!F12*$B322)-'Business Case'!F11*$C322*'Business Case'!F13*$D322-'Business Case'!F14*$E322))*'Business Case'!$B$7-'Business Case'!$B$8*(('Business Case'!F11*$C322*'Business Case'!F12*$B322)-('Business Case'!E11*$C322*'Business Case'!E12*$B322))-'Business Case'!F15*$F322</f>
        <v>833163540.265623</v>
      </c>
      <c r="M322" s="39" t="n">
        <f aca="false">(('Business Case'!G11*$C322*'Business Case'!G12*$B322)-'Business Case'!G11*$C322*'Business Case'!G13*$D322-'Business Case'!G14*$E322)-MAX(0,(('Business Case'!G11*$C322*'Business Case'!G12*$B322)-'Business Case'!G11*$C322*'Business Case'!G13*$D322-'Business Case'!G14*$E322))*'Business Case'!$B$7-'Business Case'!$B$8*(('Business Case'!G11*$C322*'Business Case'!G12*$B322)-('Business Case'!F11*$C322*'Business Case'!F12*$B322))-'Business Case'!G15*$F322+'Business Case'!$B$8*('Business Case'!G11*$C322*'Business Case'!G12*$B322)</f>
        <v>1019943561.15755</v>
      </c>
      <c r="N322" s="39" t="n">
        <f aca="false">IF(COUNT('Business Case'!B11:G11)=0,"",H322+NPV(G322,I322:M322))</f>
        <v>66823671.8164907</v>
      </c>
      <c r="P322" s="40" t="n">
        <f aca="true">RAND()</f>
        <v>0.83204363516605</v>
      </c>
      <c r="Q322" s="40" t="n">
        <f aca="true">RAND()</f>
        <v>0.419513014756218</v>
      </c>
      <c r="R322" s="40" t="n">
        <f aca="true">RAND()</f>
        <v>0.216158833621267</v>
      </c>
      <c r="S322" s="40" t="n">
        <f aca="true">RAND()</f>
        <v>0.667139389231714</v>
      </c>
      <c r="T322" s="40" t="n">
        <f aca="true">RAND()</f>
        <v>0.132367510506094</v>
      </c>
      <c r="U322" s="40" t="n">
        <f aca="true">RAND()</f>
        <v>0.0856141309558884</v>
      </c>
    </row>
    <row r="323" customFormat="false" ht="15" hidden="false" customHeight="false" outlineLevel="0" collapsed="false">
      <c r="A323" s="36" t="n">
        <v>243</v>
      </c>
      <c r="B323" s="37" t="n">
        <f aca="false">1+IF($G$6=$E$6,$F$6,IF(P323&lt;($F$6-$E$6)/($G$6-$E$6),$E$6+SQRT(P323*($G$6-$E$6)*($F$6-$E$6)),$G$6-SQRT((1-P323)*($G$6-$E$6)*($G$6-$F$6))))</f>
        <v>0.993781701676695</v>
      </c>
      <c r="C323" s="37" t="n">
        <f aca="false">1+IF($G$7=$E$7,$F$7,IF(Q323&lt;($F$7-$E$7)/($G$7-$E$7),$E$7+SQRT(Q323*($G$7-$E$7)*($F$7-$E$7)),$G$7-SQRT((1-Q323)*($G$7-$E$7)*($G$7-$F$7))))</f>
        <v>0.861138633440972</v>
      </c>
      <c r="D323" s="37" t="n">
        <f aca="false">1+IF($G$8=$E$8,$F$8,IF(R323&lt;($F$8-$E$8)/($G$8-$E$8),$E$8+SQRT(R323*($G$8-$E$8)*($F$8-$E$8)),$G$8-SQRT((1-R323)*($G$8-$E$8)*($G$8-$F$8))))</f>
        <v>0.995943576348318</v>
      </c>
      <c r="E323" s="37" t="n">
        <f aca="false">1+IF($G$9=$E$9,$F$9,IF(S323&lt;($F$9-$E$9)/($G$9-$E$9),$E$9+SQRT(S323*($G$9-$E$9)*($F$9-$E$9)),$G$9-SQRT((1-S323)*($G$9-$E$9)*($G$9-$F$9))))</f>
        <v>1.00689227337342</v>
      </c>
      <c r="F323" s="37" t="n">
        <f aca="false">1+IF($G$10=$E$10,$F$10,IF(T323&lt;($F$10-$E$10)/($G$10-$E$10),$E$10+SQRT(T323*($G$10-$E$10)*($F$10-$E$10)),$G$10-SQRT((1-T323)*($G$10-$E$10)*($G$10-$F$10))))</f>
        <v>1.05271662486465</v>
      </c>
      <c r="G323" s="38" t="n">
        <f aca="false">IF($G$11=$E$11,$F$11,IF(U323&lt;($F$11-$E$11)/($G$11-$E$11),$E$11+SQRT(U323*($G$11-$E$11)*($F$11-$E$11)),$G$11-SQRT((1-U323)*($G$11-$E$11)*($G$11-$F$11))))</f>
        <v>0.0929715048965354</v>
      </c>
      <c r="H323" s="39" t="n">
        <f aca="false">(('Business Case'!B11*$C323*'Business Case'!B12*$B323)-'Business Case'!B11*$C323*'Business Case'!B13*$D323-'Business Case'!B14*$E323)-MAX(0,(('Business Case'!B11*$C323*'Business Case'!B12*$B323)-'Business Case'!B11*$C323*'Business Case'!B13*$D323-'Business Case'!B14*$E323))*'Business Case'!$B$7-'Business Case'!$B$8*('Business Case'!B11*$C323*'Business Case'!B12*$B323)-'Business Case'!B15*$F323</f>
        <v>-2105433249.72931</v>
      </c>
      <c r="I323" s="39" t="n">
        <f aca="false">(('Business Case'!C11*$C323*'Business Case'!C12*$B323)-'Business Case'!C11*$C323*'Business Case'!C13*$D323-'Business Case'!C14*$E323)-MAX(0,(('Business Case'!C11*$C323*'Business Case'!C12*$B323)-'Business Case'!C11*$C323*'Business Case'!C13*$D323-'Business Case'!C14*$E323))*'Business Case'!$B$7-'Business Case'!$B$8*(('Business Case'!C11*$C323*'Business Case'!C12*$B323)-('Business Case'!B11*$C323*'Business Case'!B12*$B323))-'Business Case'!C15*$F323</f>
        <v>-30912894.0485771</v>
      </c>
      <c r="J323" s="39" t="n">
        <f aca="false">(('Business Case'!D11*$C323*'Business Case'!D12*$B323)-'Business Case'!D11*$C323*'Business Case'!D13*$D323-'Business Case'!D14*$E323)-MAX(0,(('Business Case'!D11*$C323*'Business Case'!D12*$B323)-'Business Case'!D11*$C323*'Business Case'!D13*$D323-'Business Case'!D14*$E323))*'Business Case'!$B$7-'Business Case'!$B$8*(('Business Case'!D11*$C323*'Business Case'!D12*$B323)-('Business Case'!C11*$C323*'Business Case'!C12*$B323))-'Business Case'!D15*$F323</f>
        <v>230989788.711435</v>
      </c>
      <c r="K323" s="39" t="n">
        <f aca="false">(('Business Case'!E11*$C323*'Business Case'!E12*$B323)-'Business Case'!E11*$C323*'Business Case'!E13*$D323-'Business Case'!E14*$E323)-MAX(0,(('Business Case'!E11*$C323*'Business Case'!E12*$B323)-'Business Case'!E11*$C323*'Business Case'!E13*$D323-'Business Case'!E14*$E323))*'Business Case'!$B$7-'Business Case'!$B$8*(('Business Case'!E11*$C323*'Business Case'!E12*$B323)-('Business Case'!D11*$C323*'Business Case'!D12*$B323))-'Business Case'!E15*$F323</f>
        <v>545528302.71468</v>
      </c>
      <c r="L323" s="39" t="n">
        <f aca="false">(('Business Case'!F11*$C323*'Business Case'!F12*$B323)-'Business Case'!F11*$C323*'Business Case'!F13*$D323-'Business Case'!F14*$E323)-MAX(0,(('Business Case'!F11*$C323*'Business Case'!F12*$B323)-'Business Case'!F11*$C323*'Business Case'!F13*$D323-'Business Case'!F14*$E323))*'Business Case'!$B$7-'Business Case'!$B$8*(('Business Case'!F11*$C323*'Business Case'!F12*$B323)-('Business Case'!E11*$C323*'Business Case'!E12*$B323))-'Business Case'!F15*$F323</f>
        <v>662405085.666966</v>
      </c>
      <c r="M323" s="39" t="n">
        <f aca="false">(('Business Case'!G11*$C323*'Business Case'!G12*$B323)-'Business Case'!G11*$C323*'Business Case'!G13*$D323-'Business Case'!G14*$E323)-MAX(0,(('Business Case'!G11*$C323*'Business Case'!G12*$B323)-'Business Case'!G11*$C323*'Business Case'!G13*$D323-'Business Case'!G14*$E323))*'Business Case'!$B$7-'Business Case'!$B$8*(('Business Case'!G11*$C323*'Business Case'!G12*$B323)-('Business Case'!F11*$C323*'Business Case'!F12*$B323))-'Business Case'!G15*$F323+'Business Case'!$B$8*('Business Case'!G11*$C323*'Business Case'!G12*$B323)</f>
        <v>825072473.511185</v>
      </c>
      <c r="N323" s="39" t="n">
        <f aca="false">IF(COUNT('Business Case'!B11:G11)=0,"",H323+NPV(G323,I323:M323))</f>
        <v>-529358804.880731</v>
      </c>
      <c r="P323" s="40" t="n">
        <f aca="true">RAND()</f>
        <v>0.567056198157171</v>
      </c>
      <c r="Q323" s="40" t="n">
        <f aca="true">RAND()</f>
        <v>0.0533990357004221</v>
      </c>
      <c r="R323" s="40" t="n">
        <f aca="true">RAND()</f>
        <v>0.324740339642111</v>
      </c>
      <c r="S323" s="40" t="n">
        <f aca="true">RAND()</f>
        <v>0.422063416162019</v>
      </c>
      <c r="T323" s="40" t="n">
        <f aca="true">RAND()</f>
        <v>0.566152148174813</v>
      </c>
      <c r="U323" s="40" t="n">
        <f aca="true">RAND()</f>
        <v>0.0294328045004464</v>
      </c>
    </row>
    <row r="324" customFormat="false" ht="15" hidden="false" customHeight="false" outlineLevel="0" collapsed="false">
      <c r="A324" s="36" t="n">
        <v>244</v>
      </c>
      <c r="B324" s="37" t="n">
        <f aca="false">1+IF($G$6=$E$6,$F$6,IF(P324&lt;($F$6-$E$6)/($G$6-$E$6),$E$6+SQRT(P324*($G$6-$E$6)*($F$6-$E$6)),$G$6-SQRT((1-P324)*($G$6-$E$6)*($G$6-$F$6))))</f>
        <v>0.995312933821817</v>
      </c>
      <c r="C324" s="37" t="n">
        <f aca="false">1+IF($G$7=$E$7,$F$7,IF(Q324&lt;($F$7-$E$7)/($G$7-$E$7),$E$7+SQRT(Q324*($G$7-$E$7)*($F$7-$E$7)),$G$7-SQRT((1-Q324)*($G$7-$E$7)*($G$7-$F$7))))</f>
        <v>0.858150867051888</v>
      </c>
      <c r="D324" s="37" t="n">
        <f aca="false">1+IF($G$8=$E$8,$F$8,IF(R324&lt;($F$8-$E$8)/($G$8-$E$8),$E$8+SQRT(R324*($G$8-$E$8)*($F$8-$E$8)),$G$8-SQRT((1-R324)*($G$8-$E$8)*($G$8-$F$8))))</f>
        <v>1.05076839181768</v>
      </c>
      <c r="E324" s="37" t="n">
        <f aca="false">1+IF($G$9=$E$9,$F$9,IF(S324&lt;($F$9-$E$9)/($G$9-$E$9),$E$9+SQRT(S324*($G$9-$E$9)*($F$9-$E$9)),$G$9-SQRT((1-S324)*($G$9-$E$9)*($G$9-$F$9))))</f>
        <v>1.08099956208491</v>
      </c>
      <c r="F324" s="37" t="n">
        <f aca="false">1+IF($G$10=$E$10,$F$10,IF(T324&lt;($F$10-$E$10)/($G$10-$E$10),$E$10+SQRT(T324*($G$10-$E$10)*($F$10-$E$10)),$G$10-SQRT((1-T324)*($G$10-$E$10)*($G$10-$F$10))))</f>
        <v>0.98421726817281</v>
      </c>
      <c r="G324" s="38" t="n">
        <f aca="false">IF($G$11=$E$11,$F$11,IF(U324&lt;($F$11-$E$11)/($G$11-$E$11),$E$11+SQRT(U324*($G$11-$E$11)*($F$11-$E$11)),$G$11-SQRT((1-U324)*($G$11-$E$11)*($G$11-$F$11))))</f>
        <v>0.10884263169228</v>
      </c>
      <c r="H324" s="39" t="n">
        <f aca="false">(('Business Case'!B11*$C324*'Business Case'!B12*$B324)-'Business Case'!B11*$C324*'Business Case'!B13*$D324-'Business Case'!B14*$E324)-MAX(0,(('Business Case'!B11*$C324*'Business Case'!B12*$B324)-'Business Case'!B11*$C324*'Business Case'!B13*$D324-'Business Case'!B14*$E324))*'Business Case'!$B$7-'Business Case'!$B$8*('Business Case'!B11*$C324*'Business Case'!B12*$B324)-'Business Case'!B15*$F324</f>
        <v>-1968434536.34562</v>
      </c>
      <c r="I324" s="39" t="n">
        <f aca="false">(('Business Case'!C11*$C324*'Business Case'!C12*$B324)-'Business Case'!C11*$C324*'Business Case'!C13*$D324-'Business Case'!C14*$E324)-MAX(0,(('Business Case'!C11*$C324*'Business Case'!C12*$B324)-'Business Case'!C11*$C324*'Business Case'!C13*$D324-'Business Case'!C14*$E324))*'Business Case'!$B$7-'Business Case'!$B$8*(('Business Case'!C11*$C324*'Business Case'!C12*$B324)-('Business Case'!B11*$C324*'Business Case'!B12*$B324))-'Business Case'!C15*$F324</f>
        <v>-58432406.1735495</v>
      </c>
      <c r="J324" s="39" t="n">
        <f aca="false">(('Business Case'!D11*$C324*'Business Case'!D12*$B324)-'Business Case'!D11*$C324*'Business Case'!D13*$D324-'Business Case'!D14*$E324)-MAX(0,(('Business Case'!D11*$C324*'Business Case'!D12*$B324)-'Business Case'!D11*$C324*'Business Case'!D13*$D324-'Business Case'!D14*$E324))*'Business Case'!$B$7-'Business Case'!$B$8*(('Business Case'!D11*$C324*'Business Case'!D12*$B324)-('Business Case'!C11*$C324*'Business Case'!C12*$B324))-'Business Case'!D15*$F324</f>
        <v>179553081.785165</v>
      </c>
      <c r="K324" s="39" t="n">
        <f aca="false">(('Business Case'!E11*$C324*'Business Case'!E12*$B324)-'Business Case'!E11*$C324*'Business Case'!E13*$D324-'Business Case'!E14*$E324)-MAX(0,(('Business Case'!E11*$C324*'Business Case'!E12*$B324)-'Business Case'!E11*$C324*'Business Case'!E13*$D324-'Business Case'!E14*$E324))*'Business Case'!$B$7-'Business Case'!$B$8*(('Business Case'!E11*$C324*'Business Case'!E12*$B324)-('Business Case'!D11*$C324*'Business Case'!D12*$B324))-'Business Case'!E15*$F324</f>
        <v>466749433.15252</v>
      </c>
      <c r="L324" s="39" t="n">
        <f aca="false">(('Business Case'!F11*$C324*'Business Case'!F12*$B324)-'Business Case'!F11*$C324*'Business Case'!F13*$D324-'Business Case'!F14*$E324)-MAX(0,(('Business Case'!F11*$C324*'Business Case'!F12*$B324)-'Business Case'!F11*$C324*'Business Case'!F13*$D324-'Business Case'!F14*$E324))*'Business Case'!$B$7-'Business Case'!$B$8*(('Business Case'!F11*$C324*'Business Case'!F12*$B324)-('Business Case'!E11*$C324*'Business Case'!E12*$B324))-'Business Case'!F15*$F324</f>
        <v>575596615.529764</v>
      </c>
      <c r="M324" s="39" t="n">
        <f aca="false">(('Business Case'!G11*$C324*'Business Case'!G12*$B324)-'Business Case'!G11*$C324*'Business Case'!G13*$D324-'Business Case'!G14*$E324)-MAX(0,(('Business Case'!G11*$C324*'Business Case'!G12*$B324)-'Business Case'!G11*$C324*'Business Case'!G13*$D324-'Business Case'!G14*$E324))*'Business Case'!$B$7-'Business Case'!$B$8*(('Business Case'!G11*$C324*'Business Case'!G12*$B324)-('Business Case'!F11*$C324*'Business Case'!F12*$B324))-'Business Case'!G15*$F324+'Business Case'!$B$8*('Business Case'!G11*$C324*'Business Case'!G12*$B324)</f>
        <v>737949390.680294</v>
      </c>
      <c r="N324" s="39" t="n">
        <f aca="false">IF(COUNT('Business Case'!B11:G11)=0,"",H324+NPV(G324,I324:M324))</f>
        <v>-711768515.170549</v>
      </c>
      <c r="P324" s="40" t="n">
        <f aca="true">RAND()</f>
        <v>0.590837291755145</v>
      </c>
      <c r="Q324" s="40" t="n">
        <f aca="true">RAND()</f>
        <v>0.0483074762698056</v>
      </c>
      <c r="R324" s="40" t="n">
        <f aca="true">RAND()</f>
        <v>0.91783779644953</v>
      </c>
      <c r="S324" s="40" t="n">
        <f aca="true">RAND()</f>
        <v>0.975932223935663</v>
      </c>
      <c r="T324" s="40" t="n">
        <f aca="true">RAND()</f>
        <v>0.0936657152967985</v>
      </c>
      <c r="U324" s="40" t="n">
        <f aca="true">RAND()</f>
        <v>0.792521887409793</v>
      </c>
    </row>
    <row r="325" customFormat="false" ht="15" hidden="false" customHeight="false" outlineLevel="0" collapsed="false">
      <c r="A325" s="36" t="n">
        <v>245</v>
      </c>
      <c r="B325" s="37" t="n">
        <f aca="false">1+IF($G$6=$E$6,$F$6,IF(P325&lt;($F$6-$E$6)/($G$6-$E$6),$E$6+SQRT(P325*($G$6-$E$6)*($F$6-$E$6)),$G$6-SQRT((1-P325)*($G$6-$E$6)*($G$6-$F$6))))</f>
        <v>1.0100106915716</v>
      </c>
      <c r="C325" s="37" t="n">
        <f aca="false">1+IF($G$7=$E$7,$F$7,IF(Q325&lt;($F$7-$E$7)/($G$7-$E$7),$E$7+SQRT(Q325*($G$7-$E$7)*($F$7-$E$7)),$G$7-SQRT((1-Q325)*($G$7-$E$7)*($G$7-$F$7))))</f>
        <v>1.10405669659706</v>
      </c>
      <c r="D325" s="37" t="n">
        <f aca="false">1+IF($G$8=$E$8,$F$8,IF(R325&lt;($F$8-$E$8)/($G$8-$E$8),$E$8+SQRT(R325*($G$8-$E$8)*($F$8-$E$8)),$G$8-SQRT((1-R325)*($G$8-$E$8)*($G$8-$F$8))))</f>
        <v>1.01849632348955</v>
      </c>
      <c r="E325" s="37" t="n">
        <f aca="false">1+IF($G$9=$E$9,$F$9,IF(S325&lt;($F$9-$E$9)/($G$9-$E$9),$E$9+SQRT(S325*($G$9-$E$9)*($F$9-$E$9)),$G$9-SQRT((1-S325)*($G$9-$E$9)*($G$9-$F$9))))</f>
        <v>1.04143004393261</v>
      </c>
      <c r="F325" s="37" t="n">
        <f aca="false">1+IF($G$10=$E$10,$F$10,IF(T325&lt;($F$10-$E$10)/($G$10-$E$10),$E$10+SQRT(T325*($G$10-$E$10)*($F$10-$E$10)),$G$10-SQRT((1-T325)*($G$10-$E$10)*($G$10-$F$10))))</f>
        <v>1.17374494528905</v>
      </c>
      <c r="G325" s="38" t="n">
        <f aca="false">IF($G$11=$E$11,$F$11,IF(U325&lt;($F$11-$E$11)/($G$11-$E$11),$E$11+SQRT(U325*($G$11-$E$11)*($F$11-$E$11)),$G$11-SQRT((1-U325)*($G$11-$E$11)*($G$11-$F$11))))</f>
        <v>0.110412934192067</v>
      </c>
      <c r="H325" s="39" t="n">
        <f aca="false">(('Business Case'!B11*$C325*'Business Case'!B12*$B325)-'Business Case'!B11*$C325*'Business Case'!B13*$D325-'Business Case'!B14*$E325)-MAX(0,(('Business Case'!B11*$C325*'Business Case'!B12*$B325)-'Business Case'!B11*$C325*'Business Case'!B13*$D325-'Business Case'!B14*$E325))*'Business Case'!$B$7-'Business Case'!$B$8*('Business Case'!B11*$C325*'Business Case'!B12*$B325)-'Business Case'!B15*$F325</f>
        <v>-2347489890.5781</v>
      </c>
      <c r="I325" s="39" t="n">
        <f aca="false">(('Business Case'!C11*$C325*'Business Case'!C12*$B325)-'Business Case'!C11*$C325*'Business Case'!C13*$D325-'Business Case'!C14*$E325)-MAX(0,(('Business Case'!C11*$C325*'Business Case'!C12*$B325)-'Business Case'!C11*$C325*'Business Case'!C13*$D325-'Business Case'!C14*$E325))*'Business Case'!$B$7-'Business Case'!$B$8*(('Business Case'!C11*$C325*'Business Case'!C12*$B325)-('Business Case'!B11*$C325*'Business Case'!B12*$B325))-'Business Case'!C15*$F325</f>
        <v>14438896.2000144</v>
      </c>
      <c r="J325" s="39" t="n">
        <f aca="false">(('Business Case'!D11*$C325*'Business Case'!D12*$B325)-'Business Case'!D11*$C325*'Business Case'!D13*$D325-'Business Case'!D14*$E325)-MAX(0,(('Business Case'!D11*$C325*'Business Case'!D12*$B325)-'Business Case'!D11*$C325*'Business Case'!D13*$D325-'Business Case'!D14*$E325))*'Business Case'!$B$7-'Business Case'!$B$8*(('Business Case'!D11*$C325*'Business Case'!D12*$B325)-('Business Case'!C11*$C325*'Business Case'!C12*$B325))-'Business Case'!D15*$F325</f>
        <v>352150893.243865</v>
      </c>
      <c r="K325" s="39" t="n">
        <f aca="false">(('Business Case'!E11*$C325*'Business Case'!E12*$B325)-'Business Case'!E11*$C325*'Business Case'!E13*$D325-'Business Case'!E14*$E325)-MAX(0,(('Business Case'!E11*$C325*'Business Case'!E12*$B325)-'Business Case'!E11*$C325*'Business Case'!E13*$D325-'Business Case'!E14*$E325))*'Business Case'!$B$7-'Business Case'!$B$8*(('Business Case'!E11*$C325*'Business Case'!E12*$B325)-('Business Case'!D11*$C325*'Business Case'!D12*$B325))-'Business Case'!E15*$F325</f>
        <v>748550137.552169</v>
      </c>
      <c r="L325" s="39" t="n">
        <f aca="false">(('Business Case'!F11*$C325*'Business Case'!F12*$B325)-'Business Case'!F11*$C325*'Business Case'!F13*$D325-'Business Case'!F14*$E325)-MAX(0,(('Business Case'!F11*$C325*'Business Case'!F12*$B325)-'Business Case'!F11*$C325*'Business Case'!F13*$D325-'Business Case'!F14*$E325))*'Business Case'!$B$7-'Business Case'!$B$8*(('Business Case'!F11*$C325*'Business Case'!F12*$B325)-('Business Case'!E11*$C325*'Business Case'!E12*$B325))-'Business Case'!F15*$F325</f>
        <v>899658972.611929</v>
      </c>
      <c r="M325" s="39" t="n">
        <f aca="false">(('Business Case'!G11*$C325*'Business Case'!G12*$B325)-'Business Case'!G11*$C325*'Business Case'!G13*$D325-'Business Case'!G14*$E325)-MAX(0,(('Business Case'!G11*$C325*'Business Case'!G12*$B325)-'Business Case'!G11*$C325*'Business Case'!G13*$D325-'Business Case'!G14*$E325))*'Business Case'!$B$7-'Business Case'!$B$8*(('Business Case'!G11*$C325*'Business Case'!G12*$B325)-('Business Case'!F11*$C325*'Business Case'!F12*$B325))-'Business Case'!G15*$F325+'Business Case'!$B$8*('Business Case'!G11*$C325*'Business Case'!G12*$B325)</f>
        <v>1111618904.19355</v>
      </c>
      <c r="N325" s="39" t="n">
        <f aca="false">IF(COUNT('Business Case'!B11:G11)=0,"",H325+NPV(G325,I325:M325))</f>
        <v>-251944467.389788</v>
      </c>
      <c r="P325" s="40" t="n">
        <f aca="true">RAND()</f>
        <v>0.812633620830486</v>
      </c>
      <c r="Q325" s="40" t="n">
        <f aca="true">RAND()</f>
        <v>0.959794530903347</v>
      </c>
      <c r="R325" s="40" t="n">
        <f aca="true">RAND()</f>
        <v>0.636278632278626</v>
      </c>
      <c r="S325" s="40" t="n">
        <f aca="true">RAND()</f>
        <v>0.771304016417575</v>
      </c>
      <c r="T325" s="40" t="n">
        <f aca="true">RAND()</f>
        <v>0.9862134420425</v>
      </c>
      <c r="U325" s="40" t="n">
        <f aca="true">RAND()</f>
        <v>0.846813615323927</v>
      </c>
    </row>
    <row r="326" customFormat="false" ht="15" hidden="false" customHeight="false" outlineLevel="0" collapsed="false">
      <c r="A326" s="36" t="n">
        <v>246</v>
      </c>
      <c r="B326" s="37" t="n">
        <f aca="false">1+IF($G$6=$E$6,$F$6,IF(P326&lt;($F$6-$E$6)/($G$6-$E$6),$E$6+SQRT(P326*($G$6-$E$6)*($F$6-$E$6)),$G$6-SQRT((1-P326)*($G$6-$E$6)*($G$6-$F$6))))</f>
        <v>1.01118860305733</v>
      </c>
      <c r="C326" s="37" t="n">
        <f aca="false">1+IF($G$7=$E$7,$F$7,IF(Q326&lt;($F$7-$E$7)/($G$7-$E$7),$E$7+SQRT(Q326*($G$7-$E$7)*($F$7-$E$7)),$G$7-SQRT((1-Q326)*($G$7-$E$7)*($G$7-$F$7))))</f>
        <v>0.997328877246154</v>
      </c>
      <c r="D326" s="37" t="n">
        <f aca="false">1+IF($G$8=$E$8,$F$8,IF(R326&lt;($F$8-$E$8)/($G$8-$E$8),$E$8+SQRT(R326*($G$8-$E$8)*($F$8-$E$8)),$G$8-SQRT((1-R326)*($G$8-$E$8)*($G$8-$F$8))))</f>
        <v>0.985232981134406</v>
      </c>
      <c r="E326" s="37" t="n">
        <f aca="false">1+IF($G$9=$E$9,$F$9,IF(S326&lt;($F$9-$E$9)/($G$9-$E$9),$E$9+SQRT(S326*($G$9-$E$9)*($F$9-$E$9)),$G$9-SQRT((1-S326)*($G$9-$E$9)*($G$9-$F$9))))</f>
        <v>0.998693295465458</v>
      </c>
      <c r="F326" s="37" t="n">
        <f aca="false">1+IF($G$10=$E$10,$F$10,IF(T326&lt;($F$10-$E$10)/($G$10-$E$10),$E$10+SQRT(T326*($G$10-$E$10)*($F$10-$E$10)),$G$10-SQRT((1-T326)*($G$10-$E$10)*($G$10-$F$10))))</f>
        <v>1.1581755994118</v>
      </c>
      <c r="G326" s="38" t="n">
        <f aca="false">IF($G$11=$E$11,$F$11,IF(U326&lt;($F$11-$E$11)/($G$11-$E$11),$E$11+SQRT(U326*($G$11-$E$11)*($F$11-$E$11)),$G$11-SQRT((1-U326)*($G$11-$E$11)*($G$11-$F$11))))</f>
        <v>0.0985694987602517</v>
      </c>
      <c r="H326" s="39" t="n">
        <f aca="false">(('Business Case'!B11*$C326*'Business Case'!B12*$B326)-'Business Case'!B11*$C326*'Business Case'!B13*$D326-'Business Case'!B14*$E326)-MAX(0,(('Business Case'!B11*$C326*'Business Case'!B12*$B326)-'Business Case'!B11*$C326*'Business Case'!B13*$D326-'Business Case'!B14*$E326))*'Business Case'!$B$7-'Business Case'!$B$8*('Business Case'!B11*$C326*'Business Case'!B12*$B326)-'Business Case'!B15*$F326</f>
        <v>-2316351198.8236</v>
      </c>
      <c r="I326" s="39" t="n">
        <f aca="false">(('Business Case'!C11*$C326*'Business Case'!C12*$B326)-'Business Case'!C11*$C326*'Business Case'!C13*$D326-'Business Case'!C14*$E326)-MAX(0,(('Business Case'!C11*$C326*'Business Case'!C12*$B326)-'Business Case'!C11*$C326*'Business Case'!C13*$D326-'Business Case'!C14*$E326))*'Business Case'!$B$7-'Business Case'!$B$8*(('Business Case'!C11*$C326*'Business Case'!C12*$B326)-('Business Case'!B11*$C326*'Business Case'!B12*$B326))-'Business Case'!C15*$F326</f>
        <v>12898948.3139437</v>
      </c>
      <c r="J326" s="39" t="n">
        <f aca="false">(('Business Case'!D11*$C326*'Business Case'!D12*$B326)-'Business Case'!D11*$C326*'Business Case'!D13*$D326-'Business Case'!D14*$E326)-MAX(0,(('Business Case'!D11*$C326*'Business Case'!D12*$B326)-'Business Case'!D11*$C326*'Business Case'!D13*$D326-'Business Case'!D14*$E326))*'Business Case'!$B$7-'Business Case'!$B$8*(('Business Case'!D11*$C326*'Business Case'!D12*$B326)-('Business Case'!C11*$C326*'Business Case'!C12*$B326))-'Business Case'!D15*$F326</f>
        <v>335909640.066095</v>
      </c>
      <c r="K326" s="39" t="n">
        <f aca="false">(('Business Case'!E11*$C326*'Business Case'!E12*$B326)-'Business Case'!E11*$C326*'Business Case'!E13*$D326-'Business Case'!E14*$E326)-MAX(0,(('Business Case'!E11*$C326*'Business Case'!E12*$B326)-'Business Case'!E11*$C326*'Business Case'!E13*$D326-'Business Case'!E14*$E326))*'Business Case'!$B$7-'Business Case'!$B$8*(('Business Case'!E11*$C326*'Business Case'!E12*$B326)-('Business Case'!D11*$C326*'Business Case'!D12*$B326))-'Business Case'!E15*$F326</f>
        <v>716829111.788835</v>
      </c>
      <c r="L326" s="39" t="n">
        <f aca="false">(('Business Case'!F11*$C326*'Business Case'!F12*$B326)-'Business Case'!F11*$C326*'Business Case'!F13*$D326-'Business Case'!F14*$E326)-MAX(0,(('Business Case'!F11*$C326*'Business Case'!F12*$B326)-'Business Case'!F11*$C326*'Business Case'!F13*$D326-'Business Case'!F14*$E326))*'Business Case'!$B$7-'Business Case'!$B$8*(('Business Case'!F11*$C326*'Business Case'!F12*$B326)-('Business Case'!E11*$C326*'Business Case'!E12*$B326))-'Business Case'!F15*$F326</f>
        <v>859352673.627445</v>
      </c>
      <c r="M326" s="39" t="n">
        <f aca="false">(('Business Case'!G11*$C326*'Business Case'!G12*$B326)-'Business Case'!G11*$C326*'Business Case'!G13*$D326-'Business Case'!G14*$E326)-MAX(0,(('Business Case'!G11*$C326*'Business Case'!G12*$B326)-'Business Case'!G11*$C326*'Business Case'!G13*$D326-'Business Case'!G14*$E326))*'Business Case'!$B$7-'Business Case'!$B$8*(('Business Case'!G11*$C326*'Business Case'!G12*$B326)-('Business Case'!F11*$C326*'Business Case'!F12*$B326))-'Business Case'!G15*$F326+'Business Case'!$B$8*('Business Case'!G11*$C326*'Business Case'!G12*$B326)</f>
        <v>1051045995.52752</v>
      </c>
      <c r="N326" s="39" t="n">
        <f aca="false">IF(COUNT('Business Case'!B11:G11)=0,"",H326+NPV(G326,I326:M326))</f>
        <v>-238714380.850648</v>
      </c>
      <c r="P326" s="40" t="n">
        <f aca="true">RAND()</f>
        <v>0.827063209627514</v>
      </c>
      <c r="Q326" s="40" t="n">
        <f aca="true">RAND()</f>
        <v>0.556266939931824</v>
      </c>
      <c r="R326" s="40" t="n">
        <f aca="true">RAND()</f>
        <v>0.190978916864215</v>
      </c>
      <c r="S326" s="40" t="n">
        <f aca="true">RAND()</f>
        <v>0.316138269771523</v>
      </c>
      <c r="T326" s="40" t="n">
        <f aca="true">RAND()</f>
        <v>0.965014390308756</v>
      </c>
      <c r="U326" s="40" t="n">
        <f aca="true">RAND()</f>
        <v>0.244787696673185</v>
      </c>
    </row>
    <row r="327" customFormat="false" ht="15" hidden="false" customHeight="false" outlineLevel="0" collapsed="false">
      <c r="A327" s="36" t="n">
        <v>247</v>
      </c>
      <c r="B327" s="37" t="n">
        <f aca="false">1+IF($G$6=$E$6,$F$6,IF(P327&lt;($F$6-$E$6)/($G$6-$E$6),$E$6+SQRT(P327*($G$6-$E$6)*($F$6-$E$6)),$G$6-SQRT((1-P327)*($G$6-$E$6)*($G$6-$F$6))))</f>
        <v>1.01599494797184</v>
      </c>
      <c r="C327" s="37" t="n">
        <f aca="false">1+IF($G$7=$E$7,$F$7,IF(Q327&lt;($F$7-$E$7)/($G$7-$E$7),$E$7+SQRT(Q327*($G$7-$E$7)*($F$7-$E$7)),$G$7-SQRT((1-Q327)*($G$7-$E$7)*($G$7-$F$7))))</f>
        <v>0.950523266051606</v>
      </c>
      <c r="D327" s="37" t="n">
        <f aca="false">1+IF($G$8=$E$8,$F$8,IF(R327&lt;($F$8-$E$8)/($G$8-$E$8),$E$8+SQRT(R327*($G$8-$E$8)*($F$8-$E$8)),$G$8-SQRT((1-R327)*($G$8-$E$8)*($G$8-$F$8))))</f>
        <v>0.990945697470514</v>
      </c>
      <c r="E327" s="37" t="n">
        <f aca="false">1+IF($G$9=$E$9,$F$9,IF(S327&lt;($F$9-$E$9)/($G$9-$E$9),$E$9+SQRT(S327*($G$9-$E$9)*($F$9-$E$9)),$G$9-SQRT((1-S327)*($G$9-$E$9)*($G$9-$F$9))))</f>
        <v>1.00166950938903</v>
      </c>
      <c r="F327" s="37" t="n">
        <f aca="false">1+IF($G$10=$E$10,$F$10,IF(T327&lt;($F$10-$E$10)/($G$10-$E$10),$E$10+SQRT(T327*($G$10-$E$10)*($F$10-$E$10)),$G$10-SQRT((1-T327)*($G$10-$E$10)*($G$10-$F$10))))</f>
        <v>1.13893481088895</v>
      </c>
      <c r="G327" s="38" t="n">
        <f aca="false">IF($G$11=$E$11,$F$11,IF(U327&lt;($F$11-$E$11)/($G$11-$E$11),$E$11+SQRT(U327*($G$11-$E$11)*($F$11-$E$11)),$G$11-SQRT((1-U327)*($G$11-$E$11)*($G$11-$F$11))))</f>
        <v>0.112907203899427</v>
      </c>
      <c r="H327" s="39" t="n">
        <f aca="false">(('Business Case'!B11*$C327*'Business Case'!B12*$B327)-'Business Case'!B11*$C327*'Business Case'!B13*$D327-'Business Case'!B14*$E327)-MAX(0,(('Business Case'!B11*$C327*'Business Case'!B12*$B327)-'Business Case'!B11*$C327*'Business Case'!B13*$D327-'Business Case'!B14*$E327))*'Business Case'!$B$7-'Business Case'!$B$8*('Business Case'!B11*$C327*'Business Case'!B12*$B327)-'Business Case'!B15*$F327</f>
        <v>-2277869621.7779</v>
      </c>
      <c r="I327" s="39" t="n">
        <f aca="false">(('Business Case'!C11*$C327*'Business Case'!C12*$B327)-'Business Case'!C11*$C327*'Business Case'!C13*$D327-'Business Case'!C14*$E327)-MAX(0,(('Business Case'!C11*$C327*'Business Case'!C12*$B327)-'Business Case'!C11*$C327*'Business Case'!C13*$D327-'Business Case'!C14*$E327))*'Business Case'!$B$7-'Business Case'!$B$8*(('Business Case'!C11*$C327*'Business Case'!C12*$B327)-('Business Case'!B11*$C327*'Business Case'!B12*$B327))-'Business Case'!C15*$F327</f>
        <v>2419526.3420985</v>
      </c>
      <c r="J327" s="39" t="n">
        <f aca="false">(('Business Case'!D11*$C327*'Business Case'!D12*$B327)-'Business Case'!D11*$C327*'Business Case'!D13*$D327-'Business Case'!D14*$E327)-MAX(0,(('Business Case'!D11*$C327*'Business Case'!D12*$B327)-'Business Case'!D11*$C327*'Business Case'!D13*$D327-'Business Case'!D14*$E327))*'Business Case'!$B$7-'Business Case'!$B$8*(('Business Case'!D11*$C327*'Business Case'!D12*$B327)-('Business Case'!C11*$C327*'Business Case'!C12*$B327))-'Business Case'!D15*$F327</f>
        <v>311233217.198797</v>
      </c>
      <c r="K327" s="39" t="n">
        <f aca="false">(('Business Case'!E11*$C327*'Business Case'!E12*$B327)-'Business Case'!E11*$C327*'Business Case'!E13*$D327-'Business Case'!E14*$E327)-MAX(0,(('Business Case'!E11*$C327*'Business Case'!E12*$B327)-'Business Case'!E11*$C327*'Business Case'!E13*$D327-'Business Case'!E14*$E327))*'Business Case'!$B$7-'Business Case'!$B$8*(('Business Case'!E11*$C327*'Business Case'!E12*$B327)-('Business Case'!D11*$C327*'Business Case'!D12*$B327))-'Business Case'!E15*$F327</f>
        <v>676993648.599942</v>
      </c>
      <c r="L327" s="39" t="n">
        <f aca="false">(('Business Case'!F11*$C327*'Business Case'!F12*$B327)-'Business Case'!F11*$C327*'Business Case'!F13*$D327-'Business Case'!F14*$E327)-MAX(0,(('Business Case'!F11*$C327*'Business Case'!F12*$B327)-'Business Case'!F11*$C327*'Business Case'!F13*$D327-'Business Case'!F14*$E327))*'Business Case'!$B$7-'Business Case'!$B$8*(('Business Case'!F11*$C327*'Business Case'!F12*$B327)-('Business Case'!E11*$C327*'Business Case'!E12*$B327))-'Business Case'!F15*$F327</f>
        <v>813307065.012565</v>
      </c>
      <c r="M327" s="39" t="n">
        <f aca="false">(('Business Case'!G11*$C327*'Business Case'!G12*$B327)-'Business Case'!G11*$C327*'Business Case'!G13*$D327-'Business Case'!G14*$E327)-MAX(0,(('Business Case'!G11*$C327*'Business Case'!G12*$B327)-'Business Case'!G11*$C327*'Business Case'!G13*$D327-'Business Case'!G14*$E327))*'Business Case'!$B$7-'Business Case'!$B$8*(('Business Case'!G11*$C327*'Business Case'!G12*$B327)-('Business Case'!F11*$C327*'Business Case'!F12*$B327))-'Business Case'!G15*$F327+'Business Case'!$B$8*('Business Case'!G11*$C327*'Business Case'!G12*$B327)</f>
        <v>996872422.044708</v>
      </c>
      <c r="N327" s="39" t="n">
        <f aca="false">IF(COUNT('Business Case'!B11:G11)=0,"",H327+NPV(G327,I327:M327))</f>
        <v>-419184073.307358</v>
      </c>
      <c r="P327" s="40" t="n">
        <f aca="true">RAND()</f>
        <v>0.879949474401127</v>
      </c>
      <c r="Q327" s="40" t="n">
        <f aca="true">RAND()</f>
        <v>0.323675051754894</v>
      </c>
      <c r="R327" s="40" t="n">
        <f aca="true">RAND()</f>
        <v>0.257930790976445</v>
      </c>
      <c r="S327" s="40" t="n">
        <f aca="true">RAND()</f>
        <v>0.35540764108039</v>
      </c>
      <c r="T327" s="40" t="n">
        <f aca="true">RAND()</f>
        <v>0.92542085357664</v>
      </c>
      <c r="U327" s="40" t="n">
        <f aca="true">RAND()</f>
        <v>0.91615373912615</v>
      </c>
    </row>
    <row r="328" customFormat="false" ht="15" hidden="false" customHeight="false" outlineLevel="0" collapsed="false">
      <c r="A328" s="36" t="n">
        <v>248</v>
      </c>
      <c r="B328" s="37" t="n">
        <f aca="false">1+IF($G$6=$E$6,$F$6,IF(P328&lt;($F$6-$E$6)/($G$6-$E$6),$E$6+SQRT(P328*($G$6-$E$6)*($F$6-$E$6)),$G$6-SQRT((1-P328)*($G$6-$E$6)*($G$6-$F$6))))</f>
        <v>1.01973754205167</v>
      </c>
      <c r="C328" s="37" t="n">
        <f aca="false">1+IF($G$7=$E$7,$F$7,IF(Q328&lt;($F$7-$E$7)/($G$7-$E$7),$E$7+SQRT(Q328*($G$7-$E$7)*($F$7-$E$7)),$G$7-SQRT((1-Q328)*($G$7-$E$7)*($G$7-$F$7))))</f>
        <v>1.07890929203913</v>
      </c>
      <c r="D328" s="37" t="n">
        <f aca="false">1+IF($G$8=$E$8,$F$8,IF(R328&lt;($F$8-$E$8)/($G$8-$E$8),$E$8+SQRT(R328*($G$8-$E$8)*($F$8-$E$8)),$G$8-SQRT((1-R328)*($G$8-$E$8)*($G$8-$F$8))))</f>
        <v>1.02819022729001</v>
      </c>
      <c r="E328" s="37" t="n">
        <f aca="false">1+IF($G$9=$E$9,$F$9,IF(S328&lt;($F$9-$E$9)/($G$9-$E$9),$E$9+SQRT(S328*($G$9-$E$9)*($F$9-$E$9)),$G$9-SQRT((1-S328)*($G$9-$E$9)*($G$9-$F$9))))</f>
        <v>0.992152329060843</v>
      </c>
      <c r="F328" s="37" t="n">
        <f aca="false">1+IF($G$10=$E$10,$F$10,IF(T328&lt;($F$10-$E$10)/($G$10-$E$10),$E$10+SQRT(T328*($G$10-$E$10)*($F$10-$E$10)),$G$10-SQRT((1-T328)*($G$10-$E$10)*($G$10-$F$10))))</f>
        <v>0.974636772893219</v>
      </c>
      <c r="G328" s="38" t="n">
        <f aca="false">IF($G$11=$E$11,$F$11,IF(U328&lt;($F$11-$E$11)/($G$11-$E$11),$E$11+SQRT(U328*($G$11-$E$11)*($F$11-$E$11)),$G$11-SQRT((1-U328)*($G$11-$E$11)*($G$11-$F$11))))</f>
        <v>0.106474982475927</v>
      </c>
      <c r="H328" s="39" t="n">
        <f aca="false">(('Business Case'!B11*$C328*'Business Case'!B12*$B328)-'Business Case'!B11*$C328*'Business Case'!B13*$D328-'Business Case'!B14*$E328)-MAX(0,(('Business Case'!B11*$C328*'Business Case'!B12*$B328)-'Business Case'!B11*$C328*'Business Case'!B13*$D328-'Business Case'!B14*$E328))*'Business Case'!$B$7-'Business Case'!$B$8*('Business Case'!B11*$C328*'Business Case'!B12*$B328)-'Business Case'!B15*$F328</f>
        <v>-1949273545.78644</v>
      </c>
      <c r="I328" s="39" t="n">
        <f aca="false">(('Business Case'!C11*$C328*'Business Case'!C12*$B328)-'Business Case'!C11*$C328*'Business Case'!C13*$D328-'Business Case'!C14*$E328)-MAX(0,(('Business Case'!C11*$C328*'Business Case'!C12*$B328)-'Business Case'!C11*$C328*'Business Case'!C13*$D328-'Business Case'!C14*$E328))*'Business Case'!$B$7-'Business Case'!$B$8*(('Business Case'!C11*$C328*'Business Case'!C12*$B328)-('Business Case'!B11*$C328*'Business Case'!B12*$B328))-'Business Case'!C15*$F328</f>
        <v>37679077.284319</v>
      </c>
      <c r="J328" s="39" t="n">
        <f aca="false">(('Business Case'!D11*$C328*'Business Case'!D12*$B328)-'Business Case'!D11*$C328*'Business Case'!D13*$D328-'Business Case'!D14*$E328)-MAX(0,(('Business Case'!D11*$C328*'Business Case'!D12*$B328)-'Business Case'!D11*$C328*'Business Case'!D13*$D328-'Business Case'!D14*$E328))*'Business Case'!$B$7-'Business Case'!$B$8*(('Business Case'!D11*$C328*'Business Case'!D12*$B328)-('Business Case'!C11*$C328*'Business Case'!C12*$B328))-'Business Case'!D15*$F328</f>
        <v>370940484.458038</v>
      </c>
      <c r="K328" s="39" t="n">
        <f aca="false">(('Business Case'!E11*$C328*'Business Case'!E12*$B328)-'Business Case'!E11*$C328*'Business Case'!E13*$D328-'Business Case'!E14*$E328)-MAX(0,(('Business Case'!E11*$C328*'Business Case'!E12*$B328)-'Business Case'!E11*$C328*'Business Case'!E13*$D328-'Business Case'!E14*$E328))*'Business Case'!$B$7-'Business Case'!$B$8*(('Business Case'!E11*$C328*'Business Case'!E12*$B328)-('Business Case'!D11*$C328*'Business Case'!D12*$B328))-'Business Case'!E15*$F328</f>
        <v>752933730.276419</v>
      </c>
      <c r="L328" s="39" t="n">
        <f aca="false">(('Business Case'!F11*$C328*'Business Case'!F12*$B328)-'Business Case'!F11*$C328*'Business Case'!F13*$D328-'Business Case'!F14*$E328)-MAX(0,(('Business Case'!F11*$C328*'Business Case'!F12*$B328)-'Business Case'!F11*$C328*'Business Case'!F13*$D328-'Business Case'!F14*$E328))*'Business Case'!$B$7-'Business Case'!$B$8*(('Business Case'!F11*$C328*'Business Case'!F12*$B328)-('Business Case'!E11*$C328*'Business Case'!E12*$B328))-'Business Case'!F15*$F328</f>
        <v>902043926.93941</v>
      </c>
      <c r="M328" s="39" t="n">
        <f aca="false">(('Business Case'!G11*$C328*'Business Case'!G12*$B328)-'Business Case'!G11*$C328*'Business Case'!G13*$D328-'Business Case'!G14*$E328)-MAX(0,(('Business Case'!G11*$C328*'Business Case'!G12*$B328)-'Business Case'!G11*$C328*'Business Case'!G13*$D328-'Business Case'!G14*$E328))*'Business Case'!$B$7-'Business Case'!$B$8*(('Business Case'!G11*$C328*'Business Case'!G12*$B328)-('Business Case'!F11*$C328*'Business Case'!F12*$B328))-'Business Case'!G15*$F328+'Business Case'!$B$8*('Business Case'!G11*$C328*'Business Case'!G12*$B328)</f>
        <v>1111170762.10071</v>
      </c>
      <c r="N328" s="39" t="n">
        <f aca="false">IF(COUNT('Business Case'!B11:G11)=0,"",H328+NPV(G328,I328:M328))</f>
        <v>215391362.979124</v>
      </c>
      <c r="P328" s="40" t="n">
        <f aca="true">RAND()</f>
        <v>0.914465166227549</v>
      </c>
      <c r="Q328" s="40" t="n">
        <f aca="true">RAND()</f>
        <v>0.903735452221386</v>
      </c>
      <c r="R328" s="40" t="n">
        <f aca="true">RAND()</f>
        <v>0.74189879343647</v>
      </c>
      <c r="S328" s="40" t="n">
        <f aca="true">RAND()</f>
        <v>0.236909179367142</v>
      </c>
      <c r="T328" s="40" t="n">
        <f aca="true">RAND()</f>
        <v>0.0485576462873642</v>
      </c>
      <c r="U328" s="40" t="n">
        <f aca="true">RAND()</f>
        <v>0.695123168289218</v>
      </c>
    </row>
    <row r="329" customFormat="false" ht="15" hidden="false" customHeight="false" outlineLevel="0" collapsed="false">
      <c r="A329" s="36" t="n">
        <v>249</v>
      </c>
      <c r="B329" s="37" t="n">
        <f aca="false">1+IF($G$6=$E$6,$F$6,IF(P329&lt;($F$6-$E$6)/($G$6-$E$6),$E$6+SQRT(P329*($G$6-$E$6)*($F$6-$E$6)),$G$6-SQRT((1-P329)*($G$6-$E$6)*($G$6-$F$6))))</f>
        <v>1.02701831279016</v>
      </c>
      <c r="C329" s="37" t="n">
        <f aca="false">1+IF($G$7=$E$7,$F$7,IF(Q329&lt;($F$7-$E$7)/($G$7-$E$7),$E$7+SQRT(Q329*($G$7-$E$7)*($F$7-$E$7)),$G$7-SQRT((1-Q329)*($G$7-$E$7)*($G$7-$F$7))))</f>
        <v>0.97015977122789</v>
      </c>
      <c r="D329" s="37" t="n">
        <f aca="false">1+IF($G$8=$E$8,$F$8,IF(R329&lt;($F$8-$E$8)/($G$8-$E$8),$E$8+SQRT(R329*($G$8-$E$8)*($F$8-$E$8)),$G$8-SQRT((1-R329)*($G$8-$E$8)*($G$8-$F$8))))</f>
        <v>0.997423119333381</v>
      </c>
      <c r="E329" s="37" t="n">
        <f aca="false">1+IF($G$9=$E$9,$F$9,IF(S329&lt;($F$9-$E$9)/($G$9-$E$9),$E$9+SQRT(S329*($G$9-$E$9)*($F$9-$E$9)),$G$9-SQRT((1-S329)*($G$9-$E$9)*($G$9-$F$9))))</f>
        <v>1.01700091683716</v>
      </c>
      <c r="F329" s="37" t="n">
        <f aca="false">1+IF($G$10=$E$10,$F$10,IF(T329&lt;($F$10-$E$10)/($G$10-$E$10),$E$10+SQRT(T329*($G$10-$E$10)*($F$10-$E$10)),$G$10-SQRT((1-T329)*($G$10-$E$10)*($G$10-$F$10))))</f>
        <v>1.0483730923245</v>
      </c>
      <c r="G329" s="38" t="n">
        <f aca="false">IF($G$11=$E$11,$F$11,IF(U329&lt;($F$11-$E$11)/($G$11-$E$11),$E$11+SQRT(U329*($G$11-$E$11)*($F$11-$E$11)),$G$11-SQRT((1-U329)*($G$11-$E$11)*($G$11-$F$11))))</f>
        <v>0.100663099869005</v>
      </c>
      <c r="H329" s="39" t="n">
        <f aca="false">(('Business Case'!B11*$C329*'Business Case'!B12*$B329)-'Business Case'!B11*$C329*'Business Case'!B13*$D329-'Business Case'!B14*$E329)-MAX(0,(('Business Case'!B11*$C329*'Business Case'!B12*$B329)-'Business Case'!B11*$C329*'Business Case'!B13*$D329-'Business Case'!B14*$E329))*'Business Case'!$B$7-'Business Case'!$B$8*('Business Case'!B11*$C329*'Business Case'!B12*$B329)-'Business Case'!B15*$F329</f>
        <v>-2096746184.64899</v>
      </c>
      <c r="I329" s="39" t="n">
        <f aca="false">(('Business Case'!C11*$C329*'Business Case'!C12*$B329)-'Business Case'!C11*$C329*'Business Case'!C13*$D329-'Business Case'!C14*$E329)-MAX(0,(('Business Case'!C11*$C329*'Business Case'!C12*$B329)-'Business Case'!C11*$C329*'Business Case'!C13*$D329-'Business Case'!C14*$E329))*'Business Case'!$B$7-'Business Case'!$B$8*(('Business Case'!C11*$C329*'Business Case'!C12*$B329)-('Business Case'!B11*$C329*'Business Case'!B12*$B329))-'Business Case'!C15*$F329</f>
        <v>19629131.3985054</v>
      </c>
      <c r="J329" s="39" t="n">
        <f aca="false">(('Business Case'!D11*$C329*'Business Case'!D12*$B329)-'Business Case'!D11*$C329*'Business Case'!D13*$D329-'Business Case'!D14*$E329)-MAX(0,(('Business Case'!D11*$C329*'Business Case'!D12*$B329)-'Business Case'!D11*$C329*'Business Case'!D13*$D329-'Business Case'!D14*$E329))*'Business Case'!$B$7-'Business Case'!$B$8*(('Business Case'!D11*$C329*'Business Case'!D12*$B329)-('Business Case'!C11*$C329*'Business Case'!C12*$B329))-'Business Case'!D15*$F329</f>
        <v>340365019.179418</v>
      </c>
      <c r="K329" s="39" t="n">
        <f aca="false">(('Business Case'!E11*$C329*'Business Case'!E12*$B329)-'Business Case'!E11*$C329*'Business Case'!E13*$D329-'Business Case'!E14*$E329)-MAX(0,(('Business Case'!E11*$C329*'Business Case'!E12*$B329)-'Business Case'!E11*$C329*'Business Case'!E13*$D329-'Business Case'!E14*$E329))*'Business Case'!$B$7-'Business Case'!$B$8*(('Business Case'!E11*$C329*'Business Case'!E12*$B329)-('Business Case'!D11*$C329*'Business Case'!D12*$B329))-'Business Case'!E15*$F329</f>
        <v>713519561.576555</v>
      </c>
      <c r="L329" s="39" t="n">
        <f aca="false">(('Business Case'!F11*$C329*'Business Case'!F12*$B329)-'Business Case'!F11*$C329*'Business Case'!F13*$D329-'Business Case'!F14*$E329)-MAX(0,(('Business Case'!F11*$C329*'Business Case'!F12*$B329)-'Business Case'!F11*$C329*'Business Case'!F13*$D329-'Business Case'!F14*$E329))*'Business Case'!$B$7-'Business Case'!$B$8*(('Business Case'!F11*$C329*'Business Case'!F12*$B329)-('Business Case'!E11*$C329*'Business Case'!E12*$B329))-'Business Case'!F15*$F329</f>
        <v>854866135.354001</v>
      </c>
      <c r="M329" s="39" t="n">
        <f aca="false">(('Business Case'!G11*$C329*'Business Case'!G12*$B329)-'Business Case'!G11*$C329*'Business Case'!G13*$D329-'Business Case'!G14*$E329)-MAX(0,(('Business Case'!G11*$C329*'Business Case'!G12*$B329)-'Business Case'!G11*$C329*'Business Case'!G13*$D329-'Business Case'!G14*$E329))*'Business Case'!$B$7-'Business Case'!$B$8*(('Business Case'!G11*$C329*'Business Case'!G12*$B329)-('Business Case'!F11*$C329*'Business Case'!F12*$B329))-'Business Case'!G15*$F329+'Business Case'!$B$8*('Business Case'!G11*$C329*'Business Case'!G12*$B329)</f>
        <v>1044256496.86495</v>
      </c>
      <c r="N329" s="39" t="n">
        <f aca="false">IF(COUNT('Business Case'!B11:G11)=0,"",H329+NPV(G329,I329:M329))</f>
        <v>-33918592.5052941</v>
      </c>
      <c r="P329" s="40" t="n">
        <f aca="true">RAND()</f>
        <v>0.964890791080407</v>
      </c>
      <c r="Q329" s="40" t="n">
        <f aca="true">RAND()</f>
        <v>0.413633539204683</v>
      </c>
      <c r="R329" s="40" t="n">
        <f aca="true">RAND()</f>
        <v>0.345992653432012</v>
      </c>
      <c r="S329" s="40" t="n">
        <f aca="true">RAND()</f>
        <v>0.540743479608518</v>
      </c>
      <c r="T329" s="40" t="n">
        <f aca="true">RAND()</f>
        <v>0.540185617375279</v>
      </c>
      <c r="U329" s="40" t="n">
        <f aca="true">RAND()</f>
        <v>0.376807155539889</v>
      </c>
    </row>
    <row r="330" customFormat="false" ht="15" hidden="false" customHeight="false" outlineLevel="0" collapsed="false">
      <c r="A330" s="36" t="n">
        <v>250</v>
      </c>
      <c r="B330" s="37" t="n">
        <f aca="false">1+IF($G$6=$E$6,$F$6,IF(P330&lt;($F$6-$E$6)/($G$6-$E$6),$E$6+SQRT(P330*($G$6-$E$6)*($F$6-$E$6)),$G$6-SQRT((1-P330)*($G$6-$E$6)*($G$6-$F$6))))</f>
        <v>1.01077125503409</v>
      </c>
      <c r="C330" s="37" t="n">
        <f aca="false">1+IF($G$7=$E$7,$F$7,IF(Q330&lt;($F$7-$E$7)/($G$7-$E$7),$E$7+SQRT(Q330*($G$7-$E$7)*($F$7-$E$7)),$G$7-SQRT((1-Q330)*($G$7-$E$7)*($G$7-$F$7))))</f>
        <v>1.04432654142048</v>
      </c>
      <c r="D330" s="37" t="n">
        <f aca="false">1+IF($G$8=$E$8,$F$8,IF(R330&lt;($F$8-$E$8)/($G$8-$E$8),$E$8+SQRT(R330*($G$8-$E$8)*($F$8-$E$8)),$G$8-SQRT((1-R330)*($G$8-$E$8)*($G$8-$F$8))))</f>
        <v>0.999435959907456</v>
      </c>
      <c r="E330" s="37" t="n">
        <f aca="false">1+IF($G$9=$E$9,$F$9,IF(S330&lt;($F$9-$E$9)/($G$9-$E$9),$E$9+SQRT(S330*($G$9-$E$9)*($F$9-$E$9)),$G$9-SQRT((1-S330)*($G$9-$E$9)*($G$9-$F$9))))</f>
        <v>0.96161144699951</v>
      </c>
      <c r="F330" s="37" t="n">
        <f aca="false">1+IF($G$10=$E$10,$F$10,IF(T330&lt;($F$10-$E$10)/($G$10-$E$10),$E$10+SQRT(T330*($G$10-$E$10)*($F$10-$E$10)),$G$10-SQRT((1-T330)*($G$10-$E$10)*($G$10-$F$10))))</f>
        <v>0.998827441670073</v>
      </c>
      <c r="G330" s="38" t="n">
        <f aca="false">IF($G$11=$E$11,$F$11,IF(U330&lt;($F$11-$E$11)/($G$11-$E$11),$E$11+SQRT(U330*($G$11-$E$11)*($F$11-$E$11)),$G$11-SQRT((1-U330)*($G$11-$E$11)*($G$11-$F$11))))</f>
        <v>0.108402249295183</v>
      </c>
      <c r="H330" s="39" t="n">
        <f aca="false">(('Business Case'!B11*$C330*'Business Case'!B12*$B330)-'Business Case'!B11*$C330*'Business Case'!B13*$D330-'Business Case'!B14*$E330)-MAX(0,(('Business Case'!B11*$C330*'Business Case'!B12*$B330)-'Business Case'!B11*$C330*'Business Case'!B13*$D330-'Business Case'!B14*$E330))*'Business Case'!$B$7-'Business Case'!$B$8*('Business Case'!B11*$C330*'Business Case'!B12*$B330)-'Business Case'!B15*$F330</f>
        <v>-1997654883.34015</v>
      </c>
      <c r="I330" s="39" t="n">
        <f aca="false">(('Business Case'!C11*$C330*'Business Case'!C12*$B330)-'Business Case'!C11*$C330*'Business Case'!C13*$D330-'Business Case'!C14*$E330)-MAX(0,(('Business Case'!C11*$C330*'Business Case'!C12*$B330)-'Business Case'!C11*$C330*'Business Case'!C13*$D330-'Business Case'!C14*$E330))*'Business Case'!$B$7-'Business Case'!$B$8*(('Business Case'!C11*$C330*'Business Case'!C12*$B330)-('Business Case'!B11*$C330*'Business Case'!B12*$B330))-'Business Case'!C15*$F330</f>
        <v>38937116.7787528</v>
      </c>
      <c r="J330" s="39" t="n">
        <f aca="false">(('Business Case'!D11*$C330*'Business Case'!D12*$B330)-'Business Case'!D11*$C330*'Business Case'!D13*$D330-'Business Case'!D14*$E330)-MAX(0,(('Business Case'!D11*$C330*'Business Case'!D12*$B330)-'Business Case'!D11*$C330*'Business Case'!D13*$D330-'Business Case'!D14*$E330))*'Business Case'!$B$7-'Business Case'!$B$8*(('Business Case'!D11*$C330*'Business Case'!D12*$B330)-('Business Case'!C11*$C330*'Business Case'!C12*$B330))-'Business Case'!D15*$F330</f>
        <v>369219146.392736</v>
      </c>
      <c r="K330" s="39" t="n">
        <f aca="false">(('Business Case'!E11*$C330*'Business Case'!E12*$B330)-'Business Case'!E11*$C330*'Business Case'!E13*$D330-'Business Case'!E14*$E330)-MAX(0,(('Business Case'!E11*$C330*'Business Case'!E12*$B330)-'Business Case'!E11*$C330*'Business Case'!E13*$D330-'Business Case'!E14*$E330))*'Business Case'!$B$7-'Business Case'!$B$8*(('Business Case'!E11*$C330*'Business Case'!E12*$B330)-('Business Case'!D11*$C330*'Business Case'!D12*$B330))-'Business Case'!E15*$F330</f>
        <v>749442548.090223</v>
      </c>
      <c r="L330" s="39" t="n">
        <f aca="false">(('Business Case'!F11*$C330*'Business Case'!F12*$B330)-'Business Case'!F11*$C330*'Business Case'!F13*$D330-'Business Case'!F14*$E330)-MAX(0,(('Business Case'!F11*$C330*'Business Case'!F12*$B330)-'Business Case'!F11*$C330*'Business Case'!F13*$D330-'Business Case'!F14*$E330))*'Business Case'!$B$7-'Business Case'!$B$8*(('Business Case'!F11*$C330*'Business Case'!F12*$B330)-('Business Case'!E11*$C330*'Business Case'!E12*$B330))-'Business Case'!F15*$F330</f>
        <v>896017238.564814</v>
      </c>
      <c r="M330" s="39" t="n">
        <f aca="false">(('Business Case'!G11*$C330*'Business Case'!G12*$B330)-'Business Case'!G11*$C330*'Business Case'!G13*$D330-'Business Case'!G14*$E330)-MAX(0,(('Business Case'!G11*$C330*'Business Case'!G12*$B330)-'Business Case'!G11*$C330*'Business Case'!G13*$D330-'Business Case'!G14*$E330))*'Business Case'!$B$7-'Business Case'!$B$8*(('Business Case'!G11*$C330*'Business Case'!G12*$B330)-('Business Case'!F11*$C330*'Business Case'!F12*$B330))-'Business Case'!G15*$F330+'Business Case'!$B$8*('Business Case'!G11*$C330*'Business Case'!G12*$B330)</f>
        <v>1096660981.88276</v>
      </c>
      <c r="N330" s="39" t="n">
        <f aca="false">IF(COUNT('Business Case'!B11:G11)=0,"",H330+NPV(G330,I330:M330))</f>
        <v>137528477.145201</v>
      </c>
      <c r="P330" s="40" t="n">
        <f aca="true">RAND()</f>
        <v>0.822016764107863</v>
      </c>
      <c r="Q330" s="40" t="n">
        <f aca="true">RAND()</f>
        <v>0.787297526701744</v>
      </c>
      <c r="R330" s="40" t="n">
        <f aca="true">RAND()</f>
        <v>0.375986789534097</v>
      </c>
      <c r="S330" s="40" t="n">
        <f aca="true">RAND()</f>
        <v>0.0179767601896577</v>
      </c>
      <c r="T330" s="40" t="n">
        <f aca="true">RAND()</f>
        <v>0.190729524803548</v>
      </c>
      <c r="U330" s="40" t="n">
        <f aca="true">RAND()</f>
        <v>0.775820297648192</v>
      </c>
    </row>
    <row r="331" customFormat="false" ht="15" hidden="false" customHeight="false" outlineLevel="0" collapsed="false">
      <c r="A331" s="36" t="n">
        <v>251</v>
      </c>
      <c r="B331" s="37" t="n">
        <f aca="false">1+IF($G$6=$E$6,$F$6,IF(P331&lt;($F$6-$E$6)/($G$6-$E$6),$E$6+SQRT(P331*($G$6-$E$6)*($F$6-$E$6)),$G$6-SQRT((1-P331)*($G$6-$E$6)*($G$6-$F$6))))</f>
        <v>0.994599174100179</v>
      </c>
      <c r="C331" s="37" t="n">
        <f aca="false">1+IF($G$7=$E$7,$F$7,IF(Q331&lt;($F$7-$E$7)/($G$7-$E$7),$E$7+SQRT(Q331*($G$7-$E$7)*($F$7-$E$7)),$G$7-SQRT((1-Q331)*($G$7-$E$7)*($G$7-$F$7))))</f>
        <v>0.957751475209183</v>
      </c>
      <c r="D331" s="37" t="n">
        <f aca="false">1+IF($G$8=$E$8,$F$8,IF(R331&lt;($F$8-$E$8)/($G$8-$E$8),$E$8+SQRT(R331*($G$8-$E$8)*($F$8-$E$8)),$G$8-SQRT((1-R331)*($G$8-$E$8)*($G$8-$F$8))))</f>
        <v>1.02911443630537</v>
      </c>
      <c r="E331" s="37" t="n">
        <f aca="false">1+IF($G$9=$E$9,$F$9,IF(S331&lt;($F$9-$E$9)/($G$9-$E$9),$E$9+SQRT(S331*($G$9-$E$9)*($F$9-$E$9)),$G$9-SQRT((1-S331)*($G$9-$E$9)*($G$9-$F$9))))</f>
        <v>1.00918985014102</v>
      </c>
      <c r="F331" s="37" t="n">
        <f aca="false">1+IF($G$10=$E$10,$F$10,IF(T331&lt;($F$10-$E$10)/($G$10-$E$10),$E$10+SQRT(T331*($G$10-$E$10)*($F$10-$E$10)),$G$10-SQRT((1-T331)*($G$10-$E$10)*($G$10-$F$10))))</f>
        <v>1.13781474546811</v>
      </c>
      <c r="G331" s="38" t="n">
        <f aca="false">IF($G$11=$E$11,$F$11,IF(U331&lt;($F$11-$E$11)/($G$11-$E$11),$E$11+SQRT(U331*($G$11-$E$11)*($F$11-$E$11)),$G$11-SQRT((1-U331)*($G$11-$E$11)*($G$11-$F$11))))</f>
        <v>0.093836370343091</v>
      </c>
      <c r="H331" s="39" t="n">
        <f aca="false">(('Business Case'!B11*$C331*'Business Case'!B12*$B331)-'Business Case'!B11*$C331*'Business Case'!B13*$D331-'Business Case'!B14*$E331)-MAX(0,(('Business Case'!B11*$C331*'Business Case'!B12*$B331)-'Business Case'!B11*$C331*'Business Case'!B13*$D331-'Business Case'!B14*$E331))*'Business Case'!$B$7-'Business Case'!$B$8*('Business Case'!B11*$C331*'Business Case'!B12*$B331)-'Business Case'!B15*$F331</f>
        <v>-2275629490.93622</v>
      </c>
      <c r="I331" s="39" t="n">
        <f aca="false">(('Business Case'!C11*$C331*'Business Case'!C12*$B331)-'Business Case'!C11*$C331*'Business Case'!C13*$D331-'Business Case'!C14*$E331)-MAX(0,(('Business Case'!C11*$C331*'Business Case'!C12*$B331)-'Business Case'!C11*$C331*'Business Case'!C13*$D331-'Business Case'!C14*$E331))*'Business Case'!$B$7-'Business Case'!$B$8*(('Business Case'!C11*$C331*'Business Case'!C12*$B331)-('Business Case'!B11*$C331*'Business Case'!B12*$B331))-'Business Case'!C15*$F331</f>
        <v>-31006027.5560215</v>
      </c>
      <c r="J331" s="39" t="n">
        <f aca="false">(('Business Case'!D11*$C331*'Business Case'!D12*$B331)-'Business Case'!D11*$C331*'Business Case'!D13*$D331-'Business Case'!D14*$E331)-MAX(0,(('Business Case'!D11*$C331*'Business Case'!D12*$B331)-'Business Case'!D11*$C331*'Business Case'!D13*$D331-'Business Case'!D14*$E331))*'Business Case'!$B$7-'Business Case'!$B$8*(('Business Case'!D11*$C331*'Business Case'!D12*$B331)-('Business Case'!C11*$C331*'Business Case'!C12*$B331))-'Business Case'!D15*$F331</f>
        <v>244657902.47691</v>
      </c>
      <c r="K331" s="39" t="n">
        <f aca="false">(('Business Case'!E11*$C331*'Business Case'!E12*$B331)-'Business Case'!E11*$C331*'Business Case'!E13*$D331-'Business Case'!E14*$E331)-MAX(0,(('Business Case'!E11*$C331*'Business Case'!E12*$B331)-'Business Case'!E11*$C331*'Business Case'!E13*$D331-'Business Case'!E14*$E331))*'Business Case'!$B$7-'Business Case'!$B$8*(('Business Case'!E11*$C331*'Business Case'!E12*$B331)-('Business Case'!D11*$C331*'Business Case'!D12*$B331))-'Business Case'!E15*$F331</f>
        <v>577212569.783247</v>
      </c>
      <c r="L331" s="39" t="n">
        <f aca="false">(('Business Case'!F11*$C331*'Business Case'!F12*$B331)-'Business Case'!F11*$C331*'Business Case'!F13*$D331-'Business Case'!F14*$E331)-MAX(0,(('Business Case'!F11*$C331*'Business Case'!F12*$B331)-'Business Case'!F11*$C331*'Business Case'!F13*$D331-'Business Case'!F14*$E331))*'Business Case'!$B$7-'Business Case'!$B$8*(('Business Case'!F11*$C331*'Business Case'!F12*$B331)-('Business Case'!E11*$C331*'Business Case'!E12*$B331))-'Business Case'!F15*$F331</f>
        <v>702021670.695617</v>
      </c>
      <c r="M331" s="39" t="n">
        <f aca="false">(('Business Case'!G11*$C331*'Business Case'!G12*$B331)-'Business Case'!G11*$C331*'Business Case'!G13*$D331-'Business Case'!G14*$E331)-MAX(0,(('Business Case'!G11*$C331*'Business Case'!G12*$B331)-'Business Case'!G11*$C331*'Business Case'!G13*$D331-'Business Case'!G14*$E331))*'Business Case'!$B$7-'Business Case'!$B$8*(('Business Case'!G11*$C331*'Business Case'!G12*$B331)-('Business Case'!F11*$C331*'Business Case'!F12*$B331))-'Business Case'!G15*$F331+'Business Case'!$B$8*('Business Case'!G11*$C331*'Business Case'!G12*$B331)</f>
        <v>883087853.986609</v>
      </c>
      <c r="N331" s="39" t="n">
        <f aca="false">IF(COUNT('Business Case'!B11:G11)=0,"",H331+NPV(G331,I331:M331))</f>
        <v>-604111779.455796</v>
      </c>
      <c r="P331" s="40" t="n">
        <f aca="true">RAND()</f>
        <v>0.579691330878007</v>
      </c>
      <c r="Q331" s="40" t="n">
        <f aca="true">RAND()</f>
        <v>0.355507541866762</v>
      </c>
      <c r="R331" s="40" t="n">
        <f aca="true">RAND()</f>
        <v>0.751024943026913</v>
      </c>
      <c r="S331" s="40" t="n">
        <f aca="true">RAND()</f>
        <v>0.450234445505986</v>
      </c>
      <c r="T331" s="40" t="n">
        <f aca="true">RAND()</f>
        <v>0.922659882376083</v>
      </c>
      <c r="U331" s="40" t="n">
        <f aca="true">RAND()</f>
        <v>0.0490591246978282</v>
      </c>
    </row>
    <row r="332" customFormat="false" ht="15" hidden="false" customHeight="false" outlineLevel="0" collapsed="false">
      <c r="A332" s="36" t="n">
        <v>252</v>
      </c>
      <c r="B332" s="37" t="n">
        <f aca="false">1+IF($G$6=$E$6,$F$6,IF(P332&lt;($F$6-$E$6)/($G$6-$E$6),$E$6+SQRT(P332*($G$6-$E$6)*($F$6-$E$6)),$G$6-SQRT((1-P332)*($G$6-$E$6)*($G$6-$F$6))))</f>
        <v>0.949012922453557</v>
      </c>
      <c r="C332" s="37" t="n">
        <f aca="false">1+IF($G$7=$E$7,$F$7,IF(Q332&lt;($F$7-$E$7)/($G$7-$E$7),$E$7+SQRT(Q332*($G$7-$E$7)*($F$7-$E$7)),$G$7-SQRT((1-Q332)*($G$7-$E$7)*($G$7-$F$7))))</f>
        <v>1.08580699313</v>
      </c>
      <c r="D332" s="37" t="n">
        <f aca="false">1+IF($G$8=$E$8,$F$8,IF(R332&lt;($F$8-$E$8)/($G$8-$E$8),$E$8+SQRT(R332*($G$8-$E$8)*($F$8-$E$8)),$G$8-SQRT((1-R332)*($G$8-$E$8)*($G$8-$F$8))))</f>
        <v>0.978476812201941</v>
      </c>
      <c r="E332" s="37" t="n">
        <f aca="false">1+IF($G$9=$E$9,$F$9,IF(S332&lt;($F$9-$E$9)/($G$9-$E$9),$E$9+SQRT(S332*($G$9-$E$9)*($F$9-$E$9)),$G$9-SQRT((1-S332)*($G$9-$E$9)*($G$9-$F$9))))</f>
        <v>1.04616586548421</v>
      </c>
      <c r="F332" s="37" t="n">
        <f aca="false">1+IF($G$10=$E$10,$F$10,IF(T332&lt;($F$10-$E$10)/($G$10-$E$10),$E$10+SQRT(T332*($G$10-$E$10)*($F$10-$E$10)),$G$10-SQRT((1-T332)*($G$10-$E$10)*($G$10-$F$10))))</f>
        <v>1.00270607252156</v>
      </c>
      <c r="G332" s="38" t="n">
        <f aca="false">IF($G$11=$E$11,$F$11,IF(U332&lt;($F$11-$E$11)/($G$11-$E$11),$E$11+SQRT(U332*($G$11-$E$11)*($F$11-$E$11)),$G$11-SQRT((1-U332)*($G$11-$E$11)*($G$11-$F$11))))</f>
        <v>0.110232728524551</v>
      </c>
      <c r="H332" s="39" t="n">
        <f aca="false">(('Business Case'!B11*$C332*'Business Case'!B12*$B332)-'Business Case'!B11*$C332*'Business Case'!B13*$D332-'Business Case'!B14*$E332)-MAX(0,(('Business Case'!B11*$C332*'Business Case'!B12*$B332)-'Business Case'!B11*$C332*'Business Case'!B13*$D332-'Business Case'!B14*$E332))*'Business Case'!$B$7-'Business Case'!$B$8*('Business Case'!B11*$C332*'Business Case'!B12*$B332)-'Business Case'!B15*$F332</f>
        <v>-2005412145.04312</v>
      </c>
      <c r="I332" s="39" t="n">
        <f aca="false">(('Business Case'!C11*$C332*'Business Case'!C12*$B332)-'Business Case'!C11*$C332*'Business Case'!C13*$D332-'Business Case'!C14*$E332)-MAX(0,(('Business Case'!C11*$C332*'Business Case'!C12*$B332)-'Business Case'!C11*$C332*'Business Case'!C13*$D332-'Business Case'!C14*$E332))*'Business Case'!$B$7-'Business Case'!$B$8*(('Business Case'!C11*$C332*'Business Case'!C12*$B332)-('Business Case'!B11*$C332*'Business Case'!B12*$B332))-'Business Case'!C15*$F332</f>
        <v>-2327847.81311286</v>
      </c>
      <c r="J332" s="39" t="n">
        <f aca="false">(('Business Case'!D11*$C332*'Business Case'!D12*$B332)-'Business Case'!D11*$C332*'Business Case'!D13*$D332-'Business Case'!D14*$E332)-MAX(0,(('Business Case'!D11*$C332*'Business Case'!D12*$B332)-'Business Case'!D11*$C332*'Business Case'!D13*$D332-'Business Case'!D14*$E332))*'Business Case'!$B$7-'Business Case'!$B$8*(('Business Case'!D11*$C332*'Business Case'!D12*$B332)-('Business Case'!C11*$C332*'Business Case'!C12*$B332))-'Business Case'!D15*$F332</f>
        <v>297797959.643024</v>
      </c>
      <c r="K332" s="39" t="n">
        <f aca="false">(('Business Case'!E11*$C332*'Business Case'!E12*$B332)-'Business Case'!E11*$C332*'Business Case'!E13*$D332-'Business Case'!E14*$E332)-MAX(0,(('Business Case'!E11*$C332*'Business Case'!E12*$B332)-'Business Case'!E11*$C332*'Business Case'!E13*$D332-'Business Case'!E14*$E332))*'Business Case'!$B$7-'Business Case'!$B$8*(('Business Case'!E11*$C332*'Business Case'!E12*$B332)-('Business Case'!D11*$C332*'Business Case'!D12*$B332))-'Business Case'!E15*$F332</f>
        <v>648059070.725239</v>
      </c>
      <c r="L332" s="39" t="n">
        <f aca="false">(('Business Case'!F11*$C332*'Business Case'!F12*$B332)-'Business Case'!F11*$C332*'Business Case'!F13*$D332-'Business Case'!F14*$E332)-MAX(0,(('Business Case'!F11*$C332*'Business Case'!F12*$B332)-'Business Case'!F11*$C332*'Business Case'!F13*$D332-'Business Case'!F14*$E332))*'Business Case'!$B$7-'Business Case'!$B$8*(('Business Case'!F11*$C332*'Business Case'!F12*$B332)-('Business Case'!E11*$C332*'Business Case'!E12*$B332))-'Business Case'!F15*$F332</f>
        <v>783713181.174112</v>
      </c>
      <c r="M332" s="39" t="n">
        <f aca="false">(('Business Case'!G11*$C332*'Business Case'!G12*$B332)-'Business Case'!G11*$C332*'Business Case'!G13*$D332-'Business Case'!G14*$E332)-MAX(0,(('Business Case'!G11*$C332*'Business Case'!G12*$B332)-'Business Case'!G11*$C332*'Business Case'!G13*$D332-'Business Case'!G14*$E332))*'Business Case'!$B$7-'Business Case'!$B$8*(('Business Case'!G11*$C332*'Business Case'!G12*$B332)-('Business Case'!F11*$C332*'Business Case'!F12*$B332))-'Business Case'!G15*$F332+'Business Case'!$B$8*('Business Case'!G11*$C332*'Business Case'!G12*$B332)</f>
        <v>979580141.639988</v>
      </c>
      <c r="N332" s="39" t="n">
        <f aca="false">IF(COUNT('Business Case'!B11:G11)=0,"",H332+NPV(G332,I332:M332))</f>
        <v>-195805900.011787</v>
      </c>
      <c r="P332" s="40" t="n">
        <f aca="true">RAND()</f>
        <v>0.0876822572183419</v>
      </c>
      <c r="Q332" s="40" t="n">
        <f aca="true">RAND()</f>
        <v>0.921509673695024</v>
      </c>
      <c r="R332" s="40" t="n">
        <f aca="true">RAND()</f>
        <v>0.1247582820284</v>
      </c>
      <c r="S332" s="40" t="n">
        <f aca="true">RAND()</f>
        <v>0.806792397395732</v>
      </c>
      <c r="T332" s="40" t="n">
        <f aca="true">RAND()</f>
        <v>0.221502123602638</v>
      </c>
      <c r="U332" s="40" t="n">
        <f aca="true">RAND()</f>
        <v>0.84100067987479</v>
      </c>
    </row>
    <row r="333" customFormat="false" ht="15" hidden="false" customHeight="false" outlineLevel="0" collapsed="false">
      <c r="A333" s="36" t="n">
        <v>253</v>
      </c>
      <c r="B333" s="37" t="n">
        <f aca="false">1+IF($G$6=$E$6,$F$6,IF(P333&lt;($F$6-$E$6)/($G$6-$E$6),$E$6+SQRT(P333*($G$6-$E$6)*($F$6-$E$6)),$G$6-SQRT((1-P333)*($G$6-$E$6)*($G$6-$F$6))))</f>
        <v>1.00142881842387</v>
      </c>
      <c r="C333" s="37" t="n">
        <f aca="false">1+IF($G$7=$E$7,$F$7,IF(Q333&lt;($F$7-$E$7)/($G$7-$E$7),$E$7+SQRT(Q333*($G$7-$E$7)*($F$7-$E$7)),$G$7-SQRT((1-Q333)*($G$7-$E$7)*($G$7-$F$7))))</f>
        <v>0.984471262315022</v>
      </c>
      <c r="D333" s="37" t="n">
        <f aca="false">1+IF($G$8=$E$8,$F$8,IF(R333&lt;($F$8-$E$8)/($G$8-$E$8),$E$8+SQRT(R333*($G$8-$E$8)*($F$8-$E$8)),$G$8-SQRT((1-R333)*($G$8-$E$8)*($G$8-$F$8))))</f>
        <v>1.02483489345834</v>
      </c>
      <c r="E333" s="37" t="n">
        <f aca="false">1+IF($G$9=$E$9,$F$9,IF(S333&lt;($F$9-$E$9)/($G$9-$E$9),$E$9+SQRT(S333*($G$9-$E$9)*($F$9-$E$9)),$G$9-SQRT((1-S333)*($G$9-$E$9)*($G$9-$F$9))))</f>
        <v>1.04847878140278</v>
      </c>
      <c r="F333" s="37" t="n">
        <f aca="false">1+IF($G$10=$E$10,$F$10,IF(T333&lt;($F$10-$E$10)/($G$10-$E$10),$E$10+SQRT(T333*($G$10-$E$10)*($F$10-$E$10)),$G$10-SQRT((1-T333)*($G$10-$E$10)*($G$10-$F$10))))</f>
        <v>1.13067217252913</v>
      </c>
      <c r="G333" s="38" t="n">
        <f aca="false">IF($G$11=$E$11,$F$11,IF(U333&lt;($F$11-$E$11)/($G$11-$E$11),$E$11+SQRT(U333*($G$11-$E$11)*($F$11-$E$11)),$G$11-SQRT((1-U333)*($G$11-$E$11)*($G$11-$F$11))))</f>
        <v>0.102430272366354</v>
      </c>
      <c r="H333" s="39" t="n">
        <f aca="false">(('Business Case'!B11*$C333*'Business Case'!B12*$B333)-'Business Case'!B11*$C333*'Business Case'!B13*$D333-'Business Case'!B14*$E333)-MAX(0,(('Business Case'!B11*$C333*'Business Case'!B12*$B333)-'Business Case'!B11*$C333*'Business Case'!B13*$D333-'Business Case'!B14*$E333))*'Business Case'!$B$7-'Business Case'!$B$8*('Business Case'!B11*$C333*'Business Case'!B12*$B333)-'Business Case'!B15*$F333</f>
        <v>-2261344345.05826</v>
      </c>
      <c r="I333" s="39" t="n">
        <f aca="false">(('Business Case'!C11*$C333*'Business Case'!C12*$B333)-'Business Case'!C11*$C333*'Business Case'!C13*$D333-'Business Case'!C14*$E333)-MAX(0,(('Business Case'!C11*$C333*'Business Case'!C12*$B333)-'Business Case'!C11*$C333*'Business Case'!C13*$D333-'Business Case'!C14*$E333))*'Business Case'!$B$7-'Business Case'!$B$8*(('Business Case'!C11*$C333*'Business Case'!C12*$B333)-('Business Case'!B11*$C333*'Business Case'!B12*$B333))-'Business Case'!C15*$F333</f>
        <v>-22250415.3603907</v>
      </c>
      <c r="J333" s="39" t="n">
        <f aca="false">(('Business Case'!D11*$C333*'Business Case'!D12*$B333)-'Business Case'!D11*$C333*'Business Case'!D13*$D333-'Business Case'!D14*$E333)-MAX(0,(('Business Case'!D11*$C333*'Business Case'!D12*$B333)-'Business Case'!D11*$C333*'Business Case'!D13*$D333-'Business Case'!D14*$E333))*'Business Case'!$B$7-'Business Case'!$B$8*(('Business Case'!D11*$C333*'Business Case'!D12*$B333)-('Business Case'!C11*$C333*'Business Case'!C12*$B333))-'Business Case'!D15*$F333</f>
        <v>268767979.220332</v>
      </c>
      <c r="K333" s="39" t="n">
        <f aca="false">(('Business Case'!E11*$C333*'Business Case'!E12*$B333)-'Business Case'!E11*$C333*'Business Case'!E13*$D333-'Business Case'!E14*$E333)-MAX(0,(('Business Case'!E11*$C333*'Business Case'!E12*$B333)-'Business Case'!E11*$C333*'Business Case'!E13*$D333-'Business Case'!E14*$E333))*'Business Case'!$B$7-'Business Case'!$B$8*(('Business Case'!E11*$C333*'Business Case'!E12*$B333)-('Business Case'!D11*$C333*'Business Case'!D12*$B333))-'Business Case'!E15*$F333</f>
        <v>616319982.427511</v>
      </c>
      <c r="L333" s="39" t="n">
        <f aca="false">(('Business Case'!F11*$C333*'Business Case'!F12*$B333)-'Business Case'!F11*$C333*'Business Case'!F13*$D333-'Business Case'!F14*$E333)-MAX(0,(('Business Case'!F11*$C333*'Business Case'!F12*$B333)-'Business Case'!F11*$C333*'Business Case'!F13*$D333-'Business Case'!F14*$E333))*'Business Case'!$B$7-'Business Case'!$B$8*(('Business Case'!F11*$C333*'Business Case'!F12*$B333)-('Business Case'!E11*$C333*'Business Case'!E12*$B333))-'Business Case'!F15*$F333</f>
        <v>747398053.936235</v>
      </c>
      <c r="M333" s="39" t="n">
        <f aca="false">(('Business Case'!G11*$C333*'Business Case'!G12*$B333)-'Business Case'!G11*$C333*'Business Case'!G13*$D333-'Business Case'!G14*$E333)-MAX(0,(('Business Case'!G11*$C333*'Business Case'!G12*$B333)-'Business Case'!G11*$C333*'Business Case'!G13*$D333-'Business Case'!G14*$E333))*'Business Case'!$B$7-'Business Case'!$B$8*(('Business Case'!G11*$C333*'Business Case'!G12*$B333)-('Business Case'!F11*$C333*'Business Case'!F12*$B333))-'Business Case'!G15*$F333+'Business Case'!$B$8*('Business Case'!G11*$C333*'Business Case'!G12*$B333)</f>
        <v>934793723.836228</v>
      </c>
      <c r="N333" s="39" t="n">
        <f aca="false">IF(COUNT('Business Case'!B11:G11)=0,"",H333+NPV(G333,I333:M333))</f>
        <v>-520328435.466408</v>
      </c>
      <c r="P333" s="40" t="n">
        <f aca="true">RAND()</f>
        <v>0.690054989962725</v>
      </c>
      <c r="Q333" s="40" t="n">
        <f aca="true">RAND()</f>
        <v>0.48613780885854</v>
      </c>
      <c r="R333" s="40" t="n">
        <f aca="true">RAND()</f>
        <v>0.707385675023789</v>
      </c>
      <c r="S333" s="40" t="n">
        <f aca="true">RAND()</f>
        <v>0.823037602283812</v>
      </c>
      <c r="T333" s="40" t="n">
        <f aca="true">RAND()</f>
        <v>0.903873046763383</v>
      </c>
      <c r="U333" s="40" t="n">
        <f aca="true">RAND()</f>
        <v>0.485507784799183</v>
      </c>
    </row>
    <row r="334" customFormat="false" ht="15" hidden="false" customHeight="false" outlineLevel="0" collapsed="false">
      <c r="A334" s="36" t="n">
        <v>254</v>
      </c>
      <c r="B334" s="37" t="n">
        <f aca="false">1+IF($G$6=$E$6,$F$6,IF(P334&lt;($F$6-$E$6)/($G$6-$E$6),$E$6+SQRT(P334*($G$6-$E$6)*($F$6-$E$6)),$G$6-SQRT((1-P334)*($G$6-$E$6)*($G$6-$F$6))))</f>
        <v>0.955191667121952</v>
      </c>
      <c r="C334" s="37" t="n">
        <f aca="false">1+IF($G$7=$E$7,$F$7,IF(Q334&lt;($F$7-$E$7)/($G$7-$E$7),$E$7+SQRT(Q334*($G$7-$E$7)*($F$7-$E$7)),$G$7-SQRT((1-Q334)*($G$7-$E$7)*($G$7-$F$7))))</f>
        <v>1.01901048266915</v>
      </c>
      <c r="D334" s="37" t="n">
        <f aca="false">1+IF($G$8=$E$8,$F$8,IF(R334&lt;($F$8-$E$8)/($G$8-$E$8),$E$8+SQRT(R334*($G$8-$E$8)*($F$8-$E$8)),$G$8-SQRT((1-R334)*($G$8-$E$8)*($G$8-$F$8))))</f>
        <v>1.03328863435422</v>
      </c>
      <c r="E334" s="37" t="n">
        <f aca="false">1+IF($G$9=$E$9,$F$9,IF(S334&lt;($F$9-$E$9)/($G$9-$E$9),$E$9+SQRT(S334*($G$9-$E$9)*($F$9-$E$9)),$G$9-SQRT((1-S334)*($G$9-$E$9)*($G$9-$F$9))))</f>
        <v>0.986120200780311</v>
      </c>
      <c r="F334" s="37" t="n">
        <f aca="false">1+IF($G$10=$E$10,$F$10,IF(T334&lt;($F$10-$E$10)/($G$10-$E$10),$E$10+SQRT(T334*($G$10-$E$10)*($F$10-$E$10)),$G$10-SQRT((1-T334)*($G$10-$E$10)*($G$10-$F$10))))</f>
        <v>1.06936272279728</v>
      </c>
      <c r="G334" s="38" t="n">
        <f aca="false">IF($G$11=$E$11,$F$11,IF(U334&lt;($F$11-$E$11)/($G$11-$E$11),$E$11+SQRT(U334*($G$11-$E$11)*($F$11-$E$11)),$G$11-SQRT((1-U334)*($G$11-$E$11)*($G$11-$F$11))))</f>
        <v>0.112412384012501</v>
      </c>
      <c r="H334" s="39" t="n">
        <f aca="false">(('Business Case'!B11*$C334*'Business Case'!B12*$B334)-'Business Case'!B11*$C334*'Business Case'!B13*$D334-'Business Case'!B14*$E334)-MAX(0,(('Business Case'!B11*$C334*'Business Case'!B12*$B334)-'Business Case'!B11*$C334*'Business Case'!B13*$D334-'Business Case'!B14*$E334))*'Business Case'!$B$7-'Business Case'!$B$8*('Business Case'!B11*$C334*'Business Case'!B12*$B334)-'Business Case'!B15*$F334</f>
        <v>-2138725445.59457</v>
      </c>
      <c r="I334" s="39" t="n">
        <f aca="false">(('Business Case'!C11*$C334*'Business Case'!C12*$B334)-'Business Case'!C11*$C334*'Business Case'!C13*$D334-'Business Case'!C14*$E334)-MAX(0,(('Business Case'!C11*$C334*'Business Case'!C12*$B334)-'Business Case'!C11*$C334*'Business Case'!C13*$D334-'Business Case'!C14*$E334))*'Business Case'!$B$7-'Business Case'!$B$8*(('Business Case'!C11*$C334*'Business Case'!C12*$B334)-('Business Case'!B11*$C334*'Business Case'!B12*$B334))-'Business Case'!C15*$F334</f>
        <v>-39393974.6288542</v>
      </c>
      <c r="J334" s="39" t="n">
        <f aca="false">(('Business Case'!D11*$C334*'Business Case'!D12*$B334)-'Business Case'!D11*$C334*'Business Case'!D13*$D334-'Business Case'!D14*$E334)-MAX(0,(('Business Case'!D11*$C334*'Business Case'!D12*$B334)-'Business Case'!D11*$C334*'Business Case'!D13*$D334-'Business Case'!D14*$E334))*'Business Case'!$B$7-'Business Case'!$B$8*(('Business Case'!D11*$C334*'Business Case'!D12*$B334)-('Business Case'!C11*$C334*'Business Case'!C12*$B334))-'Business Case'!D15*$F334</f>
        <v>218833096.252785</v>
      </c>
      <c r="K334" s="39" t="n">
        <f aca="false">(('Business Case'!E11*$C334*'Business Case'!E12*$B334)-'Business Case'!E11*$C334*'Business Case'!E13*$D334-'Business Case'!E14*$E334)-MAX(0,(('Business Case'!E11*$C334*'Business Case'!E12*$B334)-'Business Case'!E11*$C334*'Business Case'!E13*$D334-'Business Case'!E14*$E334))*'Business Case'!$B$7-'Business Case'!$B$8*(('Business Case'!E11*$C334*'Business Case'!E12*$B334)-('Business Case'!D11*$C334*'Business Case'!D12*$B334))-'Business Case'!E15*$F334</f>
        <v>530528303.274288</v>
      </c>
      <c r="L334" s="39" t="n">
        <f aca="false">(('Business Case'!F11*$C334*'Business Case'!F12*$B334)-'Business Case'!F11*$C334*'Business Case'!F13*$D334-'Business Case'!F14*$E334)-MAX(0,(('Business Case'!F11*$C334*'Business Case'!F12*$B334)-'Business Case'!F11*$C334*'Business Case'!F13*$D334-'Business Case'!F14*$E334))*'Business Case'!$B$7-'Business Case'!$B$8*(('Business Case'!F11*$C334*'Business Case'!F12*$B334)-('Business Case'!E11*$C334*'Business Case'!E12*$B334))-'Business Case'!F15*$F334</f>
        <v>650242980.688037</v>
      </c>
      <c r="M334" s="39" t="n">
        <f aca="false">(('Business Case'!G11*$C334*'Business Case'!G12*$B334)-'Business Case'!G11*$C334*'Business Case'!G13*$D334-'Business Case'!G14*$E334)-MAX(0,(('Business Case'!G11*$C334*'Business Case'!G12*$B334)-'Business Case'!G11*$C334*'Business Case'!G13*$D334-'Business Case'!G14*$E334))*'Business Case'!$B$7-'Business Case'!$B$8*(('Business Case'!G11*$C334*'Business Case'!G12*$B334)-('Business Case'!F11*$C334*'Business Case'!F12*$B334))-'Business Case'!G15*$F334+'Business Case'!$B$8*('Business Case'!G11*$C334*'Business Case'!G12*$B334)</f>
        <v>835257409.847321</v>
      </c>
      <c r="N334" s="39" t="n">
        <f aca="false">IF(COUNT('Business Case'!B11:G11)=0,"",H334+NPV(G334,I334:M334))</f>
        <v>-696933867.7995</v>
      </c>
      <c r="P334" s="40" t="n">
        <f aca="true">RAND()</f>
        <v>0.129005566127323</v>
      </c>
      <c r="Q334" s="40" t="n">
        <f aca="true">RAND()</f>
        <v>0.673176120941532</v>
      </c>
      <c r="R334" s="40" t="n">
        <f aca="true">RAND()</f>
        <v>0.79019695379864</v>
      </c>
      <c r="S334" s="40" t="n">
        <f aca="true">RAND()</f>
        <v>0.173955853921333</v>
      </c>
      <c r="T334" s="40" t="n">
        <f aca="true">RAND()</f>
        <v>0.658678036101213</v>
      </c>
      <c r="U334" s="40" t="n">
        <f aca="true">RAND()</f>
        <v>0.90404680604374</v>
      </c>
    </row>
    <row r="335" customFormat="false" ht="15" hidden="false" customHeight="false" outlineLevel="0" collapsed="false">
      <c r="A335" s="36" t="n">
        <v>255</v>
      </c>
      <c r="B335" s="37" t="n">
        <f aca="false">1+IF($G$6=$E$6,$F$6,IF(P335&lt;($F$6-$E$6)/($G$6-$E$6),$E$6+SQRT(P335*($G$6-$E$6)*($F$6-$E$6)),$G$6-SQRT((1-P335)*($G$6-$E$6)*($G$6-$F$6))))</f>
        <v>0.995994248643148</v>
      </c>
      <c r="C335" s="37" t="n">
        <f aca="false">1+IF($G$7=$E$7,$F$7,IF(Q335&lt;($F$7-$E$7)/($G$7-$E$7),$E$7+SQRT(Q335*($G$7-$E$7)*($F$7-$E$7)),$G$7-SQRT((1-Q335)*($G$7-$E$7)*($G$7-$F$7))))</f>
        <v>1.04676430478008</v>
      </c>
      <c r="D335" s="37" t="n">
        <f aca="false">1+IF($G$8=$E$8,$F$8,IF(R335&lt;($F$8-$E$8)/($G$8-$E$8),$E$8+SQRT(R335*($G$8-$E$8)*($F$8-$E$8)),$G$8-SQRT((1-R335)*($G$8-$E$8)*($G$8-$F$8))))</f>
        <v>1.03510315257049</v>
      </c>
      <c r="E335" s="37" t="n">
        <f aca="false">1+IF($G$9=$E$9,$F$9,IF(S335&lt;($F$9-$E$9)/($G$9-$E$9),$E$9+SQRT(S335*($G$9-$E$9)*($F$9-$E$9)),$G$9-SQRT((1-S335)*($G$9-$E$9)*($G$9-$F$9))))</f>
        <v>1.05621169451981</v>
      </c>
      <c r="F335" s="37" t="n">
        <f aca="false">1+IF($G$10=$E$10,$F$10,IF(T335&lt;($F$10-$E$10)/($G$10-$E$10),$E$10+SQRT(T335*($G$10-$E$10)*($F$10-$E$10)),$G$10-SQRT((1-T335)*($G$10-$E$10)*($G$10-$F$10))))</f>
        <v>1.00133436677415</v>
      </c>
      <c r="G335" s="38" t="n">
        <f aca="false">IF($G$11=$E$11,$F$11,IF(U335&lt;($F$11-$E$11)/($G$11-$E$11),$E$11+SQRT(U335*($G$11-$E$11)*($F$11-$E$11)),$G$11-SQRT((1-U335)*($G$11-$E$11)*($G$11-$F$11))))</f>
        <v>0.113111358468694</v>
      </c>
      <c r="H335" s="39" t="n">
        <f aca="false">(('Business Case'!B11*$C335*'Business Case'!B12*$B335)-'Business Case'!B11*$C335*'Business Case'!B13*$D335-'Business Case'!B14*$E335)-MAX(0,(('Business Case'!B11*$C335*'Business Case'!B12*$B335)-'Business Case'!B11*$C335*'Business Case'!B13*$D335-'Business Case'!B14*$E335))*'Business Case'!$B$7-'Business Case'!$B$8*('Business Case'!B11*$C335*'Business Case'!B12*$B335)-'Business Case'!B15*$F335</f>
        <v>-2002668733.54829</v>
      </c>
      <c r="I335" s="39" t="n">
        <f aca="false">(('Business Case'!C11*$C335*'Business Case'!C12*$B335)-'Business Case'!C11*$C335*'Business Case'!C13*$D335-'Business Case'!C14*$E335)-MAX(0,(('Business Case'!C11*$C335*'Business Case'!C12*$B335)-'Business Case'!C11*$C335*'Business Case'!C13*$D335-'Business Case'!C14*$E335))*'Business Case'!$B$7-'Business Case'!$B$8*(('Business Case'!C11*$C335*'Business Case'!C12*$B335)-('Business Case'!B11*$C335*'Business Case'!B12*$B335))-'Business Case'!C15*$F335</f>
        <v>-5102675.41382466</v>
      </c>
      <c r="J335" s="39" t="n">
        <f aca="false">(('Business Case'!D11*$C335*'Business Case'!D12*$B335)-'Business Case'!D11*$C335*'Business Case'!D13*$D335-'Business Case'!D14*$E335)-MAX(0,(('Business Case'!D11*$C335*'Business Case'!D12*$B335)-'Business Case'!D11*$C335*'Business Case'!D13*$D335-'Business Case'!D14*$E335))*'Business Case'!$B$7-'Business Case'!$B$8*(('Business Case'!D11*$C335*'Business Case'!D12*$B335)-('Business Case'!C11*$C335*'Business Case'!C12*$B335))-'Business Case'!D15*$F335</f>
        <v>294168281.23091</v>
      </c>
      <c r="K335" s="39" t="n">
        <f aca="false">(('Business Case'!E11*$C335*'Business Case'!E12*$B335)-'Business Case'!E11*$C335*'Business Case'!E13*$D335-'Business Case'!E14*$E335)-MAX(0,(('Business Case'!E11*$C335*'Business Case'!E12*$B335)-'Business Case'!E11*$C335*'Business Case'!E13*$D335-'Business Case'!E14*$E335))*'Business Case'!$B$7-'Business Case'!$B$8*(('Business Case'!E11*$C335*'Business Case'!E12*$B335)-('Business Case'!D11*$C335*'Business Case'!D12*$B335))-'Business Case'!E15*$F335</f>
        <v>643505956.214353</v>
      </c>
      <c r="L335" s="39" t="n">
        <f aca="false">(('Business Case'!F11*$C335*'Business Case'!F12*$B335)-'Business Case'!F11*$C335*'Business Case'!F13*$D335-'Business Case'!F14*$E335)-MAX(0,(('Business Case'!F11*$C335*'Business Case'!F12*$B335)-'Business Case'!F11*$C335*'Business Case'!F13*$D335-'Business Case'!F14*$E335))*'Business Case'!$B$7-'Business Case'!$B$8*(('Business Case'!F11*$C335*'Business Case'!F12*$B335)-('Business Case'!E11*$C335*'Business Case'!E12*$B335))-'Business Case'!F15*$F335</f>
        <v>779294203.376216</v>
      </c>
      <c r="M335" s="39" t="n">
        <f aca="false">(('Business Case'!G11*$C335*'Business Case'!G12*$B335)-'Business Case'!G11*$C335*'Business Case'!G13*$D335-'Business Case'!G14*$E335)-MAX(0,(('Business Case'!G11*$C335*'Business Case'!G12*$B335)-'Business Case'!G11*$C335*'Business Case'!G13*$D335-'Business Case'!G14*$E335))*'Business Case'!$B$7-'Business Case'!$B$8*(('Business Case'!G11*$C335*'Business Case'!G12*$B335)-('Business Case'!F11*$C335*'Business Case'!F12*$B335))-'Business Case'!G15*$F335+'Business Case'!$B$8*('Business Case'!G11*$C335*'Business Case'!G12*$B335)</f>
        <v>977466142.251117</v>
      </c>
      <c r="N335" s="39" t="n">
        <f aca="false">IF(COUNT('Business Case'!B11:G11)=0,"",H335+NPV(G335,I335:M335))</f>
        <v>-223594489.737746</v>
      </c>
      <c r="P335" s="40" t="n">
        <f aca="true">RAND()</f>
        <v>0.601575606962151</v>
      </c>
      <c r="Q335" s="40" t="n">
        <f aca="true">RAND()</f>
        <v>0.796997928237309</v>
      </c>
      <c r="R335" s="40" t="n">
        <f aca="true">RAND()</f>
        <v>0.806180104893358</v>
      </c>
      <c r="S335" s="40" t="n">
        <f aca="true">RAND()</f>
        <v>0.872172286878266</v>
      </c>
      <c r="T335" s="40" t="n">
        <f aca="true">RAND()</f>
        <v>0.210639323499415</v>
      </c>
      <c r="U335" s="40" t="n">
        <f aca="true">RAND()</f>
        <v>0.920911029755285</v>
      </c>
    </row>
    <row r="336" customFormat="false" ht="15" hidden="false" customHeight="false" outlineLevel="0" collapsed="false">
      <c r="A336" s="36" t="n">
        <v>256</v>
      </c>
      <c r="B336" s="37" t="n">
        <f aca="false">1+IF($G$6=$E$6,$F$6,IF(P336&lt;($F$6-$E$6)/($G$6-$E$6),$E$6+SQRT(P336*($G$6-$E$6)*($F$6-$E$6)),$G$6-SQRT((1-P336)*($G$6-$E$6)*($G$6-$F$6))))</f>
        <v>0.970440982870281</v>
      </c>
      <c r="C336" s="37" t="n">
        <f aca="false">1+IF($G$7=$E$7,$F$7,IF(Q336&lt;($F$7-$E$7)/($G$7-$E$7),$E$7+SQRT(Q336*($G$7-$E$7)*($F$7-$E$7)),$G$7-SQRT((1-Q336)*($G$7-$E$7)*($G$7-$F$7))))</f>
        <v>1.13328397935329</v>
      </c>
      <c r="D336" s="37" t="n">
        <f aca="false">1+IF($G$8=$E$8,$F$8,IF(R336&lt;($F$8-$E$8)/($G$8-$E$8),$E$8+SQRT(R336*($G$8-$E$8)*($F$8-$E$8)),$G$8-SQRT((1-R336)*($G$8-$E$8)*($G$8-$F$8))))</f>
        <v>1.00187052646667</v>
      </c>
      <c r="E336" s="37" t="n">
        <f aca="false">1+IF($G$9=$E$9,$F$9,IF(S336&lt;($F$9-$E$9)/($G$9-$E$9),$E$9+SQRT(S336*($G$9-$E$9)*($F$9-$E$9)),$G$9-SQRT((1-S336)*($G$9-$E$9)*($G$9-$F$9))))</f>
        <v>1.0468710754144</v>
      </c>
      <c r="F336" s="37" t="n">
        <f aca="false">1+IF($G$10=$E$10,$F$10,IF(T336&lt;($F$10-$E$10)/($G$10-$E$10),$E$10+SQRT(T336*($G$10-$E$10)*($F$10-$E$10)),$G$10-SQRT((1-T336)*($G$10-$E$10)*($G$10-$F$10))))</f>
        <v>0.982509427436304</v>
      </c>
      <c r="G336" s="38" t="n">
        <f aca="false">IF($G$11=$E$11,$F$11,IF(U336&lt;($F$11-$E$11)/($G$11-$E$11),$E$11+SQRT(U336*($G$11-$E$11)*($F$11-$E$11)),$G$11-SQRT((1-U336)*($G$11-$E$11)*($G$11-$F$11))))</f>
        <v>0.0995892594074866</v>
      </c>
      <c r="H336" s="39" t="n">
        <f aca="false">(('Business Case'!B11*$C336*'Business Case'!B12*$B336)-'Business Case'!B11*$C336*'Business Case'!B13*$D336-'Business Case'!B14*$E336)-MAX(0,(('Business Case'!B11*$C336*'Business Case'!B12*$B336)-'Business Case'!B11*$C336*'Business Case'!B13*$D336-'Business Case'!B14*$E336))*'Business Case'!$B$7-'Business Case'!$B$8*('Business Case'!B11*$C336*'Business Case'!B12*$B336)-'Business Case'!B15*$F336</f>
        <v>-1965018854.87261</v>
      </c>
      <c r="I336" s="39" t="n">
        <f aca="false">(('Business Case'!C11*$C336*'Business Case'!C12*$B336)-'Business Case'!C11*$C336*'Business Case'!C13*$D336-'Business Case'!C14*$E336)-MAX(0,(('Business Case'!C11*$C336*'Business Case'!C12*$B336)-'Business Case'!C11*$C336*'Business Case'!C13*$D336-'Business Case'!C14*$E336))*'Business Case'!$B$7-'Business Case'!$B$8*(('Business Case'!C11*$C336*'Business Case'!C12*$B336)-('Business Case'!B11*$C336*'Business Case'!B12*$B336))-'Business Case'!C15*$F336</f>
        <v>15438481.3043055</v>
      </c>
      <c r="J336" s="39" t="n">
        <f aca="false">(('Business Case'!D11*$C336*'Business Case'!D12*$B336)-'Business Case'!D11*$C336*'Business Case'!D13*$D336-'Business Case'!D14*$E336)-MAX(0,(('Business Case'!D11*$C336*'Business Case'!D12*$B336)-'Business Case'!D11*$C336*'Business Case'!D13*$D336-'Business Case'!D14*$E336))*'Business Case'!$B$7-'Business Case'!$B$8*(('Business Case'!D11*$C336*'Business Case'!D12*$B336)-('Business Case'!C11*$C336*'Business Case'!C12*$B336))-'Business Case'!D15*$F336</f>
        <v>335005838.018489</v>
      </c>
      <c r="K336" s="39" t="n">
        <f aca="false">(('Business Case'!E11*$C336*'Business Case'!E12*$B336)-'Business Case'!E11*$C336*'Business Case'!E13*$D336-'Business Case'!E14*$E336)-MAX(0,(('Business Case'!E11*$C336*'Business Case'!E12*$B336)-'Business Case'!E11*$C336*'Business Case'!E13*$D336-'Business Case'!E14*$E336))*'Business Case'!$B$7-'Business Case'!$B$8*(('Business Case'!E11*$C336*'Business Case'!E12*$B336)-('Business Case'!D11*$C336*'Business Case'!D12*$B336))-'Business Case'!E15*$F336</f>
        <v>703698666.104487</v>
      </c>
      <c r="L336" s="39" t="n">
        <f aca="false">(('Business Case'!F11*$C336*'Business Case'!F12*$B336)-'Business Case'!F11*$C336*'Business Case'!F13*$D336-'Business Case'!F14*$E336)-MAX(0,(('Business Case'!F11*$C336*'Business Case'!F12*$B336)-'Business Case'!F11*$C336*'Business Case'!F13*$D336-'Business Case'!F14*$E336))*'Business Case'!$B$7-'Business Case'!$B$8*(('Business Case'!F11*$C336*'Business Case'!F12*$B336)-('Business Case'!E11*$C336*'Business Case'!E12*$B336))-'Business Case'!F15*$F336</f>
        <v>848229695.504094</v>
      </c>
      <c r="M336" s="39" t="n">
        <f aca="false">(('Business Case'!G11*$C336*'Business Case'!G12*$B336)-'Business Case'!G11*$C336*'Business Case'!G13*$D336-'Business Case'!G14*$E336)-MAX(0,(('Business Case'!G11*$C336*'Business Case'!G12*$B336)-'Business Case'!G11*$C336*'Business Case'!G13*$D336-'Business Case'!G14*$E336))*'Business Case'!$B$7-'Business Case'!$B$8*(('Business Case'!G11*$C336*'Business Case'!G12*$B336)-('Business Case'!F11*$C336*'Business Case'!F12*$B336))-'Business Case'!G15*$F336+'Business Case'!$B$8*('Business Case'!G11*$C336*'Business Case'!G12*$B336)</f>
        <v>1057276869.8926</v>
      </c>
      <c r="N336" s="39" t="n">
        <f aca="false">IF(COUNT('Business Case'!B11:G11)=0,"",H336+NPV(G336,I336:M336))</f>
        <v>93315706.8912673</v>
      </c>
      <c r="P336" s="40" t="n">
        <f aca="true">RAND()</f>
        <v>0.265030495095831</v>
      </c>
      <c r="Q336" s="40" t="n">
        <f aca="true">RAND()</f>
        <v>0.994677612452168</v>
      </c>
      <c r="R336" s="40" t="n">
        <f aca="true">RAND()</f>
        <v>0.413056285135073</v>
      </c>
      <c r="S336" s="40" t="n">
        <f aca="true">RAND()</f>
        <v>0.811821158158484</v>
      </c>
      <c r="T336" s="40" t="n">
        <f aca="true">RAND()</f>
        <v>0.0845490297789057</v>
      </c>
      <c r="U336" s="40" t="n">
        <f aca="true">RAND()</f>
        <v>0.306512986613567</v>
      </c>
    </row>
    <row r="337" customFormat="false" ht="15" hidden="false" customHeight="false" outlineLevel="0" collapsed="false">
      <c r="A337" s="36" t="n">
        <v>257</v>
      </c>
      <c r="B337" s="37" t="n">
        <f aca="false">1+IF($G$6=$E$6,$F$6,IF(P337&lt;($F$6-$E$6)/($G$6-$E$6),$E$6+SQRT(P337*($G$6-$E$6)*($F$6-$E$6)),$G$6-SQRT((1-P337)*($G$6-$E$6)*($G$6-$F$6))))</f>
        <v>1.02494297389794</v>
      </c>
      <c r="C337" s="37" t="n">
        <f aca="false">1+IF($G$7=$E$7,$F$7,IF(Q337&lt;($F$7-$E$7)/($G$7-$E$7),$E$7+SQRT(Q337*($G$7-$E$7)*($F$7-$E$7)),$G$7-SQRT((1-Q337)*($G$7-$E$7)*($G$7-$F$7))))</f>
        <v>1.04189291771228</v>
      </c>
      <c r="D337" s="37" t="n">
        <f aca="false">1+IF($G$8=$E$8,$F$8,IF(R337&lt;($F$8-$E$8)/($G$8-$E$8),$E$8+SQRT(R337*($G$8-$E$8)*($F$8-$E$8)),$G$8-SQRT((1-R337)*($G$8-$E$8)*($G$8-$F$8))))</f>
        <v>1.03898776675013</v>
      </c>
      <c r="E337" s="37" t="n">
        <f aca="false">1+IF($G$9=$E$9,$F$9,IF(S337&lt;($F$9-$E$9)/($G$9-$E$9),$E$9+SQRT(S337*($G$9-$E$9)*($F$9-$E$9)),$G$9-SQRT((1-S337)*($G$9-$E$9)*($G$9-$F$9))))</f>
        <v>1.02739235767054</v>
      </c>
      <c r="F337" s="37" t="n">
        <f aca="false">1+IF($G$10=$E$10,$F$10,IF(T337&lt;($F$10-$E$10)/($G$10-$E$10),$E$10+SQRT(T337*($G$10-$E$10)*($F$10-$E$10)),$G$10-SQRT((1-T337)*($G$10-$E$10)*($G$10-$F$10))))</f>
        <v>1.02694932148767</v>
      </c>
      <c r="G337" s="38" t="n">
        <f aca="false">IF($G$11=$E$11,$F$11,IF(U337&lt;($F$11-$E$11)/($G$11-$E$11),$E$11+SQRT(U337*($G$11-$E$11)*($F$11-$E$11)),$G$11-SQRT((1-U337)*($G$11-$E$11)*($G$11-$F$11))))</f>
        <v>0.0977712799534708</v>
      </c>
      <c r="H337" s="39" t="n">
        <f aca="false">(('Business Case'!B11*$C337*'Business Case'!B12*$B337)-'Business Case'!B11*$C337*'Business Case'!B13*$D337-'Business Case'!B14*$E337)-MAX(0,(('Business Case'!B11*$C337*'Business Case'!B12*$B337)-'Business Case'!B11*$C337*'Business Case'!B13*$D337-'Business Case'!B14*$E337))*'Business Case'!$B$7-'Business Case'!$B$8*('Business Case'!B11*$C337*'Business Case'!B12*$B337)-'Business Case'!B15*$F337</f>
        <v>-2053898642.97534</v>
      </c>
      <c r="I337" s="39" t="n">
        <f aca="false">(('Business Case'!C11*$C337*'Business Case'!C12*$B337)-'Business Case'!C11*$C337*'Business Case'!C13*$D337-'Business Case'!C14*$E337)-MAX(0,(('Business Case'!C11*$C337*'Business Case'!C12*$B337)-'Business Case'!C11*$C337*'Business Case'!C13*$D337-'Business Case'!C14*$E337))*'Business Case'!$B$7-'Business Case'!$B$8*(('Business Case'!C11*$C337*'Business Case'!C12*$B337)-('Business Case'!B11*$C337*'Business Case'!B12*$B337))-'Business Case'!C15*$F337</f>
        <v>16361651.4361361</v>
      </c>
      <c r="J337" s="39" t="n">
        <f aca="false">(('Business Case'!D11*$C337*'Business Case'!D12*$B337)-'Business Case'!D11*$C337*'Business Case'!D13*$D337-'Business Case'!D14*$E337)-MAX(0,(('Business Case'!D11*$C337*'Business Case'!D12*$B337)-'Business Case'!D11*$C337*'Business Case'!D13*$D337-'Business Case'!D14*$E337))*'Business Case'!$B$7-'Business Case'!$B$8*(('Business Case'!D11*$C337*'Business Case'!D12*$B337)-('Business Case'!C11*$C337*'Business Case'!C12*$B337))-'Business Case'!D15*$F337</f>
        <v>336872370.278988</v>
      </c>
      <c r="K337" s="39" t="n">
        <f aca="false">(('Business Case'!E11*$C337*'Business Case'!E12*$B337)-'Business Case'!E11*$C337*'Business Case'!E13*$D337-'Business Case'!E14*$E337)-MAX(0,(('Business Case'!E11*$C337*'Business Case'!E12*$B337)-'Business Case'!E11*$C337*'Business Case'!E13*$D337-'Business Case'!E14*$E337))*'Business Case'!$B$7-'Business Case'!$B$8*(('Business Case'!E11*$C337*'Business Case'!E12*$B337)-('Business Case'!D11*$C337*'Business Case'!D12*$B337))-'Business Case'!E15*$F337</f>
        <v>708730555.196223</v>
      </c>
      <c r="L337" s="39" t="n">
        <f aca="false">(('Business Case'!F11*$C337*'Business Case'!F12*$B337)-'Business Case'!F11*$C337*'Business Case'!F13*$D337-'Business Case'!F14*$E337)-MAX(0,(('Business Case'!F11*$C337*'Business Case'!F12*$B337)-'Business Case'!F11*$C337*'Business Case'!F13*$D337-'Business Case'!F14*$E337))*'Business Case'!$B$7-'Business Case'!$B$8*(('Business Case'!F11*$C337*'Business Case'!F12*$B337)-('Business Case'!E11*$C337*'Business Case'!E12*$B337))-'Business Case'!F15*$F337</f>
        <v>852473422.808639</v>
      </c>
      <c r="M337" s="39" t="n">
        <f aca="false">(('Business Case'!G11*$C337*'Business Case'!G12*$B337)-'Business Case'!G11*$C337*'Business Case'!G13*$D337-'Business Case'!G14*$E337)-MAX(0,(('Business Case'!G11*$C337*'Business Case'!G12*$B337)-'Business Case'!G11*$C337*'Business Case'!G13*$D337-'Business Case'!G14*$E337))*'Business Case'!$B$7-'Business Case'!$B$8*(('Business Case'!G11*$C337*'Business Case'!G12*$B337)-('Business Case'!F11*$C337*'Business Case'!F12*$B337))-'Business Case'!G15*$F337+'Business Case'!$B$8*('Business Case'!G11*$C337*'Business Case'!G12*$B337)</f>
        <v>1055456210.1317</v>
      </c>
      <c r="N337" s="39" t="n">
        <f aca="false">IF(COUNT('Business Case'!B11:G11)=0,"",H337+NPV(G337,I337:M337))</f>
        <v>25302358.0900702</v>
      </c>
      <c r="P337" s="40" t="n">
        <f aca="true">RAND()</f>
        <v>0.952767909367045</v>
      </c>
      <c r="Q337" s="40" t="n">
        <f aca="true">RAND()</f>
        <v>0.777387785890195</v>
      </c>
      <c r="R337" s="40" t="n">
        <f aca="true">RAND()</f>
        <v>0.838268915755596</v>
      </c>
      <c r="S337" s="40" t="n">
        <f aca="true">RAND()</f>
        <v>0.648542018357189</v>
      </c>
      <c r="T337" s="40" t="n">
        <f aca="true">RAND()</f>
        <v>0.401069253328443</v>
      </c>
      <c r="U337" s="40" t="n">
        <f aca="true">RAND()</f>
        <v>0.201309307050721</v>
      </c>
    </row>
    <row r="338" customFormat="false" ht="15" hidden="false" customHeight="false" outlineLevel="0" collapsed="false">
      <c r="A338" s="36" t="n">
        <v>258</v>
      </c>
      <c r="B338" s="37" t="n">
        <f aca="false">1+IF($G$6=$E$6,$F$6,IF(P338&lt;($F$6-$E$6)/($G$6-$E$6),$E$6+SQRT(P338*($G$6-$E$6)*($F$6-$E$6)),$G$6-SQRT((1-P338)*($G$6-$E$6)*($G$6-$F$6))))</f>
        <v>0.996800243347974</v>
      </c>
      <c r="C338" s="37" t="n">
        <f aca="false">1+IF($G$7=$E$7,$F$7,IF(Q338&lt;($F$7-$E$7)/($G$7-$E$7),$E$7+SQRT(Q338*($G$7-$E$7)*($F$7-$E$7)),$G$7-SQRT((1-Q338)*($G$7-$E$7)*($G$7-$F$7))))</f>
        <v>0.94011175380949</v>
      </c>
      <c r="D338" s="37" t="n">
        <f aca="false">1+IF($G$8=$E$8,$F$8,IF(R338&lt;($F$8-$E$8)/($G$8-$E$8),$E$8+SQRT(R338*($G$8-$E$8)*($F$8-$E$8)),$G$8-SQRT((1-R338)*($G$8-$E$8)*($G$8-$F$8))))</f>
        <v>1.02363515069181</v>
      </c>
      <c r="E338" s="37" t="n">
        <f aca="false">1+IF($G$9=$E$9,$F$9,IF(S338&lt;($F$9-$E$9)/($G$9-$E$9),$E$9+SQRT(S338*($G$9-$E$9)*($F$9-$E$9)),$G$9-SQRT((1-S338)*($G$9-$E$9)*($G$9-$F$9))))</f>
        <v>1.02041394550917</v>
      </c>
      <c r="F338" s="37" t="n">
        <f aca="false">1+IF($G$10=$E$10,$F$10,IF(T338&lt;($F$10-$E$10)/($G$10-$E$10),$E$10+SQRT(T338*($G$10-$E$10)*($F$10-$E$10)),$G$10-SQRT((1-T338)*($G$10-$E$10)*($G$10-$F$10))))</f>
        <v>1.02061403542754</v>
      </c>
      <c r="G338" s="38" t="n">
        <f aca="false">IF($G$11=$E$11,$F$11,IF(U338&lt;($F$11-$E$11)/($G$11-$E$11),$E$11+SQRT(U338*($G$11-$E$11)*($F$11-$E$11)),$G$11-SQRT((1-U338)*($G$11-$E$11)*($G$11-$F$11))))</f>
        <v>0.114371892366609</v>
      </c>
      <c r="H338" s="39" t="n">
        <f aca="false">(('Business Case'!B11*$C338*'Business Case'!B12*$B338)-'Business Case'!B11*$C338*'Business Case'!B13*$D338-'Business Case'!B14*$E338)-MAX(0,(('Business Case'!B11*$C338*'Business Case'!B12*$B338)-'Business Case'!B11*$C338*'Business Case'!B13*$D338-'Business Case'!B14*$E338))*'Business Case'!$B$7-'Business Case'!$B$8*('Business Case'!B11*$C338*'Business Case'!B12*$B338)-'Business Case'!B15*$F338</f>
        <v>-2041228070.85508</v>
      </c>
      <c r="I338" s="39" t="n">
        <f aca="false">(('Business Case'!C11*$C338*'Business Case'!C12*$B338)-'Business Case'!C11*$C338*'Business Case'!C13*$D338-'Business Case'!C14*$E338)-MAX(0,(('Business Case'!C11*$C338*'Business Case'!C12*$B338)-'Business Case'!C11*$C338*'Business Case'!C13*$D338-'Business Case'!C14*$E338))*'Business Case'!$B$7-'Business Case'!$B$8*(('Business Case'!C11*$C338*'Business Case'!C12*$B338)-('Business Case'!B11*$C338*'Business Case'!B12*$B338))-'Business Case'!C15*$F338</f>
        <v>-20825087.3153062</v>
      </c>
      <c r="J338" s="39" t="n">
        <f aca="false">(('Business Case'!D11*$C338*'Business Case'!D12*$B338)-'Business Case'!D11*$C338*'Business Case'!D13*$D338-'Business Case'!D14*$E338)-MAX(0,(('Business Case'!D11*$C338*'Business Case'!D12*$B338)-'Business Case'!D11*$C338*'Business Case'!D13*$D338-'Business Case'!D14*$E338))*'Business Case'!$B$7-'Business Case'!$B$8*(('Business Case'!D11*$C338*'Business Case'!D12*$B338)-('Business Case'!C11*$C338*'Business Case'!C12*$B338))-'Business Case'!D15*$F338</f>
        <v>254093543.882073</v>
      </c>
      <c r="K338" s="39" t="n">
        <f aca="false">(('Business Case'!E11*$C338*'Business Case'!E12*$B338)-'Business Case'!E11*$C338*'Business Case'!E13*$D338-'Business Case'!E14*$E338)-MAX(0,(('Business Case'!E11*$C338*'Business Case'!E12*$B338)-'Business Case'!E11*$C338*'Business Case'!E13*$D338-'Business Case'!E14*$E338))*'Business Case'!$B$7-'Business Case'!$B$8*(('Business Case'!E11*$C338*'Business Case'!E12*$B338)-('Business Case'!D11*$C338*'Business Case'!D12*$B338))-'Business Case'!E15*$F338</f>
        <v>580042876.850829</v>
      </c>
      <c r="L338" s="39" t="n">
        <f aca="false">(('Business Case'!F11*$C338*'Business Case'!F12*$B338)-'Business Case'!F11*$C338*'Business Case'!F13*$D338-'Business Case'!F14*$E338)-MAX(0,(('Business Case'!F11*$C338*'Business Case'!F12*$B338)-'Business Case'!F11*$C338*'Business Case'!F13*$D338-'Business Case'!F14*$E338))*'Business Case'!$B$7-'Business Case'!$B$8*(('Business Case'!F11*$C338*'Business Case'!F12*$B338)-('Business Case'!E11*$C338*'Business Case'!E12*$B338))-'Business Case'!F15*$F338</f>
        <v>704068721.862307</v>
      </c>
      <c r="M338" s="39" t="n">
        <f aca="false">(('Business Case'!G11*$C338*'Business Case'!G12*$B338)-'Business Case'!G11*$C338*'Business Case'!G13*$D338-'Business Case'!G14*$E338)-MAX(0,(('Business Case'!G11*$C338*'Business Case'!G12*$B338)-'Business Case'!G11*$C338*'Business Case'!G13*$D338-'Business Case'!G14*$E338))*'Business Case'!$B$7-'Business Case'!$B$8*(('Business Case'!G11*$C338*'Business Case'!G12*$B338)-('Business Case'!F11*$C338*'Business Case'!F12*$B338))-'Business Case'!G15*$F338+'Business Case'!$B$8*('Business Case'!G11*$C338*'Business Case'!G12*$B338)</f>
        <v>882193378.896907</v>
      </c>
      <c r="N338" s="39" t="n">
        <f aca="false">IF(COUNT('Business Case'!B11:G11)=0,"",H338+NPV(G338,I338:M338))</f>
        <v>-466246776.907469</v>
      </c>
      <c r="P338" s="40" t="n">
        <f aca="true">RAND()</f>
        <v>0.614403893573744</v>
      </c>
      <c r="Q338" s="40" t="n">
        <f aca="true">RAND()</f>
        <v>0.280447193651018</v>
      </c>
      <c r="R338" s="40" t="n">
        <f aca="true">RAND()</f>
        <v>0.694519592544684</v>
      </c>
      <c r="S338" s="40" t="n">
        <f aca="true">RAND()</f>
        <v>0.577737328705505</v>
      </c>
      <c r="T338" s="40" t="n">
        <f aca="true">RAND()</f>
        <v>0.356413514288173</v>
      </c>
      <c r="U338" s="40" t="n">
        <f aca="true">RAND()</f>
        <v>0.947207340778281</v>
      </c>
    </row>
    <row r="339" customFormat="false" ht="15" hidden="false" customHeight="false" outlineLevel="0" collapsed="false">
      <c r="A339" s="36" t="n">
        <v>259</v>
      </c>
      <c r="B339" s="37" t="n">
        <f aca="false">1+IF($G$6=$E$6,$F$6,IF(P339&lt;($F$6-$E$6)/($G$6-$E$6),$E$6+SQRT(P339*($G$6-$E$6)*($F$6-$E$6)),$G$6-SQRT((1-P339)*($G$6-$E$6)*($G$6-$F$6))))</f>
        <v>1.00813330252993</v>
      </c>
      <c r="C339" s="37" t="n">
        <f aca="false">1+IF($G$7=$E$7,$F$7,IF(Q339&lt;($F$7-$E$7)/($G$7-$E$7),$E$7+SQRT(Q339*($G$7-$E$7)*($F$7-$E$7)),$G$7-SQRT((1-Q339)*($G$7-$E$7)*($G$7-$F$7))))</f>
        <v>0.967036334690147</v>
      </c>
      <c r="D339" s="37" t="n">
        <f aca="false">1+IF($G$8=$E$8,$F$8,IF(R339&lt;($F$8-$E$8)/($G$8-$E$8),$E$8+SQRT(R339*($G$8-$E$8)*($F$8-$E$8)),$G$8-SQRT((1-R339)*($G$8-$E$8)*($G$8-$F$8))))</f>
        <v>1.01198105872038</v>
      </c>
      <c r="E339" s="37" t="n">
        <f aca="false">1+IF($G$9=$E$9,$F$9,IF(S339&lt;($F$9-$E$9)/($G$9-$E$9),$E$9+SQRT(S339*($G$9-$E$9)*($F$9-$E$9)),$G$9-SQRT((1-S339)*($G$9-$E$9)*($G$9-$F$9))))</f>
        <v>1.00548076226852</v>
      </c>
      <c r="F339" s="37" t="n">
        <f aca="false">1+IF($G$10=$E$10,$F$10,IF(T339&lt;($F$10-$E$10)/($G$10-$E$10),$E$10+SQRT(T339*($G$10-$E$10)*($F$10-$E$10)),$G$10-SQRT((1-T339)*($G$10-$E$10)*($G$10-$F$10))))</f>
        <v>1.06311583027557</v>
      </c>
      <c r="G339" s="38" t="n">
        <f aca="false">IF($G$11=$E$11,$F$11,IF(U339&lt;($F$11-$E$11)/($G$11-$E$11),$E$11+SQRT(U339*($G$11-$E$11)*($F$11-$E$11)),$G$11-SQRT((1-U339)*($G$11-$E$11)*($G$11-$F$11))))</f>
        <v>0.0959360711229615</v>
      </c>
      <c r="H339" s="39" t="n">
        <f aca="false">(('Business Case'!B11*$C339*'Business Case'!B12*$B339)-'Business Case'!B11*$C339*'Business Case'!B13*$D339-'Business Case'!B14*$E339)-MAX(0,(('Business Case'!B11*$C339*'Business Case'!B12*$B339)-'Business Case'!B11*$C339*'Business Case'!B13*$D339-'Business Case'!B14*$E339))*'Business Case'!$B$7-'Business Case'!$B$8*('Business Case'!B11*$C339*'Business Case'!B12*$B339)-'Business Case'!B15*$F339</f>
        <v>-2126231660.55114</v>
      </c>
      <c r="I339" s="39" t="n">
        <f aca="false">(('Business Case'!C11*$C339*'Business Case'!C12*$B339)-'Business Case'!C11*$C339*'Business Case'!C13*$D339-'Business Case'!C14*$E339)-MAX(0,(('Business Case'!C11*$C339*'Business Case'!C12*$B339)-'Business Case'!C11*$C339*'Business Case'!C13*$D339-'Business Case'!C14*$E339))*'Business Case'!$B$7-'Business Case'!$B$8*(('Business Case'!C11*$C339*'Business Case'!C12*$B339)-('Business Case'!B11*$C339*'Business Case'!B12*$B339))-'Business Case'!C15*$F339</f>
        <v>-2291700.42392673</v>
      </c>
      <c r="J339" s="39" t="n">
        <f aca="false">(('Business Case'!D11*$C339*'Business Case'!D12*$B339)-'Business Case'!D11*$C339*'Business Case'!D13*$D339-'Business Case'!D14*$E339)-MAX(0,(('Business Case'!D11*$C339*'Business Case'!D12*$B339)-'Business Case'!D11*$C339*'Business Case'!D13*$D339-'Business Case'!D14*$E339))*'Business Case'!$B$7-'Business Case'!$B$8*(('Business Case'!D11*$C339*'Business Case'!D12*$B339)-('Business Case'!C11*$C339*'Business Case'!C12*$B339))-'Business Case'!D15*$F339</f>
        <v>295246442.084283</v>
      </c>
      <c r="K339" s="39" t="n">
        <f aca="false">(('Business Case'!E11*$C339*'Business Case'!E12*$B339)-'Business Case'!E11*$C339*'Business Case'!E13*$D339-'Business Case'!E14*$E339)-MAX(0,(('Business Case'!E11*$C339*'Business Case'!E12*$B339)-'Business Case'!E11*$C339*'Business Case'!E13*$D339-'Business Case'!E14*$E339))*'Business Case'!$B$7-'Business Case'!$B$8*(('Business Case'!E11*$C339*'Business Case'!E12*$B339)-('Business Case'!D11*$C339*'Business Case'!D12*$B339))-'Business Case'!E15*$F339</f>
        <v>645940376.106271</v>
      </c>
      <c r="L339" s="39" t="n">
        <f aca="false">(('Business Case'!F11*$C339*'Business Case'!F12*$B339)-'Business Case'!F11*$C339*'Business Case'!F13*$D339-'Business Case'!F14*$E339)-MAX(0,(('Business Case'!F11*$C339*'Business Case'!F12*$B339)-'Business Case'!F11*$C339*'Business Case'!F13*$D339-'Business Case'!F14*$E339))*'Business Case'!$B$7-'Business Case'!$B$8*(('Business Case'!F11*$C339*'Business Case'!F12*$B339)-('Business Case'!E11*$C339*'Business Case'!E12*$B339))-'Business Case'!F15*$F339</f>
        <v>778812353.949004</v>
      </c>
      <c r="M339" s="39" t="n">
        <f aca="false">(('Business Case'!G11*$C339*'Business Case'!G12*$B339)-'Business Case'!G11*$C339*'Business Case'!G13*$D339-'Business Case'!G14*$E339)-MAX(0,(('Business Case'!G11*$C339*'Business Case'!G12*$B339)-'Business Case'!G11*$C339*'Business Case'!G13*$D339-'Business Case'!G14*$E339))*'Business Case'!$B$7-'Business Case'!$B$8*(('Business Case'!G11*$C339*'Business Case'!G12*$B339)-('Business Case'!F11*$C339*'Business Case'!F12*$B339))-'Business Case'!G15*$F339+'Business Case'!$B$8*('Business Case'!G11*$C339*'Business Case'!G12*$B339)</f>
        <v>964121637.485652</v>
      </c>
      <c r="N339" s="39" t="n">
        <f aca="false">IF(COUNT('Business Case'!B11:G11)=0,"",H339+NPV(G339,I339:M339))</f>
        <v>-242081917.957631</v>
      </c>
      <c r="P339" s="40" t="n">
        <f aca="true">RAND()</f>
        <v>0.788440331739848</v>
      </c>
      <c r="Q339" s="40" t="n">
        <f aca="true">RAND()</f>
        <v>0.398587672953126</v>
      </c>
      <c r="R339" s="40" t="n">
        <f aca="true">RAND()</f>
        <v>0.555136887230756</v>
      </c>
      <c r="S339" s="40" t="n">
        <f aca="true">RAND()</f>
        <v>0.404407579910707</v>
      </c>
      <c r="T339" s="40" t="n">
        <f aca="true">RAND()</f>
        <v>0.625254481577081</v>
      </c>
      <c r="U339" s="40" t="n">
        <f aca="true">RAND()</f>
        <v>0.11745646792286</v>
      </c>
    </row>
    <row r="340" customFormat="false" ht="15" hidden="false" customHeight="false" outlineLevel="0" collapsed="false">
      <c r="A340" s="36" t="n">
        <v>260</v>
      </c>
      <c r="B340" s="37" t="n">
        <f aca="false">1+IF($G$6=$E$6,$F$6,IF(P340&lt;($F$6-$E$6)/($G$6-$E$6),$E$6+SQRT(P340*($G$6-$E$6)*($F$6-$E$6)),$G$6-SQRT((1-P340)*($G$6-$E$6)*($G$6-$F$6))))</f>
        <v>0.969247921557146</v>
      </c>
      <c r="C340" s="37" t="n">
        <f aca="false">1+IF($G$7=$E$7,$F$7,IF(Q340&lt;($F$7-$E$7)/($G$7-$E$7),$E$7+SQRT(Q340*($G$7-$E$7)*($F$7-$E$7)),$G$7-SQRT((1-Q340)*($G$7-$E$7)*($G$7-$F$7))))</f>
        <v>0.926631877019133</v>
      </c>
      <c r="D340" s="37" t="n">
        <f aca="false">1+IF($G$8=$E$8,$F$8,IF(R340&lt;($F$8-$E$8)/($G$8-$E$8),$E$8+SQRT(R340*($G$8-$E$8)*($F$8-$E$8)),$G$8-SQRT((1-R340)*($G$8-$E$8)*($G$8-$F$8))))</f>
        <v>1.03794903404768</v>
      </c>
      <c r="E340" s="37" t="n">
        <f aca="false">1+IF($G$9=$E$9,$F$9,IF(S340&lt;($F$9-$E$9)/($G$9-$E$9),$E$9+SQRT(S340*($G$9-$E$9)*($F$9-$E$9)),$G$9-SQRT((1-S340)*($G$9-$E$9)*($G$9-$F$9))))</f>
        <v>0.996970267543571</v>
      </c>
      <c r="F340" s="37" t="n">
        <f aca="false">1+IF($G$10=$E$10,$F$10,IF(T340&lt;($F$10-$E$10)/($G$10-$E$10),$E$10+SQRT(T340*($G$10-$E$10)*($F$10-$E$10)),$G$10-SQRT((1-T340)*($G$10-$E$10)*($G$10-$F$10))))</f>
        <v>0.980107869533277</v>
      </c>
      <c r="G340" s="38" t="n">
        <f aca="false">IF($G$11=$E$11,$F$11,IF(U340&lt;($F$11-$E$11)/($G$11-$E$11),$E$11+SQRT(U340*($G$11-$E$11)*($F$11-$E$11)),$G$11-SQRT((1-U340)*($G$11-$E$11)*($G$11-$F$11))))</f>
        <v>0.10368557063583</v>
      </c>
      <c r="H340" s="39" t="n">
        <f aca="false">(('Business Case'!B11*$C340*'Business Case'!B12*$B340)-'Business Case'!B11*$C340*'Business Case'!B13*$D340-'Business Case'!B14*$E340)-MAX(0,(('Business Case'!B11*$C340*'Business Case'!B12*$B340)-'Business Case'!B11*$C340*'Business Case'!B13*$D340-'Business Case'!B14*$E340))*'Business Case'!$B$7-'Business Case'!$B$8*('Business Case'!B11*$C340*'Business Case'!B12*$B340)-'Business Case'!B15*$F340</f>
        <v>-1960215739.06655</v>
      </c>
      <c r="I340" s="39" t="n">
        <f aca="false">(('Business Case'!C11*$C340*'Business Case'!C12*$B340)-'Business Case'!C11*$C340*'Business Case'!C13*$D340-'Business Case'!C14*$E340)-MAX(0,(('Business Case'!C11*$C340*'Business Case'!C12*$B340)-'Business Case'!C11*$C340*'Business Case'!C13*$D340-'Business Case'!C14*$E340))*'Business Case'!$B$7-'Business Case'!$B$8*(('Business Case'!C11*$C340*'Business Case'!C12*$B340)-('Business Case'!B11*$C340*'Business Case'!B12*$B340))-'Business Case'!C15*$F340</f>
        <v>-43064210.4917071</v>
      </c>
      <c r="J340" s="39" t="n">
        <f aca="false">(('Business Case'!D11*$C340*'Business Case'!D12*$B340)-'Business Case'!D11*$C340*'Business Case'!D13*$D340-'Business Case'!D14*$E340)-MAX(0,(('Business Case'!D11*$C340*'Business Case'!D12*$B340)-'Business Case'!D11*$C340*'Business Case'!D13*$D340-'Business Case'!D14*$E340))*'Business Case'!$B$7-'Business Case'!$B$8*(('Business Case'!D11*$C340*'Business Case'!D12*$B340)-('Business Case'!C11*$C340*'Business Case'!C12*$B340))-'Business Case'!D15*$F340</f>
        <v>200210909.335442</v>
      </c>
      <c r="K340" s="39" t="n">
        <f aca="false">(('Business Case'!E11*$C340*'Business Case'!E12*$B340)-'Business Case'!E11*$C340*'Business Case'!E13*$D340-'Business Case'!E14*$E340)-MAX(0,(('Business Case'!E11*$C340*'Business Case'!E12*$B340)-'Business Case'!E11*$C340*'Business Case'!E13*$D340-'Business Case'!E14*$E340))*'Business Case'!$B$7-'Business Case'!$B$8*(('Business Case'!E11*$C340*'Business Case'!E12*$B340)-('Business Case'!D11*$C340*'Business Case'!D12*$B340))-'Business Case'!E15*$F340</f>
        <v>492491422.639255</v>
      </c>
      <c r="L340" s="39" t="n">
        <f aca="false">(('Business Case'!F11*$C340*'Business Case'!F12*$B340)-'Business Case'!F11*$C340*'Business Case'!F13*$D340-'Business Case'!F14*$E340)-MAX(0,(('Business Case'!F11*$C340*'Business Case'!F12*$B340)-'Business Case'!F11*$C340*'Business Case'!F13*$D340-'Business Case'!F14*$E340))*'Business Case'!$B$7-'Business Case'!$B$8*(('Business Case'!F11*$C340*'Business Case'!F12*$B340)-('Business Case'!E11*$C340*'Business Case'!E12*$B340))-'Business Case'!F15*$F340</f>
        <v>604622710.128859</v>
      </c>
      <c r="M340" s="39" t="n">
        <f aca="false">(('Business Case'!G11*$C340*'Business Case'!G12*$B340)-'Business Case'!G11*$C340*'Business Case'!G13*$D340-'Business Case'!G14*$E340)-MAX(0,(('Business Case'!G11*$C340*'Business Case'!G12*$B340)-'Business Case'!G11*$C340*'Business Case'!G13*$D340-'Business Case'!G14*$E340))*'Business Case'!$B$7-'Business Case'!$B$8*(('Business Case'!G11*$C340*'Business Case'!G12*$B340)-('Business Case'!F11*$C340*'Business Case'!F12*$B340))-'Business Case'!G15*$F340+'Business Case'!$B$8*('Business Case'!G11*$C340*'Business Case'!G12*$B340)</f>
        <v>775340404.971911</v>
      </c>
      <c r="N340" s="39" t="n">
        <f aca="false">IF(COUNT('Business Case'!B11:G11)=0,"",H340+NPV(G340,I340:M340))</f>
        <v>-587634708.89154</v>
      </c>
      <c r="P340" s="40" t="n">
        <f aca="true">RAND()</f>
        <v>0.25264143517696</v>
      </c>
      <c r="Q340" s="40" t="n">
        <f aca="true">RAND()</f>
        <v>0.229080461105553</v>
      </c>
      <c r="R340" s="40" t="n">
        <f aca="true">RAND()</f>
        <v>0.829972717545869</v>
      </c>
      <c r="S340" s="40" t="n">
        <f aca="true">RAND()</f>
        <v>0.294160804415279</v>
      </c>
      <c r="T340" s="40" t="n">
        <f aca="true">RAND()</f>
        <v>0.072518704626625</v>
      </c>
      <c r="U340" s="40" t="n">
        <f aca="true">RAND()</f>
        <v>0.556398990869206</v>
      </c>
    </row>
    <row r="341" customFormat="false" ht="15" hidden="false" customHeight="false" outlineLevel="0" collapsed="false">
      <c r="A341" s="36" t="n">
        <v>261</v>
      </c>
      <c r="B341" s="37" t="n">
        <f aca="false">1+IF($G$6=$E$6,$F$6,IF(P341&lt;($F$6-$E$6)/($G$6-$E$6),$E$6+SQRT(P341*($G$6-$E$6)*($F$6-$E$6)),$G$6-SQRT((1-P341)*($G$6-$E$6)*($G$6-$F$6))))</f>
        <v>1.01832859022465</v>
      </c>
      <c r="C341" s="37" t="n">
        <f aca="false">1+IF($G$7=$E$7,$F$7,IF(Q341&lt;($F$7-$E$7)/($G$7-$E$7),$E$7+SQRT(Q341*($G$7-$E$7)*($F$7-$E$7)),$G$7-SQRT((1-Q341)*($G$7-$E$7)*($G$7-$F$7))))</f>
        <v>1.09315618125809</v>
      </c>
      <c r="D341" s="37" t="n">
        <f aca="false">1+IF($G$8=$E$8,$F$8,IF(R341&lt;($F$8-$E$8)/($G$8-$E$8),$E$8+SQRT(R341*($G$8-$E$8)*($F$8-$E$8)),$G$8-SQRT((1-R341)*($G$8-$E$8)*($G$8-$F$8))))</f>
        <v>0.995018987851626</v>
      </c>
      <c r="E341" s="37" t="n">
        <f aca="false">1+IF($G$9=$E$9,$F$9,IF(S341&lt;($F$9-$E$9)/($G$9-$E$9),$E$9+SQRT(S341*($G$9-$E$9)*($F$9-$E$9)),$G$9-SQRT((1-S341)*($G$9-$E$9)*($G$9-$F$9))))</f>
        <v>0.997066243006709</v>
      </c>
      <c r="F341" s="37" t="n">
        <f aca="false">1+IF($G$10=$E$10,$F$10,IF(T341&lt;($F$10-$E$10)/($G$10-$E$10),$E$10+SQRT(T341*($G$10-$E$10)*($F$10-$E$10)),$G$10-SQRT((1-T341)*($G$10-$E$10)*($G$10-$F$10))))</f>
        <v>1.07886019364404</v>
      </c>
      <c r="G341" s="38" t="n">
        <f aca="false">IF($G$11=$E$11,$F$11,IF(U341&lt;($F$11-$E$11)/($G$11-$E$11),$E$11+SQRT(U341*($G$11-$E$11)*($F$11-$E$11)),$G$11-SQRT((1-U341)*($G$11-$E$11)*($G$11-$F$11))))</f>
        <v>0.0941377313376867</v>
      </c>
      <c r="H341" s="39" t="n">
        <f aca="false">(('Business Case'!B11*$C341*'Business Case'!B12*$B341)-'Business Case'!B11*$C341*'Business Case'!B13*$D341-'Business Case'!B14*$E341)-MAX(0,(('Business Case'!B11*$C341*'Business Case'!B12*$B341)-'Business Case'!B11*$C341*'Business Case'!B13*$D341-'Business Case'!B14*$E341))*'Business Case'!$B$7-'Business Case'!$B$8*('Business Case'!B11*$C341*'Business Case'!B12*$B341)-'Business Case'!B15*$F341</f>
        <v>-2157720387.28808</v>
      </c>
      <c r="I341" s="39" t="n">
        <f aca="false">(('Business Case'!C11*$C341*'Business Case'!C12*$B341)-'Business Case'!C11*$C341*'Business Case'!C13*$D341-'Business Case'!C14*$E341)-MAX(0,(('Business Case'!C11*$C341*'Business Case'!C12*$B341)-'Business Case'!C11*$C341*'Business Case'!C13*$D341-'Business Case'!C14*$E341))*'Business Case'!$B$7-'Business Case'!$B$8*(('Business Case'!C11*$C341*'Business Case'!C12*$B341)-('Business Case'!B11*$C341*'Business Case'!B12*$B341))-'Business Case'!C15*$F341</f>
        <v>47586737.954501</v>
      </c>
      <c r="J341" s="39" t="n">
        <f aca="false">(('Business Case'!D11*$C341*'Business Case'!D12*$B341)-'Business Case'!D11*$C341*'Business Case'!D13*$D341-'Business Case'!D14*$E341)-MAX(0,(('Business Case'!D11*$C341*'Business Case'!D12*$B341)-'Business Case'!D11*$C341*'Business Case'!D13*$D341-'Business Case'!D14*$E341))*'Business Case'!$B$7-'Business Case'!$B$8*(('Business Case'!D11*$C341*'Business Case'!D12*$B341)-('Business Case'!C11*$C341*'Business Case'!C12*$B341))-'Business Case'!D15*$F341</f>
        <v>402550198.311795</v>
      </c>
      <c r="K341" s="39" t="n">
        <f aca="false">(('Business Case'!E11*$C341*'Business Case'!E12*$B341)-'Business Case'!E11*$C341*'Business Case'!E13*$D341-'Business Case'!E14*$E341)-MAX(0,(('Business Case'!E11*$C341*'Business Case'!E12*$B341)-'Business Case'!E11*$C341*'Business Case'!E13*$D341-'Business Case'!E14*$E341))*'Business Case'!$B$7-'Business Case'!$B$8*(('Business Case'!E11*$C341*'Business Case'!E12*$B341)-('Business Case'!D11*$C341*'Business Case'!D12*$B341))-'Business Case'!E15*$F341</f>
        <v>811456668.35129</v>
      </c>
      <c r="L341" s="39" t="n">
        <f aca="false">(('Business Case'!F11*$C341*'Business Case'!F12*$B341)-'Business Case'!F11*$C341*'Business Case'!F13*$D341-'Business Case'!F14*$E341)-MAX(0,(('Business Case'!F11*$C341*'Business Case'!F12*$B341)-'Business Case'!F11*$C341*'Business Case'!F13*$D341-'Business Case'!F14*$E341))*'Business Case'!$B$7-'Business Case'!$B$8*(('Business Case'!F11*$C341*'Business Case'!F12*$B341)-('Business Case'!E11*$C341*'Business Case'!E12*$B341))-'Business Case'!F15*$F341</f>
        <v>968249743.992278</v>
      </c>
      <c r="M341" s="39" t="n">
        <f aca="false">(('Business Case'!G11*$C341*'Business Case'!G12*$B341)-'Business Case'!G11*$C341*'Business Case'!G13*$D341-'Business Case'!G14*$E341)-MAX(0,(('Business Case'!G11*$C341*'Business Case'!G12*$B341)-'Business Case'!G11*$C341*'Business Case'!G13*$D341-'Business Case'!G14*$E341))*'Business Case'!$B$7-'Business Case'!$B$8*(('Business Case'!G11*$C341*'Business Case'!G12*$B341)-('Business Case'!F11*$C341*'Business Case'!F12*$B341))-'Business Case'!G15*$F341+'Business Case'!$B$8*('Business Case'!G11*$C341*'Business Case'!G12*$B341)</f>
        <v>1179845316.02934</v>
      </c>
      <c r="N341" s="39" t="n">
        <f aca="false">IF(COUNT('Business Case'!B11:G11)=0,"",H341+NPV(G341,I341:M341))</f>
        <v>269587648.745329</v>
      </c>
      <c r="P341" s="40" t="n">
        <f aca="true">RAND()</f>
        <v>0.902156249656016</v>
      </c>
      <c r="Q341" s="40" t="n">
        <f aca="true">RAND()</f>
        <v>0.938452957539758</v>
      </c>
      <c r="R341" s="40" t="n">
        <f aca="true">RAND()</f>
        <v>0.311801425720738</v>
      </c>
      <c r="S341" s="40" t="n">
        <f aca="true">RAND()</f>
        <v>0.295364164102208</v>
      </c>
      <c r="T341" s="40" t="n">
        <f aca="true">RAND()</f>
        <v>0.70650294632081</v>
      </c>
      <c r="U341" s="40" t="n">
        <f aca="true">RAND()</f>
        <v>0.0570694020762484</v>
      </c>
    </row>
    <row r="342" customFormat="false" ht="15" hidden="false" customHeight="false" outlineLevel="0" collapsed="false">
      <c r="A342" s="36" t="n">
        <v>262</v>
      </c>
      <c r="B342" s="37" t="n">
        <f aca="false">1+IF($G$6=$E$6,$F$6,IF(P342&lt;($F$6-$E$6)/($G$6-$E$6),$E$6+SQRT(P342*($G$6-$E$6)*($F$6-$E$6)),$G$6-SQRT((1-P342)*($G$6-$E$6)*($G$6-$F$6))))</f>
        <v>0.980193626129002</v>
      </c>
      <c r="C342" s="37" t="n">
        <f aca="false">1+IF($G$7=$E$7,$F$7,IF(Q342&lt;($F$7-$E$7)/($G$7-$E$7),$E$7+SQRT(Q342*($G$7-$E$7)*($F$7-$E$7)),$G$7-SQRT((1-Q342)*($G$7-$E$7)*($G$7-$F$7))))</f>
        <v>1.09938050920179</v>
      </c>
      <c r="D342" s="37" t="n">
        <f aca="false">1+IF($G$8=$E$8,$F$8,IF(R342&lt;($F$8-$E$8)/($G$8-$E$8),$E$8+SQRT(R342*($G$8-$E$8)*($F$8-$E$8)),$G$8-SQRT((1-R342)*($G$8-$E$8)*($G$8-$F$8))))</f>
        <v>1.01451319464581</v>
      </c>
      <c r="E342" s="37" t="n">
        <f aca="false">1+IF($G$9=$E$9,$F$9,IF(S342&lt;($F$9-$E$9)/($G$9-$E$9),$E$9+SQRT(S342*($G$9-$E$9)*($F$9-$E$9)),$G$9-SQRT((1-S342)*($G$9-$E$9)*($G$9-$F$9))))</f>
        <v>0.968857939179646</v>
      </c>
      <c r="F342" s="37" t="n">
        <f aca="false">1+IF($G$10=$E$10,$F$10,IF(T342&lt;($F$10-$E$10)/($G$10-$E$10),$E$10+SQRT(T342*($G$10-$E$10)*($F$10-$E$10)),$G$10-SQRT((1-T342)*($G$10-$E$10)*($G$10-$F$10))))</f>
        <v>1.04839604889374</v>
      </c>
      <c r="G342" s="38" t="n">
        <f aca="false">IF($G$11=$E$11,$F$11,IF(U342&lt;($F$11-$E$11)/($G$11-$E$11),$E$11+SQRT(U342*($G$11-$E$11)*($F$11-$E$11)),$G$11-SQRT((1-U342)*($G$11-$E$11)*($G$11-$F$11))))</f>
        <v>0.118872196855239</v>
      </c>
      <c r="H342" s="39" t="n">
        <f aca="false">(('Business Case'!B11*$C342*'Business Case'!B12*$B342)-'Business Case'!B11*$C342*'Business Case'!B13*$D342-'Business Case'!B14*$E342)-MAX(0,(('Business Case'!B11*$C342*'Business Case'!B12*$B342)-'Business Case'!B11*$C342*'Business Case'!B13*$D342-'Business Case'!B14*$E342))*'Business Case'!$B$7-'Business Case'!$B$8*('Business Case'!B11*$C342*'Business Case'!B12*$B342)-'Business Case'!B15*$F342</f>
        <v>-2096792097.78748</v>
      </c>
      <c r="I342" s="39" t="n">
        <f aca="false">(('Business Case'!C11*$C342*'Business Case'!C12*$B342)-'Business Case'!C11*$C342*'Business Case'!C13*$D342-'Business Case'!C14*$E342)-MAX(0,(('Business Case'!C11*$C342*'Business Case'!C12*$B342)-'Business Case'!C11*$C342*'Business Case'!C13*$D342-'Business Case'!C14*$E342))*'Business Case'!$B$7-'Business Case'!$B$8*(('Business Case'!C11*$C342*'Business Case'!C12*$B342)-('Business Case'!B11*$C342*'Business Case'!B12*$B342))-'Business Case'!C15*$F342</f>
        <v>13199602.8392397</v>
      </c>
      <c r="J342" s="39" t="n">
        <f aca="false">(('Business Case'!D11*$C342*'Business Case'!D12*$B342)-'Business Case'!D11*$C342*'Business Case'!D13*$D342-'Business Case'!D14*$E342)-MAX(0,(('Business Case'!D11*$C342*'Business Case'!D12*$B342)-'Business Case'!D11*$C342*'Business Case'!D13*$D342-'Business Case'!D14*$E342))*'Business Case'!$B$7-'Business Case'!$B$8*(('Business Case'!D11*$C342*'Business Case'!D12*$B342)-('Business Case'!C11*$C342*'Business Case'!C12*$B342))-'Business Case'!D15*$F342</f>
        <v>324873492.522472</v>
      </c>
      <c r="K342" s="39" t="n">
        <f aca="false">(('Business Case'!E11*$C342*'Business Case'!E12*$B342)-'Business Case'!E11*$C342*'Business Case'!E13*$D342-'Business Case'!E14*$E342)-MAX(0,(('Business Case'!E11*$C342*'Business Case'!E12*$B342)-'Business Case'!E11*$C342*'Business Case'!E13*$D342-'Business Case'!E14*$E342))*'Business Case'!$B$7-'Business Case'!$B$8*(('Business Case'!E11*$C342*'Business Case'!E12*$B342)-('Business Case'!D11*$C342*'Business Case'!D12*$B342))-'Business Case'!E15*$F342</f>
        <v>688967184.650391</v>
      </c>
      <c r="L342" s="39" t="n">
        <f aca="false">(('Business Case'!F11*$C342*'Business Case'!F12*$B342)-'Business Case'!F11*$C342*'Business Case'!F13*$D342-'Business Case'!F14*$E342)-MAX(0,(('Business Case'!F11*$C342*'Business Case'!F12*$B342)-'Business Case'!F11*$C342*'Business Case'!F13*$D342-'Business Case'!F14*$E342))*'Business Case'!$B$7-'Business Case'!$B$8*(('Business Case'!F11*$C342*'Business Case'!F12*$B342)-('Business Case'!E11*$C342*'Business Case'!E12*$B342))-'Business Case'!F15*$F342</f>
        <v>830100536.546984</v>
      </c>
      <c r="M342" s="39" t="n">
        <f aca="false">(('Business Case'!G11*$C342*'Business Case'!G12*$B342)-'Business Case'!G11*$C342*'Business Case'!G13*$D342-'Business Case'!G14*$E342)-MAX(0,(('Business Case'!G11*$C342*'Business Case'!G12*$B342)-'Business Case'!G11*$C342*'Business Case'!G13*$D342-'Business Case'!G14*$E342))*'Business Case'!$B$7-'Business Case'!$B$8*(('Business Case'!G11*$C342*'Business Case'!G12*$B342)-('Business Case'!F11*$C342*'Business Case'!F12*$B342))-'Business Case'!G15*$F342+'Business Case'!$B$8*('Business Case'!G11*$C342*'Business Case'!G12*$B342)</f>
        <v>1034931840.89232</v>
      </c>
      <c r="N342" s="39" t="n">
        <f aca="false">IF(COUNT('Business Case'!B11:G11)=0,"",H342+NPV(G342,I342:M342))</f>
        <v>-213719769.799938</v>
      </c>
      <c r="P342" s="40" t="n">
        <f aca="true">RAND()</f>
        <v>0.377424231933136</v>
      </c>
      <c r="Q342" s="40" t="n">
        <f aca="true">RAND()</f>
        <v>0.951193660025327</v>
      </c>
      <c r="R342" s="40" t="n">
        <f aca="true">RAND()</f>
        <v>0.58764214658679</v>
      </c>
      <c r="S342" s="40" t="n">
        <f aca="true">RAND()</f>
        <v>0.0474162493470983</v>
      </c>
      <c r="T342" s="40" t="n">
        <f aca="true">RAND()</f>
        <v>0.540324840179405</v>
      </c>
      <c r="U342" s="40" t="n">
        <f aca="true">RAND()</f>
        <v>0.997880100111114</v>
      </c>
    </row>
    <row r="343" customFormat="false" ht="15" hidden="false" customHeight="false" outlineLevel="0" collapsed="false">
      <c r="A343" s="36" t="n">
        <v>263</v>
      </c>
      <c r="B343" s="37" t="n">
        <f aca="false">1+IF($G$6=$E$6,$F$6,IF(P343&lt;($F$6-$E$6)/($G$6-$E$6),$E$6+SQRT(P343*($G$6-$E$6)*($F$6-$E$6)),$G$6-SQRT((1-P343)*($G$6-$E$6)*($G$6-$F$6))))</f>
        <v>0.990161263205392</v>
      </c>
      <c r="C343" s="37" t="n">
        <f aca="false">1+IF($G$7=$E$7,$F$7,IF(Q343&lt;($F$7-$E$7)/($G$7-$E$7),$E$7+SQRT(Q343*($G$7-$E$7)*($F$7-$E$7)),$G$7-SQRT((1-Q343)*($G$7-$E$7)*($G$7-$F$7))))</f>
        <v>0.851233883999553</v>
      </c>
      <c r="D343" s="37" t="n">
        <f aca="false">1+IF($G$8=$E$8,$F$8,IF(R343&lt;($F$8-$E$8)/($G$8-$E$8),$E$8+SQRT(R343*($G$8-$E$8)*($F$8-$E$8)),$G$8-SQRT((1-R343)*($G$8-$E$8)*($G$8-$F$8))))</f>
        <v>1.0195879998643</v>
      </c>
      <c r="E343" s="37" t="n">
        <f aca="false">1+IF($G$9=$E$9,$F$9,IF(S343&lt;($F$9-$E$9)/($G$9-$E$9),$E$9+SQRT(S343*($G$9-$E$9)*($F$9-$E$9)),$G$9-SQRT((1-S343)*($G$9-$E$9)*($G$9-$F$9))))</f>
        <v>0.986972527714203</v>
      </c>
      <c r="F343" s="37" t="n">
        <f aca="false">1+IF($G$10=$E$10,$F$10,IF(T343&lt;($F$10-$E$10)/($G$10-$E$10),$E$10+SQRT(T343*($G$10-$E$10)*($F$10-$E$10)),$G$10-SQRT((1-T343)*($G$10-$E$10)*($G$10-$F$10))))</f>
        <v>1.02999653483893</v>
      </c>
      <c r="G343" s="38" t="n">
        <f aca="false">IF($G$11=$E$11,$F$11,IF(U343&lt;($F$11-$E$11)/($G$11-$E$11),$E$11+SQRT(U343*($G$11-$E$11)*($F$11-$E$11)),$G$11-SQRT((1-U343)*($G$11-$E$11)*($G$11-$F$11))))</f>
        <v>0.101975714942352</v>
      </c>
      <c r="H343" s="39" t="n">
        <f aca="false">(('Business Case'!B11*$C343*'Business Case'!B12*$B343)-'Business Case'!B11*$C343*'Business Case'!B13*$D343-'Business Case'!B14*$E343)-MAX(0,(('Business Case'!B11*$C343*'Business Case'!B12*$B343)-'Business Case'!B11*$C343*'Business Case'!B13*$D343-'Business Case'!B14*$E343))*'Business Case'!$B$7-'Business Case'!$B$8*('Business Case'!B11*$C343*'Business Case'!B12*$B343)-'Business Case'!B15*$F343</f>
        <v>-2059993069.67785</v>
      </c>
      <c r="I343" s="39" t="n">
        <f aca="false">(('Business Case'!C11*$C343*'Business Case'!C12*$B343)-'Business Case'!C11*$C343*'Business Case'!C13*$D343-'Business Case'!C14*$E343)-MAX(0,(('Business Case'!C11*$C343*'Business Case'!C12*$B343)-'Business Case'!C11*$C343*'Business Case'!C13*$D343-'Business Case'!C14*$E343))*'Business Case'!$B$7-'Business Case'!$B$8*(('Business Case'!C11*$C343*'Business Case'!C12*$B343)-('Business Case'!B11*$C343*'Business Case'!B12*$B343))-'Business Case'!C15*$F343</f>
        <v>-40978278.5893457</v>
      </c>
      <c r="J343" s="39" t="n">
        <f aca="false">(('Business Case'!D11*$C343*'Business Case'!D12*$B343)-'Business Case'!D11*$C343*'Business Case'!D13*$D343-'Business Case'!D14*$E343)-MAX(0,(('Business Case'!D11*$C343*'Business Case'!D12*$B343)-'Business Case'!D11*$C343*'Business Case'!D13*$D343-'Business Case'!D14*$E343))*'Business Case'!$B$7-'Business Case'!$B$8*(('Business Case'!D11*$C343*'Business Case'!D12*$B343)-('Business Case'!C11*$C343*'Business Case'!C12*$B343))-'Business Case'!D15*$F343</f>
        <v>205084390.864243</v>
      </c>
      <c r="K343" s="39" t="n">
        <f aca="false">(('Business Case'!E11*$C343*'Business Case'!E12*$B343)-'Business Case'!E11*$C343*'Business Case'!E13*$D343-'Business Case'!E14*$E343)-MAX(0,(('Business Case'!E11*$C343*'Business Case'!E12*$B343)-'Business Case'!E11*$C343*'Business Case'!E13*$D343-'Business Case'!E14*$E343))*'Business Case'!$B$7-'Business Case'!$B$8*(('Business Case'!E11*$C343*'Business Case'!E12*$B343)-('Business Case'!D11*$C343*'Business Case'!D12*$B343))-'Business Case'!E15*$F343</f>
        <v>502646887.059778</v>
      </c>
      <c r="L343" s="39" t="n">
        <f aca="false">(('Business Case'!F11*$C343*'Business Case'!F12*$B343)-'Business Case'!F11*$C343*'Business Case'!F13*$D343-'Business Case'!F14*$E343)-MAX(0,(('Business Case'!F11*$C343*'Business Case'!F12*$B343)-'Business Case'!F11*$C343*'Business Case'!F13*$D343-'Business Case'!F14*$E343))*'Business Case'!$B$7-'Business Case'!$B$8*(('Business Case'!F11*$C343*'Business Case'!F12*$B343)-('Business Case'!E11*$C343*'Business Case'!E12*$B343))-'Business Case'!F15*$F343</f>
        <v>613796977.623028</v>
      </c>
      <c r="M343" s="39" t="n">
        <f aca="false">(('Business Case'!G11*$C343*'Business Case'!G12*$B343)-'Business Case'!G11*$C343*'Business Case'!G13*$D343-'Business Case'!G14*$E343)-MAX(0,(('Business Case'!G11*$C343*'Business Case'!G12*$B343)-'Business Case'!G11*$C343*'Business Case'!G13*$D343-'Business Case'!G14*$E343))*'Business Case'!$B$7-'Business Case'!$B$8*(('Business Case'!G11*$C343*'Business Case'!G12*$B343)-('Business Case'!F11*$C343*'Business Case'!F12*$B343))-'Business Case'!G15*$F343+'Business Case'!$B$8*('Business Case'!G11*$C343*'Business Case'!G12*$B343)</f>
        <v>774007581.722661</v>
      </c>
      <c r="N343" s="39" t="n">
        <f aca="false">IF(COUNT('Business Case'!B11:G11)=0,"",H343+NPV(G343,I343:M343))</f>
        <v>-660138694.127446</v>
      </c>
      <c r="P343" s="40" t="n">
        <f aca="true">RAND()</f>
        <v>0.512771130685033</v>
      </c>
      <c r="Q343" s="40" t="n">
        <f aca="true">RAND()</f>
        <v>0.0374987267097098</v>
      </c>
      <c r="R343" s="40" t="n">
        <f aca="true">RAND()</f>
        <v>0.649075984577342</v>
      </c>
      <c r="S343" s="40" t="n">
        <f aca="true">RAND()</f>
        <v>0.182262374077004</v>
      </c>
      <c r="T343" s="40" t="n">
        <f aca="true">RAND()</f>
        <v>0.421976436664551</v>
      </c>
      <c r="U343" s="40" t="n">
        <f aca="true">RAND()</f>
        <v>0.458541913601068</v>
      </c>
    </row>
    <row r="344" customFormat="false" ht="15" hidden="false" customHeight="false" outlineLevel="0" collapsed="false">
      <c r="A344" s="36" t="n">
        <v>264</v>
      </c>
      <c r="B344" s="37" t="n">
        <f aca="false">1+IF($G$6=$E$6,$F$6,IF(P344&lt;($F$6-$E$6)/($G$6-$E$6),$E$6+SQRT(P344*($G$6-$E$6)*($F$6-$E$6)),$G$6-SQRT((1-P344)*($G$6-$E$6)*($G$6-$F$6))))</f>
        <v>1.01481152877139</v>
      </c>
      <c r="C344" s="37" t="n">
        <f aca="false">1+IF($G$7=$E$7,$F$7,IF(Q344&lt;($F$7-$E$7)/($G$7-$E$7),$E$7+SQRT(Q344*($G$7-$E$7)*($F$7-$E$7)),$G$7-SQRT((1-Q344)*($G$7-$E$7)*($G$7-$F$7))))</f>
        <v>1.03062378242989</v>
      </c>
      <c r="D344" s="37" t="n">
        <f aca="false">1+IF($G$8=$E$8,$F$8,IF(R344&lt;($F$8-$E$8)/($G$8-$E$8),$E$8+SQRT(R344*($G$8-$E$8)*($F$8-$E$8)),$G$8-SQRT((1-R344)*($G$8-$E$8)*($G$8-$F$8))))</f>
        <v>1.07149069405784</v>
      </c>
      <c r="E344" s="37" t="n">
        <f aca="false">1+IF($G$9=$E$9,$F$9,IF(S344&lt;($F$9-$E$9)/($G$9-$E$9),$E$9+SQRT(S344*($G$9-$E$9)*($F$9-$E$9)),$G$9-SQRT((1-S344)*($G$9-$E$9)*($G$9-$F$9))))</f>
        <v>1.08435874247929</v>
      </c>
      <c r="F344" s="37" t="n">
        <f aca="false">1+IF($G$10=$E$10,$F$10,IF(T344&lt;($F$10-$E$10)/($G$10-$E$10),$E$10+SQRT(T344*($G$10-$E$10)*($F$10-$E$10)),$G$10-SQRT((1-T344)*($G$10-$E$10)*($G$10-$F$10))))</f>
        <v>0.98534170568857</v>
      </c>
      <c r="G344" s="38" t="n">
        <f aca="false">IF($G$11=$E$11,$F$11,IF(U344&lt;($F$11-$E$11)/($G$11-$E$11),$E$11+SQRT(U344*($G$11-$E$11)*($F$11-$E$11)),$G$11-SQRT((1-U344)*($G$11-$E$11)*($G$11-$F$11))))</f>
        <v>0.109187791363783</v>
      </c>
      <c r="H344" s="39" t="n">
        <f aca="false">(('Business Case'!B11*$C344*'Business Case'!B12*$B344)-'Business Case'!B11*$C344*'Business Case'!B13*$D344-'Business Case'!B14*$E344)-MAX(0,(('Business Case'!B11*$C344*'Business Case'!B12*$B344)-'Business Case'!B11*$C344*'Business Case'!B13*$D344-'Business Case'!B14*$E344))*'Business Case'!$B$7-'Business Case'!$B$8*('Business Case'!B11*$C344*'Business Case'!B12*$B344)-'Business Case'!B15*$F344</f>
        <v>-1970683411.37714</v>
      </c>
      <c r="I344" s="39" t="n">
        <f aca="false">(('Business Case'!C11*$C344*'Business Case'!C12*$B344)-'Business Case'!C11*$C344*'Business Case'!C13*$D344-'Business Case'!C14*$E344)-MAX(0,(('Business Case'!C11*$C344*'Business Case'!C12*$B344)-'Business Case'!C11*$C344*'Business Case'!C13*$D344-'Business Case'!C14*$E344))*'Business Case'!$B$7-'Business Case'!$B$8*(('Business Case'!C11*$C344*'Business Case'!C12*$B344)-('Business Case'!B11*$C344*'Business Case'!B12*$B344))-'Business Case'!C15*$F344</f>
        <v>-15605751.2867883</v>
      </c>
      <c r="J344" s="39" t="n">
        <f aca="false">(('Business Case'!D11*$C344*'Business Case'!D12*$B344)-'Business Case'!D11*$C344*'Business Case'!D13*$D344-'Business Case'!D14*$E344)-MAX(0,(('Business Case'!D11*$C344*'Business Case'!D12*$B344)-'Business Case'!D11*$C344*'Business Case'!D13*$D344-'Business Case'!D14*$E344))*'Business Case'!$B$7-'Business Case'!$B$8*(('Business Case'!D11*$C344*'Business Case'!D12*$B344)-('Business Case'!C11*$C344*'Business Case'!C12*$B344))-'Business Case'!D15*$F344</f>
        <v>275737361.5567</v>
      </c>
      <c r="K344" s="39" t="n">
        <f aca="false">(('Business Case'!E11*$C344*'Business Case'!E12*$B344)-'Business Case'!E11*$C344*'Business Case'!E13*$D344-'Business Case'!E14*$E344)-MAX(0,(('Business Case'!E11*$C344*'Business Case'!E12*$B344)-'Business Case'!E11*$C344*'Business Case'!E13*$D344-'Business Case'!E14*$E344))*'Business Case'!$B$7-'Business Case'!$B$8*(('Business Case'!E11*$C344*'Business Case'!E12*$B344)-('Business Case'!D11*$C344*'Business Case'!D12*$B344))-'Business Case'!E15*$F344</f>
        <v>616347559.684618</v>
      </c>
      <c r="L344" s="39" t="n">
        <f aca="false">(('Business Case'!F11*$C344*'Business Case'!F12*$B344)-'Business Case'!F11*$C344*'Business Case'!F13*$D344-'Business Case'!F14*$E344)-MAX(0,(('Business Case'!F11*$C344*'Business Case'!F12*$B344)-'Business Case'!F11*$C344*'Business Case'!F13*$D344-'Business Case'!F14*$E344))*'Business Case'!$B$7-'Business Case'!$B$8*(('Business Case'!F11*$C344*'Business Case'!F12*$B344)-('Business Case'!E11*$C344*'Business Case'!E12*$B344))-'Business Case'!F15*$F344</f>
        <v>749607850.886358</v>
      </c>
      <c r="M344" s="39" t="n">
        <f aca="false">(('Business Case'!G11*$C344*'Business Case'!G12*$B344)-'Business Case'!G11*$C344*'Business Case'!G13*$D344-'Business Case'!G14*$E344)-MAX(0,(('Business Case'!G11*$C344*'Business Case'!G12*$B344)-'Business Case'!G11*$C344*'Business Case'!G13*$D344-'Business Case'!G14*$E344))*'Business Case'!$B$7-'Business Case'!$B$8*(('Business Case'!G11*$C344*'Business Case'!G12*$B344)-('Business Case'!F11*$C344*'Business Case'!F12*$B344))-'Business Case'!G15*$F344+'Business Case'!$B$8*('Business Case'!G11*$C344*'Business Case'!G12*$B344)</f>
        <v>948410412.282864</v>
      </c>
      <c r="N344" s="39" t="n">
        <f aca="false">IF(COUNT('Business Case'!B11:G11)=0,"",H344+NPV(G344,I344:M344))</f>
        <v>-248834727.744453</v>
      </c>
      <c r="P344" s="40" t="n">
        <f aca="true">RAND()</f>
        <v>0.867821024409483</v>
      </c>
      <c r="Q344" s="40" t="n">
        <f aca="true">RAND()</f>
        <v>0.728558451021972</v>
      </c>
      <c r="R344" s="40" t="n">
        <f aca="true">RAND()</f>
        <v>0.993037664652188</v>
      </c>
      <c r="S344" s="40" t="n">
        <f aca="true">RAND()</f>
        <v>0.983690070878051</v>
      </c>
      <c r="T344" s="40" t="n">
        <f aca="true">RAND()</f>
        <v>0.0999228928781974</v>
      </c>
      <c r="U344" s="40" t="n">
        <f aca="true">RAND()</f>
        <v>0.80516024067818</v>
      </c>
    </row>
    <row r="345" customFormat="false" ht="15" hidden="false" customHeight="false" outlineLevel="0" collapsed="false">
      <c r="A345" s="36" t="n">
        <v>265</v>
      </c>
      <c r="B345" s="37" t="n">
        <f aca="false">1+IF($G$6=$E$6,$F$6,IF(P345&lt;($F$6-$E$6)/($G$6-$E$6),$E$6+SQRT(P345*($G$6-$E$6)*($F$6-$E$6)),$G$6-SQRT((1-P345)*($G$6-$E$6)*($G$6-$F$6))))</f>
        <v>1.00035912270015</v>
      </c>
      <c r="C345" s="37" t="n">
        <f aca="false">1+IF($G$7=$E$7,$F$7,IF(Q345&lt;($F$7-$E$7)/($G$7-$E$7),$E$7+SQRT(Q345*($G$7-$E$7)*($F$7-$E$7)),$G$7-SQRT((1-Q345)*($G$7-$E$7)*($G$7-$F$7))))</f>
        <v>0.931060680308638</v>
      </c>
      <c r="D345" s="37" t="n">
        <f aca="false">1+IF($G$8=$E$8,$F$8,IF(R345&lt;($F$8-$E$8)/($G$8-$E$8),$E$8+SQRT(R345*($G$8-$E$8)*($F$8-$E$8)),$G$8-SQRT((1-R345)*($G$8-$E$8)*($G$8-$F$8))))</f>
        <v>0.988043417751384</v>
      </c>
      <c r="E345" s="37" t="n">
        <f aca="false">1+IF($G$9=$E$9,$F$9,IF(S345&lt;($F$9-$E$9)/($G$9-$E$9),$E$9+SQRT(S345*($G$9-$E$9)*($F$9-$E$9)),$G$9-SQRT((1-S345)*($G$9-$E$9)*($G$9-$F$9))))</f>
        <v>0.990517998311587</v>
      </c>
      <c r="F345" s="37" t="n">
        <f aca="false">1+IF($G$10=$E$10,$F$10,IF(T345&lt;($F$10-$E$10)/($G$10-$E$10),$E$10+SQRT(T345*($G$10-$E$10)*($F$10-$E$10)),$G$10-SQRT((1-T345)*($G$10-$E$10)*($G$10-$F$10))))</f>
        <v>1.01306688874075</v>
      </c>
      <c r="G345" s="38" t="n">
        <f aca="false">IF($G$11=$E$11,$F$11,IF(U345&lt;($F$11-$E$11)/($G$11-$E$11),$E$11+SQRT(U345*($G$11-$E$11)*($F$11-$E$11)),$G$11-SQRT((1-U345)*($G$11-$E$11)*($G$11-$F$11))))</f>
        <v>0.108906582673465</v>
      </c>
      <c r="H345" s="39" t="n">
        <f aca="false">(('Business Case'!B11*$C345*'Business Case'!B12*$B345)-'Business Case'!B11*$C345*'Business Case'!B13*$D345-'Business Case'!B14*$E345)-MAX(0,(('Business Case'!B11*$C345*'Business Case'!B12*$B345)-'Business Case'!B11*$C345*'Business Case'!B13*$D345-'Business Case'!B14*$E345))*'Business Case'!$B$7-'Business Case'!$B$8*('Business Case'!B11*$C345*'Business Case'!B12*$B345)-'Business Case'!B15*$F345</f>
        <v>-2026133777.4815</v>
      </c>
      <c r="I345" s="39" t="n">
        <f aca="false">(('Business Case'!C11*$C345*'Business Case'!C12*$B345)-'Business Case'!C11*$C345*'Business Case'!C13*$D345-'Business Case'!C14*$E345)-MAX(0,(('Business Case'!C11*$C345*'Business Case'!C12*$B345)-'Business Case'!C11*$C345*'Business Case'!C13*$D345-'Business Case'!C14*$E345))*'Business Case'!$B$7-'Business Case'!$B$8*(('Business Case'!C11*$C345*'Business Case'!C12*$B345)-('Business Case'!B11*$C345*'Business Case'!B12*$B345))-'Business Case'!C15*$F345</f>
        <v>1508000.58445436</v>
      </c>
      <c r="J345" s="39" t="n">
        <f aca="false">(('Business Case'!D11*$C345*'Business Case'!D12*$B345)-'Business Case'!D11*$C345*'Business Case'!D13*$D345-'Business Case'!D14*$E345)-MAX(0,(('Business Case'!D11*$C345*'Business Case'!D12*$B345)-'Business Case'!D11*$C345*'Business Case'!D13*$D345-'Business Case'!D14*$E345))*'Business Case'!$B$7-'Business Case'!$B$8*(('Business Case'!D11*$C345*'Business Case'!D12*$B345)-('Business Case'!C11*$C345*'Business Case'!C12*$B345))-'Business Case'!D15*$F345</f>
        <v>293457868.553014</v>
      </c>
      <c r="K345" s="39" t="n">
        <f aca="false">(('Business Case'!E11*$C345*'Business Case'!E12*$B345)-'Business Case'!E11*$C345*'Business Case'!E13*$D345-'Business Case'!E14*$E345)-MAX(0,(('Business Case'!E11*$C345*'Business Case'!E12*$B345)-'Business Case'!E11*$C345*'Business Case'!E13*$D345-'Business Case'!E14*$E345))*'Business Case'!$B$7-'Business Case'!$B$8*(('Business Case'!E11*$C345*'Business Case'!E12*$B345)-('Business Case'!D11*$C345*'Business Case'!D12*$B345))-'Business Case'!E15*$F345</f>
        <v>636061080.958611</v>
      </c>
      <c r="L345" s="39" t="n">
        <f aca="false">(('Business Case'!F11*$C345*'Business Case'!F12*$B345)-'Business Case'!F11*$C345*'Business Case'!F13*$D345-'Business Case'!F14*$E345)-MAX(0,(('Business Case'!F11*$C345*'Business Case'!F12*$B345)-'Business Case'!F11*$C345*'Business Case'!F13*$D345-'Business Case'!F14*$E345))*'Business Case'!$B$7-'Business Case'!$B$8*(('Business Case'!F11*$C345*'Business Case'!F12*$B345)-('Business Case'!E11*$C345*'Business Case'!E12*$B345))-'Business Case'!F15*$F345</f>
        <v>765566716.381546</v>
      </c>
      <c r="M345" s="39" t="n">
        <f aca="false">(('Business Case'!G11*$C345*'Business Case'!G12*$B345)-'Business Case'!G11*$C345*'Business Case'!G13*$D345-'Business Case'!G14*$E345)-MAX(0,(('Business Case'!G11*$C345*'Business Case'!G12*$B345)-'Business Case'!G11*$C345*'Business Case'!G13*$D345-'Business Case'!G14*$E345))*'Business Case'!$B$7-'Business Case'!$B$8*(('Business Case'!G11*$C345*'Business Case'!G12*$B345)-('Business Case'!F11*$C345*'Business Case'!F12*$B345))-'Business Case'!G15*$F345+'Business Case'!$B$8*('Business Case'!G11*$C345*'Business Case'!G12*$B345)</f>
        <v>942606286.598661</v>
      </c>
      <c r="N345" s="39" t="n">
        <f aca="false">IF(COUNT('Business Case'!B11:G11)=0,"",H345+NPV(G345,I345:M345))</f>
        <v>-251218692.326419</v>
      </c>
      <c r="P345" s="40" t="n">
        <f aca="true">RAND()</f>
        <v>0.672625176437082</v>
      </c>
      <c r="Q345" s="40" t="n">
        <f aca="true">RAND()</f>
        <v>0.245384313185187</v>
      </c>
      <c r="R345" s="40" t="n">
        <f aca="true">RAND()</f>
        <v>0.2226617898779</v>
      </c>
      <c r="S345" s="40" t="n">
        <f aca="true">RAND()</f>
        <v>0.218894424957033</v>
      </c>
      <c r="T345" s="40" t="n">
        <f aca="true">RAND()</f>
        <v>0.301120238298748</v>
      </c>
      <c r="U345" s="40" t="n">
        <f aca="true">RAND()</f>
        <v>0.794893486698883</v>
      </c>
    </row>
    <row r="346" customFormat="false" ht="15" hidden="false" customHeight="false" outlineLevel="0" collapsed="false">
      <c r="A346" s="36" t="n">
        <v>266</v>
      </c>
      <c r="B346" s="37" t="n">
        <f aca="false">1+IF($G$6=$E$6,$F$6,IF(P346&lt;($F$6-$E$6)/($G$6-$E$6),$E$6+SQRT(P346*($G$6-$E$6)*($F$6-$E$6)),$G$6-SQRT((1-P346)*($G$6-$E$6)*($G$6-$F$6))))</f>
        <v>0.940580321433554</v>
      </c>
      <c r="C346" s="37" t="n">
        <f aca="false">1+IF($G$7=$E$7,$F$7,IF(Q346&lt;($F$7-$E$7)/($G$7-$E$7),$E$7+SQRT(Q346*($G$7-$E$7)*($F$7-$E$7)),$G$7-SQRT((1-Q346)*($G$7-$E$7)*($G$7-$F$7))))</f>
        <v>0.895899978012489</v>
      </c>
      <c r="D346" s="37" t="n">
        <f aca="false">1+IF($G$8=$E$8,$F$8,IF(R346&lt;($F$8-$E$8)/($G$8-$E$8),$E$8+SQRT(R346*($G$8-$E$8)*($F$8-$E$8)),$G$8-SQRT((1-R346)*($G$8-$E$8)*($G$8-$F$8))))</f>
        <v>0.983502274548517</v>
      </c>
      <c r="E346" s="37" t="n">
        <f aca="false">1+IF($G$9=$E$9,$F$9,IF(S346&lt;($F$9-$E$9)/($G$9-$E$9),$E$9+SQRT(S346*($G$9-$E$9)*($F$9-$E$9)),$G$9-SQRT((1-S346)*($G$9-$E$9)*($G$9-$F$9))))</f>
        <v>1.0068379386346</v>
      </c>
      <c r="F346" s="37" t="n">
        <f aca="false">1+IF($G$10=$E$10,$F$10,IF(T346&lt;($F$10-$E$10)/($G$10-$E$10),$E$10+SQRT(T346*($G$10-$E$10)*($F$10-$E$10)),$G$10-SQRT((1-T346)*($G$10-$E$10)*($G$10-$F$10))))</f>
        <v>1.0951452570353</v>
      </c>
      <c r="G346" s="38" t="n">
        <f aca="false">IF($G$11=$E$11,$F$11,IF(U346&lt;($F$11-$E$11)/($G$11-$E$11),$E$11+SQRT(U346*($G$11-$E$11)*($F$11-$E$11)),$G$11-SQRT((1-U346)*($G$11-$E$11)*($G$11-$F$11))))</f>
        <v>0.101759582578648</v>
      </c>
      <c r="H346" s="39" t="n">
        <f aca="false">(('Business Case'!B11*$C346*'Business Case'!B12*$B346)-'Business Case'!B11*$C346*'Business Case'!B13*$D346-'Business Case'!B14*$E346)-MAX(0,(('Business Case'!B11*$C346*'Business Case'!B12*$B346)-'Business Case'!B11*$C346*'Business Case'!B13*$D346-'Business Case'!B14*$E346))*'Business Case'!$B$7-'Business Case'!$B$8*('Business Case'!B11*$C346*'Business Case'!B12*$B346)-'Business Case'!B15*$F346</f>
        <v>-2190290514.0706</v>
      </c>
      <c r="I346" s="39" t="n">
        <f aca="false">(('Business Case'!C11*$C346*'Business Case'!C12*$B346)-'Business Case'!C11*$C346*'Business Case'!C13*$D346-'Business Case'!C14*$E346)-MAX(0,(('Business Case'!C11*$C346*'Business Case'!C12*$B346)-'Business Case'!C11*$C346*'Business Case'!C13*$D346-'Business Case'!C14*$E346))*'Business Case'!$B$7-'Business Case'!$B$8*(('Business Case'!C11*$C346*'Business Case'!C12*$B346)-('Business Case'!B11*$C346*'Business Case'!B12*$B346))-'Business Case'!C15*$F346</f>
        <v>-57229424.4966784</v>
      </c>
      <c r="J346" s="39" t="n">
        <f aca="false">(('Business Case'!D11*$C346*'Business Case'!D12*$B346)-'Business Case'!D11*$C346*'Business Case'!D13*$D346-'Business Case'!D14*$E346)-MAX(0,(('Business Case'!D11*$C346*'Business Case'!D12*$B346)-'Business Case'!D11*$C346*'Business Case'!D13*$D346-'Business Case'!D14*$E346))*'Business Case'!$B$7-'Business Case'!$B$8*(('Business Case'!D11*$C346*'Business Case'!D12*$B346)-('Business Case'!C11*$C346*'Business Case'!C12*$B346))-'Business Case'!D15*$F346</f>
        <v>181911831.284874</v>
      </c>
      <c r="K346" s="39" t="n">
        <f aca="false">(('Business Case'!E11*$C346*'Business Case'!E12*$B346)-'Business Case'!E11*$C346*'Business Case'!E13*$D346-'Business Case'!E14*$E346)-MAX(0,(('Business Case'!E11*$C346*'Business Case'!E12*$B346)-'Business Case'!E11*$C346*'Business Case'!E13*$D346-'Business Case'!E14*$E346))*'Business Case'!$B$7-'Business Case'!$B$8*(('Business Case'!E11*$C346*'Business Case'!E12*$B346)-('Business Case'!D11*$C346*'Business Case'!D12*$B346))-'Business Case'!E15*$F346</f>
        <v>475810349.918191</v>
      </c>
      <c r="L346" s="39" t="n">
        <f aca="false">(('Business Case'!F11*$C346*'Business Case'!F12*$B346)-'Business Case'!F11*$C346*'Business Case'!F13*$D346-'Business Case'!F14*$E346)-MAX(0,(('Business Case'!F11*$C346*'Business Case'!F12*$B346)-'Business Case'!F11*$C346*'Business Case'!F13*$D346-'Business Case'!F14*$E346))*'Business Case'!$B$7-'Business Case'!$B$8*(('Business Case'!F11*$C346*'Business Case'!F12*$B346)-('Business Case'!E11*$C346*'Business Case'!E12*$B346))-'Business Case'!F15*$F346</f>
        <v>584646634.979282</v>
      </c>
      <c r="M346" s="39" t="n">
        <f aca="false">(('Business Case'!G11*$C346*'Business Case'!G12*$B346)-'Business Case'!G11*$C346*'Business Case'!G13*$D346-'Business Case'!G14*$E346)-MAX(0,(('Business Case'!G11*$C346*'Business Case'!G12*$B346)-'Business Case'!G11*$C346*'Business Case'!G13*$D346-'Business Case'!G14*$E346))*'Business Case'!$B$7-'Business Case'!$B$8*(('Business Case'!G11*$C346*'Business Case'!G12*$B346)-('Business Case'!F11*$C346*'Business Case'!F12*$B346))-'Business Case'!G15*$F346+'Business Case'!$B$8*('Business Case'!G11*$C346*'Business Case'!G12*$B346)</f>
        <v>744820567.215772</v>
      </c>
      <c r="N346" s="39" t="n">
        <f aca="false">IF(COUNT('Business Case'!B11:G11)=0,"",H346+NPV(G346,I346:M346))</f>
        <v>-881029935.318402</v>
      </c>
      <c r="P346" s="40" t="n">
        <f aca="true">RAND()</f>
        <v>0.044119753157126</v>
      </c>
      <c r="Q346" s="40" t="n">
        <f aca="true">RAND()</f>
        <v>0.131382939754226</v>
      </c>
      <c r="R346" s="40" t="n">
        <f aca="true">RAND()</f>
        <v>0.172677292296035</v>
      </c>
      <c r="S346" s="40" t="n">
        <f aca="true">RAND()</f>
        <v>0.421388688143249</v>
      </c>
      <c r="T346" s="40" t="n">
        <f aca="true">RAND()</f>
        <v>0.780109657556131</v>
      </c>
      <c r="U346" s="40" t="n">
        <f aca="true">RAND()</f>
        <v>0.445478620491426</v>
      </c>
    </row>
    <row r="347" customFormat="false" ht="15" hidden="false" customHeight="false" outlineLevel="0" collapsed="false">
      <c r="A347" s="36" t="n">
        <v>267</v>
      </c>
      <c r="B347" s="37" t="n">
        <f aca="false">1+IF($G$6=$E$6,$F$6,IF(P347&lt;($F$6-$E$6)/($G$6-$E$6),$E$6+SQRT(P347*($G$6-$E$6)*($F$6-$E$6)),$G$6-SQRT((1-P347)*($G$6-$E$6)*($G$6-$F$6))))</f>
        <v>1.023247544739</v>
      </c>
      <c r="C347" s="37" t="n">
        <f aca="false">1+IF($G$7=$E$7,$F$7,IF(Q347&lt;($F$7-$E$7)/($G$7-$E$7),$E$7+SQRT(Q347*($G$7-$E$7)*($F$7-$E$7)),$G$7-SQRT((1-Q347)*($G$7-$E$7)*($G$7-$F$7))))</f>
        <v>1.13193486764332</v>
      </c>
      <c r="D347" s="37" t="n">
        <f aca="false">1+IF($G$8=$E$8,$F$8,IF(R347&lt;($F$8-$E$8)/($G$8-$E$8),$E$8+SQRT(R347*($G$8-$E$8)*($F$8-$E$8)),$G$8-SQRT((1-R347)*($G$8-$E$8)*($G$8-$F$8))))</f>
        <v>1.00919761057764</v>
      </c>
      <c r="E347" s="37" t="n">
        <f aca="false">1+IF($G$9=$E$9,$F$9,IF(S347&lt;($F$9-$E$9)/($G$9-$E$9),$E$9+SQRT(S347*($G$9-$E$9)*($F$9-$E$9)),$G$9-SQRT((1-S347)*($G$9-$E$9)*($G$9-$F$9))))</f>
        <v>0.986264939129778</v>
      </c>
      <c r="F347" s="37" t="n">
        <f aca="false">1+IF($G$10=$E$10,$F$10,IF(T347&lt;($F$10-$E$10)/($G$10-$E$10),$E$10+SQRT(T347*($G$10-$E$10)*($F$10-$E$10)),$G$10-SQRT((1-T347)*($G$10-$E$10)*($G$10-$F$10))))</f>
        <v>1.01165230184291</v>
      </c>
      <c r="G347" s="38" t="n">
        <f aca="false">IF($G$11=$E$11,$F$11,IF(U347&lt;($F$11-$E$11)/($G$11-$E$11),$E$11+SQRT(U347*($G$11-$E$11)*($F$11-$E$11)),$G$11-SQRT((1-U347)*($G$11-$E$11)*($G$11-$F$11))))</f>
        <v>0.118323419111517</v>
      </c>
      <c r="H347" s="39" t="n">
        <f aca="false">(('Business Case'!B11*$C347*'Business Case'!B12*$B347)-'Business Case'!B11*$C347*'Business Case'!B13*$D347-'Business Case'!B14*$E347)-MAX(0,(('Business Case'!B11*$C347*'Business Case'!B12*$B347)-'Business Case'!B11*$C347*'Business Case'!B13*$D347-'Business Case'!B14*$E347))*'Business Case'!$B$7-'Business Case'!$B$8*('Business Case'!B11*$C347*'Business Case'!B12*$B347)-'Business Case'!B15*$F347</f>
        <v>-2023304603.68581</v>
      </c>
      <c r="I347" s="39" t="n">
        <f aca="false">(('Business Case'!C11*$C347*'Business Case'!C12*$B347)-'Business Case'!C11*$C347*'Business Case'!C13*$D347-'Business Case'!C14*$E347)-MAX(0,(('Business Case'!C11*$C347*'Business Case'!C12*$B347)-'Business Case'!C11*$C347*'Business Case'!C13*$D347-'Business Case'!C14*$E347))*'Business Case'!$B$7-'Business Case'!$B$8*(('Business Case'!C11*$C347*'Business Case'!C12*$B347)-('Business Case'!B11*$C347*'Business Case'!B12*$B347))-'Business Case'!C15*$F347</f>
        <v>62444286.9575229</v>
      </c>
      <c r="J347" s="39" t="n">
        <f aca="false">(('Business Case'!D11*$C347*'Business Case'!D12*$B347)-'Business Case'!D11*$C347*'Business Case'!D13*$D347-'Business Case'!D14*$E347)-MAX(0,(('Business Case'!D11*$C347*'Business Case'!D12*$B347)-'Business Case'!D11*$C347*'Business Case'!D13*$D347-'Business Case'!D14*$E347))*'Business Case'!$B$7-'Business Case'!$B$8*(('Business Case'!D11*$C347*'Business Case'!D12*$B347)-('Business Case'!C11*$C347*'Business Case'!C12*$B347))-'Business Case'!D15*$F347</f>
        <v>426344336.365997</v>
      </c>
      <c r="K347" s="39" t="n">
        <f aca="false">(('Business Case'!E11*$C347*'Business Case'!E12*$B347)-'Business Case'!E11*$C347*'Business Case'!E13*$D347-'Business Case'!E14*$E347)-MAX(0,(('Business Case'!E11*$C347*'Business Case'!E12*$B347)-'Business Case'!E11*$C347*'Business Case'!E13*$D347-'Business Case'!E14*$E347))*'Business Case'!$B$7-'Business Case'!$B$8*(('Business Case'!E11*$C347*'Business Case'!E12*$B347)-('Business Case'!D11*$C347*'Business Case'!D12*$B347))-'Business Case'!E15*$F347</f>
        <v>840827000.866616</v>
      </c>
      <c r="L347" s="39" t="n">
        <f aca="false">(('Business Case'!F11*$C347*'Business Case'!F12*$B347)-'Business Case'!F11*$C347*'Business Case'!F13*$D347-'Business Case'!F14*$E347)-MAX(0,(('Business Case'!F11*$C347*'Business Case'!F12*$B347)-'Business Case'!F11*$C347*'Business Case'!F13*$D347-'Business Case'!F14*$E347))*'Business Case'!$B$7-'Business Case'!$B$8*(('Business Case'!F11*$C347*'Business Case'!F12*$B347)-('Business Case'!E11*$C347*'Business Case'!E12*$B347))-'Business Case'!F15*$F347</f>
        <v>1002156122.61771</v>
      </c>
      <c r="M347" s="39" t="n">
        <f aca="false">(('Business Case'!G11*$C347*'Business Case'!G12*$B347)-'Business Case'!G11*$C347*'Business Case'!G13*$D347-'Business Case'!G14*$E347)-MAX(0,(('Business Case'!G11*$C347*'Business Case'!G12*$B347)-'Business Case'!G11*$C347*'Business Case'!G13*$D347-'Business Case'!G14*$E347))*'Business Case'!$B$7-'Business Case'!$B$8*(('Business Case'!G11*$C347*'Business Case'!G12*$B347)-('Business Case'!F11*$C347*'Business Case'!F12*$B347))-'Business Case'!G15*$F347+'Business Case'!$B$8*('Business Case'!G11*$C347*'Business Case'!G12*$B347)</f>
        <v>1222316201.66653</v>
      </c>
      <c r="N347" s="39" t="n">
        <f aca="false">IF(COUNT('Business Case'!B11:G11)=0,"",H347+NPV(G347,I347:M347))</f>
        <v>314117431.356409</v>
      </c>
      <c r="P347" s="40" t="n">
        <f aca="true">RAND()</f>
        <v>0.941532342235014</v>
      </c>
      <c r="Q347" s="40" t="n">
        <f aca="true">RAND()</f>
        <v>0.993783828436866</v>
      </c>
      <c r="R347" s="40" t="n">
        <f aca="true">RAND()</f>
        <v>0.517982851162009</v>
      </c>
      <c r="S347" s="40" t="n">
        <f aca="true">RAND()</f>
        <v>0.175352774678204</v>
      </c>
      <c r="T347" s="40" t="n">
        <f aca="true">RAND()</f>
        <v>0.290502891978486</v>
      </c>
      <c r="U347" s="40" t="n">
        <f aca="true">RAND()</f>
        <v>0.995315127540621</v>
      </c>
    </row>
    <row r="348" customFormat="false" ht="15" hidden="false" customHeight="false" outlineLevel="0" collapsed="false">
      <c r="A348" s="36" t="n">
        <v>268</v>
      </c>
      <c r="B348" s="37" t="n">
        <f aca="false">1+IF($G$6=$E$6,$F$6,IF(P348&lt;($F$6-$E$6)/($G$6-$E$6),$E$6+SQRT(P348*($G$6-$E$6)*($F$6-$E$6)),$G$6-SQRT((1-P348)*($G$6-$E$6)*($G$6-$F$6))))</f>
        <v>0.97961569950126</v>
      </c>
      <c r="C348" s="37" t="n">
        <f aca="false">1+IF($G$7=$E$7,$F$7,IF(Q348&lt;($F$7-$E$7)/($G$7-$E$7),$E$7+SQRT(Q348*($G$7-$E$7)*($F$7-$E$7)),$G$7-SQRT((1-Q348)*($G$7-$E$7)*($G$7-$F$7))))</f>
        <v>1.10738149594712</v>
      </c>
      <c r="D348" s="37" t="n">
        <f aca="false">1+IF($G$8=$E$8,$F$8,IF(R348&lt;($F$8-$E$8)/($G$8-$E$8),$E$8+SQRT(R348*($G$8-$E$8)*($F$8-$E$8)),$G$8-SQRT((1-R348)*($G$8-$E$8)*($G$8-$F$8))))</f>
        <v>0.991832240568362</v>
      </c>
      <c r="E348" s="37" t="n">
        <f aca="false">1+IF($G$9=$E$9,$F$9,IF(S348&lt;($F$9-$E$9)/($G$9-$E$9),$E$9+SQRT(S348*($G$9-$E$9)*($F$9-$E$9)),$G$9-SQRT((1-S348)*($G$9-$E$9)*($G$9-$F$9))))</f>
        <v>1.0325788893067</v>
      </c>
      <c r="F348" s="37" t="n">
        <f aca="false">1+IF($G$10=$E$10,$F$10,IF(T348&lt;($F$10-$E$10)/($G$10-$E$10),$E$10+SQRT(T348*($G$10-$E$10)*($F$10-$E$10)),$G$10-SQRT((1-T348)*($G$10-$E$10)*($G$10-$F$10))))</f>
        <v>1.04433864488139</v>
      </c>
      <c r="G348" s="38" t="n">
        <f aca="false">IF($G$11=$E$11,$F$11,IF(U348&lt;($F$11-$E$11)/($G$11-$E$11),$E$11+SQRT(U348*($G$11-$E$11)*($F$11-$E$11)),$G$11-SQRT((1-U348)*($G$11-$E$11)*($G$11-$F$11))))</f>
        <v>0.0968998580921061</v>
      </c>
      <c r="H348" s="39" t="n">
        <f aca="false">(('Business Case'!B11*$C348*'Business Case'!B12*$B348)-'Business Case'!B11*$C348*'Business Case'!B13*$D348-'Business Case'!B14*$E348)-MAX(0,(('Business Case'!B11*$C348*'Business Case'!B12*$B348)-'Business Case'!B11*$C348*'Business Case'!B13*$D348-'Business Case'!B14*$E348))*'Business Case'!$B$7-'Business Case'!$B$8*('Business Case'!B11*$C348*'Business Case'!B12*$B348)-'Business Case'!B15*$F348</f>
        <v>-2088677289.76278</v>
      </c>
      <c r="I348" s="39" t="n">
        <f aca="false">(('Business Case'!C11*$C348*'Business Case'!C12*$B348)-'Business Case'!C11*$C348*'Business Case'!C13*$D348-'Business Case'!C14*$E348)-MAX(0,(('Business Case'!C11*$C348*'Business Case'!C12*$B348)-'Business Case'!C11*$C348*'Business Case'!C13*$D348-'Business Case'!C14*$E348))*'Business Case'!$B$7-'Business Case'!$B$8*(('Business Case'!C11*$C348*'Business Case'!C12*$B348)-('Business Case'!B11*$C348*'Business Case'!B12*$B348))-'Business Case'!C15*$F348</f>
        <v>18772549.8776088</v>
      </c>
      <c r="J348" s="39" t="n">
        <f aca="false">(('Business Case'!D11*$C348*'Business Case'!D12*$B348)-'Business Case'!D11*$C348*'Business Case'!D13*$D348-'Business Case'!D14*$E348)-MAX(0,(('Business Case'!D11*$C348*'Business Case'!D12*$B348)-'Business Case'!D11*$C348*'Business Case'!D13*$D348-'Business Case'!D14*$E348))*'Business Case'!$B$7-'Business Case'!$B$8*(('Business Case'!D11*$C348*'Business Case'!D12*$B348)-('Business Case'!C11*$C348*'Business Case'!C12*$B348))-'Business Case'!D15*$F348</f>
        <v>345048144.510851</v>
      </c>
      <c r="K348" s="39" t="n">
        <f aca="false">(('Business Case'!E11*$C348*'Business Case'!E12*$B348)-'Business Case'!E11*$C348*'Business Case'!E13*$D348-'Business Case'!E14*$E348)-MAX(0,(('Business Case'!E11*$C348*'Business Case'!E12*$B348)-'Business Case'!E11*$C348*'Business Case'!E13*$D348-'Business Case'!E14*$E348))*'Business Case'!$B$7-'Business Case'!$B$8*(('Business Case'!E11*$C348*'Business Case'!E12*$B348)-('Business Case'!D11*$C348*'Business Case'!D12*$B348))-'Business Case'!E15*$F348</f>
        <v>723540671.388162</v>
      </c>
      <c r="L348" s="39" t="n">
        <f aca="false">(('Business Case'!F11*$C348*'Business Case'!F12*$B348)-'Business Case'!F11*$C348*'Business Case'!F13*$D348-'Business Case'!F14*$E348)-MAX(0,(('Business Case'!F11*$C348*'Business Case'!F12*$B348)-'Business Case'!F11*$C348*'Business Case'!F13*$D348-'Business Case'!F14*$E348))*'Business Case'!$B$7-'Business Case'!$B$8*(('Business Case'!F11*$C348*'Business Case'!F12*$B348)-('Business Case'!E11*$C348*'Business Case'!E12*$B348))-'Business Case'!F15*$F348</f>
        <v>869790177.737963</v>
      </c>
      <c r="M348" s="39" t="n">
        <f aca="false">(('Business Case'!G11*$C348*'Business Case'!G12*$B348)-'Business Case'!G11*$C348*'Business Case'!G13*$D348-'Business Case'!G14*$E348)-MAX(0,(('Business Case'!G11*$C348*'Business Case'!G12*$B348)-'Business Case'!G11*$C348*'Business Case'!G13*$D348-'Business Case'!G14*$E348))*'Business Case'!$B$7-'Business Case'!$B$8*(('Business Case'!G11*$C348*'Business Case'!G12*$B348)-('Business Case'!F11*$C348*'Business Case'!F12*$B348))-'Business Case'!G15*$F348+'Business Case'!$B$8*('Business Case'!G11*$C348*'Business Case'!G12*$B348)</f>
        <v>1075990539.16759</v>
      </c>
      <c r="N348" s="39" t="n">
        <f aca="false">IF(COUNT('Business Case'!B11:G11)=0,"",H348+NPV(G348,I348:M348))</f>
        <v>41867117.2412748</v>
      </c>
      <c r="P348" s="40" t="n">
        <f aca="true">RAND()</f>
        <v>0.370211627815058</v>
      </c>
      <c r="Q348" s="40" t="n">
        <f aca="true">RAND()</f>
        <v>0.965403106900856</v>
      </c>
      <c r="R348" s="40" t="n">
        <f aca="true">RAND()</f>
        <v>0.269220977072199</v>
      </c>
      <c r="S348" s="40" t="n">
        <f aca="true">RAND()</f>
        <v>0.696959588858821</v>
      </c>
      <c r="T348" s="40" t="n">
        <f aca="true">RAND()</f>
        <v>0.515390850452745</v>
      </c>
      <c r="U348" s="40" t="n">
        <f aca="true">RAND()</f>
        <v>0.158693472304008</v>
      </c>
    </row>
    <row r="349" customFormat="false" ht="15" hidden="false" customHeight="false" outlineLevel="0" collapsed="false">
      <c r="A349" s="36" t="n">
        <v>269</v>
      </c>
      <c r="B349" s="37" t="n">
        <f aca="false">1+IF($G$6=$E$6,$F$6,IF(P349&lt;($F$6-$E$6)/($G$6-$E$6),$E$6+SQRT(P349*($G$6-$E$6)*($F$6-$E$6)),$G$6-SQRT((1-P349)*($G$6-$E$6)*($G$6-$F$6))))</f>
        <v>0.940997829659515</v>
      </c>
      <c r="C349" s="37" t="n">
        <f aca="false">1+IF($G$7=$E$7,$F$7,IF(Q349&lt;($F$7-$E$7)/($G$7-$E$7),$E$7+SQRT(Q349*($G$7-$E$7)*($F$7-$E$7)),$G$7-SQRT((1-Q349)*($G$7-$E$7)*($G$7-$F$7))))</f>
        <v>1.01837882640425</v>
      </c>
      <c r="D349" s="37" t="n">
        <f aca="false">1+IF($G$8=$E$8,$F$8,IF(R349&lt;($F$8-$E$8)/($G$8-$E$8),$E$8+SQRT(R349*($G$8-$E$8)*($F$8-$E$8)),$G$8-SQRT((1-R349)*($G$8-$E$8)*($G$8-$F$8))))</f>
        <v>0.990496138491829</v>
      </c>
      <c r="E349" s="37" t="n">
        <f aca="false">1+IF($G$9=$E$9,$F$9,IF(S349&lt;($F$9-$E$9)/($G$9-$E$9),$E$9+SQRT(S349*($G$9-$E$9)*($F$9-$E$9)),$G$9-SQRT((1-S349)*($G$9-$E$9)*($G$9-$F$9))))</f>
        <v>1.0901692950783</v>
      </c>
      <c r="F349" s="37" t="n">
        <f aca="false">1+IF($G$10=$E$10,$F$10,IF(T349&lt;($F$10-$E$10)/($G$10-$E$10),$E$10+SQRT(T349*($G$10-$E$10)*($F$10-$E$10)),$G$10-SQRT((1-T349)*($G$10-$E$10)*($G$10-$F$10))))</f>
        <v>1.00566263859508</v>
      </c>
      <c r="G349" s="38" t="n">
        <f aca="false">IF($G$11=$E$11,$F$11,IF(U349&lt;($F$11-$E$11)/($G$11-$E$11),$E$11+SQRT(U349*($G$11-$E$11)*($F$11-$E$11)),$G$11-SQRT((1-U349)*($G$11-$E$11)*($G$11-$F$11))))</f>
        <v>0.0969602640165144</v>
      </c>
      <c r="H349" s="39" t="n">
        <f aca="false">(('Business Case'!B11*$C349*'Business Case'!B12*$B349)-'Business Case'!B11*$C349*'Business Case'!B13*$D349-'Business Case'!B14*$E349)-MAX(0,(('Business Case'!B11*$C349*'Business Case'!B12*$B349)-'Business Case'!B11*$C349*'Business Case'!B13*$D349-'Business Case'!B14*$E349))*'Business Case'!$B$7-'Business Case'!$B$8*('Business Case'!B11*$C349*'Business Case'!B12*$B349)-'Business Case'!B15*$F349</f>
        <v>-2011325277.19016</v>
      </c>
      <c r="I349" s="39" t="n">
        <f aca="false">(('Business Case'!C11*$C349*'Business Case'!C12*$B349)-'Business Case'!C11*$C349*'Business Case'!C13*$D349-'Business Case'!C14*$E349)-MAX(0,(('Business Case'!C11*$C349*'Business Case'!C12*$B349)-'Business Case'!C11*$C349*'Business Case'!C13*$D349-'Business Case'!C14*$E349))*'Business Case'!$B$7-'Business Case'!$B$8*(('Business Case'!C11*$C349*'Business Case'!C12*$B349)-('Business Case'!B11*$C349*'Business Case'!B12*$B349))-'Business Case'!C15*$F349</f>
        <v>-36729701.2936858</v>
      </c>
      <c r="J349" s="39" t="n">
        <f aca="false">(('Business Case'!D11*$C349*'Business Case'!D12*$B349)-'Business Case'!D11*$C349*'Business Case'!D13*$D349-'Business Case'!D14*$E349)-MAX(0,(('Business Case'!D11*$C349*'Business Case'!D12*$B349)-'Business Case'!D11*$C349*'Business Case'!D13*$D349-'Business Case'!D14*$E349))*'Business Case'!$B$7-'Business Case'!$B$8*(('Business Case'!D11*$C349*'Business Case'!D12*$B349)-('Business Case'!C11*$C349*'Business Case'!C12*$B349))-'Business Case'!D15*$F349</f>
        <v>231806806.071519</v>
      </c>
      <c r="K349" s="39" t="n">
        <f aca="false">(('Business Case'!E11*$C349*'Business Case'!E12*$B349)-'Business Case'!E11*$C349*'Business Case'!E13*$D349-'Business Case'!E14*$E349)-MAX(0,(('Business Case'!E11*$C349*'Business Case'!E12*$B349)-'Business Case'!E11*$C349*'Business Case'!E13*$D349-'Business Case'!E14*$E349))*'Business Case'!$B$7-'Business Case'!$B$8*(('Business Case'!E11*$C349*'Business Case'!E12*$B349)-('Business Case'!D11*$C349*'Business Case'!D12*$B349))-'Business Case'!E15*$F349</f>
        <v>550626445.366478</v>
      </c>
      <c r="L349" s="39" t="n">
        <f aca="false">(('Business Case'!F11*$C349*'Business Case'!F12*$B349)-'Business Case'!F11*$C349*'Business Case'!F13*$D349-'Business Case'!F14*$E349)-MAX(0,(('Business Case'!F11*$C349*'Business Case'!F12*$B349)-'Business Case'!F11*$C349*'Business Case'!F13*$D349-'Business Case'!F14*$E349))*'Business Case'!$B$7-'Business Case'!$B$8*(('Business Case'!F11*$C349*'Business Case'!F12*$B349)-('Business Case'!E11*$C349*'Business Case'!E12*$B349))-'Business Case'!F15*$F349</f>
        <v>673257195.181046</v>
      </c>
      <c r="M349" s="39" t="n">
        <f aca="false">(('Business Case'!G11*$C349*'Business Case'!G12*$B349)-'Business Case'!G11*$C349*'Business Case'!G13*$D349-'Business Case'!G14*$E349)-MAX(0,(('Business Case'!G11*$C349*'Business Case'!G12*$B349)-'Business Case'!G11*$C349*'Business Case'!G13*$D349-'Business Case'!G14*$E349))*'Business Case'!$B$7-'Business Case'!$B$8*(('Business Case'!G11*$C349*'Business Case'!G12*$B349)-('Business Case'!F11*$C349*'Business Case'!F12*$B349))-'Business Case'!G15*$F349+'Business Case'!$B$8*('Business Case'!G11*$C349*'Business Case'!G12*$B349)</f>
        <v>855409388.991624</v>
      </c>
      <c r="N349" s="39" t="n">
        <f aca="false">IF(COUNT('Business Case'!B11:G11)=0,"",H349+NPV(G349,I349:M349))</f>
        <v>-431523026.022551</v>
      </c>
      <c r="P349" s="40" t="n">
        <f aca="true">RAND()</f>
        <v>0.0459280052510417</v>
      </c>
      <c r="Q349" s="40" t="n">
        <f aca="true">RAND()</f>
        <v>0.670016507833863</v>
      </c>
      <c r="R349" s="40" t="n">
        <f aca="true">RAND()</f>
        <v>0.252298035807603</v>
      </c>
      <c r="S349" s="40" t="n">
        <f aca="true">RAND()</f>
        <v>0.993557149382833</v>
      </c>
      <c r="T349" s="40" t="n">
        <f aca="true">RAND()</f>
        <v>0.244659799243453</v>
      </c>
      <c r="U349" s="40" t="n">
        <f aca="true">RAND()</f>
        <v>0.161484250598619</v>
      </c>
    </row>
    <row r="350" customFormat="false" ht="15" hidden="false" customHeight="false" outlineLevel="0" collapsed="false">
      <c r="A350" s="36" t="n">
        <v>270</v>
      </c>
      <c r="B350" s="37" t="n">
        <f aca="false">1+IF($G$6=$E$6,$F$6,IF(P350&lt;($F$6-$E$6)/($G$6-$E$6),$E$6+SQRT(P350*($G$6-$E$6)*($F$6-$E$6)),$G$6-SQRT((1-P350)*($G$6-$E$6)*($G$6-$F$6))))</f>
        <v>0.96088834345705</v>
      </c>
      <c r="C350" s="37" t="n">
        <f aca="false">1+IF($G$7=$E$7,$F$7,IF(Q350&lt;($F$7-$E$7)/($G$7-$E$7),$E$7+SQRT(Q350*($G$7-$E$7)*($F$7-$E$7)),$G$7-SQRT((1-Q350)*($G$7-$E$7)*($G$7-$F$7))))</f>
        <v>0.927150765152401</v>
      </c>
      <c r="D350" s="37" t="n">
        <f aca="false">1+IF($G$8=$E$8,$F$8,IF(R350&lt;($F$8-$E$8)/($G$8-$E$8),$E$8+SQRT(R350*($G$8-$E$8)*($F$8-$E$8)),$G$8-SQRT((1-R350)*($G$8-$E$8)*($G$8-$F$8))))</f>
        <v>0.989637313505339</v>
      </c>
      <c r="E350" s="37" t="n">
        <f aca="false">1+IF($G$9=$E$9,$F$9,IF(S350&lt;($F$9-$E$9)/($G$9-$E$9),$E$9+SQRT(S350*($G$9-$E$9)*($F$9-$E$9)),$G$9-SQRT((1-S350)*($G$9-$E$9)*($G$9-$F$9))))</f>
        <v>1.05376830493488</v>
      </c>
      <c r="F350" s="37" t="n">
        <f aca="false">1+IF($G$10=$E$10,$F$10,IF(T350&lt;($F$10-$E$10)/($G$10-$E$10),$E$10+SQRT(T350*($G$10-$E$10)*($F$10-$E$10)),$G$10-SQRT((1-T350)*($G$10-$E$10)*($G$10-$F$10))))</f>
        <v>1.05098035029312</v>
      </c>
      <c r="G350" s="38" t="n">
        <f aca="false">IF($G$11=$E$11,$F$11,IF(U350&lt;($F$11-$E$11)/($G$11-$E$11),$E$11+SQRT(U350*($G$11-$E$11)*($F$11-$E$11)),$G$11-SQRT((1-U350)*($G$11-$E$11)*($G$11-$F$11))))</f>
        <v>0.0992836527262244</v>
      </c>
      <c r="H350" s="39" t="n">
        <f aca="false">(('Business Case'!B11*$C350*'Business Case'!B12*$B350)-'Business Case'!B11*$C350*'Business Case'!B13*$D350-'Business Case'!B14*$E350)-MAX(0,(('Business Case'!B11*$C350*'Business Case'!B12*$B350)-'Business Case'!B11*$C350*'Business Case'!B13*$D350-'Business Case'!B14*$E350))*'Business Case'!$B$7-'Business Case'!$B$8*('Business Case'!B11*$C350*'Business Case'!B12*$B350)-'Business Case'!B15*$F350</f>
        <v>-2101960700.58624</v>
      </c>
      <c r="I350" s="39" t="n">
        <f aca="false">(('Business Case'!C11*$C350*'Business Case'!C12*$B350)-'Business Case'!C11*$C350*'Business Case'!C13*$D350-'Business Case'!C14*$E350)-MAX(0,(('Business Case'!C11*$C350*'Business Case'!C12*$B350)-'Business Case'!C11*$C350*'Business Case'!C13*$D350-'Business Case'!C14*$E350))*'Business Case'!$B$7-'Business Case'!$B$8*(('Business Case'!C11*$C350*'Business Case'!C12*$B350)-('Business Case'!B11*$C350*'Business Case'!B12*$B350))-'Business Case'!C15*$F350</f>
        <v>-41134436.2653436</v>
      </c>
      <c r="J350" s="39" t="n">
        <f aca="false">(('Business Case'!D11*$C350*'Business Case'!D12*$B350)-'Business Case'!D11*$C350*'Business Case'!D13*$D350-'Business Case'!D14*$E350)-MAX(0,(('Business Case'!D11*$C350*'Business Case'!D12*$B350)-'Business Case'!D11*$C350*'Business Case'!D13*$D350-'Business Case'!D14*$E350))*'Business Case'!$B$7-'Business Case'!$B$8*(('Business Case'!D11*$C350*'Business Case'!D12*$B350)-('Business Case'!C11*$C350*'Business Case'!C12*$B350))-'Business Case'!D15*$F350</f>
        <v>218858668.191143</v>
      </c>
      <c r="K350" s="39" t="n">
        <f aca="false">(('Business Case'!E11*$C350*'Business Case'!E12*$B350)-'Business Case'!E11*$C350*'Business Case'!E13*$D350-'Business Case'!E14*$E350)-MAX(0,(('Business Case'!E11*$C350*'Business Case'!E12*$B350)-'Business Case'!E11*$C350*'Business Case'!E13*$D350-'Business Case'!E14*$E350))*'Business Case'!$B$7-'Business Case'!$B$8*(('Business Case'!E11*$C350*'Business Case'!E12*$B350)-('Business Case'!D11*$C350*'Business Case'!D12*$B350))-'Business Case'!E15*$F350</f>
        <v>531400790.162285</v>
      </c>
      <c r="L350" s="39" t="n">
        <f aca="false">(('Business Case'!F11*$C350*'Business Case'!F12*$B350)-'Business Case'!F11*$C350*'Business Case'!F13*$D350-'Business Case'!F14*$E350)-MAX(0,(('Business Case'!F11*$C350*'Business Case'!F12*$B350)-'Business Case'!F11*$C350*'Business Case'!F13*$D350-'Business Case'!F14*$E350))*'Business Case'!$B$7-'Business Case'!$B$8*(('Business Case'!F11*$C350*'Business Case'!F12*$B350)-('Business Case'!E11*$C350*'Business Case'!E12*$B350))-'Business Case'!F15*$F350</f>
        <v>648854260.134966</v>
      </c>
      <c r="M350" s="39" t="n">
        <f aca="false">(('Business Case'!G11*$C350*'Business Case'!G12*$B350)-'Business Case'!G11*$C350*'Business Case'!G13*$D350-'Business Case'!G14*$E350)-MAX(0,(('Business Case'!G11*$C350*'Business Case'!G12*$B350)-'Business Case'!G11*$C350*'Business Case'!G13*$D350-'Business Case'!G14*$E350))*'Business Case'!$B$7-'Business Case'!$B$8*(('Business Case'!G11*$C350*'Business Case'!G12*$B350)-('Business Case'!F11*$C350*'Business Case'!F12*$B350))-'Business Case'!G15*$F350+'Business Case'!$B$8*('Business Case'!G11*$C350*'Business Case'!G12*$B350)</f>
        <v>818194320.147818</v>
      </c>
      <c r="N350" s="39" t="n">
        <f aca="false">IF(COUNT('Business Case'!B11:G11)=0,"",H350+NPV(G350,I350:M350))</f>
        <v>-604214708.220265</v>
      </c>
      <c r="P350" s="40" t="n">
        <f aca="true">RAND()</f>
        <v>0.174151732360596</v>
      </c>
      <c r="Q350" s="40" t="n">
        <f aca="true">RAND()</f>
        <v>0.230961672554871</v>
      </c>
      <c r="R350" s="40" t="n">
        <f aca="true">RAND()</f>
        <v>0.241710249526238</v>
      </c>
      <c r="S350" s="40" t="n">
        <f aca="true">RAND()</f>
        <v>0.857508691427065</v>
      </c>
      <c r="T350" s="40" t="n">
        <f aca="true">RAND()</f>
        <v>0.555862880024769</v>
      </c>
      <c r="U350" s="40" t="n">
        <f aca="true">RAND()</f>
        <v>0.287287359803781</v>
      </c>
    </row>
    <row r="351" customFormat="false" ht="15" hidden="false" customHeight="false" outlineLevel="0" collapsed="false">
      <c r="A351" s="36" t="n">
        <v>271</v>
      </c>
      <c r="B351" s="37" t="n">
        <f aca="false">1+IF($G$6=$E$6,$F$6,IF(P351&lt;($F$6-$E$6)/($G$6-$E$6),$E$6+SQRT(P351*($G$6-$E$6)*($F$6-$E$6)),$G$6-SQRT((1-P351)*($G$6-$E$6)*($G$6-$F$6))))</f>
        <v>0.977116648842407</v>
      </c>
      <c r="C351" s="37" t="n">
        <f aca="false">1+IF($G$7=$E$7,$F$7,IF(Q351&lt;($F$7-$E$7)/($G$7-$E$7),$E$7+SQRT(Q351*($G$7-$E$7)*($F$7-$E$7)),$G$7-SQRT((1-Q351)*($G$7-$E$7)*($G$7-$F$7))))</f>
        <v>1.0492991934764</v>
      </c>
      <c r="D351" s="37" t="n">
        <f aca="false">1+IF($G$8=$E$8,$F$8,IF(R351&lt;($F$8-$E$8)/($G$8-$E$8),$E$8+SQRT(R351*($G$8-$E$8)*($F$8-$E$8)),$G$8-SQRT((1-R351)*($G$8-$E$8)*($G$8-$F$8))))</f>
        <v>1.00916748582098</v>
      </c>
      <c r="E351" s="37" t="n">
        <f aca="false">1+IF($G$9=$E$9,$F$9,IF(S351&lt;($F$9-$E$9)/($G$9-$E$9),$E$9+SQRT(S351*($G$9-$E$9)*($F$9-$E$9)),$G$9-SQRT((1-S351)*($G$9-$E$9)*($G$9-$F$9))))</f>
        <v>1.012082049395</v>
      </c>
      <c r="F351" s="37" t="n">
        <f aca="false">1+IF($G$10=$E$10,$F$10,IF(T351&lt;($F$10-$E$10)/($G$10-$E$10),$E$10+SQRT(T351*($G$10-$E$10)*($F$10-$E$10)),$G$10-SQRT((1-T351)*($G$10-$E$10)*($G$10-$F$10))))</f>
        <v>1.110062073936</v>
      </c>
      <c r="G351" s="38" t="n">
        <f aca="false">IF($G$11=$E$11,$F$11,IF(U351&lt;($F$11-$E$11)/($G$11-$E$11),$E$11+SQRT(U351*($G$11-$E$11)*($F$11-$E$11)),$G$11-SQRT((1-U351)*($G$11-$E$11)*($G$11-$F$11))))</f>
        <v>0.103153375680531</v>
      </c>
      <c r="H351" s="39" t="n">
        <f aca="false">(('Business Case'!B11*$C351*'Business Case'!B12*$B351)-'Business Case'!B11*$C351*'Business Case'!B13*$D351-'Business Case'!B14*$E351)-MAX(0,(('Business Case'!B11*$C351*'Business Case'!B12*$B351)-'Business Case'!B11*$C351*'Business Case'!B13*$D351-'Business Case'!B14*$E351))*'Business Case'!$B$7-'Business Case'!$B$8*('Business Case'!B11*$C351*'Business Case'!B12*$B351)-'Business Case'!B15*$F351</f>
        <v>-2220124147.872</v>
      </c>
      <c r="I351" s="39" t="n">
        <f aca="false">(('Business Case'!C11*$C351*'Business Case'!C12*$B351)-'Business Case'!C11*$C351*'Business Case'!C13*$D351-'Business Case'!C14*$E351)-MAX(0,(('Business Case'!C11*$C351*'Business Case'!C12*$B351)-'Business Case'!C11*$C351*'Business Case'!C13*$D351-'Business Case'!C14*$E351))*'Business Case'!$B$7-'Business Case'!$B$8*(('Business Case'!C11*$C351*'Business Case'!C12*$B351)-('Business Case'!B11*$C351*'Business Case'!B12*$B351))-'Business Case'!C15*$F351</f>
        <v>-10372357.8343135</v>
      </c>
      <c r="J351" s="39" t="n">
        <f aca="false">(('Business Case'!D11*$C351*'Business Case'!D12*$B351)-'Business Case'!D11*$C351*'Business Case'!D13*$D351-'Business Case'!D14*$E351)-MAX(0,(('Business Case'!D11*$C351*'Business Case'!D12*$B351)-'Business Case'!D11*$C351*'Business Case'!D13*$D351-'Business Case'!D14*$E351))*'Business Case'!$B$7-'Business Case'!$B$8*(('Business Case'!D11*$C351*'Business Case'!D12*$B351)-('Business Case'!C11*$C351*'Business Case'!C12*$B351))-'Business Case'!D15*$F351</f>
        <v>287330474.116353</v>
      </c>
      <c r="K351" s="39" t="n">
        <f aca="false">(('Business Case'!E11*$C351*'Business Case'!E12*$B351)-'Business Case'!E11*$C351*'Business Case'!E13*$D351-'Business Case'!E14*$E351)-MAX(0,(('Business Case'!E11*$C351*'Business Case'!E12*$B351)-'Business Case'!E11*$C351*'Business Case'!E13*$D351-'Business Case'!E14*$E351))*'Business Case'!$B$7-'Business Case'!$B$8*(('Business Case'!E11*$C351*'Business Case'!E12*$B351)-('Business Case'!D11*$C351*'Business Case'!D12*$B351))-'Business Case'!E15*$F351</f>
        <v>640536409.76382</v>
      </c>
      <c r="L351" s="39" t="n">
        <f aca="false">(('Business Case'!F11*$C351*'Business Case'!F12*$B351)-'Business Case'!F11*$C351*'Business Case'!F13*$D351-'Business Case'!F14*$E351)-MAX(0,(('Business Case'!F11*$C351*'Business Case'!F12*$B351)-'Business Case'!F11*$C351*'Business Case'!F13*$D351-'Business Case'!F14*$E351))*'Business Case'!$B$7-'Business Case'!$B$8*(('Business Case'!F11*$C351*'Business Case'!F12*$B351)-('Business Case'!E11*$C351*'Business Case'!E12*$B351))-'Business Case'!F15*$F351</f>
        <v>775204630.392316</v>
      </c>
      <c r="M351" s="39" t="n">
        <f aca="false">(('Business Case'!G11*$C351*'Business Case'!G12*$B351)-'Business Case'!G11*$C351*'Business Case'!G13*$D351-'Business Case'!G14*$E351)-MAX(0,(('Business Case'!G11*$C351*'Business Case'!G12*$B351)-'Business Case'!G11*$C351*'Business Case'!G13*$D351-'Business Case'!G14*$E351))*'Business Case'!$B$7-'Business Case'!$B$8*(('Business Case'!G11*$C351*'Business Case'!G12*$B351)-('Business Case'!F11*$C351*'Business Case'!F12*$B351))-'Business Case'!G15*$F351+'Business Case'!$B$8*('Business Case'!G11*$C351*'Business Case'!G12*$B351)</f>
        <v>970091318.606154</v>
      </c>
      <c r="N351" s="39" t="n">
        <f aca="false">IF(COUNT('Business Case'!B11:G11)=0,"",H351+NPV(G351,I351:M351))</f>
        <v>-399052308.478438</v>
      </c>
      <c r="P351" s="40" t="n">
        <f aca="true">RAND()</f>
        <v>0.339824122394458</v>
      </c>
      <c r="Q351" s="40" t="n">
        <f aca="true">RAND()</f>
        <v>0.806844715533268</v>
      </c>
      <c r="R351" s="40" t="n">
        <f aca="true">RAND()</f>
        <v>0.517572589911402</v>
      </c>
      <c r="S351" s="40" t="n">
        <f aca="true">RAND()</f>
        <v>0.484695597427838</v>
      </c>
      <c r="T351" s="40" t="n">
        <f aca="true">RAND()</f>
        <v>0.838223389106129</v>
      </c>
      <c r="U351" s="40" t="n">
        <f aca="true">RAND()</f>
        <v>0.52698541506445</v>
      </c>
    </row>
    <row r="352" customFormat="false" ht="15" hidden="false" customHeight="false" outlineLevel="0" collapsed="false">
      <c r="A352" s="36" t="n">
        <v>272</v>
      </c>
      <c r="B352" s="37" t="n">
        <f aca="false">1+IF($G$6=$E$6,$F$6,IF(P352&lt;($F$6-$E$6)/($G$6-$E$6),$E$6+SQRT(P352*($G$6-$E$6)*($F$6-$E$6)),$G$6-SQRT((1-P352)*($G$6-$E$6)*($G$6-$F$6))))</f>
        <v>1.02882045819021</v>
      </c>
      <c r="C352" s="37" t="n">
        <f aca="false">1+IF($G$7=$E$7,$F$7,IF(Q352&lt;($F$7-$E$7)/($G$7-$E$7),$E$7+SQRT(Q352*($G$7-$E$7)*($F$7-$E$7)),$G$7-SQRT((1-Q352)*($G$7-$E$7)*($G$7-$F$7))))</f>
        <v>0.993426452382056</v>
      </c>
      <c r="D352" s="37" t="n">
        <f aca="false">1+IF($G$8=$E$8,$F$8,IF(R352&lt;($F$8-$E$8)/($G$8-$E$8),$E$8+SQRT(R352*($G$8-$E$8)*($F$8-$E$8)),$G$8-SQRT((1-R352)*($G$8-$E$8)*($G$8-$F$8))))</f>
        <v>1.03884128273234</v>
      </c>
      <c r="E352" s="37" t="n">
        <f aca="false">1+IF($G$9=$E$9,$F$9,IF(S352&lt;($F$9-$E$9)/($G$9-$E$9),$E$9+SQRT(S352*($G$9-$E$9)*($F$9-$E$9)),$G$9-SQRT((1-S352)*($G$9-$E$9)*($G$9-$F$9))))</f>
        <v>1.03297945485286</v>
      </c>
      <c r="F352" s="37" t="n">
        <f aca="false">1+IF($G$10=$E$10,$F$10,IF(T352&lt;($F$10-$E$10)/($G$10-$E$10),$E$10+SQRT(T352*($G$10-$E$10)*($F$10-$E$10)),$G$10-SQRT((1-T352)*($G$10-$E$10)*($G$10-$F$10))))</f>
        <v>0.971800982244408</v>
      </c>
      <c r="G352" s="38" t="n">
        <f aca="false">IF($G$11=$E$11,$F$11,IF(U352&lt;($F$11-$E$11)/($G$11-$E$11),$E$11+SQRT(U352*($G$11-$E$11)*($F$11-$E$11)),$G$11-SQRT((1-U352)*($G$11-$E$11)*($G$11-$F$11))))</f>
        <v>0.103795558073525</v>
      </c>
      <c r="H352" s="39" t="n">
        <f aca="false">(('Business Case'!B11*$C352*'Business Case'!B12*$B352)-'Business Case'!B11*$C352*'Business Case'!B13*$D352-'Business Case'!B14*$E352)-MAX(0,(('Business Case'!B11*$C352*'Business Case'!B12*$B352)-'Business Case'!B11*$C352*'Business Case'!B13*$D352-'Business Case'!B14*$E352))*'Business Case'!$B$7-'Business Case'!$B$8*('Business Case'!B11*$C352*'Business Case'!B12*$B352)-'Business Case'!B15*$F352</f>
        <v>-1943601964.48882</v>
      </c>
      <c r="I352" s="39" t="n">
        <f aca="false">(('Business Case'!C11*$C352*'Business Case'!C12*$B352)-'Business Case'!C11*$C352*'Business Case'!C13*$D352-'Business Case'!C14*$E352)-MAX(0,(('Business Case'!C11*$C352*'Business Case'!C12*$B352)-'Business Case'!C11*$C352*'Business Case'!C13*$D352-'Business Case'!C14*$E352))*'Business Case'!$B$7-'Business Case'!$B$8*(('Business Case'!C11*$C352*'Business Case'!C12*$B352)-('Business Case'!B11*$C352*'Business Case'!B12*$B352))-'Business Case'!C15*$F352</f>
        <v>11777617.8741039</v>
      </c>
      <c r="J352" s="39" t="n">
        <f aca="false">(('Business Case'!D11*$C352*'Business Case'!D12*$B352)-'Business Case'!D11*$C352*'Business Case'!D13*$D352-'Business Case'!D14*$E352)-MAX(0,(('Business Case'!D11*$C352*'Business Case'!D12*$B352)-'Business Case'!D11*$C352*'Business Case'!D13*$D352-'Business Case'!D14*$E352))*'Business Case'!$B$7-'Business Case'!$B$8*(('Business Case'!D11*$C352*'Business Case'!D12*$B352)-('Business Case'!C11*$C352*'Business Case'!C12*$B352))-'Business Case'!D15*$F352</f>
        <v>320608471.071193</v>
      </c>
      <c r="K352" s="39" t="n">
        <f aca="false">(('Business Case'!E11*$C352*'Business Case'!E12*$B352)-'Business Case'!E11*$C352*'Business Case'!E13*$D352-'Business Case'!E14*$E352)-MAX(0,(('Business Case'!E11*$C352*'Business Case'!E12*$B352)-'Business Case'!E11*$C352*'Business Case'!E13*$D352-'Business Case'!E14*$E352))*'Business Case'!$B$7-'Business Case'!$B$8*(('Business Case'!E11*$C352*'Business Case'!E12*$B352)-('Business Case'!D11*$C352*'Business Case'!D12*$B352))-'Business Case'!E15*$F352</f>
        <v>678029373.380503</v>
      </c>
      <c r="L352" s="39" t="n">
        <f aca="false">(('Business Case'!F11*$C352*'Business Case'!F12*$B352)-'Business Case'!F11*$C352*'Business Case'!F13*$D352-'Business Case'!F14*$E352)-MAX(0,(('Business Case'!F11*$C352*'Business Case'!F12*$B352)-'Business Case'!F11*$C352*'Business Case'!F13*$D352-'Business Case'!F14*$E352))*'Business Case'!$B$7-'Business Case'!$B$8*(('Business Case'!F11*$C352*'Business Case'!F12*$B352)-('Business Case'!E11*$C352*'Business Case'!E12*$B352))-'Business Case'!F15*$F352</f>
        <v>816295296.858512</v>
      </c>
      <c r="M352" s="39" t="n">
        <f aca="false">(('Business Case'!G11*$C352*'Business Case'!G12*$B352)-'Business Case'!G11*$C352*'Business Case'!G13*$D352-'Business Case'!G14*$E352)-MAX(0,(('Business Case'!G11*$C352*'Business Case'!G12*$B352)-'Business Case'!G11*$C352*'Business Case'!G13*$D352-'Business Case'!G14*$E352))*'Business Case'!$B$7-'Business Case'!$B$8*(('Business Case'!G11*$C352*'Business Case'!G12*$B352)-('Business Case'!F11*$C352*'Business Case'!F12*$B352))-'Business Case'!G15*$F352+'Business Case'!$B$8*('Business Case'!G11*$C352*'Business Case'!G12*$B352)</f>
        <v>1010567978.45956</v>
      </c>
      <c r="N352" s="39" t="n">
        <f aca="false">IF(COUNT('Business Case'!B11:G11)=0,"",H352+NPV(G352,I352:M352))</f>
        <v>1071291.04206371</v>
      </c>
      <c r="P352" s="40" t="n">
        <f aca="true">RAND()</f>
        <v>0.973962051025673</v>
      </c>
      <c r="Q352" s="40" t="n">
        <f aca="true">RAND()</f>
        <v>0.534482749730113</v>
      </c>
      <c r="R352" s="40" t="n">
        <f aca="true">RAND()</f>
        <v>0.837111537776968</v>
      </c>
      <c r="S352" s="40" t="n">
        <f aca="true">RAND()</f>
        <v>0.700549768545299</v>
      </c>
      <c r="T352" s="40" t="n">
        <f aca="true">RAND()</f>
        <v>0.0380226261456808</v>
      </c>
      <c r="U352" s="40" t="n">
        <f aca="true">RAND()</f>
        <v>0.562360103085809</v>
      </c>
    </row>
    <row r="353" customFormat="false" ht="15" hidden="false" customHeight="false" outlineLevel="0" collapsed="false">
      <c r="A353" s="36" t="n">
        <v>273</v>
      </c>
      <c r="B353" s="37" t="n">
        <f aca="false">1+IF($G$6=$E$6,$F$6,IF(P353&lt;($F$6-$E$6)/($G$6-$E$6),$E$6+SQRT(P353*($G$6-$E$6)*($F$6-$E$6)),$G$6-SQRT((1-P353)*($G$6-$E$6)*($G$6-$F$6))))</f>
        <v>0.989179556347446</v>
      </c>
      <c r="C353" s="37" t="n">
        <f aca="false">1+IF($G$7=$E$7,$F$7,IF(Q353&lt;($F$7-$E$7)/($G$7-$E$7),$E$7+SQRT(Q353*($G$7-$E$7)*($F$7-$E$7)),$G$7-SQRT((1-Q353)*($G$7-$E$7)*($G$7-$F$7))))</f>
        <v>1.00343995051777</v>
      </c>
      <c r="D353" s="37" t="n">
        <f aca="false">1+IF($G$8=$E$8,$F$8,IF(R353&lt;($F$8-$E$8)/($G$8-$E$8),$E$8+SQRT(R353*($G$8-$E$8)*($F$8-$E$8)),$G$8-SQRT((1-R353)*($G$8-$E$8)*($G$8-$F$8))))</f>
        <v>1.02485414543832</v>
      </c>
      <c r="E353" s="37" t="n">
        <f aca="false">1+IF($G$9=$E$9,$F$9,IF(S353&lt;($F$9-$E$9)/($G$9-$E$9),$E$9+SQRT(S353*($G$9-$E$9)*($F$9-$E$9)),$G$9-SQRT((1-S353)*($G$9-$E$9)*($G$9-$F$9))))</f>
        <v>0.975301847788595</v>
      </c>
      <c r="F353" s="37" t="n">
        <f aca="false">1+IF($G$10=$E$10,$F$10,IF(T353&lt;($F$10-$E$10)/($G$10-$E$10),$E$10+SQRT(T353*($G$10-$E$10)*($F$10-$E$10)),$G$10-SQRT((1-T353)*($G$10-$E$10)*($G$10-$F$10))))</f>
        <v>0.968779087774854</v>
      </c>
      <c r="G353" s="38" t="n">
        <f aca="false">IF($G$11=$E$11,$F$11,IF(U353&lt;($F$11-$E$11)/($G$11-$E$11),$E$11+SQRT(U353*($G$11-$E$11)*($F$11-$E$11)),$G$11-SQRT((1-U353)*($G$11-$E$11)*($G$11-$F$11))))</f>
        <v>0.0950487875111408</v>
      </c>
      <c r="H353" s="39" t="n">
        <f aca="false">(('Business Case'!B11*$C353*'Business Case'!B12*$B353)-'Business Case'!B11*$C353*'Business Case'!B13*$D353-'Business Case'!B14*$E353)-MAX(0,(('Business Case'!B11*$C353*'Business Case'!B12*$B353)-'Business Case'!B11*$C353*'Business Case'!B13*$D353-'Business Case'!B14*$E353))*'Business Case'!$B$7-'Business Case'!$B$8*('Business Case'!B11*$C353*'Business Case'!B12*$B353)-'Business Case'!B15*$F353</f>
        <v>-1937558175.54971</v>
      </c>
      <c r="I353" s="39" t="n">
        <f aca="false">(('Business Case'!C11*$C353*'Business Case'!C12*$B353)-'Business Case'!C11*$C353*'Business Case'!C13*$D353-'Business Case'!C14*$E353)-MAX(0,(('Business Case'!C11*$C353*'Business Case'!C12*$B353)-'Business Case'!C11*$C353*'Business Case'!C13*$D353-'Business Case'!C14*$E353))*'Business Case'!$B$7-'Business Case'!$B$8*(('Business Case'!C11*$C353*'Business Case'!C12*$B353)-('Business Case'!B11*$C353*'Business Case'!B12*$B353))-'Business Case'!C15*$F353</f>
        <v>-473021.032445043</v>
      </c>
      <c r="J353" s="39" t="n">
        <f aca="false">(('Business Case'!D11*$C353*'Business Case'!D12*$B353)-'Business Case'!D11*$C353*'Business Case'!D13*$D353-'Business Case'!D14*$E353)-MAX(0,(('Business Case'!D11*$C353*'Business Case'!D12*$B353)-'Business Case'!D11*$C353*'Business Case'!D13*$D353-'Business Case'!D14*$E353))*'Business Case'!$B$7-'Business Case'!$B$8*(('Business Case'!D11*$C353*'Business Case'!D12*$B353)-('Business Case'!C11*$C353*'Business Case'!C12*$B353))-'Business Case'!D15*$F353</f>
        <v>286075255.126394</v>
      </c>
      <c r="K353" s="39" t="n">
        <f aca="false">(('Business Case'!E11*$C353*'Business Case'!E12*$B353)-'Business Case'!E11*$C353*'Business Case'!E13*$D353-'Business Case'!E14*$E353)-MAX(0,(('Business Case'!E11*$C353*'Business Case'!E12*$B353)-'Business Case'!E11*$C353*'Business Case'!E13*$D353-'Business Case'!E14*$E353))*'Business Case'!$B$7-'Business Case'!$B$8*(('Business Case'!E11*$C353*'Business Case'!E12*$B353)-('Business Case'!D11*$C353*'Business Case'!D12*$B353))-'Business Case'!E15*$F353</f>
        <v>621062485.673975</v>
      </c>
      <c r="L353" s="39" t="n">
        <f aca="false">(('Business Case'!F11*$C353*'Business Case'!F12*$B353)-'Business Case'!F11*$C353*'Business Case'!F13*$D353-'Business Case'!F14*$E353)-MAX(0,(('Business Case'!F11*$C353*'Business Case'!F12*$B353)-'Business Case'!F11*$C353*'Business Case'!F13*$D353-'Business Case'!F14*$E353))*'Business Case'!$B$7-'Business Case'!$B$8*(('Business Case'!F11*$C353*'Business Case'!F12*$B353)-('Business Case'!E11*$C353*'Business Case'!E12*$B353))-'Business Case'!F15*$F353</f>
        <v>750882221.499095</v>
      </c>
      <c r="M353" s="39" t="n">
        <f aca="false">(('Business Case'!G11*$C353*'Business Case'!G12*$B353)-'Business Case'!G11*$C353*'Business Case'!G13*$D353-'Business Case'!G14*$E353)-MAX(0,(('Business Case'!G11*$C353*'Business Case'!G12*$B353)-'Business Case'!G11*$C353*'Business Case'!G13*$D353-'Business Case'!G14*$E353))*'Business Case'!$B$7-'Business Case'!$B$8*(('Business Case'!G11*$C353*'Business Case'!G12*$B353)-('Business Case'!F11*$C353*'Business Case'!F12*$B353))-'Business Case'!G15*$F353+'Business Case'!$B$8*('Business Case'!G11*$C353*'Business Case'!G12*$B353)</f>
        <v>939552262.24605</v>
      </c>
      <c r="N353" s="39" t="n">
        <f aca="false">IF(COUNT('Business Case'!B11:G11)=0,"",H353+NPV(G353,I353:M353))</f>
        <v>-107552138.313941</v>
      </c>
      <c r="P353" s="40" t="n">
        <f aca="true">RAND()</f>
        <v>0.498521980878064</v>
      </c>
      <c r="Q353" s="40" t="n">
        <f aca="true">RAND()</f>
        <v>0.590860036109824</v>
      </c>
      <c r="R353" s="40" t="n">
        <f aca="true">RAND()</f>
        <v>0.707589877371308</v>
      </c>
      <c r="S353" s="40" t="n">
        <f aca="true">RAND()</f>
        <v>0.0853578002022945</v>
      </c>
      <c r="T353" s="40" t="n">
        <f aca="true">RAND()</f>
        <v>0.0282123310124527</v>
      </c>
      <c r="U353" s="40" t="n">
        <f aca="true">RAND()</f>
        <v>0.0849675177755038</v>
      </c>
    </row>
    <row r="354" customFormat="false" ht="15" hidden="false" customHeight="false" outlineLevel="0" collapsed="false">
      <c r="A354" s="36" t="n">
        <v>274</v>
      </c>
      <c r="B354" s="37" t="n">
        <f aca="false">1+IF($G$6=$E$6,$F$6,IF(P354&lt;($F$6-$E$6)/($G$6-$E$6),$E$6+SQRT(P354*($G$6-$E$6)*($F$6-$E$6)),$G$6-SQRT((1-P354)*($G$6-$E$6)*($G$6-$F$6))))</f>
        <v>1.01167917196041</v>
      </c>
      <c r="C354" s="37" t="n">
        <f aca="false">1+IF($G$7=$E$7,$F$7,IF(Q354&lt;($F$7-$E$7)/($G$7-$E$7),$E$7+SQRT(Q354*($G$7-$E$7)*($F$7-$E$7)),$G$7-SQRT((1-Q354)*($G$7-$E$7)*($G$7-$F$7))))</f>
        <v>1.1080905826332</v>
      </c>
      <c r="D354" s="37" t="n">
        <f aca="false">1+IF($G$8=$E$8,$F$8,IF(R354&lt;($F$8-$E$8)/($G$8-$E$8),$E$8+SQRT(R354*($G$8-$E$8)*($F$8-$E$8)),$G$8-SQRT((1-R354)*($G$8-$E$8)*($G$8-$F$8))))</f>
        <v>1.0291831571692</v>
      </c>
      <c r="E354" s="37" t="n">
        <f aca="false">1+IF($G$9=$E$9,$F$9,IF(S354&lt;($F$9-$E$9)/($G$9-$E$9),$E$9+SQRT(S354*($G$9-$E$9)*($F$9-$E$9)),$G$9-SQRT((1-S354)*($G$9-$E$9)*($G$9-$F$9))))</f>
        <v>1.02250182935074</v>
      </c>
      <c r="F354" s="37" t="n">
        <f aca="false">1+IF($G$10=$E$10,$F$10,IF(T354&lt;($F$10-$E$10)/($G$10-$E$10),$E$10+SQRT(T354*($G$10-$E$10)*($F$10-$E$10)),$G$10-SQRT((1-T354)*($G$10-$E$10)*($G$10-$F$10))))</f>
        <v>1.05071641407204</v>
      </c>
      <c r="G354" s="38" t="n">
        <f aca="false">IF($G$11=$E$11,$F$11,IF(U354&lt;($F$11-$E$11)/($G$11-$E$11),$E$11+SQRT(U354*($G$11-$E$11)*($F$11-$E$11)),$G$11-SQRT((1-U354)*($G$11-$E$11)*($G$11-$F$11))))</f>
        <v>0.110074200515169</v>
      </c>
      <c r="H354" s="39" t="n">
        <f aca="false">(('Business Case'!B11*$C354*'Business Case'!B12*$B354)-'Business Case'!B11*$C354*'Business Case'!B13*$D354-'Business Case'!B14*$E354)-MAX(0,(('Business Case'!B11*$C354*'Business Case'!B12*$B354)-'Business Case'!B11*$C354*'Business Case'!B13*$D354-'Business Case'!B14*$E354))*'Business Case'!$B$7-'Business Case'!$B$8*('Business Case'!B11*$C354*'Business Case'!B12*$B354)-'Business Case'!B15*$F354</f>
        <v>-2101432828.14408</v>
      </c>
      <c r="I354" s="39" t="n">
        <f aca="false">(('Business Case'!C11*$C354*'Business Case'!C12*$B354)-'Business Case'!C11*$C354*'Business Case'!C13*$D354-'Business Case'!C14*$E354)-MAX(0,(('Business Case'!C11*$C354*'Business Case'!C12*$B354)-'Business Case'!C11*$C354*'Business Case'!C13*$D354-'Business Case'!C14*$E354))*'Business Case'!$B$7-'Business Case'!$B$8*(('Business Case'!C11*$C354*'Business Case'!C12*$B354)-('Business Case'!B11*$C354*'Business Case'!B12*$B354))-'Business Case'!C15*$F354</f>
        <v>25812361.1652249</v>
      </c>
      <c r="J354" s="39" t="n">
        <f aca="false">(('Business Case'!D11*$C354*'Business Case'!D12*$B354)-'Business Case'!D11*$C354*'Business Case'!D13*$D354-'Business Case'!D14*$E354)-MAX(0,(('Business Case'!D11*$C354*'Business Case'!D12*$B354)-'Business Case'!D11*$C354*'Business Case'!D13*$D354-'Business Case'!D14*$E354))*'Business Case'!$B$7-'Business Case'!$B$8*(('Business Case'!D11*$C354*'Business Case'!D12*$B354)-('Business Case'!C11*$C354*'Business Case'!C12*$B354))-'Business Case'!D15*$F354</f>
        <v>360210431.206199</v>
      </c>
      <c r="K354" s="39" t="n">
        <f aca="false">(('Business Case'!E11*$C354*'Business Case'!E12*$B354)-'Business Case'!E11*$C354*'Business Case'!E13*$D354-'Business Case'!E14*$E354)-MAX(0,(('Business Case'!E11*$C354*'Business Case'!E12*$B354)-'Business Case'!E11*$C354*'Business Case'!E13*$D354-'Business Case'!E14*$E354))*'Business Case'!$B$7-'Business Case'!$B$8*(('Business Case'!E11*$C354*'Business Case'!E12*$B354)-('Business Case'!D11*$C354*'Business Case'!D12*$B354))-'Business Case'!E15*$F354</f>
        <v>747144321.950775</v>
      </c>
      <c r="L354" s="39" t="n">
        <f aca="false">(('Business Case'!F11*$C354*'Business Case'!F12*$B354)-'Business Case'!F11*$C354*'Business Case'!F13*$D354-'Business Case'!F14*$E354)-MAX(0,(('Business Case'!F11*$C354*'Business Case'!F12*$B354)-'Business Case'!F11*$C354*'Business Case'!F13*$D354-'Business Case'!F14*$E354))*'Business Case'!$B$7-'Business Case'!$B$8*(('Business Case'!F11*$C354*'Business Case'!F12*$B354)-('Business Case'!E11*$C354*'Business Case'!E12*$B354))-'Business Case'!F15*$F354</f>
        <v>897353216.854346</v>
      </c>
      <c r="M354" s="39" t="n">
        <f aca="false">(('Business Case'!G11*$C354*'Business Case'!G12*$B354)-'Business Case'!G11*$C354*'Business Case'!G13*$D354-'Business Case'!G14*$E354)-MAX(0,(('Business Case'!G11*$C354*'Business Case'!G12*$B354)-'Business Case'!G11*$C354*'Business Case'!G13*$D354-'Business Case'!G14*$E354))*'Business Case'!$B$7-'Business Case'!$B$8*(('Business Case'!G11*$C354*'Business Case'!G12*$B354)-('Business Case'!F11*$C354*'Business Case'!F12*$B354))-'Business Case'!G15*$F354+'Business Case'!$B$8*('Business Case'!G11*$C354*'Business Case'!G12*$B354)</f>
        <v>1110439010.41554</v>
      </c>
      <c r="N354" s="39" t="n">
        <f aca="false">IF(COUNT('Business Case'!B11:G11)=0,"",H354+NPV(G354,I354:M354))</f>
        <v>10059345.5344219</v>
      </c>
      <c r="P354" s="40" t="n">
        <f aca="true">RAND()</f>
        <v>0.832902228990021</v>
      </c>
      <c r="Q354" s="40" t="n">
        <f aca="true">RAND()</f>
        <v>0.96654477592334</v>
      </c>
      <c r="R354" s="40" t="n">
        <f aca="true">RAND()</f>
        <v>0.75169696968362</v>
      </c>
      <c r="S354" s="40" t="n">
        <f aca="true">RAND()</f>
        <v>0.599602236401181</v>
      </c>
      <c r="T354" s="40" t="n">
        <f aca="true">RAND()</f>
        <v>0.554288219449798</v>
      </c>
      <c r="U354" s="40" t="n">
        <f aca="true">RAND()</f>
        <v>0.835797507644866</v>
      </c>
    </row>
    <row r="355" customFormat="false" ht="15" hidden="false" customHeight="false" outlineLevel="0" collapsed="false">
      <c r="A355" s="36" t="n">
        <v>275</v>
      </c>
      <c r="B355" s="37" t="n">
        <f aca="false">1+IF($G$6=$E$6,$F$6,IF(P355&lt;($F$6-$E$6)/($G$6-$E$6),$E$6+SQRT(P355*($G$6-$E$6)*($F$6-$E$6)),$G$6-SQRT((1-P355)*($G$6-$E$6)*($G$6-$F$6))))</f>
        <v>0.947772906772919</v>
      </c>
      <c r="C355" s="37" t="n">
        <f aca="false">1+IF($G$7=$E$7,$F$7,IF(Q355&lt;($F$7-$E$7)/($G$7-$E$7),$E$7+SQRT(Q355*($G$7-$E$7)*($F$7-$E$7)),$G$7-SQRT((1-Q355)*($G$7-$E$7)*($G$7-$F$7))))</f>
        <v>1.06225730915641</v>
      </c>
      <c r="D355" s="37" t="n">
        <f aca="false">1+IF($G$8=$E$8,$F$8,IF(R355&lt;($F$8-$E$8)/($G$8-$E$8),$E$8+SQRT(R355*($G$8-$E$8)*($F$8-$E$8)),$G$8-SQRT((1-R355)*($G$8-$E$8)*($G$8-$F$8))))</f>
        <v>0.998988703987561</v>
      </c>
      <c r="E355" s="37" t="n">
        <f aca="false">1+IF($G$9=$E$9,$F$9,IF(S355&lt;($F$9-$E$9)/($G$9-$E$9),$E$9+SQRT(S355*($G$9-$E$9)*($F$9-$E$9)),$G$9-SQRT((1-S355)*($G$9-$E$9)*($G$9-$F$9))))</f>
        <v>1.03261675073993</v>
      </c>
      <c r="F355" s="37" t="n">
        <f aca="false">1+IF($G$10=$E$10,$F$10,IF(T355&lt;($F$10-$E$10)/($G$10-$E$10),$E$10+SQRT(T355*($G$10-$E$10)*($F$10-$E$10)),$G$10-SQRT((1-T355)*($G$10-$E$10)*($G$10-$F$10))))</f>
        <v>0.979755820824398</v>
      </c>
      <c r="G355" s="38" t="n">
        <f aca="false">IF($G$11=$E$11,$F$11,IF(U355&lt;($F$11-$E$11)/($G$11-$E$11),$E$11+SQRT(U355*($G$11-$E$11)*($F$11-$E$11)),$G$11-SQRT((1-U355)*($G$11-$E$11)*($G$11-$F$11))))</f>
        <v>0.101215539980612</v>
      </c>
      <c r="H355" s="39" t="n">
        <f aca="false">(('Business Case'!B11*$C355*'Business Case'!B12*$B355)-'Business Case'!B11*$C355*'Business Case'!B13*$D355-'Business Case'!B14*$E355)-MAX(0,(('Business Case'!B11*$C355*'Business Case'!B12*$B355)-'Business Case'!B11*$C355*'Business Case'!B13*$D355-'Business Case'!B14*$E355))*'Business Case'!$B$7-'Business Case'!$B$8*('Business Case'!B11*$C355*'Business Case'!B12*$B355)-'Business Case'!B15*$F355</f>
        <v>-1959511641.6488</v>
      </c>
      <c r="I355" s="39" t="n">
        <f aca="false">(('Business Case'!C11*$C355*'Business Case'!C12*$B355)-'Business Case'!C11*$C355*'Business Case'!C13*$D355-'Business Case'!C14*$E355)-MAX(0,(('Business Case'!C11*$C355*'Business Case'!C12*$B355)-'Business Case'!C11*$C355*'Business Case'!C13*$D355-'Business Case'!C14*$E355))*'Business Case'!$B$7-'Business Case'!$B$8*(('Business Case'!C11*$C355*'Business Case'!C12*$B355)-('Business Case'!B11*$C355*'Business Case'!B12*$B355))-'Business Case'!C15*$F355</f>
        <v>-15621678.564401</v>
      </c>
      <c r="J355" s="39" t="n">
        <f aca="false">(('Business Case'!D11*$C355*'Business Case'!D12*$B355)-'Business Case'!D11*$C355*'Business Case'!D13*$D355-'Business Case'!D14*$E355)-MAX(0,(('Business Case'!D11*$C355*'Business Case'!D12*$B355)-'Business Case'!D11*$C355*'Business Case'!D13*$D355-'Business Case'!D14*$E355))*'Business Case'!$B$7-'Business Case'!$B$8*(('Business Case'!D11*$C355*'Business Case'!D12*$B355)-('Business Case'!C11*$C355*'Business Case'!C12*$B355))-'Business Case'!D15*$F355</f>
        <v>265761734.594511</v>
      </c>
      <c r="K355" s="39" t="n">
        <f aca="false">(('Business Case'!E11*$C355*'Business Case'!E12*$B355)-'Business Case'!E11*$C355*'Business Case'!E13*$D355-'Business Case'!E14*$E355)-MAX(0,(('Business Case'!E11*$C355*'Business Case'!E12*$B355)-'Business Case'!E11*$C355*'Business Case'!E13*$D355-'Business Case'!E14*$E355))*'Business Case'!$B$7-'Business Case'!$B$8*(('Business Case'!E11*$C355*'Business Case'!E12*$B355)-('Business Case'!D11*$C355*'Business Case'!D12*$B355))-'Business Case'!E15*$F355</f>
        <v>596132938.794642</v>
      </c>
      <c r="L355" s="39" t="n">
        <f aca="false">(('Business Case'!F11*$C355*'Business Case'!F12*$B355)-'Business Case'!F11*$C355*'Business Case'!F13*$D355-'Business Case'!F14*$E355)-MAX(0,(('Business Case'!F11*$C355*'Business Case'!F12*$B355)-'Business Case'!F11*$C355*'Business Case'!F13*$D355-'Business Case'!F14*$E355))*'Business Case'!$B$7-'Business Case'!$B$8*(('Business Case'!F11*$C355*'Business Case'!F12*$B355)-('Business Case'!E11*$C355*'Business Case'!E12*$B355))-'Business Case'!F15*$F355</f>
        <v>724721681.63805</v>
      </c>
      <c r="M355" s="39" t="n">
        <f aca="false">(('Business Case'!G11*$C355*'Business Case'!G12*$B355)-'Business Case'!G11*$C355*'Business Case'!G13*$D355-'Business Case'!G14*$E355)-MAX(0,(('Business Case'!G11*$C355*'Business Case'!G12*$B355)-'Business Case'!G11*$C355*'Business Case'!G13*$D355-'Business Case'!G14*$E355))*'Business Case'!$B$7-'Business Case'!$B$8*(('Business Case'!G11*$C355*'Business Case'!G12*$B355)-('Business Case'!F11*$C355*'Business Case'!F12*$B355))-'Business Case'!G15*$F355+'Business Case'!$B$8*('Business Case'!G11*$C355*'Business Case'!G12*$B355)</f>
        <v>916090176.485452</v>
      </c>
      <c r="N355" s="39" t="n">
        <f aca="false">IF(COUNT('Business Case'!B11:G11)=0,"",H355+NPV(G355,I355:M355))</f>
        <v>-249642087.936974</v>
      </c>
      <c r="P355" s="40" t="n">
        <f aca="true">RAND()</f>
        <v>0.080347328189294</v>
      </c>
      <c r="Q355" s="40" t="n">
        <f aca="true">RAND()</f>
        <v>0.853356575305271</v>
      </c>
      <c r="R355" s="40" t="n">
        <f aca="true">RAND()</f>
        <v>0.369214325904753</v>
      </c>
      <c r="S355" s="40" t="n">
        <f aca="true">RAND()</f>
        <v>0.69729984794367</v>
      </c>
      <c r="T355" s="40" t="n">
        <f aca="true">RAND()</f>
        <v>0.0708327098346936</v>
      </c>
      <c r="U355" s="40" t="n">
        <f aca="true">RAND()</f>
        <v>0.41190676963336</v>
      </c>
    </row>
    <row r="356" customFormat="false" ht="15" hidden="false" customHeight="false" outlineLevel="0" collapsed="false">
      <c r="A356" s="36" t="n">
        <v>276</v>
      </c>
      <c r="B356" s="37" t="n">
        <f aca="false">1+IF($G$6=$E$6,$F$6,IF(P356&lt;($F$6-$E$6)/($G$6-$E$6),$E$6+SQRT(P356*($G$6-$E$6)*($F$6-$E$6)),$G$6-SQRT((1-P356)*($G$6-$E$6)*($G$6-$F$6))))</f>
        <v>0.949754887964603</v>
      </c>
      <c r="C356" s="37" t="n">
        <f aca="false">1+IF($G$7=$E$7,$F$7,IF(Q356&lt;($F$7-$E$7)/($G$7-$E$7),$E$7+SQRT(Q356*($G$7-$E$7)*($F$7-$E$7)),$G$7-SQRT((1-Q356)*($G$7-$E$7)*($G$7-$F$7))))</f>
        <v>1.06477646774612</v>
      </c>
      <c r="D356" s="37" t="n">
        <f aca="false">1+IF($G$8=$E$8,$F$8,IF(R356&lt;($F$8-$E$8)/($G$8-$E$8),$E$8+SQRT(R356*($G$8-$E$8)*($F$8-$E$8)),$G$8-SQRT((1-R356)*($G$8-$E$8)*($G$8-$F$8))))</f>
        <v>1.02136435335198</v>
      </c>
      <c r="E356" s="37" t="n">
        <f aca="false">1+IF($G$9=$E$9,$F$9,IF(S356&lt;($F$9-$E$9)/($G$9-$E$9),$E$9+SQRT(S356*($G$9-$E$9)*($F$9-$E$9)),$G$9-SQRT((1-S356)*($G$9-$E$9)*($G$9-$F$9))))</f>
        <v>1.0049603252088</v>
      </c>
      <c r="F356" s="37" t="n">
        <f aca="false">1+IF($G$10=$E$10,$F$10,IF(T356&lt;($F$10-$E$10)/($G$10-$E$10),$E$10+SQRT(T356*($G$10-$E$10)*($F$10-$E$10)),$G$10-SQRT((1-T356)*($G$10-$E$10)*($G$10-$F$10))))</f>
        <v>1.09813846536893</v>
      </c>
      <c r="G356" s="38" t="n">
        <f aca="false">IF($G$11=$E$11,$F$11,IF(U356&lt;($F$11-$E$11)/($G$11-$E$11),$E$11+SQRT(U356*($G$11-$E$11)*($F$11-$E$11)),$G$11-SQRT((1-U356)*($G$11-$E$11)*($G$11-$F$11))))</f>
        <v>0.0992753773011205</v>
      </c>
      <c r="H356" s="39" t="n">
        <f aca="false">(('Business Case'!B11*$C356*'Business Case'!B12*$B356)-'Business Case'!B11*$C356*'Business Case'!B13*$D356-'Business Case'!B14*$E356)-MAX(0,(('Business Case'!B11*$C356*'Business Case'!B12*$B356)-'Business Case'!B11*$C356*'Business Case'!B13*$D356-'Business Case'!B14*$E356))*'Business Case'!$B$7-'Business Case'!$B$8*('Business Case'!B11*$C356*'Business Case'!B12*$B356)-'Business Case'!B15*$F356</f>
        <v>-2196276930.73787</v>
      </c>
      <c r="I356" s="39" t="n">
        <f aca="false">(('Business Case'!C11*$C356*'Business Case'!C12*$B356)-'Business Case'!C11*$C356*'Business Case'!C13*$D356-'Business Case'!C14*$E356)-MAX(0,(('Business Case'!C11*$C356*'Business Case'!C12*$B356)-'Business Case'!C11*$C356*'Business Case'!C13*$D356-'Business Case'!C14*$E356))*'Business Case'!$B$7-'Business Case'!$B$8*(('Business Case'!C11*$C356*'Business Case'!C12*$B356)-('Business Case'!B11*$C356*'Business Case'!B12*$B356))-'Business Case'!C15*$F356</f>
        <v>-33561053.3268664</v>
      </c>
      <c r="J356" s="39" t="n">
        <f aca="false">(('Business Case'!D11*$C356*'Business Case'!D12*$B356)-'Business Case'!D11*$C356*'Business Case'!D13*$D356-'Business Case'!D14*$E356)-MAX(0,(('Business Case'!D11*$C356*'Business Case'!D12*$B356)-'Business Case'!D11*$C356*'Business Case'!D13*$D356-'Business Case'!D14*$E356))*'Business Case'!$B$7-'Business Case'!$B$8*(('Business Case'!D11*$C356*'Business Case'!D12*$B356)-('Business Case'!C11*$C356*'Business Case'!C12*$B356))-'Business Case'!D15*$F356</f>
        <v>238021679.91432</v>
      </c>
      <c r="K356" s="39" t="n">
        <f aca="false">(('Business Case'!E11*$C356*'Business Case'!E12*$B356)-'Business Case'!E11*$C356*'Business Case'!E13*$D356-'Business Case'!E14*$E356)-MAX(0,(('Business Case'!E11*$C356*'Business Case'!E12*$B356)-'Business Case'!E11*$C356*'Business Case'!E13*$D356-'Business Case'!E14*$E356))*'Business Case'!$B$7-'Business Case'!$B$8*(('Business Case'!E11*$C356*'Business Case'!E12*$B356)-('Business Case'!D11*$C356*'Business Case'!D12*$B356))-'Business Case'!E15*$F356</f>
        <v>564511336.423952</v>
      </c>
      <c r="L356" s="39" t="n">
        <f aca="false">(('Business Case'!F11*$C356*'Business Case'!F12*$B356)-'Business Case'!F11*$C356*'Business Case'!F13*$D356-'Business Case'!F14*$E356)-MAX(0,(('Business Case'!F11*$C356*'Business Case'!F12*$B356)-'Business Case'!F11*$C356*'Business Case'!F13*$D356-'Business Case'!F14*$E356))*'Business Case'!$B$7-'Business Case'!$B$8*(('Business Case'!F11*$C356*'Business Case'!F12*$B356)-('Business Case'!E11*$C356*'Business Case'!E12*$B356))-'Business Case'!F15*$F356</f>
        <v>689988635.361993</v>
      </c>
      <c r="M356" s="39" t="n">
        <f aca="false">(('Business Case'!G11*$C356*'Business Case'!G12*$B356)-'Business Case'!G11*$C356*'Business Case'!G13*$D356-'Business Case'!G14*$E356)-MAX(0,(('Business Case'!G11*$C356*'Business Case'!G12*$B356)-'Business Case'!G11*$C356*'Business Case'!G13*$D356-'Business Case'!G14*$E356))*'Business Case'!$B$7-'Business Case'!$B$8*(('Business Case'!G11*$C356*'Business Case'!G12*$B356)-('Business Case'!F11*$C356*'Business Case'!F12*$B356))-'Business Case'!G15*$F356+'Business Case'!$B$8*('Business Case'!G11*$C356*'Business Case'!G12*$B356)</f>
        <v>882212101.912377</v>
      </c>
      <c r="N356" s="39" t="n">
        <f aca="false">IF(COUNT('Business Case'!B11:G11)=0,"",H356+NPV(G356,I356:M356))</f>
        <v>-582763029.57342</v>
      </c>
      <c r="P356" s="40" t="n">
        <f aca="true">RAND()</f>
        <v>0.0922243081027147</v>
      </c>
      <c r="Q356" s="40" t="n">
        <f aca="true">RAND()</f>
        <v>0.861656181908051</v>
      </c>
      <c r="R356" s="40" t="n">
        <f aca="true">RAND()</f>
        <v>0.669409705977746</v>
      </c>
      <c r="S356" s="40" t="n">
        <f aca="true">RAND()</f>
        <v>0.3978306810388</v>
      </c>
      <c r="T356" s="40" t="n">
        <f aca="true">RAND()</f>
        <v>0.792484555252078</v>
      </c>
      <c r="U356" s="40" t="n">
        <f aca="true">RAND()</f>
        <v>0.286775413593805</v>
      </c>
    </row>
    <row r="357" customFormat="false" ht="15" hidden="false" customHeight="false" outlineLevel="0" collapsed="false">
      <c r="A357" s="36" t="n">
        <v>277</v>
      </c>
      <c r="B357" s="37" t="n">
        <f aca="false">1+IF($G$6=$E$6,$F$6,IF(P357&lt;($F$6-$E$6)/($G$6-$E$6),$E$6+SQRT(P357*($G$6-$E$6)*($F$6-$E$6)),$G$6-SQRT((1-P357)*($G$6-$E$6)*($G$6-$F$6))))</f>
        <v>1.01550275458759</v>
      </c>
      <c r="C357" s="37" t="n">
        <f aca="false">1+IF($G$7=$E$7,$F$7,IF(Q357&lt;($F$7-$E$7)/($G$7-$E$7),$E$7+SQRT(Q357*($G$7-$E$7)*($F$7-$E$7)),$G$7-SQRT((1-Q357)*($G$7-$E$7)*($G$7-$F$7))))</f>
        <v>1.0080822574374</v>
      </c>
      <c r="D357" s="37" t="n">
        <f aca="false">1+IF($G$8=$E$8,$F$8,IF(R357&lt;($F$8-$E$8)/($G$8-$E$8),$E$8+SQRT(R357*($G$8-$E$8)*($F$8-$E$8)),$G$8-SQRT((1-R357)*($G$8-$E$8)*($G$8-$F$8))))</f>
        <v>1.00883432162238</v>
      </c>
      <c r="E357" s="37" t="n">
        <f aca="false">1+IF($G$9=$E$9,$F$9,IF(S357&lt;($F$9-$E$9)/($G$9-$E$9),$E$9+SQRT(S357*($G$9-$E$9)*($F$9-$E$9)),$G$9-SQRT((1-S357)*($G$9-$E$9)*($G$9-$F$9))))</f>
        <v>1.0397509005038</v>
      </c>
      <c r="F357" s="37" t="n">
        <f aca="false">1+IF($G$10=$E$10,$F$10,IF(T357&lt;($F$10-$E$10)/($G$10-$E$10),$E$10+SQRT(T357*($G$10-$E$10)*($F$10-$E$10)),$G$10-SQRT((1-T357)*($G$10-$E$10)*($G$10-$F$10))))</f>
        <v>1.06478524716962</v>
      </c>
      <c r="G357" s="38" t="n">
        <f aca="false">IF($G$11=$E$11,$F$11,IF(U357&lt;($F$11-$E$11)/($G$11-$E$11),$E$11+SQRT(U357*($G$11-$E$11)*($F$11-$E$11)),$G$11-SQRT((1-U357)*($G$11-$E$11)*($G$11-$F$11))))</f>
        <v>0.0937335180686107</v>
      </c>
      <c r="H357" s="39" t="n">
        <f aca="false">(('Business Case'!B11*$C357*'Business Case'!B12*$B357)-'Business Case'!B11*$C357*'Business Case'!B13*$D357-'Business Case'!B14*$E357)-MAX(0,(('Business Case'!B11*$C357*'Business Case'!B12*$B357)-'Business Case'!B11*$C357*'Business Case'!B13*$D357-'Business Case'!B14*$E357))*'Business Case'!$B$7-'Business Case'!$B$8*('Business Case'!B11*$C357*'Business Case'!B12*$B357)-'Business Case'!B15*$F357</f>
        <v>-2129570494.33925</v>
      </c>
      <c r="I357" s="39" t="n">
        <f aca="false">(('Business Case'!C11*$C357*'Business Case'!C12*$B357)-'Business Case'!C11*$C357*'Business Case'!C13*$D357-'Business Case'!C14*$E357)-MAX(0,(('Business Case'!C11*$C357*'Business Case'!C12*$B357)-'Business Case'!C11*$C357*'Business Case'!C13*$D357-'Business Case'!C14*$E357))*'Business Case'!$B$7-'Business Case'!$B$8*(('Business Case'!C11*$C357*'Business Case'!C12*$B357)-('Business Case'!B11*$C357*'Business Case'!B12*$B357))-'Business Case'!C15*$F357</f>
        <v>10475718.3536676</v>
      </c>
      <c r="J357" s="39" t="n">
        <f aca="false">(('Business Case'!D11*$C357*'Business Case'!D12*$B357)-'Business Case'!D11*$C357*'Business Case'!D13*$D357-'Business Case'!D14*$E357)-MAX(0,(('Business Case'!D11*$C357*'Business Case'!D12*$B357)-'Business Case'!D11*$C357*'Business Case'!D13*$D357-'Business Case'!D14*$E357))*'Business Case'!$B$7-'Business Case'!$B$8*(('Business Case'!D11*$C357*'Business Case'!D12*$B357)-('Business Case'!C11*$C357*'Business Case'!C12*$B357))-'Business Case'!D15*$F357</f>
        <v>328351681.908939</v>
      </c>
      <c r="K357" s="39" t="n">
        <f aca="false">(('Business Case'!E11*$C357*'Business Case'!E12*$B357)-'Business Case'!E11*$C357*'Business Case'!E13*$D357-'Business Case'!E14*$E357)-MAX(0,(('Business Case'!E11*$C357*'Business Case'!E12*$B357)-'Business Case'!E11*$C357*'Business Case'!E13*$D357-'Business Case'!E14*$E357))*'Business Case'!$B$7-'Business Case'!$B$8*(('Business Case'!E11*$C357*'Business Case'!E12*$B357)-('Business Case'!D11*$C357*'Business Case'!D12*$B357))-'Business Case'!E15*$F357</f>
        <v>699466907.822691</v>
      </c>
      <c r="L357" s="39" t="n">
        <f aca="false">(('Business Case'!F11*$C357*'Business Case'!F12*$B357)-'Business Case'!F11*$C357*'Business Case'!F13*$D357-'Business Case'!F14*$E357)-MAX(0,(('Business Case'!F11*$C357*'Business Case'!F12*$B357)-'Business Case'!F11*$C357*'Business Case'!F13*$D357-'Business Case'!F14*$E357))*'Business Case'!$B$7-'Business Case'!$B$8*(('Business Case'!F11*$C357*'Business Case'!F12*$B357)-('Business Case'!E11*$C357*'Business Case'!E12*$B357))-'Business Case'!F15*$F357</f>
        <v>840804990.629782</v>
      </c>
      <c r="M357" s="39" t="n">
        <f aca="false">(('Business Case'!G11*$C357*'Business Case'!G12*$B357)-'Business Case'!G11*$C357*'Business Case'!G13*$D357-'Business Case'!G14*$E357)-MAX(0,(('Business Case'!G11*$C357*'Business Case'!G12*$B357)-'Business Case'!G11*$C357*'Business Case'!G13*$D357-'Business Case'!G14*$E357))*'Business Case'!$B$7-'Business Case'!$B$8*(('Business Case'!G11*$C357*'Business Case'!G12*$B357)-('Business Case'!F11*$C357*'Business Case'!F12*$B357))-'Business Case'!G15*$F357+'Business Case'!$B$8*('Business Case'!G11*$C357*'Business Case'!G12*$B357)</f>
        <v>1035391846.21745</v>
      </c>
      <c r="N357" s="39" t="n">
        <f aca="false">IF(COUNT('Business Case'!B11:G11)=0,"",H357+NPV(G357,I357:M357))</f>
        <v>-61822346.8320305</v>
      </c>
      <c r="P357" s="40" t="n">
        <f aca="true">RAND()</f>
        <v>0.874976034834242</v>
      </c>
      <c r="Q357" s="40" t="n">
        <f aca="true">RAND()</f>
        <v>0.616368654208299</v>
      </c>
      <c r="R357" s="40" t="n">
        <f aca="true">RAND()</f>
        <v>0.513023675101212</v>
      </c>
      <c r="S357" s="40" t="n">
        <f aca="true">RAND()</f>
        <v>0.758003067326475</v>
      </c>
      <c r="T357" s="40" t="n">
        <f aca="true">RAND()</f>
        <v>0.634339412340404</v>
      </c>
      <c r="U357" s="40" t="n">
        <f aca="true">RAND()</f>
        <v>0.0464638572288079</v>
      </c>
    </row>
    <row r="358" customFormat="false" ht="15" hidden="false" customHeight="false" outlineLevel="0" collapsed="false">
      <c r="A358" s="36" t="n">
        <v>278</v>
      </c>
      <c r="B358" s="37" t="n">
        <f aca="false">1+IF($G$6=$E$6,$F$6,IF(P358&lt;($F$6-$E$6)/($G$6-$E$6),$E$6+SQRT(P358*($G$6-$E$6)*($F$6-$E$6)),$G$6-SQRT((1-P358)*($G$6-$E$6)*($G$6-$F$6))))</f>
        <v>0.977924357174723</v>
      </c>
      <c r="C358" s="37" t="n">
        <f aca="false">1+IF($G$7=$E$7,$F$7,IF(Q358&lt;($F$7-$E$7)/($G$7-$E$7),$E$7+SQRT(Q358*($G$7-$E$7)*($F$7-$E$7)),$G$7-SQRT((1-Q358)*($G$7-$E$7)*($G$7-$F$7))))</f>
        <v>0.951737482850224</v>
      </c>
      <c r="D358" s="37" t="n">
        <f aca="false">1+IF($G$8=$E$8,$F$8,IF(R358&lt;($F$8-$E$8)/($G$8-$E$8),$E$8+SQRT(R358*($G$8-$E$8)*($F$8-$E$8)),$G$8-SQRT((1-R358)*($G$8-$E$8)*($G$8-$F$8))))</f>
        <v>0.993875597408089</v>
      </c>
      <c r="E358" s="37" t="n">
        <f aca="false">1+IF($G$9=$E$9,$F$9,IF(S358&lt;($F$9-$E$9)/($G$9-$E$9),$E$9+SQRT(S358*($G$9-$E$9)*($F$9-$E$9)),$G$9-SQRT((1-S358)*($G$9-$E$9)*($G$9-$F$9))))</f>
        <v>1.07643343283227</v>
      </c>
      <c r="F358" s="37" t="n">
        <f aca="false">1+IF($G$10=$E$10,$F$10,IF(T358&lt;($F$10-$E$10)/($G$10-$E$10),$E$10+SQRT(T358*($G$10-$E$10)*($F$10-$E$10)),$G$10-SQRT((1-T358)*($G$10-$E$10)*($G$10-$F$10))))</f>
        <v>1.02153124263666</v>
      </c>
      <c r="G358" s="38" t="n">
        <f aca="false">IF($G$11=$E$11,$F$11,IF(U358&lt;($F$11-$E$11)/($G$11-$E$11),$E$11+SQRT(U358*($G$11-$E$11)*($F$11-$E$11)),$G$11-SQRT((1-U358)*($G$11-$E$11)*($G$11-$F$11))))</f>
        <v>0.10066460838457</v>
      </c>
      <c r="H358" s="39" t="n">
        <f aca="false">(('Business Case'!B11*$C358*'Business Case'!B12*$B358)-'Business Case'!B11*$C358*'Business Case'!B13*$D358-'Business Case'!B14*$E358)-MAX(0,(('Business Case'!B11*$C358*'Business Case'!B12*$B358)-'Business Case'!B11*$C358*'Business Case'!B13*$D358-'Business Case'!B14*$E358))*'Business Case'!$B$7-'Business Case'!$B$8*('Business Case'!B11*$C358*'Business Case'!B12*$B358)-'Business Case'!B15*$F358</f>
        <v>-2043062485.27331</v>
      </c>
      <c r="I358" s="39" t="n">
        <f aca="false">(('Business Case'!C11*$C358*'Business Case'!C12*$B358)-'Business Case'!C11*$C358*'Business Case'!C13*$D358-'Business Case'!C14*$E358)-MAX(0,(('Business Case'!C11*$C358*'Business Case'!C12*$B358)-'Business Case'!C11*$C358*'Business Case'!C13*$D358-'Business Case'!C14*$E358))*'Business Case'!$B$7-'Business Case'!$B$8*(('Business Case'!C11*$C358*'Business Case'!C12*$B358)-('Business Case'!B11*$C358*'Business Case'!B12*$B358))-'Business Case'!C15*$F358</f>
        <v>-25367777.4672599</v>
      </c>
      <c r="J358" s="39" t="n">
        <f aca="false">(('Business Case'!D11*$C358*'Business Case'!D12*$B358)-'Business Case'!D11*$C358*'Business Case'!D13*$D358-'Business Case'!D14*$E358)-MAX(0,(('Business Case'!D11*$C358*'Business Case'!D12*$B358)-'Business Case'!D11*$C358*'Business Case'!D13*$D358-'Business Case'!D14*$E358))*'Business Case'!$B$7-'Business Case'!$B$8*(('Business Case'!D11*$C358*'Business Case'!D12*$B358)-('Business Case'!C11*$C358*'Business Case'!C12*$B358))-'Business Case'!D15*$F358</f>
        <v>252735304.953316</v>
      </c>
      <c r="K358" s="39" t="n">
        <f aca="false">(('Business Case'!E11*$C358*'Business Case'!E12*$B358)-'Business Case'!E11*$C358*'Business Case'!E13*$D358-'Business Case'!E14*$E358)-MAX(0,(('Business Case'!E11*$C358*'Business Case'!E12*$B358)-'Business Case'!E11*$C358*'Business Case'!E13*$D358-'Business Case'!E14*$E358))*'Business Case'!$B$7-'Business Case'!$B$8*(('Business Case'!E11*$C358*'Business Case'!E12*$B358)-('Business Case'!D11*$C358*'Business Case'!D12*$B358))-'Business Case'!E15*$F358</f>
        <v>581914949.505726</v>
      </c>
      <c r="L358" s="39" t="n">
        <f aca="false">(('Business Case'!F11*$C358*'Business Case'!F12*$B358)-'Business Case'!F11*$C358*'Business Case'!F13*$D358-'Business Case'!F14*$E358)-MAX(0,(('Business Case'!F11*$C358*'Business Case'!F12*$B358)-'Business Case'!F11*$C358*'Business Case'!F13*$D358-'Business Case'!F14*$E358))*'Business Case'!$B$7-'Business Case'!$B$8*(('Business Case'!F11*$C358*'Business Case'!F12*$B358)-('Business Case'!E11*$C358*'Business Case'!E12*$B358))-'Business Case'!F15*$F358</f>
        <v>706781911.296199</v>
      </c>
      <c r="M358" s="39" t="n">
        <f aca="false">(('Business Case'!G11*$C358*'Business Case'!G12*$B358)-'Business Case'!G11*$C358*'Business Case'!G13*$D358-'Business Case'!G14*$E358)-MAX(0,(('Business Case'!G11*$C358*'Business Case'!G12*$B358)-'Business Case'!G11*$C358*'Business Case'!G13*$D358-'Business Case'!G14*$E358))*'Business Case'!$B$7-'Business Case'!$B$8*(('Business Case'!G11*$C358*'Business Case'!G12*$B358)-('Business Case'!F11*$C358*'Business Case'!F12*$B358))-'Business Case'!G15*$F358+'Business Case'!$B$8*('Business Case'!G11*$C358*'Business Case'!G12*$B358)</f>
        <v>883694550.039414</v>
      </c>
      <c r="N358" s="39" t="n">
        <f aca="false">IF(COUNT('Business Case'!B11:G11)=0,"",H358+NPV(G358,I358:M358))</f>
        <v>-392453550.055434</v>
      </c>
      <c r="P358" s="40" t="n">
        <f aca="true">RAND()</f>
        <v>0.349503245219262</v>
      </c>
      <c r="Q358" s="40" t="n">
        <f aca="true">RAND()</f>
        <v>0.328918052881745</v>
      </c>
      <c r="R358" s="40" t="n">
        <f aca="true">RAND()</f>
        <v>0.296164315064102</v>
      </c>
      <c r="S358" s="40" t="n">
        <f aca="true">RAND()</f>
        <v>0.962974460795254</v>
      </c>
      <c r="T358" s="40" t="n">
        <f aca="true">RAND()</f>
        <v>0.36297805290367</v>
      </c>
      <c r="U358" s="40" t="n">
        <f aca="true">RAND()</f>
        <v>0.376904385129958</v>
      </c>
    </row>
    <row r="359" customFormat="false" ht="15" hidden="false" customHeight="false" outlineLevel="0" collapsed="false">
      <c r="A359" s="36" t="n">
        <v>279</v>
      </c>
      <c r="B359" s="37" t="n">
        <f aca="false">1+IF($G$6=$E$6,$F$6,IF(P359&lt;($F$6-$E$6)/($G$6-$E$6),$E$6+SQRT(P359*($G$6-$E$6)*($F$6-$E$6)),$G$6-SQRT((1-P359)*($G$6-$E$6)*($G$6-$F$6))))</f>
        <v>0.976078549060639</v>
      </c>
      <c r="C359" s="37" t="n">
        <f aca="false">1+IF($G$7=$E$7,$F$7,IF(Q359&lt;($F$7-$E$7)/($G$7-$E$7),$E$7+SQRT(Q359*($G$7-$E$7)*($F$7-$E$7)),$G$7-SQRT((1-Q359)*($G$7-$E$7)*($G$7-$F$7))))</f>
        <v>0.95980915427988</v>
      </c>
      <c r="D359" s="37" t="n">
        <f aca="false">1+IF($G$8=$E$8,$F$8,IF(R359&lt;($F$8-$E$8)/($G$8-$E$8),$E$8+SQRT(R359*($G$8-$E$8)*($F$8-$E$8)),$G$8-SQRT((1-R359)*($G$8-$E$8)*($G$8-$F$8))))</f>
        <v>1.0271717825671</v>
      </c>
      <c r="E359" s="37" t="n">
        <f aca="false">1+IF($G$9=$E$9,$F$9,IF(S359&lt;($F$9-$E$9)/($G$9-$E$9),$E$9+SQRT(S359*($G$9-$E$9)*($F$9-$E$9)),$G$9-SQRT((1-S359)*($G$9-$E$9)*($G$9-$F$9))))</f>
        <v>1.01505134622316</v>
      </c>
      <c r="F359" s="37" t="n">
        <f aca="false">1+IF($G$10=$E$10,$F$10,IF(T359&lt;($F$10-$E$10)/($G$10-$E$10),$E$10+SQRT(T359*($G$10-$E$10)*($F$10-$E$10)),$G$10-SQRT((1-T359)*($G$10-$E$10)*($G$10-$F$10))))</f>
        <v>0.984368864883214</v>
      </c>
      <c r="G359" s="38" t="n">
        <f aca="false">IF($G$11=$E$11,$F$11,IF(U359&lt;($F$11-$E$11)/($G$11-$E$11),$E$11+SQRT(U359*($G$11-$E$11)*($F$11-$E$11)),$G$11-SQRT((1-U359)*($G$11-$E$11)*($G$11-$F$11))))</f>
        <v>0.105839405189834</v>
      </c>
      <c r="H359" s="39" t="n">
        <f aca="false">(('Business Case'!B11*$C359*'Business Case'!B12*$B359)-'Business Case'!B11*$C359*'Business Case'!B13*$D359-'Business Case'!B14*$E359)-MAX(0,(('Business Case'!B11*$C359*'Business Case'!B12*$B359)-'Business Case'!B11*$C359*'Business Case'!B13*$D359-'Business Case'!B14*$E359))*'Business Case'!$B$7-'Business Case'!$B$8*('Business Case'!B11*$C359*'Business Case'!B12*$B359)-'Business Case'!B15*$F359</f>
        <v>-1968737729.76643</v>
      </c>
      <c r="I359" s="39" t="n">
        <f aca="false">(('Business Case'!C11*$C359*'Business Case'!C12*$B359)-'Business Case'!C11*$C359*'Business Case'!C13*$D359-'Business Case'!C14*$E359)-MAX(0,(('Business Case'!C11*$C359*'Business Case'!C12*$B359)-'Business Case'!C11*$C359*'Business Case'!C13*$D359-'Business Case'!C14*$E359))*'Business Case'!$B$7-'Business Case'!$B$8*(('Business Case'!C11*$C359*'Business Case'!C12*$B359)-('Business Case'!B11*$C359*'Business Case'!B12*$B359))-'Business Case'!C15*$F359</f>
        <v>-28692794.1684142</v>
      </c>
      <c r="J359" s="39" t="n">
        <f aca="false">(('Business Case'!D11*$C359*'Business Case'!D12*$B359)-'Business Case'!D11*$C359*'Business Case'!D13*$D359-'Business Case'!D14*$E359)-MAX(0,(('Business Case'!D11*$C359*'Business Case'!D12*$B359)-'Business Case'!D11*$C359*'Business Case'!D13*$D359-'Business Case'!D14*$E359))*'Business Case'!$B$7-'Business Case'!$B$8*(('Business Case'!D11*$C359*'Business Case'!D12*$B359)-('Business Case'!C11*$C359*'Business Case'!C12*$B359))-'Business Case'!D15*$F359</f>
        <v>233957858.311757</v>
      </c>
      <c r="K359" s="39" t="n">
        <f aca="false">(('Business Case'!E11*$C359*'Business Case'!E12*$B359)-'Business Case'!E11*$C359*'Business Case'!E13*$D359-'Business Case'!E14*$E359)-MAX(0,(('Business Case'!E11*$C359*'Business Case'!E12*$B359)-'Business Case'!E11*$C359*'Business Case'!E13*$D359-'Business Case'!E14*$E359))*'Business Case'!$B$7-'Business Case'!$B$8*(('Business Case'!E11*$C359*'Business Case'!E12*$B359)-('Business Case'!D11*$C359*'Business Case'!D12*$B359))-'Business Case'!E15*$F359</f>
        <v>545826954.036089</v>
      </c>
      <c r="L359" s="39" t="n">
        <f aca="false">(('Business Case'!F11*$C359*'Business Case'!F12*$B359)-'Business Case'!F11*$C359*'Business Case'!F13*$D359-'Business Case'!F14*$E359)-MAX(0,(('Business Case'!F11*$C359*'Business Case'!F12*$B359)-'Business Case'!F11*$C359*'Business Case'!F13*$D359-'Business Case'!F14*$E359))*'Business Case'!$B$7-'Business Case'!$B$8*(('Business Case'!F11*$C359*'Business Case'!F12*$B359)-('Business Case'!E11*$C359*'Business Case'!E12*$B359))-'Business Case'!F15*$F359</f>
        <v>665754677.3477</v>
      </c>
      <c r="M359" s="39" t="n">
        <f aca="false">(('Business Case'!G11*$C359*'Business Case'!G12*$B359)-'Business Case'!G11*$C359*'Business Case'!G13*$D359-'Business Case'!G14*$E359)-MAX(0,(('Business Case'!G11*$C359*'Business Case'!G12*$B359)-'Business Case'!G11*$C359*'Business Case'!G13*$D359-'Business Case'!G14*$E359))*'Business Case'!$B$7-'Business Case'!$B$8*(('Business Case'!G11*$C359*'Business Case'!G12*$B359)-('Business Case'!F11*$C359*'Business Case'!F12*$B359))-'Business Case'!G15*$F359+'Business Case'!$B$8*('Business Case'!G11*$C359*'Business Case'!G12*$B359)</f>
        <v>843830959.347914</v>
      </c>
      <c r="N359" s="39" t="n">
        <f aca="false">IF(COUNT('Business Case'!B11:G11)=0,"",H359+NPV(G359,I359:M359))</f>
        <v>-444286834.378586</v>
      </c>
      <c r="P359" s="40" t="n">
        <f aca="true">RAND()</f>
        <v>0.327583715077764</v>
      </c>
      <c r="Q359" s="40" t="n">
        <f aca="true">RAND()</f>
        <v>0.364842368452151</v>
      </c>
      <c r="R359" s="40" t="n">
        <f aca="true">RAND()</f>
        <v>0.731651869505956</v>
      </c>
      <c r="S359" s="40" t="n">
        <f aca="true">RAND()</f>
        <v>0.518915081433487</v>
      </c>
      <c r="T359" s="40" t="n">
        <f aca="true">RAND()</f>
        <v>0.0944975098688484</v>
      </c>
      <c r="U359" s="40" t="n">
        <f aca="true">RAND()</f>
        <v>0.665795924370507</v>
      </c>
    </row>
    <row r="360" customFormat="false" ht="15" hidden="false" customHeight="false" outlineLevel="0" collapsed="false">
      <c r="A360" s="36" t="n">
        <v>280</v>
      </c>
      <c r="B360" s="37" t="n">
        <f aca="false">1+IF($G$6=$E$6,$F$6,IF(P360&lt;($F$6-$E$6)/($G$6-$E$6),$E$6+SQRT(P360*($G$6-$E$6)*($F$6-$E$6)),$G$6-SQRT((1-P360)*($G$6-$E$6)*($G$6-$F$6))))</f>
        <v>0.991381990405607</v>
      </c>
      <c r="C360" s="37" t="n">
        <f aca="false">1+IF($G$7=$E$7,$F$7,IF(Q360&lt;($F$7-$E$7)/($G$7-$E$7),$E$7+SQRT(Q360*($G$7-$E$7)*($F$7-$E$7)),$G$7-SQRT((1-Q360)*($G$7-$E$7)*($G$7-$F$7))))</f>
        <v>0.893654733222032</v>
      </c>
      <c r="D360" s="37" t="n">
        <f aca="false">1+IF($G$8=$E$8,$F$8,IF(R360&lt;($F$8-$E$8)/($G$8-$E$8),$E$8+SQRT(R360*($G$8-$E$8)*($F$8-$E$8)),$G$8-SQRT((1-R360)*($G$8-$E$8)*($G$8-$F$8))))</f>
        <v>1.02671012561063</v>
      </c>
      <c r="E360" s="37" t="n">
        <f aca="false">1+IF($G$9=$E$9,$F$9,IF(S360&lt;($F$9-$E$9)/($G$9-$E$9),$E$9+SQRT(S360*($G$9-$E$9)*($F$9-$E$9)),$G$9-SQRT((1-S360)*($G$9-$E$9)*($G$9-$F$9))))</f>
        <v>1.07011389462139</v>
      </c>
      <c r="F360" s="37" t="n">
        <f aca="false">1+IF($G$10=$E$10,$F$10,IF(T360&lt;($F$10-$E$10)/($G$10-$E$10),$E$10+SQRT(T360*($G$10-$E$10)*($F$10-$E$10)),$G$10-SQRT((1-T360)*($G$10-$E$10)*($G$10-$F$10))))</f>
        <v>0.987407502259227</v>
      </c>
      <c r="G360" s="38" t="n">
        <f aca="false">IF($G$11=$E$11,$F$11,IF(U360&lt;($F$11-$E$11)/($G$11-$E$11),$E$11+SQRT(U360*($G$11-$E$11)*($F$11-$E$11)),$G$11-SQRT((1-U360)*($G$11-$E$11)*($G$11-$F$11))))</f>
        <v>0.110405051739381</v>
      </c>
      <c r="H360" s="39" t="n">
        <f aca="false">(('Business Case'!B11*$C360*'Business Case'!B12*$B360)-'Business Case'!B11*$C360*'Business Case'!B13*$D360-'Business Case'!B14*$E360)-MAX(0,(('Business Case'!B11*$C360*'Business Case'!B12*$B360)-'Business Case'!B11*$C360*'Business Case'!B13*$D360-'Business Case'!B14*$E360))*'Business Case'!$B$7-'Business Case'!$B$8*('Business Case'!B11*$C360*'Business Case'!B12*$B360)-'Business Case'!B15*$F360</f>
        <v>-1974815004.51845</v>
      </c>
      <c r="I360" s="39" t="n">
        <f aca="false">(('Business Case'!C11*$C360*'Business Case'!C12*$B360)-'Business Case'!C11*$C360*'Business Case'!C13*$D360-'Business Case'!C14*$E360)-MAX(0,(('Business Case'!C11*$C360*'Business Case'!C12*$B360)-'Business Case'!C11*$C360*'Business Case'!C13*$D360-'Business Case'!C14*$E360))*'Business Case'!$B$7-'Business Case'!$B$8*(('Business Case'!C11*$C360*'Business Case'!C12*$B360)-('Business Case'!B11*$C360*'Business Case'!B12*$B360))-'Business Case'!C15*$F360</f>
        <v>-40878366.3515123</v>
      </c>
      <c r="J360" s="39" t="n">
        <f aca="false">(('Business Case'!D11*$C360*'Business Case'!D12*$B360)-'Business Case'!D11*$C360*'Business Case'!D13*$D360-'Business Case'!D14*$E360)-MAX(0,(('Business Case'!D11*$C360*'Business Case'!D12*$B360)-'Business Case'!D11*$C360*'Business Case'!D13*$D360-'Business Case'!D14*$E360))*'Business Case'!$B$7-'Business Case'!$B$8*(('Business Case'!D11*$C360*'Business Case'!D12*$B360)-('Business Case'!C11*$C360*'Business Case'!C12*$B360))-'Business Case'!D15*$F360</f>
        <v>215082027.648921</v>
      </c>
      <c r="K360" s="39" t="n">
        <f aca="false">(('Business Case'!E11*$C360*'Business Case'!E12*$B360)-'Business Case'!E11*$C360*'Business Case'!E13*$D360-'Business Case'!E14*$E360)-MAX(0,(('Business Case'!E11*$C360*'Business Case'!E12*$B360)-'Business Case'!E11*$C360*'Business Case'!E13*$D360-'Business Case'!E14*$E360))*'Business Case'!$B$7-'Business Case'!$B$8*(('Business Case'!E11*$C360*'Business Case'!E12*$B360)-('Business Case'!D11*$C360*'Business Case'!D12*$B360))-'Business Case'!E15*$F360</f>
        <v>520412796.762315</v>
      </c>
      <c r="L360" s="39" t="n">
        <f aca="false">(('Business Case'!F11*$C360*'Business Case'!F12*$B360)-'Business Case'!F11*$C360*'Business Case'!F13*$D360-'Business Case'!F14*$E360)-MAX(0,(('Business Case'!F11*$C360*'Business Case'!F12*$B360)-'Business Case'!F11*$C360*'Business Case'!F13*$D360-'Business Case'!F14*$E360))*'Business Case'!$B$7-'Business Case'!$B$8*(('Business Case'!F11*$C360*'Business Case'!F12*$B360)-('Business Case'!E11*$C360*'Business Case'!E12*$B360))-'Business Case'!F15*$F360</f>
        <v>636351470.969701</v>
      </c>
      <c r="M360" s="39" t="n">
        <f aca="false">(('Business Case'!G11*$C360*'Business Case'!G12*$B360)-'Business Case'!G11*$C360*'Business Case'!G13*$D360-'Business Case'!G14*$E360)-MAX(0,(('Business Case'!G11*$C360*'Business Case'!G12*$B360)-'Business Case'!G11*$C360*'Business Case'!G13*$D360-'Business Case'!G14*$E360))*'Business Case'!$B$7-'Business Case'!$B$8*(('Business Case'!G11*$C360*'Business Case'!G12*$B360)-('Business Case'!F11*$C360*'Business Case'!F12*$B360))-'Business Case'!G15*$F360+'Business Case'!$B$8*('Business Case'!G11*$C360*'Business Case'!G12*$B360)</f>
        <v>804753456.776193</v>
      </c>
      <c r="N360" s="39" t="n">
        <f aca="false">IF(COUNT('Business Case'!B11:G11)=0,"",H360+NPV(G360,I360:M360))</f>
        <v>-561801069.211636</v>
      </c>
      <c r="P360" s="40" t="n">
        <f aca="true">RAND()</f>
        <v>0.530769641069392</v>
      </c>
      <c r="Q360" s="40" t="n">
        <f aca="true">RAND()</f>
        <v>0.125302986498429</v>
      </c>
      <c r="R360" s="40" t="n">
        <f aca="true">RAND()</f>
        <v>0.726941277650488</v>
      </c>
      <c r="S360" s="40" t="n">
        <f aca="true">RAND()</f>
        <v>0.94045471368656</v>
      </c>
      <c r="T360" s="40" t="n">
        <f aca="true">RAND()</f>
        <v>0.111945698021923</v>
      </c>
      <c r="U360" s="40" t="n">
        <f aca="true">RAND()</f>
        <v>0.846561613126743</v>
      </c>
    </row>
    <row r="361" customFormat="false" ht="15" hidden="false" customHeight="false" outlineLevel="0" collapsed="false">
      <c r="A361" s="36" t="n">
        <v>281</v>
      </c>
      <c r="B361" s="37" t="n">
        <f aca="false">1+IF($G$6=$E$6,$F$6,IF(P361&lt;($F$6-$E$6)/($G$6-$E$6),$E$6+SQRT(P361*($G$6-$E$6)*($F$6-$E$6)),$G$6-SQRT((1-P361)*($G$6-$E$6)*($G$6-$F$6))))</f>
        <v>0.955584175946659</v>
      </c>
      <c r="C361" s="37" t="n">
        <f aca="false">1+IF($G$7=$E$7,$F$7,IF(Q361&lt;($F$7-$E$7)/($G$7-$E$7),$E$7+SQRT(Q361*($G$7-$E$7)*($F$7-$E$7)),$G$7-SQRT((1-Q361)*($G$7-$E$7)*($G$7-$F$7))))</f>
        <v>1.04862253920918</v>
      </c>
      <c r="D361" s="37" t="n">
        <f aca="false">1+IF($G$8=$E$8,$F$8,IF(R361&lt;($F$8-$E$8)/($G$8-$E$8),$E$8+SQRT(R361*($G$8-$E$8)*($F$8-$E$8)),$G$8-SQRT((1-R361)*($G$8-$E$8)*($G$8-$F$8))))</f>
        <v>1.02290248953729</v>
      </c>
      <c r="E361" s="37" t="n">
        <f aca="false">1+IF($G$9=$E$9,$F$9,IF(S361&lt;($F$9-$E$9)/($G$9-$E$9),$E$9+SQRT(S361*($G$9-$E$9)*($F$9-$E$9)),$G$9-SQRT((1-S361)*($G$9-$E$9)*($G$9-$F$9))))</f>
        <v>1.06520360032077</v>
      </c>
      <c r="F361" s="37" t="n">
        <f aca="false">1+IF($G$10=$E$10,$F$10,IF(T361&lt;($F$10-$E$10)/($G$10-$E$10),$E$10+SQRT(T361*($G$10-$E$10)*($F$10-$E$10)),$G$10-SQRT((1-T361)*($G$10-$E$10)*($G$10-$F$10))))</f>
        <v>0.99167714995093</v>
      </c>
      <c r="G361" s="38" t="n">
        <f aca="false">IF($G$11=$E$11,$F$11,IF(U361&lt;($F$11-$E$11)/($G$11-$E$11),$E$11+SQRT(U361*($G$11-$E$11)*($F$11-$E$11)),$G$11-SQRT((1-U361)*($G$11-$E$11)*($G$11-$F$11))))</f>
        <v>0.101192186217404</v>
      </c>
      <c r="H361" s="39" t="n">
        <f aca="false">(('Business Case'!B11*$C361*'Business Case'!B12*$B361)-'Business Case'!B11*$C361*'Business Case'!B13*$D361-'Business Case'!B14*$E361)-MAX(0,(('Business Case'!B11*$C361*'Business Case'!B12*$B361)-'Business Case'!B11*$C361*'Business Case'!B13*$D361-'Business Case'!B14*$E361))*'Business Case'!$B$7-'Business Case'!$B$8*('Business Case'!B11*$C361*'Business Case'!B12*$B361)-'Business Case'!B15*$F361</f>
        <v>-1983354299.90186</v>
      </c>
      <c r="I361" s="39" t="n">
        <f aca="false">(('Business Case'!C11*$C361*'Business Case'!C12*$B361)-'Business Case'!C11*$C361*'Business Case'!C13*$D361-'Business Case'!C14*$E361)-MAX(0,(('Business Case'!C11*$C361*'Business Case'!C12*$B361)-'Business Case'!C11*$C361*'Business Case'!C13*$D361-'Business Case'!C14*$E361))*'Business Case'!$B$7-'Business Case'!$B$8*(('Business Case'!C11*$C361*'Business Case'!C12*$B361)-('Business Case'!B11*$C361*'Business Case'!B12*$B361))-'Business Case'!C15*$F361</f>
        <v>-30942217.6440318</v>
      </c>
      <c r="J361" s="39" t="n">
        <f aca="false">(('Business Case'!D11*$C361*'Business Case'!D12*$B361)-'Business Case'!D11*$C361*'Business Case'!D13*$D361-'Business Case'!D14*$E361)-MAX(0,(('Business Case'!D11*$C361*'Business Case'!D12*$B361)-'Business Case'!D11*$C361*'Business Case'!D13*$D361-'Business Case'!D14*$E361))*'Business Case'!$B$7-'Business Case'!$B$8*(('Business Case'!D11*$C361*'Business Case'!D12*$B361)-('Business Case'!C11*$C361*'Business Case'!C12*$B361))-'Business Case'!D15*$F361</f>
        <v>240701353.596325</v>
      </c>
      <c r="K361" s="39" t="n">
        <f aca="false">(('Business Case'!E11*$C361*'Business Case'!E12*$B361)-'Business Case'!E11*$C361*'Business Case'!E13*$D361-'Business Case'!E14*$E361)-MAX(0,(('Business Case'!E11*$C361*'Business Case'!E12*$B361)-'Business Case'!E11*$C361*'Business Case'!E13*$D361-'Business Case'!E14*$E361))*'Business Case'!$B$7-'Business Case'!$B$8*(('Business Case'!E11*$C361*'Business Case'!E12*$B361)-('Business Case'!D11*$C361*'Business Case'!D12*$B361))-'Business Case'!E15*$F361</f>
        <v>561928782.334228</v>
      </c>
      <c r="L361" s="39" t="n">
        <f aca="false">(('Business Case'!F11*$C361*'Business Case'!F12*$B361)-'Business Case'!F11*$C361*'Business Case'!F13*$D361-'Business Case'!F14*$E361)-MAX(0,(('Business Case'!F11*$C361*'Business Case'!F12*$B361)-'Business Case'!F11*$C361*'Business Case'!F13*$D361-'Business Case'!F14*$E361))*'Business Case'!$B$7-'Business Case'!$B$8*(('Business Case'!F11*$C361*'Business Case'!F12*$B361)-('Business Case'!E11*$C361*'Business Case'!E12*$B361))-'Business Case'!F15*$F361</f>
        <v>687107387.363468</v>
      </c>
      <c r="M361" s="39" t="n">
        <f aca="false">(('Business Case'!G11*$C361*'Business Case'!G12*$B361)-'Business Case'!G11*$C361*'Business Case'!G13*$D361-'Business Case'!G14*$E361)-MAX(0,(('Business Case'!G11*$C361*'Business Case'!G12*$B361)-'Business Case'!G11*$C361*'Business Case'!G13*$D361-'Business Case'!G14*$E361))*'Business Case'!$B$7-'Business Case'!$B$8*(('Business Case'!G11*$C361*'Business Case'!G12*$B361)-('Business Case'!F11*$C361*'Business Case'!F12*$B361))-'Business Case'!G15*$F361+'Business Case'!$B$8*('Business Case'!G11*$C361*'Business Case'!G12*$B361)</f>
        <v>877576501.083636</v>
      </c>
      <c r="N361" s="39" t="n">
        <f aca="false">IF(COUNT('Business Case'!B11:G11)=0,"",H361+NPV(G361,I361:M361))</f>
        <v>-382903977.738903</v>
      </c>
      <c r="P361" s="40" t="n">
        <f aca="true">RAND()</f>
        <v>0.131899331021123</v>
      </c>
      <c r="Q361" s="40" t="n">
        <f aca="true">RAND()</f>
        <v>0.804240198925829</v>
      </c>
      <c r="R361" s="40" t="n">
        <f aca="true">RAND()</f>
        <v>0.686526374900025</v>
      </c>
      <c r="S361" s="40" t="n">
        <f aca="true">RAND()</f>
        <v>0.919280704624225</v>
      </c>
      <c r="T361" s="40" t="n">
        <f aca="true">RAND()</f>
        <v>0.138958786242586</v>
      </c>
      <c r="U361" s="40" t="n">
        <f aca="true">RAND()</f>
        <v>0.410443567865324</v>
      </c>
    </row>
    <row r="362" customFormat="false" ht="15" hidden="false" customHeight="false" outlineLevel="0" collapsed="false">
      <c r="A362" s="36" t="n">
        <v>282</v>
      </c>
      <c r="B362" s="37" t="n">
        <f aca="false">1+IF($G$6=$E$6,$F$6,IF(P362&lt;($F$6-$E$6)/($G$6-$E$6),$E$6+SQRT(P362*($G$6-$E$6)*($F$6-$E$6)),$G$6-SQRT((1-P362)*($G$6-$E$6)*($G$6-$F$6))))</f>
        <v>0.976330607209491</v>
      </c>
      <c r="C362" s="37" t="n">
        <f aca="false">1+IF($G$7=$E$7,$F$7,IF(Q362&lt;($F$7-$E$7)/($G$7-$E$7),$E$7+SQRT(Q362*($G$7-$E$7)*($F$7-$E$7)),$G$7-SQRT((1-Q362)*($G$7-$E$7)*($G$7-$F$7))))</f>
        <v>0.917623691024075</v>
      </c>
      <c r="D362" s="37" t="n">
        <f aca="false">1+IF($G$8=$E$8,$F$8,IF(R362&lt;($F$8-$E$8)/($G$8-$E$8),$E$8+SQRT(R362*($G$8-$E$8)*($F$8-$E$8)),$G$8-SQRT((1-R362)*($G$8-$E$8)*($G$8-$F$8))))</f>
        <v>0.977657548358032</v>
      </c>
      <c r="E362" s="37" t="n">
        <f aca="false">1+IF($G$9=$E$9,$F$9,IF(S362&lt;($F$9-$E$9)/($G$9-$E$9),$E$9+SQRT(S362*($G$9-$E$9)*($F$9-$E$9)),$G$9-SQRT((1-S362)*($G$9-$E$9)*($G$9-$F$9))))</f>
        <v>1.06573161355663</v>
      </c>
      <c r="F362" s="37" t="n">
        <f aca="false">1+IF($G$10=$E$10,$F$10,IF(T362&lt;($F$10-$E$10)/($G$10-$E$10),$E$10+SQRT(T362*($G$10-$E$10)*($F$10-$E$10)),$G$10-SQRT((1-T362)*($G$10-$E$10)*($G$10-$F$10))))</f>
        <v>1.11516282448258</v>
      </c>
      <c r="G362" s="38" t="n">
        <f aca="false">IF($G$11=$E$11,$F$11,IF(U362&lt;($F$11-$E$11)/($G$11-$E$11),$E$11+SQRT(U362*($G$11-$E$11)*($F$11-$E$11)),$G$11-SQRT((1-U362)*($G$11-$E$11)*($G$11-$F$11))))</f>
        <v>0.0952232943669243</v>
      </c>
      <c r="H362" s="39" t="n">
        <f aca="false">(('Business Case'!B11*$C362*'Business Case'!B12*$B362)-'Business Case'!B11*$C362*'Business Case'!B13*$D362-'Business Case'!B14*$E362)-MAX(0,(('Business Case'!B11*$C362*'Business Case'!B12*$B362)-'Business Case'!B11*$C362*'Business Case'!B13*$D362-'Business Case'!B14*$E362))*'Business Case'!$B$7-'Business Case'!$B$8*('Business Case'!B11*$C362*'Business Case'!B12*$B362)-'Business Case'!B15*$F362</f>
        <v>-2230325648.96516</v>
      </c>
      <c r="I362" s="39" t="n">
        <f aca="false">(('Business Case'!C11*$C362*'Business Case'!C12*$B362)-'Business Case'!C11*$C362*'Business Case'!C13*$D362-'Business Case'!C14*$E362)-MAX(0,(('Business Case'!C11*$C362*'Business Case'!C12*$B362)-'Business Case'!C11*$C362*'Business Case'!C13*$D362-'Business Case'!C14*$E362))*'Business Case'!$B$7-'Business Case'!$B$8*(('Business Case'!C11*$C362*'Business Case'!C12*$B362)-('Business Case'!B11*$C362*'Business Case'!B12*$B362))-'Business Case'!C15*$F362</f>
        <v>-34951581.9774081</v>
      </c>
      <c r="J362" s="39" t="n">
        <f aca="false">(('Business Case'!D11*$C362*'Business Case'!D12*$B362)-'Business Case'!D11*$C362*'Business Case'!D13*$D362-'Business Case'!D14*$E362)-MAX(0,(('Business Case'!D11*$C362*'Business Case'!D12*$B362)-'Business Case'!D11*$C362*'Business Case'!D13*$D362-'Business Case'!D14*$E362))*'Business Case'!$B$7-'Business Case'!$B$8*(('Business Case'!D11*$C362*'Business Case'!D12*$B362)-('Business Case'!C11*$C362*'Business Case'!C12*$B362))-'Business Case'!D15*$F362</f>
        <v>239603822.249185</v>
      </c>
      <c r="K362" s="39" t="n">
        <f aca="false">(('Business Case'!E11*$C362*'Business Case'!E12*$B362)-'Business Case'!E11*$C362*'Business Case'!E13*$D362-'Business Case'!E14*$E362)-MAX(0,(('Business Case'!E11*$C362*'Business Case'!E12*$B362)-'Business Case'!E11*$C362*'Business Case'!E13*$D362-'Business Case'!E14*$E362))*'Business Case'!$B$7-'Business Case'!$B$8*(('Business Case'!E11*$C362*'Business Case'!E12*$B362)-('Business Case'!D11*$C362*'Business Case'!D12*$B362))-'Business Case'!E15*$F362</f>
        <v>569917367.699907</v>
      </c>
      <c r="L362" s="39" t="n">
        <f aca="false">(('Business Case'!F11*$C362*'Business Case'!F12*$B362)-'Business Case'!F11*$C362*'Business Case'!F13*$D362-'Business Case'!F14*$E362)-MAX(0,(('Business Case'!F11*$C362*'Business Case'!F12*$B362)-'Business Case'!F11*$C362*'Business Case'!F13*$D362-'Business Case'!F14*$E362))*'Business Case'!$B$7-'Business Case'!$B$8*(('Business Case'!F11*$C362*'Business Case'!F12*$B362)-('Business Case'!E11*$C362*'Business Case'!E12*$B362))-'Business Case'!F15*$F362</f>
        <v>692398281.314098</v>
      </c>
      <c r="M362" s="39" t="n">
        <f aca="false">(('Business Case'!G11*$C362*'Business Case'!G12*$B362)-'Business Case'!G11*$C362*'Business Case'!G13*$D362-'Business Case'!G14*$E362)-MAX(0,(('Business Case'!G11*$C362*'Business Case'!G12*$B362)-'Business Case'!G11*$C362*'Business Case'!G13*$D362-'Business Case'!G14*$E362))*'Business Case'!$B$7-'Business Case'!$B$8*(('Business Case'!G11*$C362*'Business Case'!G12*$B362)-('Business Case'!F11*$C362*'Business Case'!F12*$B362))-'Business Case'!G15*$F362+'Business Case'!$B$8*('Business Case'!G11*$C362*'Business Case'!G12*$B362)</f>
        <v>862691731.77673</v>
      </c>
      <c r="N362" s="39" t="n">
        <f aca="false">IF(COUNT('Business Case'!B11:G11)=0,"",H362+NPV(G362,I362:M362))</f>
        <v>-600004299.05449</v>
      </c>
      <c r="P362" s="40" t="n">
        <f aca="true">RAND()</f>
        <v>0.330535136311455</v>
      </c>
      <c r="Q362" s="40" t="n">
        <f aca="true">RAND()</f>
        <v>0.197647609858956</v>
      </c>
      <c r="R362" s="40" t="n">
        <f aca="true">RAND()</f>
        <v>0.117683074027213</v>
      </c>
      <c r="S362" s="40" t="n">
        <f aca="true">RAND()</f>
        <v>0.921711846037854</v>
      </c>
      <c r="T362" s="40" t="n">
        <f aca="true">RAND()</f>
        <v>0.856053073004524</v>
      </c>
      <c r="U362" s="40" t="n">
        <f aca="true">RAND()</f>
        <v>0.0909426801451446</v>
      </c>
    </row>
    <row r="363" customFormat="false" ht="15" hidden="false" customHeight="false" outlineLevel="0" collapsed="false">
      <c r="A363" s="36" t="n">
        <v>283</v>
      </c>
      <c r="B363" s="37" t="n">
        <f aca="false">1+IF($G$6=$E$6,$F$6,IF(P363&lt;($F$6-$E$6)/($G$6-$E$6),$E$6+SQRT(P363*($G$6-$E$6)*($F$6-$E$6)),$G$6-SQRT((1-P363)*($G$6-$E$6)*($G$6-$F$6))))</f>
        <v>0.954127765166218</v>
      </c>
      <c r="C363" s="37" t="n">
        <f aca="false">1+IF($G$7=$E$7,$F$7,IF(Q363&lt;($F$7-$E$7)/($G$7-$E$7),$E$7+SQRT(Q363*($G$7-$E$7)*($F$7-$E$7)),$G$7-SQRT((1-Q363)*($G$7-$E$7)*($G$7-$F$7))))</f>
        <v>1.07554333919516</v>
      </c>
      <c r="D363" s="37" t="n">
        <f aca="false">1+IF($G$8=$E$8,$F$8,IF(R363&lt;($F$8-$E$8)/($G$8-$E$8),$E$8+SQRT(R363*($G$8-$E$8)*($F$8-$E$8)),$G$8-SQRT((1-R363)*($G$8-$E$8)*($G$8-$F$8))))</f>
        <v>1.03708368625228</v>
      </c>
      <c r="E363" s="37" t="n">
        <f aca="false">1+IF($G$9=$E$9,$F$9,IF(S363&lt;($F$9-$E$9)/($G$9-$E$9),$E$9+SQRT(S363*($G$9-$E$9)*($F$9-$E$9)),$G$9-SQRT((1-S363)*($G$9-$E$9)*($G$9-$F$9))))</f>
        <v>1.02284483058946</v>
      </c>
      <c r="F363" s="37" t="n">
        <f aca="false">1+IF($G$10=$E$10,$F$10,IF(T363&lt;($F$10-$E$10)/($G$10-$E$10),$E$10+SQRT(T363*($G$10-$E$10)*($F$10-$E$10)),$G$10-SQRT((1-T363)*($G$10-$E$10)*($G$10-$F$10))))</f>
        <v>0.995236632386827</v>
      </c>
      <c r="G363" s="38" t="n">
        <f aca="false">IF($G$11=$E$11,$F$11,IF(U363&lt;($F$11-$E$11)/($G$11-$E$11),$E$11+SQRT(U363*($G$11-$E$11)*($F$11-$E$11)),$G$11-SQRT((1-U363)*($G$11-$E$11)*($G$11-$F$11))))</f>
        <v>0.098454120935852</v>
      </c>
      <c r="H363" s="39" t="n">
        <f aca="false">(('Business Case'!B11*$C363*'Business Case'!B12*$B363)-'Business Case'!B11*$C363*'Business Case'!B13*$D363-'Business Case'!B14*$E363)-MAX(0,(('Business Case'!B11*$C363*'Business Case'!B12*$B363)-'Business Case'!B11*$C363*'Business Case'!B13*$D363-'Business Case'!B14*$E363))*'Business Case'!$B$7-'Business Case'!$B$8*('Business Case'!B11*$C363*'Business Case'!B12*$B363)-'Business Case'!B15*$F363</f>
        <v>-1990473264.77365</v>
      </c>
      <c r="I363" s="39" t="n">
        <f aca="false">(('Business Case'!C11*$C363*'Business Case'!C12*$B363)-'Business Case'!C11*$C363*'Business Case'!C13*$D363-'Business Case'!C14*$E363)-MAX(0,(('Business Case'!C11*$C363*'Business Case'!C12*$B363)-'Business Case'!C11*$C363*'Business Case'!C13*$D363-'Business Case'!C14*$E363))*'Business Case'!$B$7-'Business Case'!$B$8*(('Business Case'!C11*$C363*'Business Case'!C12*$B363)-('Business Case'!B11*$C363*'Business Case'!B12*$B363))-'Business Case'!C15*$F363</f>
        <v>-28644431.1271697</v>
      </c>
      <c r="J363" s="39" t="n">
        <f aca="false">(('Business Case'!D11*$C363*'Business Case'!D12*$B363)-'Business Case'!D11*$C363*'Business Case'!D13*$D363-'Business Case'!D14*$E363)-MAX(0,(('Business Case'!D11*$C363*'Business Case'!D12*$B363)-'Business Case'!D11*$C363*'Business Case'!D13*$D363-'Business Case'!D14*$E363))*'Business Case'!$B$7-'Business Case'!$B$8*(('Business Case'!D11*$C363*'Business Case'!D12*$B363)-('Business Case'!C11*$C363*'Business Case'!C12*$B363))-'Business Case'!D15*$F363</f>
        <v>240881842.62557</v>
      </c>
      <c r="K363" s="39" t="n">
        <f aca="false">(('Business Case'!E11*$C363*'Business Case'!E12*$B363)-'Business Case'!E11*$C363*'Business Case'!E13*$D363-'Business Case'!E14*$E363)-MAX(0,(('Business Case'!E11*$C363*'Business Case'!E12*$B363)-'Business Case'!E11*$C363*'Business Case'!E13*$D363-'Business Case'!E14*$E363))*'Business Case'!$B$7-'Business Case'!$B$8*(('Business Case'!E11*$C363*'Business Case'!E12*$B363)-('Business Case'!D11*$C363*'Business Case'!D12*$B363))-'Business Case'!E15*$F363</f>
        <v>560169947.997652</v>
      </c>
      <c r="L363" s="39" t="n">
        <f aca="false">(('Business Case'!F11*$C363*'Business Case'!F12*$B363)-'Business Case'!F11*$C363*'Business Case'!F13*$D363-'Business Case'!F14*$E363)-MAX(0,(('Business Case'!F11*$C363*'Business Case'!F12*$B363)-'Business Case'!F11*$C363*'Business Case'!F13*$D363-'Business Case'!F14*$E363))*'Business Case'!$B$7-'Business Case'!$B$8*(('Business Case'!F11*$C363*'Business Case'!F12*$B363)-('Business Case'!E11*$C363*'Business Case'!E12*$B363))-'Business Case'!F15*$F363</f>
        <v>685477710.402836</v>
      </c>
      <c r="M363" s="39" t="n">
        <f aca="false">(('Business Case'!G11*$C363*'Business Case'!G12*$B363)-'Business Case'!G11*$C363*'Business Case'!G13*$D363-'Business Case'!G14*$E363)-MAX(0,(('Business Case'!G11*$C363*'Business Case'!G12*$B363)-'Business Case'!G11*$C363*'Business Case'!G13*$D363-'Business Case'!G14*$E363))*'Business Case'!$B$7-'Business Case'!$B$8*(('Business Case'!G11*$C363*'Business Case'!G12*$B363)-('Business Case'!F11*$C363*'Business Case'!F12*$B363))-'Business Case'!G15*$F363+'Business Case'!$B$8*('Business Case'!G11*$C363*'Business Case'!G12*$B363)</f>
        <v>880538901.751323</v>
      </c>
      <c r="N363" s="39" t="n">
        <f aca="false">IF(COUNT('Business Case'!B11:G11)=0,"",H363+NPV(G363,I363:M363))</f>
        <v>-372835223.012595</v>
      </c>
      <c r="P363" s="40" t="n">
        <f aca="true">RAND()</f>
        <v>0.121323370337552</v>
      </c>
      <c r="Q363" s="40" t="n">
        <f aca="true">RAND()</f>
        <v>0.894403917367493</v>
      </c>
      <c r="R363" s="40" t="n">
        <f aca="true">RAND()</f>
        <v>0.822902885991066</v>
      </c>
      <c r="S363" s="40" t="n">
        <f aca="true">RAND()</f>
        <v>0.603138655548751</v>
      </c>
      <c r="T363" s="40" t="n">
        <f aca="true">RAND()</f>
        <v>0.163708232776072</v>
      </c>
      <c r="U363" s="40" t="n">
        <f aca="true">RAND()</f>
        <v>0.23824053599337</v>
      </c>
    </row>
    <row r="364" customFormat="false" ht="15" hidden="false" customHeight="false" outlineLevel="0" collapsed="false">
      <c r="A364" s="36" t="n">
        <v>284</v>
      </c>
      <c r="B364" s="37" t="n">
        <f aca="false">1+IF($G$6=$E$6,$F$6,IF(P364&lt;($F$6-$E$6)/($G$6-$E$6),$E$6+SQRT(P364*($G$6-$E$6)*($F$6-$E$6)),$G$6-SQRT((1-P364)*($G$6-$E$6)*($G$6-$F$6))))</f>
        <v>1.01495634418402</v>
      </c>
      <c r="C364" s="37" t="n">
        <f aca="false">1+IF($G$7=$E$7,$F$7,IF(Q364&lt;($F$7-$E$7)/($G$7-$E$7),$E$7+SQRT(Q364*($G$7-$E$7)*($F$7-$E$7)),$G$7-SQRT((1-Q364)*($G$7-$E$7)*($G$7-$F$7))))</f>
        <v>0.902558778907593</v>
      </c>
      <c r="D364" s="37" t="n">
        <f aca="false">1+IF($G$8=$E$8,$F$8,IF(R364&lt;($F$8-$E$8)/($G$8-$E$8),$E$8+SQRT(R364*($G$8-$E$8)*($F$8-$E$8)),$G$8-SQRT((1-R364)*($G$8-$E$8)*($G$8-$F$8))))</f>
        <v>0.975986951581409</v>
      </c>
      <c r="E364" s="37" t="n">
        <f aca="false">1+IF($G$9=$E$9,$F$9,IF(S364&lt;($F$9-$E$9)/($G$9-$E$9),$E$9+SQRT(S364*($G$9-$E$9)*($F$9-$E$9)),$G$9-SQRT((1-S364)*($G$9-$E$9)*($G$9-$F$9))))</f>
        <v>0.994797882996361</v>
      </c>
      <c r="F364" s="37" t="n">
        <f aca="false">1+IF($G$10=$E$10,$F$10,IF(T364&lt;($F$10-$E$10)/($G$10-$E$10),$E$10+SQRT(T364*($G$10-$E$10)*($F$10-$E$10)),$G$10-SQRT((1-T364)*($G$10-$E$10)*($G$10-$F$10))))</f>
        <v>1.10092049314746</v>
      </c>
      <c r="G364" s="38" t="n">
        <f aca="false">IF($G$11=$E$11,$F$11,IF(U364&lt;($F$11-$E$11)/($G$11-$E$11),$E$11+SQRT(U364*($G$11-$E$11)*($F$11-$E$11)),$G$11-SQRT((1-U364)*($G$11-$E$11)*($G$11-$F$11))))</f>
        <v>0.0920654724449656</v>
      </c>
      <c r="H364" s="39" t="n">
        <f aca="false">(('Business Case'!B11*$C364*'Business Case'!B12*$B364)-'Business Case'!B11*$C364*'Business Case'!B13*$D364-'Business Case'!B14*$E364)-MAX(0,(('Business Case'!B11*$C364*'Business Case'!B12*$B364)-'Business Case'!B11*$C364*'Business Case'!B13*$D364-'Business Case'!B14*$E364))*'Business Case'!$B$7-'Business Case'!$B$8*('Business Case'!B11*$C364*'Business Case'!B12*$B364)-'Business Case'!B15*$F364</f>
        <v>-2201840986.29492</v>
      </c>
      <c r="I364" s="39" t="n">
        <f aca="false">(('Business Case'!C11*$C364*'Business Case'!C12*$B364)-'Business Case'!C11*$C364*'Business Case'!C13*$D364-'Business Case'!C14*$E364)-MAX(0,(('Business Case'!C11*$C364*'Business Case'!C12*$B364)-'Business Case'!C11*$C364*'Business Case'!C13*$D364-'Business Case'!C14*$E364))*'Business Case'!$B$7-'Business Case'!$B$8*(('Business Case'!C11*$C364*'Business Case'!C12*$B364)-('Business Case'!B11*$C364*'Business Case'!B12*$B364))-'Business Case'!C15*$F364</f>
        <v>333566.136461347</v>
      </c>
      <c r="J364" s="39" t="n">
        <f aca="false">(('Business Case'!D11*$C364*'Business Case'!D12*$B364)-'Business Case'!D11*$C364*'Business Case'!D13*$D364-'Business Case'!D14*$E364)-MAX(0,(('Business Case'!D11*$C364*'Business Case'!D12*$B364)-'Business Case'!D11*$C364*'Business Case'!D13*$D364-'Business Case'!D14*$E364))*'Business Case'!$B$7-'Business Case'!$B$8*(('Business Case'!D11*$C364*'Business Case'!D12*$B364)-('Business Case'!C11*$C364*'Business Case'!C12*$B364))-'Business Case'!D15*$F364</f>
        <v>299707874.758232</v>
      </c>
      <c r="K364" s="39" t="n">
        <f aca="false">(('Business Case'!E11*$C364*'Business Case'!E12*$B364)-'Business Case'!E11*$C364*'Business Case'!E13*$D364-'Business Case'!E14*$E364)-MAX(0,(('Business Case'!E11*$C364*'Business Case'!E12*$B364)-'Business Case'!E11*$C364*'Business Case'!E13*$D364-'Business Case'!E14*$E364))*'Business Case'!$B$7-'Business Case'!$B$8*(('Business Case'!E11*$C364*'Business Case'!E12*$B364)-('Business Case'!D11*$C364*'Business Case'!D12*$B364))-'Business Case'!E15*$F364</f>
        <v>654128208.037375</v>
      </c>
      <c r="L364" s="39" t="n">
        <f aca="false">(('Business Case'!F11*$C364*'Business Case'!F12*$B364)-'Business Case'!F11*$C364*'Business Case'!F13*$D364-'Business Case'!F14*$E364)-MAX(0,(('Business Case'!F11*$C364*'Business Case'!F12*$B364)-'Business Case'!F11*$C364*'Business Case'!F13*$D364-'Business Case'!F14*$E364))*'Business Case'!$B$7-'Business Case'!$B$8*(('Business Case'!F11*$C364*'Business Case'!F12*$B364)-('Business Case'!E11*$C364*'Business Case'!E12*$B364))-'Business Case'!F15*$F364</f>
        <v>785578600.383619</v>
      </c>
      <c r="M364" s="39" t="n">
        <f aca="false">(('Business Case'!G11*$C364*'Business Case'!G12*$B364)-'Business Case'!G11*$C364*'Business Case'!G13*$D364-'Business Case'!G14*$E364)-MAX(0,(('Business Case'!G11*$C364*'Business Case'!G12*$B364)-'Business Case'!G11*$C364*'Business Case'!G13*$D364-'Business Case'!G14*$E364))*'Business Case'!$B$7-'Business Case'!$B$8*(('Business Case'!G11*$C364*'Business Case'!G12*$B364)-('Business Case'!F11*$C364*'Business Case'!F12*$B364))-'Business Case'!G15*$F364+'Business Case'!$B$8*('Business Case'!G11*$C364*'Business Case'!G12*$B364)</f>
        <v>959702859.148047</v>
      </c>
      <c r="N364" s="39" t="n">
        <f aca="false">IF(COUNT('Business Case'!B11:G11)=0,"",H364+NPV(G364,I364:M364))</f>
        <v>-277794276.682999</v>
      </c>
      <c r="P364" s="40" t="n">
        <f aca="true">RAND()</f>
        <v>0.869336521535536</v>
      </c>
      <c r="Q364" s="40" t="n">
        <f aca="true">RAND()</f>
        <v>0.150261473300237</v>
      </c>
      <c r="R364" s="40" t="n">
        <f aca="true">RAND()</f>
        <v>0.103895638845306</v>
      </c>
      <c r="S364" s="40" t="n">
        <f aca="true">RAND()</f>
        <v>0.267580042794083</v>
      </c>
      <c r="T364" s="40" t="n">
        <f aca="true">RAND()</f>
        <v>0.803665026437155</v>
      </c>
      <c r="U364" s="40" t="n">
        <f aca="true">RAND()</f>
        <v>0.0142205880697069</v>
      </c>
    </row>
    <row r="365" customFormat="false" ht="15" hidden="false" customHeight="false" outlineLevel="0" collapsed="false">
      <c r="A365" s="36" t="n">
        <v>285</v>
      </c>
      <c r="B365" s="37" t="n">
        <f aca="false">1+IF($G$6=$E$6,$F$6,IF(P365&lt;($F$6-$E$6)/($G$6-$E$6),$E$6+SQRT(P365*($G$6-$E$6)*($F$6-$E$6)),$G$6-SQRT((1-P365)*($G$6-$E$6)*($G$6-$F$6))))</f>
        <v>1.0095975743913</v>
      </c>
      <c r="C365" s="37" t="n">
        <f aca="false">1+IF($G$7=$E$7,$F$7,IF(Q365&lt;($F$7-$E$7)/($G$7-$E$7),$E$7+SQRT(Q365*($G$7-$E$7)*($F$7-$E$7)),$G$7-SQRT((1-Q365)*($G$7-$E$7)*($G$7-$F$7))))</f>
        <v>0.887513450122379</v>
      </c>
      <c r="D365" s="37" t="n">
        <f aca="false">1+IF($G$8=$E$8,$F$8,IF(R365&lt;($F$8-$E$8)/($G$8-$E$8),$E$8+SQRT(R365*($G$8-$E$8)*($F$8-$E$8)),$G$8-SQRT((1-R365)*($G$8-$E$8)*($G$8-$F$8))))</f>
        <v>0.991969024184339</v>
      </c>
      <c r="E365" s="37" t="n">
        <f aca="false">1+IF($G$9=$E$9,$F$9,IF(S365&lt;($F$9-$E$9)/($G$9-$E$9),$E$9+SQRT(S365*($G$9-$E$9)*($F$9-$E$9)),$G$9-SQRT((1-S365)*($G$9-$E$9)*($G$9-$F$9))))</f>
        <v>1.03023121202198</v>
      </c>
      <c r="F365" s="37" t="n">
        <f aca="false">1+IF($G$10=$E$10,$F$10,IF(T365&lt;($F$10-$E$10)/($G$10-$E$10),$E$10+SQRT(T365*($G$10-$E$10)*($F$10-$E$10)),$G$10-SQRT((1-T365)*($G$10-$E$10)*($G$10-$F$10))))</f>
        <v>1.03963617629233</v>
      </c>
      <c r="G365" s="38" t="n">
        <f aca="false">IF($G$11=$E$11,$F$11,IF(U365&lt;($F$11-$E$11)/($G$11-$E$11),$E$11+SQRT(U365*($G$11-$E$11)*($F$11-$E$11)),$G$11-SQRT((1-U365)*($G$11-$E$11)*($G$11-$F$11))))</f>
        <v>0.104473067317003</v>
      </c>
      <c r="H365" s="39" t="n">
        <f aca="false">(('Business Case'!B11*$C365*'Business Case'!B12*$B365)-'Business Case'!B11*$C365*'Business Case'!B13*$D365-'Business Case'!B14*$E365)-MAX(0,(('Business Case'!B11*$C365*'Business Case'!B12*$B365)-'Business Case'!B11*$C365*'Business Case'!B13*$D365-'Business Case'!B14*$E365))*'Business Case'!$B$7-'Business Case'!$B$8*('Business Case'!B11*$C365*'Business Case'!B12*$B365)-'Business Case'!B15*$F365</f>
        <v>-2079272352.58465</v>
      </c>
      <c r="I365" s="39" t="n">
        <f aca="false">(('Business Case'!C11*$C365*'Business Case'!C12*$B365)-'Business Case'!C11*$C365*'Business Case'!C13*$D365-'Business Case'!C14*$E365)-MAX(0,(('Business Case'!C11*$C365*'Business Case'!C12*$B365)-'Business Case'!C11*$C365*'Business Case'!C13*$D365-'Business Case'!C14*$E365))*'Business Case'!$B$7-'Business Case'!$B$8*(('Business Case'!C11*$C365*'Business Case'!C12*$B365)-('Business Case'!B11*$C365*'Business Case'!B12*$B365))-'Business Case'!C15*$F365</f>
        <v>-13685637.4541172</v>
      </c>
      <c r="J365" s="39" t="n">
        <f aca="false">(('Business Case'!D11*$C365*'Business Case'!D12*$B365)-'Business Case'!D11*$C365*'Business Case'!D13*$D365-'Business Case'!D14*$E365)-MAX(0,(('Business Case'!D11*$C365*'Business Case'!D12*$B365)-'Business Case'!D11*$C365*'Business Case'!D13*$D365-'Business Case'!D14*$E365))*'Business Case'!$B$7-'Business Case'!$B$8*(('Business Case'!D11*$C365*'Business Case'!D12*$B365)-('Business Case'!C11*$C365*'Business Case'!C12*$B365))-'Business Case'!D15*$F365</f>
        <v>269541490.219413</v>
      </c>
      <c r="K365" s="39" t="n">
        <f aca="false">(('Business Case'!E11*$C365*'Business Case'!E12*$B365)-'Business Case'!E11*$C365*'Business Case'!E13*$D365-'Business Case'!E14*$E365)-MAX(0,(('Business Case'!E11*$C365*'Business Case'!E12*$B365)-'Business Case'!E11*$C365*'Business Case'!E13*$D365-'Business Case'!E14*$E365))*'Business Case'!$B$7-'Business Case'!$B$8*(('Business Case'!E11*$C365*'Business Case'!E12*$B365)-('Business Case'!D11*$C365*'Business Case'!D12*$B365))-'Business Case'!E15*$F365</f>
        <v>604750426.707558</v>
      </c>
      <c r="L365" s="39" t="n">
        <f aca="false">(('Business Case'!F11*$C365*'Business Case'!F12*$B365)-'Business Case'!F11*$C365*'Business Case'!F13*$D365-'Business Case'!F14*$E365)-MAX(0,(('Business Case'!F11*$C365*'Business Case'!F12*$B365)-'Business Case'!F11*$C365*'Business Case'!F13*$D365-'Business Case'!F14*$E365))*'Business Case'!$B$7-'Business Case'!$B$8*(('Business Case'!F11*$C365*'Business Case'!F12*$B365)-('Business Case'!E11*$C365*'Business Case'!E12*$B365))-'Business Case'!F15*$F365</f>
        <v>730126315.364661</v>
      </c>
      <c r="M365" s="39" t="n">
        <f aca="false">(('Business Case'!G11*$C365*'Business Case'!G12*$B365)-'Business Case'!G11*$C365*'Business Case'!G13*$D365-'Business Case'!G14*$E365)-MAX(0,(('Business Case'!G11*$C365*'Business Case'!G12*$B365)-'Business Case'!G11*$C365*'Business Case'!G13*$D365-'Business Case'!G14*$E365))*'Business Case'!$B$7-'Business Case'!$B$8*(('Business Case'!G11*$C365*'Business Case'!G12*$B365)-('Business Case'!F11*$C365*'Business Case'!F12*$B365))-'Business Case'!G15*$F365+'Business Case'!$B$8*('Business Case'!G11*$C365*'Business Case'!G12*$B365)</f>
        <v>900443968.910588</v>
      </c>
      <c r="N365" s="39" t="n">
        <f aca="false">IF(COUNT('Business Case'!B11:G11)=0,"",H365+NPV(G365,I365:M365))</f>
        <v>-383311842.372459</v>
      </c>
      <c r="P365" s="40" t="n">
        <f aca="true">RAND()</f>
        <v>0.807435941064002</v>
      </c>
      <c r="Q365" s="40" t="n">
        <f aca="true">RAND()</f>
        <v>0.109408627890315</v>
      </c>
      <c r="R365" s="40" t="n">
        <f aca="true">RAND()</f>
        <v>0.270984460151636</v>
      </c>
      <c r="S365" s="40" t="n">
        <f aca="true">RAND()</f>
        <v>0.675487748271845</v>
      </c>
      <c r="T365" s="40" t="n">
        <f aca="true">RAND()</f>
        <v>0.485668880917076</v>
      </c>
      <c r="U365" s="40" t="n">
        <f aca="true">RAND()</f>
        <v>0.598190602429468</v>
      </c>
    </row>
    <row r="366" customFormat="false" ht="15" hidden="false" customHeight="false" outlineLevel="0" collapsed="false">
      <c r="A366" s="36" t="n">
        <v>286</v>
      </c>
      <c r="B366" s="37" t="n">
        <f aca="false">1+IF($G$6=$E$6,$F$6,IF(P366&lt;($F$6-$E$6)/($G$6-$E$6),$E$6+SQRT(P366*($G$6-$E$6)*($F$6-$E$6)),$G$6-SQRT((1-P366)*($G$6-$E$6)*($G$6-$F$6))))</f>
        <v>0.986392932786895</v>
      </c>
      <c r="C366" s="37" t="n">
        <f aca="false">1+IF($G$7=$E$7,$F$7,IF(Q366&lt;($F$7-$E$7)/($G$7-$E$7),$E$7+SQRT(Q366*($G$7-$E$7)*($F$7-$E$7)),$G$7-SQRT((1-Q366)*($G$7-$E$7)*($G$7-$F$7))))</f>
        <v>0.92060295980119</v>
      </c>
      <c r="D366" s="37" t="n">
        <f aca="false">1+IF($G$8=$E$8,$F$8,IF(R366&lt;($F$8-$E$8)/($G$8-$E$8),$E$8+SQRT(R366*($G$8-$E$8)*($F$8-$E$8)),$G$8-SQRT((1-R366)*($G$8-$E$8)*($G$8-$F$8))))</f>
        <v>1.01891364239005</v>
      </c>
      <c r="E366" s="37" t="n">
        <f aca="false">1+IF($G$9=$E$9,$F$9,IF(S366&lt;($F$9-$E$9)/($G$9-$E$9),$E$9+SQRT(S366*($G$9-$E$9)*($F$9-$E$9)),$G$9-SQRT((1-S366)*($G$9-$E$9)*($G$9-$F$9))))</f>
        <v>0.986039927038539</v>
      </c>
      <c r="F366" s="37" t="n">
        <f aca="false">1+IF($G$10=$E$10,$F$10,IF(T366&lt;($F$10-$E$10)/($G$10-$E$10),$E$10+SQRT(T366*($G$10-$E$10)*($F$10-$E$10)),$G$10-SQRT((1-T366)*($G$10-$E$10)*($G$10-$F$10))))</f>
        <v>1.01283471781478</v>
      </c>
      <c r="G366" s="38" t="n">
        <f aca="false">IF($G$11=$E$11,$F$11,IF(U366&lt;($F$11-$E$11)/($G$11-$E$11),$E$11+SQRT(U366*($G$11-$E$11)*($F$11-$E$11)),$G$11-SQRT((1-U366)*($G$11-$E$11)*($G$11-$F$11))))</f>
        <v>0.116723647470379</v>
      </c>
      <c r="H366" s="39" t="n">
        <f aca="false">(('Business Case'!B11*$C366*'Business Case'!B12*$B366)-'Business Case'!B11*$C366*'Business Case'!B13*$D366-'Business Case'!B14*$E366)-MAX(0,(('Business Case'!B11*$C366*'Business Case'!B12*$B366)-'Business Case'!B11*$C366*'Business Case'!B13*$D366-'Business Case'!B14*$E366))*'Business Case'!$B$7-'Business Case'!$B$8*('Business Case'!B11*$C366*'Business Case'!B12*$B366)-'Business Case'!B15*$F366</f>
        <v>-2025669435.62956</v>
      </c>
      <c r="I366" s="39" t="n">
        <f aca="false">(('Business Case'!C11*$C366*'Business Case'!C12*$B366)-'Business Case'!C11*$C366*'Business Case'!C13*$D366-'Business Case'!C14*$E366)-MAX(0,(('Business Case'!C11*$C366*'Business Case'!C12*$B366)-'Business Case'!C11*$C366*'Business Case'!C13*$D366-'Business Case'!C14*$E366))*'Business Case'!$B$7-'Business Case'!$B$8*(('Business Case'!C11*$C366*'Business Case'!C12*$B366)-('Business Case'!B11*$C366*'Business Case'!B12*$B366))-'Business Case'!C15*$F366</f>
        <v>-24981784.5883946</v>
      </c>
      <c r="J366" s="39" t="n">
        <f aca="false">(('Business Case'!D11*$C366*'Business Case'!D12*$B366)-'Business Case'!D11*$C366*'Business Case'!D13*$D366-'Business Case'!D14*$E366)-MAX(0,(('Business Case'!D11*$C366*'Business Case'!D12*$B366)-'Business Case'!D11*$C366*'Business Case'!D13*$D366-'Business Case'!D14*$E366))*'Business Case'!$B$7-'Business Case'!$B$8*(('Business Case'!D11*$C366*'Business Case'!D12*$B366)-('Business Case'!C11*$C366*'Business Case'!C12*$B366))-'Business Case'!D15*$F366</f>
        <v>238609453.208448</v>
      </c>
      <c r="K366" s="39" t="n">
        <f aca="false">(('Business Case'!E11*$C366*'Business Case'!E12*$B366)-'Business Case'!E11*$C366*'Business Case'!E13*$D366-'Business Case'!E14*$E366)-MAX(0,(('Business Case'!E11*$C366*'Business Case'!E12*$B366)-'Business Case'!E11*$C366*'Business Case'!E13*$D366-'Business Case'!E14*$E366))*'Business Case'!$B$7-'Business Case'!$B$8*(('Business Case'!E11*$C366*'Business Case'!E12*$B366)-('Business Case'!D11*$C366*'Business Case'!D12*$B366))-'Business Case'!E15*$F366</f>
        <v>552842426.896029</v>
      </c>
      <c r="L366" s="39" t="n">
        <f aca="false">(('Business Case'!F11*$C366*'Business Case'!F12*$B366)-'Business Case'!F11*$C366*'Business Case'!F13*$D366-'Business Case'!F14*$E366)-MAX(0,(('Business Case'!F11*$C366*'Business Case'!F12*$B366)-'Business Case'!F11*$C366*'Business Case'!F13*$D366-'Business Case'!F14*$E366))*'Business Case'!$B$7-'Business Case'!$B$8*(('Business Case'!F11*$C366*'Business Case'!F12*$B366)-('Business Case'!E11*$C366*'Business Case'!E12*$B366))-'Business Case'!F15*$F366</f>
        <v>672089288.147563</v>
      </c>
      <c r="M366" s="39" t="n">
        <f aca="false">(('Business Case'!G11*$C366*'Business Case'!G12*$B366)-'Business Case'!G11*$C366*'Business Case'!G13*$D366-'Business Case'!G14*$E366)-MAX(0,(('Business Case'!G11*$C366*'Business Case'!G12*$B366)-'Business Case'!G11*$C366*'Business Case'!G13*$D366-'Business Case'!G14*$E366))*'Business Case'!$B$7-'Business Case'!$B$8*(('Business Case'!G11*$C366*'Business Case'!G12*$B366)-('Business Case'!F11*$C366*'Business Case'!F12*$B366))-'Business Case'!G15*$F366+'Business Case'!$B$8*('Business Case'!G11*$C366*'Business Case'!G12*$B366)</f>
        <v>844696422.403451</v>
      </c>
      <c r="N366" s="39" t="n">
        <f aca="false">IF(COUNT('Business Case'!B11:G11)=0,"",H366+NPV(G366,I366:M366))</f>
        <v>-541192764.733387</v>
      </c>
      <c r="P366" s="40" t="n">
        <f aca="true">RAND()</f>
        <v>0.459168908754707</v>
      </c>
      <c r="Q366" s="40" t="n">
        <f aca="true">RAND()</f>
        <v>0.207786770182964</v>
      </c>
      <c r="R366" s="40" t="n">
        <f aca="true">RAND()</f>
        <v>0.641197780187422</v>
      </c>
      <c r="S366" s="40" t="n">
        <f aca="true">RAND()</f>
        <v>0.173183512125759</v>
      </c>
      <c r="T366" s="40" t="n">
        <f aca="true">RAND()</f>
        <v>0.299383142890534</v>
      </c>
      <c r="U366" s="40" t="n">
        <f aca="true">RAND()</f>
        <v>0.982109190169407</v>
      </c>
    </row>
    <row r="367" customFormat="false" ht="15" hidden="false" customHeight="false" outlineLevel="0" collapsed="false">
      <c r="A367" s="36" t="n">
        <v>287</v>
      </c>
      <c r="B367" s="37" t="n">
        <f aca="false">1+IF($G$6=$E$6,$F$6,IF(P367&lt;($F$6-$E$6)/($G$6-$E$6),$E$6+SQRT(P367*($G$6-$E$6)*($F$6-$E$6)),$G$6-SQRT((1-P367)*($G$6-$E$6)*($G$6-$F$6))))</f>
        <v>1.00033013508073</v>
      </c>
      <c r="C367" s="37" t="n">
        <f aca="false">1+IF($G$7=$E$7,$F$7,IF(Q367&lt;($F$7-$E$7)/($G$7-$E$7),$E$7+SQRT(Q367*($G$7-$E$7)*($F$7-$E$7)),$G$7-SQRT((1-Q367)*($G$7-$E$7)*($G$7-$F$7))))</f>
        <v>0.99025563514737</v>
      </c>
      <c r="D367" s="37" t="n">
        <f aca="false">1+IF($G$8=$E$8,$F$8,IF(R367&lt;($F$8-$E$8)/($G$8-$E$8),$E$8+SQRT(R367*($G$8-$E$8)*($F$8-$E$8)),$G$8-SQRT((1-R367)*($G$8-$E$8)*($G$8-$F$8))))</f>
        <v>0.995863109924079</v>
      </c>
      <c r="E367" s="37" t="n">
        <f aca="false">1+IF($G$9=$E$9,$F$9,IF(S367&lt;($F$9-$E$9)/($G$9-$E$9),$E$9+SQRT(S367*($G$9-$E$9)*($F$9-$E$9)),$G$9-SQRT((1-S367)*($G$9-$E$9)*($G$9-$F$9))))</f>
        <v>0.987820828710858</v>
      </c>
      <c r="F367" s="37" t="n">
        <f aca="false">1+IF($G$10=$E$10,$F$10,IF(T367&lt;($F$10-$E$10)/($G$10-$E$10),$E$10+SQRT(T367*($G$10-$E$10)*($F$10-$E$10)),$G$10-SQRT((1-T367)*($G$10-$E$10)*($G$10-$F$10))))</f>
        <v>1.08293421888327</v>
      </c>
      <c r="G367" s="38" t="n">
        <f aca="false">IF($G$11=$E$11,$F$11,IF(U367&lt;($F$11-$E$11)/($G$11-$E$11),$E$11+SQRT(U367*($G$11-$E$11)*($F$11-$E$11)),$G$11-SQRT((1-U367)*($G$11-$E$11)*($G$11-$F$11))))</f>
        <v>0.101125309640415</v>
      </c>
      <c r="H367" s="39" t="n">
        <f aca="false">(('Business Case'!B11*$C367*'Business Case'!B12*$B367)-'Business Case'!B11*$C367*'Business Case'!B13*$D367-'Business Case'!B14*$E367)-MAX(0,(('Business Case'!B11*$C367*'Business Case'!B12*$B367)-'Business Case'!B11*$C367*'Business Case'!B13*$D367-'Business Case'!B14*$E367))*'Business Case'!$B$7-'Business Case'!$B$8*('Business Case'!B11*$C367*'Business Case'!B12*$B367)-'Business Case'!B15*$F367</f>
        <v>-2165868437.76655</v>
      </c>
      <c r="I367" s="39" t="n">
        <f aca="false">(('Business Case'!C11*$C367*'Business Case'!C12*$B367)-'Business Case'!C11*$C367*'Business Case'!C13*$D367-'Business Case'!C14*$E367)-MAX(0,(('Business Case'!C11*$C367*'Business Case'!C12*$B367)-'Business Case'!C11*$C367*'Business Case'!C13*$D367-'Business Case'!C14*$E367))*'Business Case'!$B$7-'Business Case'!$B$8*(('Business Case'!C11*$C367*'Business Case'!C12*$B367)-('Business Case'!B11*$C367*'Business Case'!B12*$B367))-'Business Case'!C15*$F367</f>
        <v>6410545.60893859</v>
      </c>
      <c r="J367" s="39" t="n">
        <f aca="false">(('Business Case'!D11*$C367*'Business Case'!D12*$B367)-'Business Case'!D11*$C367*'Business Case'!D13*$D367-'Business Case'!D14*$E367)-MAX(0,(('Business Case'!D11*$C367*'Business Case'!D12*$B367)-'Business Case'!D11*$C367*'Business Case'!D13*$D367-'Business Case'!D14*$E367))*'Business Case'!$B$7-'Business Case'!$B$8*(('Business Case'!D11*$C367*'Business Case'!D12*$B367)-('Business Case'!C11*$C367*'Business Case'!C12*$B367))-'Business Case'!D15*$F367</f>
        <v>312934434.510479</v>
      </c>
      <c r="K367" s="39" t="n">
        <f aca="false">(('Business Case'!E11*$C367*'Business Case'!E12*$B367)-'Business Case'!E11*$C367*'Business Case'!E13*$D367-'Business Case'!E14*$E367)-MAX(0,(('Business Case'!E11*$C367*'Business Case'!E12*$B367)-'Business Case'!E11*$C367*'Business Case'!E13*$D367-'Business Case'!E14*$E367))*'Business Case'!$B$7-'Business Case'!$B$8*(('Business Case'!E11*$C367*'Business Case'!E12*$B367)-('Business Case'!D11*$C367*'Business Case'!D12*$B367))-'Business Case'!E15*$F367</f>
        <v>673605034.356183</v>
      </c>
      <c r="L367" s="39" t="n">
        <f aca="false">(('Business Case'!F11*$C367*'Business Case'!F12*$B367)-'Business Case'!F11*$C367*'Business Case'!F13*$D367-'Business Case'!F14*$E367)-MAX(0,(('Business Case'!F11*$C367*'Business Case'!F12*$B367)-'Business Case'!F11*$C367*'Business Case'!F13*$D367-'Business Case'!F14*$E367))*'Business Case'!$B$7-'Business Case'!$B$8*(('Business Case'!F11*$C367*'Business Case'!F12*$B367)-('Business Case'!E11*$C367*'Business Case'!E12*$B367))-'Business Case'!F15*$F367</f>
        <v>810014197.03109</v>
      </c>
      <c r="M367" s="39" t="n">
        <f aca="false">(('Business Case'!G11*$C367*'Business Case'!G12*$B367)-'Business Case'!G11*$C367*'Business Case'!G13*$D367-'Business Case'!G14*$E367)-MAX(0,(('Business Case'!G11*$C367*'Business Case'!G12*$B367)-'Business Case'!G11*$C367*'Business Case'!G13*$D367-'Business Case'!G14*$E367))*'Business Case'!$B$7-'Business Case'!$B$8*(('Business Case'!G11*$C367*'Business Case'!G12*$B367)-('Business Case'!F11*$C367*'Business Case'!F12*$B367))-'Business Case'!G15*$F367+'Business Case'!$B$8*('Business Case'!G11*$C367*'Business Case'!G12*$B367)</f>
        <v>998304128.756922</v>
      </c>
      <c r="N367" s="39" t="n">
        <f aca="false">IF(COUNT('Business Case'!B11:G11)=0,"",H367+NPV(G367,I367:M367))</f>
        <v>-229712232.128828</v>
      </c>
      <c r="P367" s="40" t="n">
        <f aca="true">RAND()</f>
        <v>0.672146211934746</v>
      </c>
      <c r="Q367" s="40" t="n">
        <f aca="true">RAND()</f>
        <v>0.517102952933274</v>
      </c>
      <c r="R367" s="40" t="n">
        <f aca="true">RAND()</f>
        <v>0.323603823370484</v>
      </c>
      <c r="S367" s="40" t="n">
        <f aca="true">RAND()</f>
        <v>0.19072201125014</v>
      </c>
      <c r="T367" s="40" t="n">
        <f aca="true">RAND()</f>
        <v>0.725912057830612</v>
      </c>
      <c r="U367" s="40" t="n">
        <f aca="true">RAND()</f>
        <v>0.406243439716322</v>
      </c>
    </row>
    <row r="368" customFormat="false" ht="15" hidden="false" customHeight="false" outlineLevel="0" collapsed="false">
      <c r="A368" s="36" t="n">
        <v>288</v>
      </c>
      <c r="B368" s="37" t="n">
        <f aca="false">1+IF($G$6=$E$6,$F$6,IF(P368&lt;($F$6-$E$6)/($G$6-$E$6),$E$6+SQRT(P368*($G$6-$E$6)*($F$6-$E$6)),$G$6-SQRT((1-P368)*($G$6-$E$6)*($G$6-$F$6))))</f>
        <v>0.971034938930219</v>
      </c>
      <c r="C368" s="37" t="n">
        <f aca="false">1+IF($G$7=$E$7,$F$7,IF(Q368&lt;($F$7-$E$7)/($G$7-$E$7),$E$7+SQRT(Q368*($G$7-$E$7)*($F$7-$E$7)),$G$7-SQRT((1-Q368)*($G$7-$E$7)*($G$7-$F$7))))</f>
        <v>0.948557596991746</v>
      </c>
      <c r="D368" s="37" t="n">
        <f aca="false">1+IF($G$8=$E$8,$F$8,IF(R368&lt;($F$8-$E$8)/($G$8-$E$8),$E$8+SQRT(R368*($G$8-$E$8)*($F$8-$E$8)),$G$8-SQRT((1-R368)*($G$8-$E$8)*($G$8-$F$8))))</f>
        <v>0.99840268306834</v>
      </c>
      <c r="E368" s="37" t="n">
        <f aca="false">1+IF($G$9=$E$9,$F$9,IF(S368&lt;($F$9-$E$9)/($G$9-$E$9),$E$9+SQRT(S368*($G$9-$E$9)*($F$9-$E$9)),$G$9-SQRT((1-S368)*($G$9-$E$9)*($G$9-$F$9))))</f>
        <v>0.956742036869568</v>
      </c>
      <c r="F368" s="37" t="n">
        <f aca="false">1+IF($G$10=$E$10,$F$10,IF(T368&lt;($F$10-$E$10)/($G$10-$E$10),$E$10+SQRT(T368*($G$10-$E$10)*($F$10-$E$10)),$G$10-SQRT((1-T368)*($G$10-$E$10)*($G$10-$F$10))))</f>
        <v>1.17803561010908</v>
      </c>
      <c r="G368" s="38" t="n">
        <f aca="false">IF($G$11=$E$11,$F$11,IF(U368&lt;($F$11-$E$11)/($G$11-$E$11),$E$11+SQRT(U368*($G$11-$E$11)*($F$11-$E$11)),$G$11-SQRT((1-U368)*($G$11-$E$11)*($G$11-$F$11))))</f>
        <v>0.101391134579746</v>
      </c>
      <c r="H368" s="39" t="n">
        <f aca="false">(('Business Case'!B11*$C368*'Business Case'!B12*$B368)-'Business Case'!B11*$C368*'Business Case'!B13*$D368-'Business Case'!B14*$E368)-MAX(0,(('Business Case'!B11*$C368*'Business Case'!B12*$B368)-'Business Case'!B11*$C368*'Business Case'!B13*$D368-'Business Case'!B14*$E368))*'Business Case'!$B$7-'Business Case'!$B$8*('Business Case'!B11*$C368*'Business Case'!B12*$B368)-'Business Case'!B15*$F368</f>
        <v>-2356071220.21817</v>
      </c>
      <c r="I368" s="39" t="n">
        <f aca="false">(('Business Case'!C11*$C368*'Business Case'!C12*$B368)-'Business Case'!C11*$C368*'Business Case'!C13*$D368-'Business Case'!C14*$E368)-MAX(0,(('Business Case'!C11*$C368*'Business Case'!C12*$B368)-'Business Case'!C11*$C368*'Business Case'!C13*$D368-'Business Case'!C14*$E368))*'Business Case'!$B$7-'Business Case'!$B$8*(('Business Case'!C11*$C368*'Business Case'!C12*$B368)-('Business Case'!B11*$C368*'Business Case'!B12*$B368))-'Business Case'!C15*$F368</f>
        <v>-31978228.5806779</v>
      </c>
      <c r="J368" s="39" t="n">
        <f aca="false">(('Business Case'!D11*$C368*'Business Case'!D12*$B368)-'Business Case'!D11*$C368*'Business Case'!D13*$D368-'Business Case'!D14*$E368)-MAX(0,(('Business Case'!D11*$C368*'Business Case'!D12*$B368)-'Business Case'!D11*$C368*'Business Case'!D13*$D368-'Business Case'!D14*$E368))*'Business Case'!$B$7-'Business Case'!$B$8*(('Business Case'!D11*$C368*'Business Case'!D12*$B368)-('Business Case'!C11*$C368*'Business Case'!C12*$B368))-'Business Case'!D15*$F368</f>
        <v>237644741.83135</v>
      </c>
      <c r="K368" s="39" t="n">
        <f aca="false">(('Business Case'!E11*$C368*'Business Case'!E12*$B368)-'Business Case'!E11*$C368*'Business Case'!E13*$D368-'Business Case'!E14*$E368)-MAX(0,(('Business Case'!E11*$C368*'Business Case'!E12*$B368)-'Business Case'!E11*$C368*'Business Case'!E13*$D368-'Business Case'!E14*$E368))*'Business Case'!$B$7-'Business Case'!$B$8*(('Business Case'!E11*$C368*'Business Case'!E12*$B368)-('Business Case'!D11*$C368*'Business Case'!D12*$B368))-'Business Case'!E15*$F368</f>
        <v>566169492.748831</v>
      </c>
      <c r="L368" s="39" t="n">
        <f aca="false">(('Business Case'!F11*$C368*'Business Case'!F12*$B368)-'Business Case'!F11*$C368*'Business Case'!F13*$D368-'Business Case'!F14*$E368)-MAX(0,(('Business Case'!F11*$C368*'Business Case'!F12*$B368)-'Business Case'!F11*$C368*'Business Case'!F13*$D368-'Business Case'!F14*$E368))*'Business Case'!$B$7-'Business Case'!$B$8*(('Business Case'!F11*$C368*'Business Case'!F12*$B368)-('Business Case'!E11*$C368*'Business Case'!E12*$B368))-'Business Case'!F15*$F368</f>
        <v>687876429.778803</v>
      </c>
      <c r="M368" s="39" t="n">
        <f aca="false">(('Business Case'!G11*$C368*'Business Case'!G12*$B368)-'Business Case'!G11*$C368*'Business Case'!G13*$D368-'Business Case'!G14*$E368)-MAX(0,(('Business Case'!G11*$C368*'Business Case'!G12*$B368)-'Business Case'!G11*$C368*'Business Case'!G13*$D368-'Business Case'!G14*$E368))*'Business Case'!$B$7-'Business Case'!$B$8*(('Business Case'!G11*$C368*'Business Case'!G12*$B368)-('Business Case'!F11*$C368*'Business Case'!F12*$B368))-'Business Case'!G15*$F368+'Business Case'!$B$8*('Business Case'!G11*$C368*'Business Case'!G12*$B368)</f>
        <v>862955804.354933</v>
      </c>
      <c r="N368" s="39" t="n">
        <f aca="false">IF(COUNT('Business Case'!B11:G11)=0,"",H368+NPV(G368,I368:M368))</f>
        <v>-765527195.519033</v>
      </c>
      <c r="P368" s="40" t="n">
        <f aca="true">RAND()</f>
        <v>0.271308853292828</v>
      </c>
      <c r="Q368" s="40" t="n">
        <f aca="true">RAND()</f>
        <v>0.3152765660566</v>
      </c>
      <c r="R368" s="40" t="n">
        <f aca="true">RAND()</f>
        <v>0.360433804340637</v>
      </c>
      <c r="S368" s="40" t="n">
        <f aca="true">RAND()</f>
        <v>0.00606067482008258</v>
      </c>
      <c r="T368" s="40" t="n">
        <f aca="true">RAND()</f>
        <v>0.990351311534396</v>
      </c>
      <c r="U368" s="40" t="n">
        <f aca="true">RAND()</f>
        <v>0.42285021295145</v>
      </c>
    </row>
    <row r="369" customFormat="false" ht="15" hidden="false" customHeight="false" outlineLevel="0" collapsed="false">
      <c r="A369" s="36" t="n">
        <v>289</v>
      </c>
      <c r="B369" s="37" t="n">
        <f aca="false">1+IF($G$6=$E$6,$F$6,IF(P369&lt;($F$6-$E$6)/($G$6-$E$6),$E$6+SQRT(P369*($G$6-$E$6)*($F$6-$E$6)),$G$6-SQRT((1-P369)*($G$6-$E$6)*($G$6-$F$6))))</f>
        <v>0.957593624279324</v>
      </c>
      <c r="C369" s="37" t="n">
        <f aca="false">1+IF($G$7=$E$7,$F$7,IF(Q369&lt;($F$7-$E$7)/($G$7-$E$7),$E$7+SQRT(Q369*($G$7-$E$7)*($F$7-$E$7)),$G$7-SQRT((1-Q369)*($G$7-$E$7)*($G$7-$F$7))))</f>
        <v>1.05634781798604</v>
      </c>
      <c r="D369" s="37" t="n">
        <f aca="false">1+IF($G$8=$E$8,$F$8,IF(R369&lt;($F$8-$E$8)/($G$8-$E$8),$E$8+SQRT(R369*($G$8-$E$8)*($F$8-$E$8)),$G$8-SQRT((1-R369)*($G$8-$E$8)*($G$8-$F$8))))</f>
        <v>1.00767930772979</v>
      </c>
      <c r="E369" s="37" t="n">
        <f aca="false">1+IF($G$9=$E$9,$F$9,IF(S369&lt;($F$9-$E$9)/($G$9-$E$9),$E$9+SQRT(S369*($G$9-$E$9)*($F$9-$E$9)),$G$9-SQRT((1-S369)*($G$9-$E$9)*($G$9-$F$9))))</f>
        <v>1.01174414091157</v>
      </c>
      <c r="F369" s="37" t="n">
        <f aca="false">1+IF($G$10=$E$10,$F$10,IF(T369&lt;($F$10-$E$10)/($G$10-$E$10),$E$10+SQRT(T369*($G$10-$E$10)*($F$10-$E$10)),$G$10-SQRT((1-T369)*($G$10-$E$10)*($G$10-$F$10))))</f>
        <v>1.12181272895914</v>
      </c>
      <c r="G369" s="38" t="n">
        <f aca="false">IF($G$11=$E$11,$F$11,IF(U369&lt;($F$11-$E$11)/($G$11-$E$11),$E$11+SQRT(U369*($G$11-$E$11)*($F$11-$E$11)),$G$11-SQRT((1-U369)*($G$11-$E$11)*($G$11-$F$11))))</f>
        <v>0.10160187039751</v>
      </c>
      <c r="H369" s="39" t="n">
        <f aca="false">(('Business Case'!B11*$C369*'Business Case'!B12*$B369)-'Business Case'!B11*$C369*'Business Case'!B13*$D369-'Business Case'!B14*$E369)-MAX(0,(('Business Case'!B11*$C369*'Business Case'!B12*$B369)-'Business Case'!B11*$C369*'Business Case'!B13*$D369-'Business Case'!B14*$E369))*'Business Case'!$B$7-'Business Case'!$B$8*('Business Case'!B11*$C369*'Business Case'!B12*$B369)-'Business Case'!B15*$F369</f>
        <v>-2243625457.91828</v>
      </c>
      <c r="I369" s="39" t="n">
        <f aca="false">(('Business Case'!C11*$C369*'Business Case'!C12*$B369)-'Business Case'!C11*$C369*'Business Case'!C13*$D369-'Business Case'!C14*$E369)-MAX(0,(('Business Case'!C11*$C369*'Business Case'!C12*$B369)-'Business Case'!C11*$C369*'Business Case'!C13*$D369-'Business Case'!C14*$E369))*'Business Case'!$B$7-'Business Case'!$B$8*(('Business Case'!C11*$C369*'Business Case'!C12*$B369)-('Business Case'!B11*$C369*'Business Case'!B12*$B369))-'Business Case'!C15*$F369</f>
        <v>-24874555.3803595</v>
      </c>
      <c r="J369" s="39" t="n">
        <f aca="false">(('Business Case'!D11*$C369*'Business Case'!D12*$B369)-'Business Case'!D11*$C369*'Business Case'!D13*$D369-'Business Case'!D14*$E369)-MAX(0,(('Business Case'!D11*$C369*'Business Case'!D12*$B369)-'Business Case'!D11*$C369*'Business Case'!D13*$D369-'Business Case'!D14*$E369))*'Business Case'!$B$7-'Business Case'!$B$8*(('Business Case'!D11*$C369*'Business Case'!D12*$B369)-('Business Case'!C11*$C369*'Business Case'!C12*$B369))-'Business Case'!D15*$F369</f>
        <v>258741031.310426</v>
      </c>
      <c r="K369" s="39" t="n">
        <f aca="false">(('Business Case'!E11*$C369*'Business Case'!E12*$B369)-'Business Case'!E11*$C369*'Business Case'!E13*$D369-'Business Case'!E14*$E369)-MAX(0,(('Business Case'!E11*$C369*'Business Case'!E12*$B369)-'Business Case'!E11*$C369*'Business Case'!E13*$D369-'Business Case'!E14*$E369))*'Business Case'!$B$7-'Business Case'!$B$8*(('Business Case'!E11*$C369*'Business Case'!E12*$B369)-('Business Case'!D11*$C369*'Business Case'!D12*$B369))-'Business Case'!E15*$F369</f>
        <v>598447254.449169</v>
      </c>
      <c r="L369" s="39" t="n">
        <f aca="false">(('Business Case'!F11*$C369*'Business Case'!F12*$B369)-'Business Case'!F11*$C369*'Business Case'!F13*$D369-'Business Case'!F14*$E369)-MAX(0,(('Business Case'!F11*$C369*'Business Case'!F12*$B369)-'Business Case'!F11*$C369*'Business Case'!F13*$D369-'Business Case'!F14*$E369))*'Business Case'!$B$7-'Business Case'!$B$8*(('Business Case'!F11*$C369*'Business Case'!F12*$B369)-('Business Case'!E11*$C369*'Business Case'!E12*$B369))-'Business Case'!F15*$F369</f>
        <v>727945018.237835</v>
      </c>
      <c r="M369" s="39" t="n">
        <f aca="false">(('Business Case'!G11*$C369*'Business Case'!G12*$B369)-'Business Case'!G11*$C369*'Business Case'!G13*$D369-'Business Case'!G14*$E369)-MAX(0,(('Business Case'!G11*$C369*'Business Case'!G12*$B369)-'Business Case'!G11*$C369*'Business Case'!G13*$D369-'Business Case'!G14*$E369))*'Business Case'!$B$7-'Business Case'!$B$8*(('Business Case'!G11*$C369*'Business Case'!G12*$B369)-('Business Case'!F11*$C369*'Business Case'!F12*$B369))-'Business Case'!G15*$F369+'Business Case'!$B$8*('Business Case'!G11*$C369*'Business Case'!G12*$B369)</f>
        <v>920220810.142391</v>
      </c>
      <c r="N369" s="39" t="n">
        <f aca="false">IF(COUNT('Business Case'!B11:G11)=0,"",H369+NPV(G369,I369:M369))</f>
        <v>-543774926.229042</v>
      </c>
      <c r="P369" s="40" t="n">
        <f aca="true">RAND()</f>
        <v>0.147216727755723</v>
      </c>
      <c r="Q369" s="40" t="n">
        <f aca="true">RAND()</f>
        <v>0.832938453409995</v>
      </c>
      <c r="R369" s="40" t="n">
        <f aca="true">RAND()</f>
        <v>0.497088218226737</v>
      </c>
      <c r="S369" s="40" t="n">
        <f aca="true">RAND()</f>
        <v>0.48072688910419</v>
      </c>
      <c r="T369" s="40" t="n">
        <f aca="true">RAND()</f>
        <v>0.877735012943665</v>
      </c>
      <c r="U369" s="40" t="n">
        <f aca="true">RAND()</f>
        <v>0.435848045216622</v>
      </c>
    </row>
    <row r="370" customFormat="false" ht="15" hidden="false" customHeight="false" outlineLevel="0" collapsed="false">
      <c r="A370" s="36" t="n">
        <v>290</v>
      </c>
      <c r="B370" s="37" t="n">
        <f aca="false">1+IF($G$6=$E$6,$F$6,IF(P370&lt;($F$6-$E$6)/($G$6-$E$6),$E$6+SQRT(P370*($G$6-$E$6)*($F$6-$E$6)),$G$6-SQRT((1-P370)*($G$6-$E$6)*($G$6-$F$6))))</f>
        <v>0.967937952169749</v>
      </c>
      <c r="C370" s="37" t="n">
        <f aca="false">1+IF($G$7=$E$7,$F$7,IF(Q370&lt;($F$7-$E$7)/($G$7-$E$7),$E$7+SQRT(Q370*($G$7-$E$7)*($F$7-$E$7)),$G$7-SQRT((1-Q370)*($G$7-$E$7)*($G$7-$F$7))))</f>
        <v>0.93278308110179</v>
      </c>
      <c r="D370" s="37" t="n">
        <f aca="false">1+IF($G$8=$E$8,$F$8,IF(R370&lt;($F$8-$E$8)/($G$8-$E$8),$E$8+SQRT(R370*($G$8-$E$8)*($F$8-$E$8)),$G$8-SQRT((1-R370)*($G$8-$E$8)*($G$8-$F$8))))</f>
        <v>0.978348981593835</v>
      </c>
      <c r="E370" s="37" t="n">
        <f aca="false">1+IF($G$9=$E$9,$F$9,IF(S370&lt;($F$9-$E$9)/($G$9-$E$9),$E$9+SQRT(S370*($G$9-$E$9)*($F$9-$E$9)),$G$9-SQRT((1-S370)*($G$9-$E$9)*($G$9-$F$9))))</f>
        <v>0.988115158735475</v>
      </c>
      <c r="F370" s="37" t="n">
        <f aca="false">1+IF($G$10=$E$10,$F$10,IF(T370&lt;($F$10-$E$10)/($G$10-$E$10),$E$10+SQRT(T370*($G$10-$E$10)*($F$10-$E$10)),$G$10-SQRT((1-T370)*($G$10-$E$10)*($G$10-$F$10))))</f>
        <v>0.99659282577845</v>
      </c>
      <c r="G370" s="38" t="n">
        <f aca="false">IF($G$11=$E$11,$F$11,IF(U370&lt;($F$11-$E$11)/($G$11-$E$11),$E$11+SQRT(U370*($G$11-$E$11)*($F$11-$E$11)),$G$11-SQRT((1-U370)*($G$11-$E$11)*($G$11-$F$11))))</f>
        <v>0.0996894849389141</v>
      </c>
      <c r="H370" s="39" t="n">
        <f aca="false">(('Business Case'!B11*$C370*'Business Case'!B12*$B370)-'Business Case'!B11*$C370*'Business Case'!B13*$D370-'Business Case'!B14*$E370)-MAX(0,(('Business Case'!B11*$C370*'Business Case'!B12*$B370)-'Business Case'!B11*$C370*'Business Case'!B13*$D370-'Business Case'!B14*$E370))*'Business Case'!$B$7-'Business Case'!$B$8*('Business Case'!B11*$C370*'Business Case'!B12*$B370)-'Business Case'!B15*$F370</f>
        <v>-1993185651.5569</v>
      </c>
      <c r="I370" s="39" t="n">
        <f aca="false">(('Business Case'!C11*$C370*'Business Case'!C12*$B370)-'Business Case'!C11*$C370*'Business Case'!C13*$D370-'Business Case'!C14*$E370)-MAX(0,(('Business Case'!C11*$C370*'Business Case'!C12*$B370)-'Business Case'!C11*$C370*'Business Case'!C13*$D370-'Business Case'!C14*$E370))*'Business Case'!$B$7-'Business Case'!$B$8*(('Business Case'!C11*$C370*'Business Case'!C12*$B370)-('Business Case'!B11*$C370*'Business Case'!B12*$B370))-'Business Case'!C15*$F370</f>
        <v>-14625517.6694136</v>
      </c>
      <c r="J370" s="39" t="n">
        <f aca="false">(('Business Case'!D11*$C370*'Business Case'!D12*$B370)-'Business Case'!D11*$C370*'Business Case'!D13*$D370-'Business Case'!D14*$E370)-MAX(0,(('Business Case'!D11*$C370*'Business Case'!D12*$B370)-'Business Case'!D11*$C370*'Business Case'!D13*$D370-'Business Case'!D14*$E370))*'Business Case'!$B$7-'Business Case'!$B$8*(('Business Case'!D11*$C370*'Business Case'!D12*$B370)-('Business Case'!C11*$C370*'Business Case'!C12*$B370))-'Business Case'!D15*$F370</f>
        <v>257723322.185641</v>
      </c>
      <c r="K370" s="39" t="n">
        <f aca="false">(('Business Case'!E11*$C370*'Business Case'!E12*$B370)-'Business Case'!E11*$C370*'Business Case'!E13*$D370-'Business Case'!E14*$E370)-MAX(0,(('Business Case'!E11*$C370*'Business Case'!E12*$B370)-'Business Case'!E11*$C370*'Business Case'!E13*$D370-'Business Case'!E14*$E370))*'Business Case'!$B$7-'Business Case'!$B$8*(('Business Case'!E11*$C370*'Business Case'!E12*$B370)-('Business Case'!D11*$C370*'Business Case'!D12*$B370))-'Business Case'!E15*$F370</f>
        <v>579901803.329619</v>
      </c>
      <c r="L370" s="39" t="n">
        <f aca="false">(('Business Case'!F11*$C370*'Business Case'!F12*$B370)-'Business Case'!F11*$C370*'Business Case'!F13*$D370-'Business Case'!F14*$E370)-MAX(0,(('Business Case'!F11*$C370*'Business Case'!F12*$B370)-'Business Case'!F11*$C370*'Business Case'!F13*$D370-'Business Case'!F14*$E370))*'Business Case'!$B$7-'Business Case'!$B$8*(('Business Case'!F11*$C370*'Business Case'!F12*$B370)-('Business Case'!E11*$C370*'Business Case'!E12*$B370))-'Business Case'!F15*$F370</f>
        <v>701888149.530929</v>
      </c>
      <c r="M370" s="39" t="n">
        <f aca="false">(('Business Case'!G11*$C370*'Business Case'!G12*$B370)-'Business Case'!G11*$C370*'Business Case'!G13*$D370-'Business Case'!G14*$E370)-MAX(0,(('Business Case'!G11*$C370*'Business Case'!G12*$B370)-'Business Case'!G11*$C370*'Business Case'!G13*$D370-'Business Case'!G14*$E370))*'Business Case'!$B$7-'Business Case'!$B$8*(('Business Case'!G11*$C370*'Business Case'!G12*$B370)-('Business Case'!F11*$C370*'Business Case'!F12*$B370))-'Business Case'!G15*$F370+'Business Case'!$B$8*('Business Case'!G11*$C370*'Business Case'!G12*$B370)</f>
        <v>873506847.237205</v>
      </c>
      <c r="N370" s="39" t="n">
        <f aca="false">IF(COUNT('Business Case'!B11:G11)=0,"",H370+NPV(G370,I370:M370))</f>
        <v>-334226613.56739</v>
      </c>
      <c r="P370" s="40" t="n">
        <f aca="true">RAND()</f>
        <v>0.239379922732202</v>
      </c>
      <c r="Q370" s="40" t="n">
        <f aca="true">RAND()</f>
        <v>0.251876380384067</v>
      </c>
      <c r="R370" s="40" t="n">
        <f aca="true">RAND()</f>
        <v>0.123640731908859</v>
      </c>
      <c r="S370" s="40" t="n">
        <f aca="true">RAND()</f>
        <v>0.193702043390725</v>
      </c>
      <c r="T370" s="40" t="n">
        <f aca="true">RAND()</f>
        <v>0.173671313121682</v>
      </c>
      <c r="U370" s="40" t="n">
        <f aca="true">RAND()</f>
        <v>0.312953727938144</v>
      </c>
    </row>
    <row r="371" customFormat="false" ht="15" hidden="false" customHeight="false" outlineLevel="0" collapsed="false">
      <c r="A371" s="36" t="n">
        <v>291</v>
      </c>
      <c r="B371" s="37" t="n">
        <f aca="false">1+IF($G$6=$E$6,$F$6,IF(P371&lt;($F$6-$E$6)/($G$6-$E$6),$E$6+SQRT(P371*($G$6-$E$6)*($F$6-$E$6)),$G$6-SQRT((1-P371)*($G$6-$E$6)*($G$6-$F$6))))</f>
        <v>1.00839654870054</v>
      </c>
      <c r="C371" s="37" t="n">
        <f aca="false">1+IF($G$7=$E$7,$F$7,IF(Q371&lt;($F$7-$E$7)/($G$7-$E$7),$E$7+SQRT(Q371*($G$7-$E$7)*($F$7-$E$7)),$G$7-SQRT((1-Q371)*($G$7-$E$7)*($G$7-$F$7))))</f>
        <v>0.864250871726193</v>
      </c>
      <c r="D371" s="37" t="n">
        <f aca="false">1+IF($G$8=$E$8,$F$8,IF(R371&lt;($F$8-$E$8)/($G$8-$E$8),$E$8+SQRT(R371*($G$8-$E$8)*($F$8-$E$8)),$G$8-SQRT((1-R371)*($G$8-$E$8)*($G$8-$F$8))))</f>
        <v>0.975483692502189</v>
      </c>
      <c r="E371" s="37" t="n">
        <f aca="false">1+IF($G$9=$E$9,$F$9,IF(S371&lt;($F$9-$E$9)/($G$9-$E$9),$E$9+SQRT(S371*($G$9-$E$9)*($F$9-$E$9)),$G$9-SQRT((1-S371)*($G$9-$E$9)*($G$9-$F$9))))</f>
        <v>1.04622623066498</v>
      </c>
      <c r="F371" s="37" t="n">
        <f aca="false">1+IF($G$10=$E$10,$F$10,IF(T371&lt;($F$10-$E$10)/($G$10-$E$10),$E$10+SQRT(T371*($G$10-$E$10)*($F$10-$E$10)),$G$10-SQRT((1-T371)*($G$10-$E$10)*($G$10-$F$10))))</f>
        <v>1.08065171801134</v>
      </c>
      <c r="G371" s="38" t="n">
        <f aca="false">IF($G$11=$E$11,$F$11,IF(U371&lt;($F$11-$E$11)/($G$11-$E$11),$E$11+SQRT(U371*($G$11-$E$11)*($F$11-$E$11)),$G$11-SQRT((1-U371)*($G$11-$E$11)*($G$11-$F$11))))</f>
        <v>0.107059062000128</v>
      </c>
      <c r="H371" s="39" t="n">
        <f aca="false">(('Business Case'!B11*$C371*'Business Case'!B12*$B371)-'Business Case'!B11*$C371*'Business Case'!B13*$D371-'Business Case'!B14*$E371)-MAX(0,(('Business Case'!B11*$C371*'Business Case'!B12*$B371)-'Business Case'!B11*$C371*'Business Case'!B13*$D371-'Business Case'!B14*$E371))*'Business Case'!$B$7-'Business Case'!$B$8*('Business Case'!B11*$C371*'Business Case'!B12*$B371)-'Business Case'!B15*$F371</f>
        <v>-2161303436.02267</v>
      </c>
      <c r="I371" s="39" t="n">
        <f aca="false">(('Business Case'!C11*$C371*'Business Case'!C12*$B371)-'Business Case'!C11*$C371*'Business Case'!C13*$D371-'Business Case'!C14*$E371)-MAX(0,(('Business Case'!C11*$C371*'Business Case'!C12*$B371)-'Business Case'!C11*$C371*'Business Case'!C13*$D371-'Business Case'!C14*$E371))*'Business Case'!$B$7-'Business Case'!$B$8*(('Business Case'!C11*$C371*'Business Case'!C12*$B371)-('Business Case'!B11*$C371*'Business Case'!B12*$B371))-'Business Case'!C15*$F371</f>
        <v>-19770648.0763658</v>
      </c>
      <c r="J371" s="39" t="n">
        <f aca="false">(('Business Case'!D11*$C371*'Business Case'!D12*$B371)-'Business Case'!D11*$C371*'Business Case'!D13*$D371-'Business Case'!D14*$E371)-MAX(0,(('Business Case'!D11*$C371*'Business Case'!D12*$B371)-'Business Case'!D11*$C371*'Business Case'!D13*$D371-'Business Case'!D14*$E371))*'Business Case'!$B$7-'Business Case'!$B$8*(('Business Case'!D11*$C371*'Business Case'!D12*$B371)-('Business Case'!C11*$C371*'Business Case'!C12*$B371))-'Business Case'!D15*$F371</f>
        <v>262476199.439087</v>
      </c>
      <c r="K371" s="39" t="n">
        <f aca="false">(('Business Case'!E11*$C371*'Business Case'!E12*$B371)-'Business Case'!E11*$C371*'Business Case'!E13*$D371-'Business Case'!E14*$E371)-MAX(0,(('Business Case'!E11*$C371*'Business Case'!E12*$B371)-'Business Case'!E11*$C371*'Business Case'!E13*$D371-'Business Case'!E14*$E371))*'Business Case'!$B$7-'Business Case'!$B$8*(('Business Case'!E11*$C371*'Business Case'!E12*$B371)-('Business Case'!D11*$C371*'Business Case'!D12*$B371))-'Business Case'!E15*$F371</f>
        <v>598755632.855106</v>
      </c>
      <c r="L371" s="39" t="n">
        <f aca="false">(('Business Case'!F11*$C371*'Business Case'!F12*$B371)-'Business Case'!F11*$C371*'Business Case'!F13*$D371-'Business Case'!F14*$E371)-MAX(0,(('Business Case'!F11*$C371*'Business Case'!F12*$B371)-'Business Case'!F11*$C371*'Business Case'!F13*$D371-'Business Case'!F14*$E371))*'Business Case'!$B$7-'Business Case'!$B$8*(('Business Case'!F11*$C371*'Business Case'!F12*$B371)-('Business Case'!E11*$C371*'Business Case'!E12*$B371))-'Business Case'!F15*$F371</f>
        <v>722957217.887007</v>
      </c>
      <c r="M371" s="39" t="n">
        <f aca="false">(('Business Case'!G11*$C371*'Business Case'!G12*$B371)-'Business Case'!G11*$C371*'Business Case'!G13*$D371-'Business Case'!G14*$E371)-MAX(0,(('Business Case'!G11*$C371*'Business Case'!G12*$B371)-'Business Case'!G11*$C371*'Business Case'!G13*$D371-'Business Case'!G14*$E371))*'Business Case'!$B$7-'Business Case'!$B$8*(('Business Case'!G11*$C371*'Business Case'!G12*$B371)-('Business Case'!F11*$C371*'Business Case'!F12*$B371))-'Business Case'!G15*$F371+'Business Case'!$B$8*('Business Case'!G11*$C371*'Business Case'!G12*$B371)</f>
        <v>888613381.784132</v>
      </c>
      <c r="N371" s="39" t="n">
        <f aca="false">IF(COUNT('Business Case'!B11:G11)=0,"",H371+NPV(G371,I371:M371))</f>
        <v>-507988115.525031</v>
      </c>
      <c r="P371" s="40" t="n">
        <f aca="true">RAND()</f>
        <v>0.791921222075523</v>
      </c>
      <c r="Q371" s="40" t="n">
        <f aca="true">RAND()</f>
        <v>0.0589739216796533</v>
      </c>
      <c r="R371" s="40" t="n">
        <f aca="true">RAND()</f>
        <v>0.0999105513147898</v>
      </c>
      <c r="S371" s="40" t="n">
        <f aca="true">RAND()</f>
        <v>0.807225448766926</v>
      </c>
      <c r="T371" s="40" t="n">
        <f aca="true">RAND()</f>
        <v>0.71511975172709</v>
      </c>
      <c r="U371" s="40" t="n">
        <f aca="true">RAND()</f>
        <v>0.720886872805778</v>
      </c>
    </row>
    <row r="372" customFormat="false" ht="15" hidden="false" customHeight="false" outlineLevel="0" collapsed="false">
      <c r="A372" s="36" t="n">
        <v>292</v>
      </c>
      <c r="B372" s="37" t="n">
        <f aca="false">1+IF($G$6=$E$6,$F$6,IF(P372&lt;($F$6-$E$6)/($G$6-$E$6),$E$6+SQRT(P372*($G$6-$E$6)*($F$6-$E$6)),$G$6-SQRT((1-P372)*($G$6-$E$6)*($G$6-$F$6))))</f>
        <v>0.944350521484029</v>
      </c>
      <c r="C372" s="37" t="n">
        <f aca="false">1+IF($G$7=$E$7,$F$7,IF(Q372&lt;($F$7-$E$7)/($G$7-$E$7),$E$7+SQRT(Q372*($G$7-$E$7)*($F$7-$E$7)),$G$7-SQRT((1-Q372)*($G$7-$E$7)*($G$7-$F$7))))</f>
        <v>1.08536792054671</v>
      </c>
      <c r="D372" s="37" t="n">
        <f aca="false">1+IF($G$8=$E$8,$F$8,IF(R372&lt;($F$8-$E$8)/($G$8-$E$8),$E$8+SQRT(R372*($G$8-$E$8)*($F$8-$E$8)),$G$8-SQRT((1-R372)*($G$8-$E$8)*($G$8-$F$8))))</f>
        <v>1.02988266397619</v>
      </c>
      <c r="E372" s="37" t="n">
        <f aca="false">1+IF($G$9=$E$9,$F$9,IF(S372&lt;($F$9-$E$9)/($G$9-$E$9),$E$9+SQRT(S372*($G$9-$E$9)*($F$9-$E$9)),$G$9-SQRT((1-S372)*($G$9-$E$9)*($G$9-$F$9))))</f>
        <v>0.977343622761472</v>
      </c>
      <c r="F372" s="37" t="n">
        <f aca="false">1+IF($G$10=$E$10,$F$10,IF(T372&lt;($F$10-$E$10)/($G$10-$E$10),$E$10+SQRT(T372*($G$10-$E$10)*($F$10-$E$10)),$G$10-SQRT((1-T372)*($G$10-$E$10)*($G$10-$F$10))))</f>
        <v>1.05228402094755</v>
      </c>
      <c r="G372" s="38" t="n">
        <f aca="false">IF($G$11=$E$11,$F$11,IF(U372&lt;($F$11-$E$11)/($G$11-$E$11),$E$11+SQRT(U372*($G$11-$E$11)*($F$11-$E$11)),$G$11-SQRT((1-U372)*($G$11-$E$11)*($G$11-$F$11))))</f>
        <v>0.0921531502761416</v>
      </c>
      <c r="H372" s="39" t="n">
        <f aca="false">(('Business Case'!B11*$C372*'Business Case'!B12*$B372)-'Business Case'!B11*$C372*'Business Case'!B13*$D372-'Business Case'!B14*$E372)-MAX(0,(('Business Case'!B11*$C372*'Business Case'!B12*$B372)-'Business Case'!B11*$C372*'Business Case'!B13*$D372-'Business Case'!B14*$E372))*'Business Case'!$B$7-'Business Case'!$B$8*('Business Case'!B11*$C372*'Business Case'!B12*$B372)-'Business Case'!B15*$F372</f>
        <v>-2104568041.8951</v>
      </c>
      <c r="I372" s="39" t="n">
        <f aca="false">(('Business Case'!C11*$C372*'Business Case'!C12*$B372)-'Business Case'!C11*$C372*'Business Case'!C13*$D372-'Business Case'!C14*$E372)-MAX(0,(('Business Case'!C11*$C372*'Business Case'!C12*$B372)-'Business Case'!C11*$C372*'Business Case'!C13*$D372-'Business Case'!C14*$E372))*'Business Case'!$B$7-'Business Case'!$B$8*(('Business Case'!C11*$C372*'Business Case'!C12*$B372)-('Business Case'!B11*$C372*'Business Case'!B12*$B372))-'Business Case'!C15*$F372</f>
        <v>-30043597.2927894</v>
      </c>
      <c r="J372" s="39" t="n">
        <f aca="false">(('Business Case'!D11*$C372*'Business Case'!D12*$B372)-'Business Case'!D11*$C372*'Business Case'!D13*$D372-'Business Case'!D14*$E372)-MAX(0,(('Business Case'!D11*$C372*'Business Case'!D12*$B372)-'Business Case'!D11*$C372*'Business Case'!D13*$D372-'Business Case'!D14*$E372))*'Business Case'!$B$7-'Business Case'!$B$8*(('Business Case'!D11*$C372*'Business Case'!D12*$B372)-('Business Case'!C11*$C372*'Business Case'!C12*$B372))-'Business Case'!D15*$F372</f>
        <v>237253799.436031</v>
      </c>
      <c r="K372" s="39" t="n">
        <f aca="false">(('Business Case'!E11*$C372*'Business Case'!E12*$B372)-'Business Case'!E11*$C372*'Business Case'!E13*$D372-'Business Case'!E14*$E372)-MAX(0,(('Business Case'!E11*$C372*'Business Case'!E12*$B372)-'Business Case'!E11*$C372*'Business Case'!E13*$D372-'Business Case'!E14*$E372))*'Business Case'!$B$7-'Business Case'!$B$8*(('Business Case'!E11*$C372*'Business Case'!E12*$B372)-('Business Case'!D11*$C372*'Business Case'!D12*$B372))-'Business Case'!E15*$F372</f>
        <v>557165397.212229</v>
      </c>
      <c r="L372" s="39" t="n">
        <f aca="false">(('Business Case'!F11*$C372*'Business Case'!F12*$B372)-'Business Case'!F11*$C372*'Business Case'!F13*$D372-'Business Case'!F14*$E372)-MAX(0,(('Business Case'!F11*$C372*'Business Case'!F12*$B372)-'Business Case'!F11*$C372*'Business Case'!F13*$D372-'Business Case'!F14*$E372))*'Business Case'!$B$7-'Business Case'!$B$8*(('Business Case'!F11*$C372*'Business Case'!F12*$B372)-('Business Case'!E11*$C372*'Business Case'!E12*$B372))-'Business Case'!F15*$F372</f>
        <v>681687415.301951</v>
      </c>
      <c r="M372" s="39" t="n">
        <f aca="false">(('Business Case'!G11*$C372*'Business Case'!G12*$B372)-'Business Case'!G11*$C372*'Business Case'!G13*$D372-'Business Case'!G14*$E372)-MAX(0,(('Business Case'!G11*$C372*'Business Case'!G12*$B372)-'Business Case'!G11*$C372*'Business Case'!G13*$D372-'Business Case'!G14*$E372))*'Business Case'!$B$7-'Business Case'!$B$8*(('Business Case'!G11*$C372*'Business Case'!G12*$B372)-('Business Case'!F11*$C372*'Business Case'!F12*$B372))-'Business Case'!G15*$F372+'Business Case'!$B$8*('Business Case'!G11*$C372*'Business Case'!G12*$B372)</f>
        <v>876513287.459254</v>
      </c>
      <c r="N372" s="39" t="n">
        <f aca="false">IF(COUNT('Business Case'!B11:G11)=0,"",H372+NPV(G372,I372:M372))</f>
        <v>-462269489.314249</v>
      </c>
      <c r="P372" s="40" t="n">
        <f aca="true">RAND()</f>
        <v>0.0617654058900176</v>
      </c>
      <c r="Q372" s="40" t="n">
        <f aca="true">RAND()</f>
        <v>0.92043227248654</v>
      </c>
      <c r="R372" s="40" t="n">
        <f aca="true">RAND()</f>
        <v>0.758485829795777</v>
      </c>
      <c r="S372" s="40" t="n">
        <f aca="true">RAND()</f>
        <v>0.0996898274295582</v>
      </c>
      <c r="T372" s="40" t="n">
        <f aca="true">RAND()</f>
        <v>0.563599790651533</v>
      </c>
      <c r="U372" s="40" t="n">
        <f aca="true">RAND()</f>
        <v>0.0154535203721618</v>
      </c>
    </row>
    <row r="373" customFormat="false" ht="15" hidden="false" customHeight="false" outlineLevel="0" collapsed="false">
      <c r="A373" s="36" t="n">
        <v>293</v>
      </c>
      <c r="B373" s="37" t="n">
        <f aca="false">1+IF($G$6=$E$6,$F$6,IF(P373&lt;($F$6-$E$6)/($G$6-$E$6),$E$6+SQRT(P373*($G$6-$E$6)*($F$6-$E$6)),$G$6-SQRT((1-P373)*($G$6-$E$6)*($G$6-$F$6))))</f>
        <v>0.981796224670508</v>
      </c>
      <c r="C373" s="37" t="n">
        <f aca="false">1+IF($G$7=$E$7,$F$7,IF(Q373&lt;($F$7-$E$7)/($G$7-$E$7),$E$7+SQRT(Q373*($G$7-$E$7)*($F$7-$E$7)),$G$7-SQRT((1-Q373)*($G$7-$E$7)*($G$7-$F$7))))</f>
        <v>0.890602630224675</v>
      </c>
      <c r="D373" s="37" t="n">
        <f aca="false">1+IF($G$8=$E$8,$F$8,IF(R373&lt;($F$8-$E$8)/($G$8-$E$8),$E$8+SQRT(R373*($G$8-$E$8)*($F$8-$E$8)),$G$8-SQRT((1-R373)*($G$8-$E$8)*($G$8-$F$8))))</f>
        <v>0.986406085743656</v>
      </c>
      <c r="E373" s="37" t="n">
        <f aca="false">1+IF($G$9=$E$9,$F$9,IF(S373&lt;($F$9-$E$9)/($G$9-$E$9),$E$9+SQRT(S373*($G$9-$E$9)*($F$9-$E$9)),$G$9-SQRT((1-S373)*($G$9-$E$9)*($G$9-$F$9))))</f>
        <v>0.977531718637155</v>
      </c>
      <c r="F373" s="37" t="n">
        <f aca="false">1+IF($G$10=$E$10,$F$10,IF(T373&lt;($F$10-$E$10)/($G$10-$E$10),$E$10+SQRT(T373*($G$10-$E$10)*($F$10-$E$10)),$G$10-SQRT((1-T373)*($G$10-$E$10)*($G$10-$F$10))))</f>
        <v>1.0287113518047</v>
      </c>
      <c r="G373" s="38" t="n">
        <f aca="false">IF($G$11=$E$11,$F$11,IF(U373&lt;($F$11-$E$11)/($G$11-$E$11),$E$11+SQRT(U373*($G$11-$E$11)*($F$11-$E$11)),$G$11-SQRT((1-U373)*($G$11-$E$11)*($G$11-$F$11))))</f>
        <v>0.11496230822633</v>
      </c>
      <c r="H373" s="39" t="n">
        <f aca="false">(('Business Case'!B11*$C373*'Business Case'!B12*$B373)-'Business Case'!B11*$C373*'Business Case'!B13*$D373-'Business Case'!B14*$E373)-MAX(0,(('Business Case'!B11*$C373*'Business Case'!B12*$B373)-'Business Case'!B11*$C373*'Business Case'!B13*$D373-'Business Case'!B14*$E373))*'Business Case'!$B$7-'Business Case'!$B$8*('Business Case'!B11*$C373*'Business Case'!B12*$B373)-'Business Case'!B15*$F373</f>
        <v>-2057422703.60939</v>
      </c>
      <c r="I373" s="39" t="n">
        <f aca="false">(('Business Case'!C11*$C373*'Business Case'!C12*$B373)-'Business Case'!C11*$C373*'Business Case'!C13*$D373-'Business Case'!C14*$E373)-MAX(0,(('Business Case'!C11*$C373*'Business Case'!C12*$B373)-'Business Case'!C11*$C373*'Business Case'!C13*$D373-'Business Case'!C14*$E373))*'Business Case'!$B$7-'Business Case'!$B$8*(('Business Case'!C11*$C373*'Business Case'!C12*$B373)-('Business Case'!B11*$C373*'Business Case'!B12*$B373))-'Business Case'!C15*$F373</f>
        <v>-20735524.6945946</v>
      </c>
      <c r="J373" s="39" t="n">
        <f aca="false">(('Business Case'!D11*$C373*'Business Case'!D12*$B373)-'Business Case'!D11*$C373*'Business Case'!D13*$D373-'Business Case'!D14*$E373)-MAX(0,(('Business Case'!D11*$C373*'Business Case'!D12*$B373)-'Business Case'!D11*$C373*'Business Case'!D13*$D373-'Business Case'!D14*$E373))*'Business Case'!$B$7-'Business Case'!$B$8*(('Business Case'!D11*$C373*'Business Case'!D12*$B373)-('Business Case'!C11*$C373*'Business Case'!C12*$B373))-'Business Case'!D15*$F373</f>
        <v>245733489.335361</v>
      </c>
      <c r="K373" s="39" t="n">
        <f aca="false">(('Business Case'!E11*$C373*'Business Case'!E12*$B373)-'Business Case'!E11*$C373*'Business Case'!E13*$D373-'Business Case'!E14*$E373)-MAX(0,(('Business Case'!E11*$C373*'Business Case'!E12*$B373)-'Business Case'!E11*$C373*'Business Case'!E13*$D373-'Business Case'!E14*$E373))*'Business Case'!$B$7-'Business Case'!$B$8*(('Business Case'!E11*$C373*'Business Case'!E12*$B373)-('Business Case'!D11*$C373*'Business Case'!D12*$B373))-'Business Case'!E15*$F373</f>
        <v>563638070.955552</v>
      </c>
      <c r="L373" s="39" t="n">
        <f aca="false">(('Business Case'!F11*$C373*'Business Case'!F12*$B373)-'Business Case'!F11*$C373*'Business Case'!F13*$D373-'Business Case'!F14*$E373)-MAX(0,(('Business Case'!F11*$C373*'Business Case'!F12*$B373)-'Business Case'!F11*$C373*'Business Case'!F13*$D373-'Business Case'!F14*$E373))*'Business Case'!$B$7-'Business Case'!$B$8*(('Business Case'!F11*$C373*'Business Case'!F12*$B373)-('Business Case'!E11*$C373*'Business Case'!E12*$B373))-'Business Case'!F15*$F373</f>
        <v>682680004.401454</v>
      </c>
      <c r="M373" s="39" t="n">
        <f aca="false">(('Business Case'!G11*$C373*'Business Case'!G12*$B373)-'Business Case'!G11*$C373*'Business Case'!G13*$D373-'Business Case'!G14*$E373)-MAX(0,(('Business Case'!G11*$C373*'Business Case'!G12*$B373)-'Business Case'!G11*$C373*'Business Case'!G13*$D373-'Business Case'!G14*$E373))*'Business Case'!$B$7-'Business Case'!$B$8*(('Business Case'!G11*$C373*'Business Case'!G12*$B373)-('Business Case'!F11*$C373*'Business Case'!F12*$B373))-'Business Case'!G15*$F373+'Business Case'!$B$8*('Business Case'!G11*$C373*'Business Case'!G12*$B373)</f>
        <v>848884112.632337</v>
      </c>
      <c r="N373" s="39" t="n">
        <f aca="false">IF(COUNT('Business Case'!B11:G11)=0,"",H373+NPV(G373,I373:M373))</f>
        <v>-537289630.011791</v>
      </c>
      <c r="P373" s="40" t="n">
        <f aca="true">RAND()</f>
        <v>0.397788894117495</v>
      </c>
      <c r="Q373" s="40" t="n">
        <f aca="true">RAND()</f>
        <v>0.117269094337558</v>
      </c>
      <c r="R373" s="40" t="n">
        <f aca="true">RAND()</f>
        <v>0.203908166026831</v>
      </c>
      <c r="S373" s="40" t="n">
        <f aca="true">RAND()</f>
        <v>0.101066070815395</v>
      </c>
      <c r="T373" s="40" t="n">
        <f aca="true">RAND()</f>
        <v>0.413203979988504</v>
      </c>
      <c r="U373" s="40" t="n">
        <f aca="true">RAND()</f>
        <v>0.957702769322495</v>
      </c>
    </row>
    <row r="374" customFormat="false" ht="15" hidden="false" customHeight="false" outlineLevel="0" collapsed="false">
      <c r="A374" s="36" t="n">
        <v>294</v>
      </c>
      <c r="B374" s="37" t="n">
        <f aca="false">1+IF($G$6=$E$6,$F$6,IF(P374&lt;($F$6-$E$6)/($G$6-$E$6),$E$6+SQRT(P374*($G$6-$E$6)*($F$6-$E$6)),$G$6-SQRT((1-P374)*($G$6-$E$6)*($G$6-$F$6))))</f>
        <v>1.01158129790763</v>
      </c>
      <c r="C374" s="37" t="n">
        <f aca="false">1+IF($G$7=$E$7,$F$7,IF(Q374&lt;($F$7-$E$7)/($G$7-$E$7),$E$7+SQRT(Q374*($G$7-$E$7)*($F$7-$E$7)),$G$7-SQRT((1-Q374)*($G$7-$E$7)*($G$7-$F$7))))</f>
        <v>0.995276562670684</v>
      </c>
      <c r="D374" s="37" t="n">
        <f aca="false">1+IF($G$8=$E$8,$F$8,IF(R374&lt;($F$8-$E$8)/($G$8-$E$8),$E$8+SQRT(R374*($G$8-$E$8)*($F$8-$E$8)),$G$8-SQRT((1-R374)*($G$8-$E$8)*($G$8-$F$8))))</f>
        <v>1.01839509083048</v>
      </c>
      <c r="E374" s="37" t="n">
        <f aca="false">1+IF($G$9=$E$9,$F$9,IF(S374&lt;($F$9-$E$9)/($G$9-$E$9),$E$9+SQRT(S374*($G$9-$E$9)*($F$9-$E$9)),$G$9-SQRT((1-S374)*($G$9-$E$9)*($G$9-$F$9))))</f>
        <v>1.00901088085548</v>
      </c>
      <c r="F374" s="37" t="n">
        <f aca="false">1+IF($G$10=$E$10,$F$10,IF(T374&lt;($F$10-$E$10)/($G$10-$E$10),$E$10+SQRT(T374*($G$10-$E$10)*($F$10-$E$10)),$G$10-SQRT((1-T374)*($G$10-$E$10)*($G$10-$F$10))))</f>
        <v>1.00147743338381</v>
      </c>
      <c r="G374" s="38" t="n">
        <f aca="false">IF($G$11=$E$11,$F$11,IF(U374&lt;($F$11-$E$11)/($G$11-$E$11),$E$11+SQRT(U374*($G$11-$E$11)*($F$11-$E$11)),$G$11-SQRT((1-U374)*($G$11-$E$11)*($G$11-$F$11))))</f>
        <v>0.113414831917195</v>
      </c>
      <c r="H374" s="39" t="n">
        <f aca="false">(('Business Case'!B11*$C374*'Business Case'!B12*$B374)-'Business Case'!B11*$C374*'Business Case'!B13*$D374-'Business Case'!B14*$E374)-MAX(0,(('Business Case'!B11*$C374*'Business Case'!B12*$B374)-'Business Case'!B11*$C374*'Business Case'!B13*$D374-'Business Case'!B14*$E374))*'Business Case'!$B$7-'Business Case'!$B$8*('Business Case'!B11*$C374*'Business Case'!B12*$B374)-'Business Case'!B15*$F374</f>
        <v>-2002954866.76761</v>
      </c>
      <c r="I374" s="39" t="n">
        <f aca="false">(('Business Case'!C11*$C374*'Business Case'!C12*$B374)-'Business Case'!C11*$C374*'Business Case'!C13*$D374-'Business Case'!C14*$E374)-MAX(0,(('Business Case'!C11*$C374*'Business Case'!C12*$B374)-'Business Case'!C11*$C374*'Business Case'!C13*$D374-'Business Case'!C14*$E374))*'Business Case'!$B$7-'Business Case'!$B$8*(('Business Case'!C11*$C374*'Business Case'!C12*$B374)-('Business Case'!B11*$C374*'Business Case'!B12*$B374))-'Business Case'!C15*$F374</f>
        <v>9948196.06342809</v>
      </c>
      <c r="J374" s="39" t="n">
        <f aca="false">(('Business Case'!D11*$C374*'Business Case'!D12*$B374)-'Business Case'!D11*$C374*'Business Case'!D13*$D374-'Business Case'!D14*$E374)-MAX(0,(('Business Case'!D11*$C374*'Business Case'!D12*$B374)-'Business Case'!D11*$C374*'Business Case'!D13*$D374-'Business Case'!D14*$E374))*'Business Case'!$B$7-'Business Case'!$B$8*(('Business Case'!D11*$C374*'Business Case'!D12*$B374)-('Business Case'!C11*$C374*'Business Case'!C12*$B374))-'Business Case'!D15*$F374</f>
        <v>315718158.384018</v>
      </c>
      <c r="K374" s="39" t="n">
        <f aca="false">(('Business Case'!E11*$C374*'Business Case'!E12*$B374)-'Business Case'!E11*$C374*'Business Case'!E13*$D374-'Business Case'!E14*$E374)-MAX(0,(('Business Case'!E11*$C374*'Business Case'!E12*$B374)-'Business Case'!E11*$C374*'Business Case'!E13*$D374-'Business Case'!E14*$E374))*'Business Case'!$B$7-'Business Case'!$B$8*(('Business Case'!E11*$C374*'Business Case'!E12*$B374)-('Business Case'!D11*$C374*'Business Case'!D12*$B374))-'Business Case'!E15*$F374</f>
        <v>671561992.373798</v>
      </c>
      <c r="L374" s="39" t="n">
        <f aca="false">(('Business Case'!F11*$C374*'Business Case'!F12*$B374)-'Business Case'!F11*$C374*'Business Case'!F13*$D374-'Business Case'!F14*$E374)-MAX(0,(('Business Case'!F11*$C374*'Business Case'!F12*$B374)-'Business Case'!F11*$C374*'Business Case'!F13*$D374-'Business Case'!F14*$E374))*'Business Case'!$B$7-'Business Case'!$B$8*(('Business Case'!F11*$C374*'Business Case'!F12*$B374)-('Business Case'!E11*$C374*'Business Case'!E12*$B374))-'Business Case'!F15*$F374</f>
        <v>808280430.25475</v>
      </c>
      <c r="M374" s="39" t="n">
        <f aca="false">(('Business Case'!G11*$C374*'Business Case'!G12*$B374)-'Business Case'!G11*$C374*'Business Case'!G13*$D374-'Business Case'!G14*$E374)-MAX(0,(('Business Case'!G11*$C374*'Business Case'!G12*$B374)-'Business Case'!G11*$C374*'Business Case'!G13*$D374-'Business Case'!G14*$E374))*'Business Case'!$B$7-'Business Case'!$B$8*(('Business Case'!G11*$C374*'Business Case'!G12*$B374)-('Business Case'!F11*$C374*'Business Case'!F12*$B374))-'Business Case'!G15*$F374+'Business Case'!$B$8*('Business Case'!G11*$C374*'Business Case'!G12*$B374)</f>
        <v>999653574.345569</v>
      </c>
      <c r="N374" s="39" t="n">
        <f aca="false">IF(COUNT('Business Case'!B11:G11)=0,"",H374+NPV(G374,I374:M374))</f>
        <v>-142667943.710303</v>
      </c>
      <c r="P374" s="40" t="n">
        <f aca="true">RAND()</f>
        <v>0.831745285705201</v>
      </c>
      <c r="Q374" s="40" t="n">
        <f aca="true">RAND()</f>
        <v>0.544756227549678</v>
      </c>
      <c r="R374" s="40" t="n">
        <f aca="true">RAND()</f>
        <v>0.635080304443795</v>
      </c>
      <c r="S374" s="40" t="n">
        <f aca="true">RAND()</f>
        <v>0.448065346486897</v>
      </c>
      <c r="T374" s="40" t="n">
        <f aca="true">RAND()</f>
        <v>0.211775810882372</v>
      </c>
      <c r="U374" s="40" t="n">
        <f aca="true">RAND()</f>
        <v>0.927725935535338</v>
      </c>
    </row>
    <row r="375" customFormat="false" ht="15" hidden="false" customHeight="false" outlineLevel="0" collapsed="false">
      <c r="A375" s="36" t="n">
        <v>295</v>
      </c>
      <c r="B375" s="37" t="n">
        <f aca="false">1+IF($G$6=$E$6,$F$6,IF(P375&lt;($F$6-$E$6)/($G$6-$E$6),$E$6+SQRT(P375*($G$6-$E$6)*($F$6-$E$6)),$G$6-SQRT((1-P375)*($G$6-$E$6)*($G$6-$F$6))))</f>
        <v>0.983934139452453</v>
      </c>
      <c r="C375" s="37" t="n">
        <f aca="false">1+IF($G$7=$E$7,$F$7,IF(Q375&lt;($F$7-$E$7)/($G$7-$E$7),$E$7+SQRT(Q375*($G$7-$E$7)*($F$7-$E$7)),$G$7-SQRT((1-Q375)*($G$7-$E$7)*($G$7-$F$7))))</f>
        <v>1.0753071114459</v>
      </c>
      <c r="D375" s="37" t="n">
        <f aca="false">1+IF($G$8=$E$8,$F$8,IF(R375&lt;($F$8-$E$8)/($G$8-$E$8),$E$8+SQRT(R375*($G$8-$E$8)*($F$8-$E$8)),$G$8-SQRT((1-R375)*($G$8-$E$8)*($G$8-$F$8))))</f>
        <v>1.02128123652181</v>
      </c>
      <c r="E375" s="37" t="n">
        <f aca="false">1+IF($G$9=$E$9,$F$9,IF(S375&lt;($F$9-$E$9)/($G$9-$E$9),$E$9+SQRT(S375*($G$9-$E$9)*($F$9-$E$9)),$G$9-SQRT((1-S375)*($G$9-$E$9)*($G$9-$F$9))))</f>
        <v>0.978877470701962</v>
      </c>
      <c r="F375" s="37" t="n">
        <f aca="false">1+IF($G$10=$E$10,$F$10,IF(T375&lt;($F$10-$E$10)/($G$10-$E$10),$E$10+SQRT(T375*($G$10-$E$10)*($F$10-$E$10)),$G$10-SQRT((1-T375)*($G$10-$E$10)*($G$10-$F$10))))</f>
        <v>1.09288219848861</v>
      </c>
      <c r="G375" s="38" t="n">
        <f aca="false">IF($G$11=$E$11,$F$11,IF(U375&lt;($F$11-$E$11)/($G$11-$E$11),$E$11+SQRT(U375*($G$11-$E$11)*($F$11-$E$11)),$G$11-SQRT((1-U375)*($G$11-$E$11)*($G$11-$F$11))))</f>
        <v>0.100878569037663</v>
      </c>
      <c r="H375" s="39" t="n">
        <f aca="false">(('Business Case'!B11*$C375*'Business Case'!B12*$B375)-'Business Case'!B11*$C375*'Business Case'!B13*$D375-'Business Case'!B14*$E375)-MAX(0,(('Business Case'!B11*$C375*'Business Case'!B12*$B375)-'Business Case'!B11*$C375*'Business Case'!B13*$D375-'Business Case'!B14*$E375))*'Business Case'!$B$7-'Business Case'!$B$8*('Business Case'!B11*$C375*'Business Case'!B12*$B375)-'Business Case'!B15*$F375</f>
        <v>-2185764396.97722</v>
      </c>
      <c r="I375" s="39" t="n">
        <f aca="false">(('Business Case'!C11*$C375*'Business Case'!C12*$B375)-'Business Case'!C11*$C375*'Business Case'!C13*$D375-'Business Case'!C14*$E375)-MAX(0,(('Business Case'!C11*$C375*'Business Case'!C12*$B375)-'Business Case'!C11*$C375*'Business Case'!C13*$D375-'Business Case'!C14*$E375))*'Business Case'!$B$7-'Business Case'!$B$8*(('Business Case'!C11*$C375*'Business Case'!C12*$B375)-('Business Case'!B11*$C375*'Business Case'!B12*$B375))-'Business Case'!C15*$F375</f>
        <v>1085008.87450422</v>
      </c>
      <c r="J375" s="39" t="n">
        <f aca="false">(('Business Case'!D11*$C375*'Business Case'!D12*$B375)-'Business Case'!D11*$C375*'Business Case'!D13*$D375-'Business Case'!D14*$E375)-MAX(0,(('Business Case'!D11*$C375*'Business Case'!D12*$B375)-'Business Case'!D11*$C375*'Business Case'!D13*$D375-'Business Case'!D14*$E375))*'Business Case'!$B$7-'Business Case'!$B$8*(('Business Case'!D11*$C375*'Business Case'!D12*$B375)-('Business Case'!C11*$C375*'Business Case'!C12*$B375))-'Business Case'!D15*$F375</f>
        <v>305502960.53339</v>
      </c>
      <c r="K375" s="39" t="n">
        <f aca="false">(('Business Case'!E11*$C375*'Business Case'!E12*$B375)-'Business Case'!E11*$C375*'Business Case'!E13*$D375-'Business Case'!E14*$E375)-MAX(0,(('Business Case'!E11*$C375*'Business Case'!E12*$B375)-'Business Case'!E11*$C375*'Business Case'!E13*$D375-'Business Case'!E14*$E375))*'Business Case'!$B$7-'Business Case'!$B$8*(('Business Case'!E11*$C375*'Business Case'!E12*$B375)-('Business Case'!D11*$C375*'Business Case'!D12*$B375))-'Business Case'!E15*$F375</f>
        <v>664565022.116706</v>
      </c>
      <c r="L375" s="39" t="n">
        <f aca="false">(('Business Case'!F11*$C375*'Business Case'!F12*$B375)-'Business Case'!F11*$C375*'Business Case'!F13*$D375-'Business Case'!F14*$E375)-MAX(0,(('Business Case'!F11*$C375*'Business Case'!F12*$B375)-'Business Case'!F11*$C375*'Business Case'!F13*$D375-'Business Case'!F14*$E375))*'Business Case'!$B$7-'Business Case'!$B$8*(('Business Case'!F11*$C375*'Business Case'!F12*$B375)-('Business Case'!E11*$C375*'Business Case'!E12*$B375))-'Business Case'!F15*$F375</f>
        <v>802603237.070801</v>
      </c>
      <c r="M375" s="39" t="n">
        <f aca="false">(('Business Case'!G11*$C375*'Business Case'!G12*$B375)-'Business Case'!G11*$C375*'Business Case'!G13*$D375-'Business Case'!G14*$E375)-MAX(0,(('Business Case'!G11*$C375*'Business Case'!G12*$B375)-'Business Case'!G11*$C375*'Business Case'!G13*$D375-'Business Case'!G14*$E375))*'Business Case'!$B$7-'Business Case'!$B$8*(('Business Case'!G11*$C375*'Business Case'!G12*$B375)-('Business Case'!F11*$C375*'Business Case'!F12*$B375))-'Business Case'!G15*$F375+'Business Case'!$B$8*('Business Case'!G11*$C375*'Business Case'!G12*$B375)</f>
        <v>1003713841.27704</v>
      </c>
      <c r="N375" s="39" t="n">
        <f aca="false">IF(COUNT('Business Case'!B11:G11)=0,"",H375+NPV(G375,I375:M375))</f>
        <v>-267411404.773189</v>
      </c>
      <c r="P375" s="40" t="n">
        <f aca="true">RAND()</f>
        <v>0.425788977867261</v>
      </c>
      <c r="Q375" s="40" t="n">
        <f aca="true">RAND()</f>
        <v>0.893732807608483</v>
      </c>
      <c r="R375" s="40" t="n">
        <f aca="true">RAND()</f>
        <v>0.668471809191627</v>
      </c>
      <c r="S375" s="40" t="n">
        <f aca="true">RAND()</f>
        <v>0.111187775219024</v>
      </c>
      <c r="T375" s="40" t="n">
        <f aca="true">RAND()</f>
        <v>0.770515531987328</v>
      </c>
      <c r="U375" s="40" t="n">
        <f aca="true">RAND()</f>
        <v>0.390618129920984</v>
      </c>
    </row>
    <row r="376" customFormat="false" ht="15" hidden="false" customHeight="false" outlineLevel="0" collapsed="false">
      <c r="A376" s="36" t="n">
        <v>296</v>
      </c>
      <c r="B376" s="37" t="n">
        <f aca="false">1+IF($G$6=$E$6,$F$6,IF(P376&lt;($F$6-$E$6)/($G$6-$E$6),$E$6+SQRT(P376*($G$6-$E$6)*($F$6-$E$6)),$G$6-SQRT((1-P376)*($G$6-$E$6)*($G$6-$F$6))))</f>
        <v>1.00450788541604</v>
      </c>
      <c r="C376" s="37" t="n">
        <f aca="false">1+IF($G$7=$E$7,$F$7,IF(Q376&lt;($F$7-$E$7)/($G$7-$E$7),$E$7+SQRT(Q376*($G$7-$E$7)*($F$7-$E$7)),$G$7-SQRT((1-Q376)*($G$7-$E$7)*($G$7-$F$7))))</f>
        <v>0.987893733290566</v>
      </c>
      <c r="D376" s="37" t="n">
        <f aca="false">1+IF($G$8=$E$8,$F$8,IF(R376&lt;($F$8-$E$8)/($G$8-$E$8),$E$8+SQRT(R376*($G$8-$E$8)*($F$8-$E$8)),$G$8-SQRT((1-R376)*($G$8-$E$8)*($G$8-$F$8))))</f>
        <v>1.03330688450802</v>
      </c>
      <c r="E376" s="37" t="n">
        <f aca="false">1+IF($G$9=$E$9,$F$9,IF(S376&lt;($F$9-$E$9)/($G$9-$E$9),$E$9+SQRT(S376*($G$9-$E$9)*($F$9-$E$9)),$G$9-SQRT((1-S376)*($G$9-$E$9)*($G$9-$F$9))))</f>
        <v>1.01890231542706</v>
      </c>
      <c r="F376" s="37" t="n">
        <f aca="false">1+IF($G$10=$E$10,$F$10,IF(T376&lt;($F$10-$E$10)/($G$10-$E$10),$E$10+SQRT(T376*($G$10-$E$10)*($F$10-$E$10)),$G$10-SQRT((1-T376)*($G$10-$E$10)*($G$10-$F$10))))</f>
        <v>1.05250450658355</v>
      </c>
      <c r="G376" s="38" t="n">
        <f aca="false">IF($G$11=$E$11,$F$11,IF(U376&lt;($F$11-$E$11)/($G$11-$E$11),$E$11+SQRT(U376*($G$11-$E$11)*($F$11-$E$11)),$G$11-SQRT((1-U376)*($G$11-$E$11)*($G$11-$F$11))))</f>
        <v>0.099925253943546</v>
      </c>
      <c r="H376" s="39" t="n">
        <f aca="false">(('Business Case'!B11*$C376*'Business Case'!B12*$B376)-'Business Case'!B11*$C376*'Business Case'!B13*$D376-'Business Case'!B14*$E376)-MAX(0,(('Business Case'!B11*$C376*'Business Case'!B12*$B376)-'Business Case'!B11*$C376*'Business Case'!B13*$D376-'Business Case'!B14*$E376))*'Business Case'!$B$7-'Business Case'!$B$8*('Business Case'!B11*$C376*'Business Case'!B12*$B376)-'Business Case'!B15*$F376</f>
        <v>-2105009013.16709</v>
      </c>
      <c r="I376" s="39" t="n">
        <f aca="false">(('Business Case'!C11*$C376*'Business Case'!C12*$B376)-'Business Case'!C11*$C376*'Business Case'!C13*$D376-'Business Case'!C14*$E376)-MAX(0,(('Business Case'!C11*$C376*'Business Case'!C12*$B376)-'Business Case'!C11*$C376*'Business Case'!C13*$D376-'Business Case'!C14*$E376))*'Business Case'!$B$7-'Business Case'!$B$8*(('Business Case'!C11*$C376*'Business Case'!C12*$B376)-('Business Case'!B11*$C376*'Business Case'!B12*$B376))-'Business Case'!C15*$F376</f>
        <v>-11344554.6926314</v>
      </c>
      <c r="J376" s="39" t="n">
        <f aca="false">(('Business Case'!D11*$C376*'Business Case'!D12*$B376)-'Business Case'!D11*$C376*'Business Case'!D13*$D376-'Business Case'!D14*$E376)-MAX(0,(('Business Case'!D11*$C376*'Business Case'!D12*$B376)-'Business Case'!D11*$C376*'Business Case'!D13*$D376-'Business Case'!D14*$E376))*'Business Case'!$B$7-'Business Case'!$B$8*(('Business Case'!D11*$C376*'Business Case'!D12*$B376)-('Business Case'!C11*$C376*'Business Case'!C12*$B376))-'Business Case'!D15*$F376</f>
        <v>278892521.341873</v>
      </c>
      <c r="K376" s="39" t="n">
        <f aca="false">(('Business Case'!E11*$C376*'Business Case'!E12*$B376)-'Business Case'!E11*$C376*'Business Case'!E13*$D376-'Business Case'!E14*$E376)-MAX(0,(('Business Case'!E11*$C376*'Business Case'!E12*$B376)-'Business Case'!E11*$C376*'Business Case'!E13*$D376-'Business Case'!E14*$E376))*'Business Case'!$B$7-'Business Case'!$B$8*(('Business Case'!E11*$C376*'Business Case'!E12*$B376)-('Business Case'!D11*$C376*'Business Case'!D12*$B376))-'Business Case'!E15*$F376</f>
        <v>621754822.705555</v>
      </c>
      <c r="L376" s="39" t="n">
        <f aca="false">(('Business Case'!F11*$C376*'Business Case'!F12*$B376)-'Business Case'!F11*$C376*'Business Case'!F13*$D376-'Business Case'!F14*$E376)-MAX(0,(('Business Case'!F11*$C376*'Business Case'!F12*$B376)-'Business Case'!F11*$C376*'Business Case'!F13*$D376-'Business Case'!F14*$E376))*'Business Case'!$B$7-'Business Case'!$B$8*(('Business Case'!F11*$C376*'Business Case'!F12*$B376)-('Business Case'!E11*$C376*'Business Case'!E12*$B376))-'Business Case'!F15*$F376</f>
        <v>752796028.593759</v>
      </c>
      <c r="M376" s="39" t="n">
        <f aca="false">(('Business Case'!G11*$C376*'Business Case'!G12*$B376)-'Business Case'!G11*$C376*'Business Case'!G13*$D376-'Business Case'!G14*$E376)-MAX(0,(('Business Case'!G11*$C376*'Business Case'!G12*$B376)-'Business Case'!G11*$C376*'Business Case'!G13*$D376-'Business Case'!G14*$E376))*'Business Case'!$B$7-'Business Case'!$B$8*(('Business Case'!G11*$C376*'Business Case'!G12*$B376)-('Business Case'!F11*$C376*'Business Case'!F12*$B376))-'Business Case'!G15*$F376+'Business Case'!$B$8*('Business Case'!G11*$C376*'Business Case'!G12*$B376)</f>
        <v>941421354.91562</v>
      </c>
      <c r="N376" s="39" t="n">
        <f aca="false">IF(COUNT('Business Case'!B11:G11)=0,"",H376+NPV(G376,I376:M376))</f>
        <v>-318516260.315103</v>
      </c>
      <c r="P376" s="40" t="n">
        <f aca="true">RAND()</f>
        <v>0.737564542158094</v>
      </c>
      <c r="Q376" s="40" t="n">
        <f aca="true">RAND()</f>
        <v>0.504343642998089</v>
      </c>
      <c r="R376" s="40" t="n">
        <f aca="true">RAND()</f>
        <v>0.790360862082004</v>
      </c>
      <c r="S376" s="40" t="n">
        <f aca="true">RAND()</f>
        <v>0.56154437046056</v>
      </c>
      <c r="T376" s="40" t="n">
        <f aca="true">RAND()</f>
        <v>0.564901588436741</v>
      </c>
      <c r="U376" s="40" t="n">
        <f aca="true">RAND()</f>
        <v>0.328368886146249</v>
      </c>
    </row>
    <row r="377" customFormat="false" ht="15" hidden="false" customHeight="false" outlineLevel="0" collapsed="false">
      <c r="A377" s="36" t="n">
        <v>297</v>
      </c>
      <c r="B377" s="37" t="n">
        <f aca="false">1+IF($G$6=$E$6,$F$6,IF(P377&lt;($F$6-$E$6)/($G$6-$E$6),$E$6+SQRT(P377*($G$6-$E$6)*($F$6-$E$6)),$G$6-SQRT((1-P377)*($G$6-$E$6)*($G$6-$F$6))))</f>
        <v>1.01562661189481</v>
      </c>
      <c r="C377" s="37" t="n">
        <f aca="false">1+IF($G$7=$E$7,$F$7,IF(Q377&lt;($F$7-$E$7)/($G$7-$E$7),$E$7+SQRT(Q377*($G$7-$E$7)*($F$7-$E$7)),$G$7-SQRT((1-Q377)*($G$7-$E$7)*($G$7-$F$7))))</f>
        <v>1.06295553433224</v>
      </c>
      <c r="D377" s="37" t="n">
        <f aca="false">1+IF($G$8=$E$8,$F$8,IF(R377&lt;($F$8-$E$8)/($G$8-$E$8),$E$8+SQRT(R377*($G$8-$E$8)*($F$8-$E$8)),$G$8-SQRT((1-R377)*($G$8-$E$8)*($G$8-$F$8))))</f>
        <v>1.03859785817528</v>
      </c>
      <c r="E377" s="37" t="n">
        <f aca="false">1+IF($G$9=$E$9,$F$9,IF(S377&lt;($F$9-$E$9)/($G$9-$E$9),$E$9+SQRT(S377*($G$9-$E$9)*($F$9-$E$9)),$G$9-SQRT((1-S377)*($G$9-$E$9)*($G$9-$F$9))))</f>
        <v>0.961181157208241</v>
      </c>
      <c r="F377" s="37" t="n">
        <f aca="false">1+IF($G$10=$E$10,$F$10,IF(T377&lt;($F$10-$E$10)/($G$10-$E$10),$E$10+SQRT(T377*($G$10-$E$10)*($F$10-$E$10)),$G$10-SQRT((1-T377)*($G$10-$E$10)*($G$10-$F$10))))</f>
        <v>1.13318949273997</v>
      </c>
      <c r="G377" s="38" t="n">
        <f aca="false">IF($G$11=$E$11,$F$11,IF(U377&lt;($F$11-$E$11)/($G$11-$E$11),$E$11+SQRT(U377*($G$11-$E$11)*($F$11-$E$11)),$G$11-SQRT((1-U377)*($G$11-$E$11)*($G$11-$F$11))))</f>
        <v>0.106378043747758</v>
      </c>
      <c r="H377" s="39" t="n">
        <f aca="false">(('Business Case'!B11*$C377*'Business Case'!B12*$B377)-'Business Case'!B11*$C377*'Business Case'!B13*$D377-'Business Case'!B14*$E377)-MAX(0,(('Business Case'!B11*$C377*'Business Case'!B12*$B377)-'Business Case'!B11*$C377*'Business Case'!B13*$D377-'Business Case'!B14*$E377))*'Business Case'!$B$7-'Business Case'!$B$8*('Business Case'!B11*$C377*'Business Case'!B12*$B377)-'Business Case'!B15*$F377</f>
        <v>-2266378985.47994</v>
      </c>
      <c r="I377" s="39" t="n">
        <f aca="false">(('Business Case'!C11*$C377*'Business Case'!C12*$B377)-'Business Case'!C11*$C377*'Business Case'!C13*$D377-'Business Case'!C14*$E377)-MAX(0,(('Business Case'!C11*$C377*'Business Case'!C12*$B377)-'Business Case'!C11*$C377*'Business Case'!C13*$D377-'Business Case'!C14*$E377))*'Business Case'!$B$7-'Business Case'!$B$8*(('Business Case'!C11*$C377*'Business Case'!C12*$B377)-('Business Case'!B11*$C377*'Business Case'!B12*$B377))-'Business Case'!C15*$F377</f>
        <v>13127464.1128503</v>
      </c>
      <c r="J377" s="39" t="n">
        <f aca="false">(('Business Case'!D11*$C377*'Business Case'!D12*$B377)-'Business Case'!D11*$C377*'Business Case'!D13*$D377-'Business Case'!D14*$E377)-MAX(0,(('Business Case'!D11*$C377*'Business Case'!D12*$B377)-'Business Case'!D11*$C377*'Business Case'!D13*$D377-'Business Case'!D14*$E377))*'Business Case'!$B$7-'Business Case'!$B$8*(('Business Case'!D11*$C377*'Business Case'!D12*$B377)-('Business Case'!C11*$C377*'Business Case'!C12*$B377))-'Business Case'!D15*$F377</f>
        <v>332218535.758533</v>
      </c>
      <c r="K377" s="39" t="n">
        <f aca="false">(('Business Case'!E11*$C377*'Business Case'!E12*$B377)-'Business Case'!E11*$C377*'Business Case'!E13*$D377-'Business Case'!E14*$E377)-MAX(0,(('Business Case'!E11*$C377*'Business Case'!E12*$B377)-'Business Case'!E11*$C377*'Business Case'!E13*$D377-'Business Case'!E14*$E377))*'Business Case'!$B$7-'Business Case'!$B$8*(('Business Case'!E11*$C377*'Business Case'!E12*$B377)-('Business Case'!D11*$C377*'Business Case'!D12*$B377))-'Business Case'!E15*$F377</f>
        <v>707969082.041214</v>
      </c>
      <c r="L377" s="39" t="n">
        <f aca="false">(('Business Case'!F11*$C377*'Business Case'!F12*$B377)-'Business Case'!F11*$C377*'Business Case'!F13*$D377-'Business Case'!F14*$E377)-MAX(0,(('Business Case'!F11*$C377*'Business Case'!F12*$B377)-'Business Case'!F11*$C377*'Business Case'!F13*$D377-'Business Case'!F14*$E377))*'Business Case'!$B$7-'Business Case'!$B$8*(('Business Case'!F11*$C377*'Business Case'!F12*$B377)-('Business Case'!E11*$C377*'Business Case'!E12*$B377))-'Business Case'!F15*$F377</f>
        <v>851642571.05899</v>
      </c>
      <c r="M377" s="39" t="n">
        <f aca="false">(('Business Case'!G11*$C377*'Business Case'!G12*$B377)-'Business Case'!G11*$C377*'Business Case'!G13*$D377-'Business Case'!G14*$E377)-MAX(0,(('Business Case'!G11*$C377*'Business Case'!G12*$B377)-'Business Case'!G11*$C377*'Business Case'!G13*$D377-'Business Case'!G14*$E377))*'Business Case'!$B$7-'Business Case'!$B$8*(('Business Case'!G11*$C377*'Business Case'!G12*$B377)-('Business Case'!F11*$C377*'Business Case'!F12*$B377))-'Business Case'!G15*$F377+'Business Case'!$B$8*('Business Case'!G11*$C377*'Business Case'!G12*$B377)</f>
        <v>1056846462.63968</v>
      </c>
      <c r="N377" s="39" t="n">
        <f aca="false">IF(COUNT('Business Case'!B11:G11)=0,"",H377+NPV(G377,I377:M377))</f>
        <v>-254441604.905227</v>
      </c>
      <c r="P377" s="40" t="n">
        <f aca="true">RAND()</f>
        <v>0.876237073390342</v>
      </c>
      <c r="Q377" s="40" t="n">
        <f aca="true">RAND()</f>
        <v>0.855681161840276</v>
      </c>
      <c r="R377" s="40" t="n">
        <f aca="true">RAND()</f>
        <v>0.835179101185151</v>
      </c>
      <c r="S377" s="40" t="n">
        <f aca="true">RAND()</f>
        <v>0.0166691035353858</v>
      </c>
      <c r="T377" s="40" t="n">
        <f aca="true">RAND()</f>
        <v>0.910727122393151</v>
      </c>
      <c r="U377" s="40" t="n">
        <f aca="true">RAND()</f>
        <v>0.69073717976999</v>
      </c>
    </row>
    <row r="378" customFormat="false" ht="15" hidden="false" customHeight="false" outlineLevel="0" collapsed="false">
      <c r="A378" s="36" t="n">
        <v>298</v>
      </c>
      <c r="B378" s="37" t="n">
        <f aca="false">1+IF($G$6=$E$6,$F$6,IF(P378&lt;($F$6-$E$6)/($G$6-$E$6),$E$6+SQRT(P378*($G$6-$E$6)*($F$6-$E$6)),$G$6-SQRT((1-P378)*($G$6-$E$6)*($G$6-$F$6))))</f>
        <v>0.991614176503262</v>
      </c>
      <c r="C378" s="37" t="n">
        <f aca="false">1+IF($G$7=$E$7,$F$7,IF(Q378&lt;($F$7-$E$7)/($G$7-$E$7),$E$7+SQRT(Q378*($G$7-$E$7)*($F$7-$E$7)),$G$7-SQRT((1-Q378)*($G$7-$E$7)*($G$7-$F$7))))</f>
        <v>0.955181985204408</v>
      </c>
      <c r="D378" s="37" t="n">
        <f aca="false">1+IF($G$8=$E$8,$F$8,IF(R378&lt;($F$8-$E$8)/($G$8-$E$8),$E$8+SQRT(R378*($G$8-$E$8)*($F$8-$E$8)),$G$8-SQRT((1-R378)*($G$8-$E$8)*($G$8-$F$8))))</f>
        <v>1.01268640539764</v>
      </c>
      <c r="E378" s="37" t="n">
        <f aca="false">1+IF($G$9=$E$9,$F$9,IF(S378&lt;($F$9-$E$9)/($G$9-$E$9),$E$9+SQRT(S378*($G$9-$E$9)*($F$9-$E$9)),$G$9-SQRT((1-S378)*($G$9-$E$9)*($G$9-$F$9))))</f>
        <v>1.05785831710914</v>
      </c>
      <c r="F378" s="37" t="n">
        <f aca="false">1+IF($G$10=$E$10,$F$10,IF(T378&lt;($F$10-$E$10)/($G$10-$E$10),$E$10+SQRT(T378*($G$10-$E$10)*($F$10-$E$10)),$G$10-SQRT((1-T378)*($G$10-$E$10)*($G$10-$F$10))))</f>
        <v>1.05094613313556</v>
      </c>
      <c r="G378" s="38" t="n">
        <f aca="false">IF($G$11=$E$11,$F$11,IF(U378&lt;($F$11-$E$11)/($G$11-$E$11),$E$11+SQRT(U378*($G$11-$E$11)*($F$11-$E$11)),$G$11-SQRT((1-U378)*($G$11-$E$11)*($G$11-$F$11))))</f>
        <v>0.10869280314624</v>
      </c>
      <c r="H378" s="39" t="n">
        <f aca="false">(('Business Case'!B11*$C378*'Business Case'!B12*$B378)-'Business Case'!B11*$C378*'Business Case'!B13*$D378-'Business Case'!B14*$E378)-MAX(0,(('Business Case'!B11*$C378*'Business Case'!B12*$B378)-'Business Case'!B11*$C378*'Business Case'!B13*$D378-'Business Case'!B14*$E378))*'Business Case'!$B$7-'Business Case'!$B$8*('Business Case'!B11*$C378*'Business Case'!B12*$B378)-'Business Case'!B15*$F378</f>
        <v>-2101892266.27112</v>
      </c>
      <c r="I378" s="39" t="n">
        <f aca="false">(('Business Case'!C11*$C378*'Business Case'!C12*$B378)-'Business Case'!C11*$C378*'Business Case'!C13*$D378-'Business Case'!C14*$E378)-MAX(0,(('Business Case'!C11*$C378*'Business Case'!C12*$B378)-'Business Case'!C11*$C378*'Business Case'!C13*$D378-'Business Case'!C14*$E378))*'Business Case'!$B$7-'Business Case'!$B$8*(('Business Case'!C11*$C378*'Business Case'!C12*$B378)-('Business Case'!B11*$C378*'Business Case'!B12*$B378))-'Business Case'!C15*$F378</f>
        <v>-24001519.1876214</v>
      </c>
      <c r="J378" s="39" t="n">
        <f aca="false">(('Business Case'!D11*$C378*'Business Case'!D12*$B378)-'Business Case'!D11*$C378*'Business Case'!D13*$D378-'Business Case'!D14*$E378)-MAX(0,(('Business Case'!D11*$C378*'Business Case'!D12*$B378)-'Business Case'!D11*$C378*'Business Case'!D13*$D378-'Business Case'!D14*$E378))*'Business Case'!$B$7-'Business Case'!$B$8*(('Business Case'!D11*$C378*'Business Case'!D12*$B378)-('Business Case'!C11*$C378*'Business Case'!C12*$B378))-'Business Case'!D15*$F378</f>
        <v>256620423.990406</v>
      </c>
      <c r="K378" s="39" t="n">
        <f aca="false">(('Business Case'!E11*$C378*'Business Case'!E12*$B378)-'Business Case'!E11*$C378*'Business Case'!E13*$D378-'Business Case'!E14*$E378)-MAX(0,(('Business Case'!E11*$C378*'Business Case'!E12*$B378)-'Business Case'!E11*$C378*'Business Case'!E13*$D378-'Business Case'!E14*$E378))*'Business Case'!$B$7-'Business Case'!$B$8*(('Business Case'!E11*$C378*'Business Case'!E12*$B378)-('Business Case'!D11*$C378*'Business Case'!D12*$B378))-'Business Case'!E15*$F378</f>
        <v>589789673.825211</v>
      </c>
      <c r="L378" s="39" t="n">
        <f aca="false">(('Business Case'!F11*$C378*'Business Case'!F12*$B378)-'Business Case'!F11*$C378*'Business Case'!F13*$D378-'Business Case'!F14*$E378)-MAX(0,(('Business Case'!F11*$C378*'Business Case'!F12*$B378)-'Business Case'!F11*$C378*'Business Case'!F13*$D378-'Business Case'!F14*$E378))*'Business Case'!$B$7-'Business Case'!$B$8*(('Business Case'!F11*$C378*'Business Case'!F12*$B378)-('Business Case'!E11*$C378*'Business Case'!E12*$B378))-'Business Case'!F15*$F378</f>
        <v>716064585.790668</v>
      </c>
      <c r="M378" s="39" t="n">
        <f aca="false">(('Business Case'!G11*$C378*'Business Case'!G12*$B378)-'Business Case'!G11*$C378*'Business Case'!G13*$D378-'Business Case'!G14*$E378)-MAX(0,(('Business Case'!G11*$C378*'Business Case'!G12*$B378)-'Business Case'!G11*$C378*'Business Case'!G13*$D378-'Business Case'!G14*$E378))*'Business Case'!$B$7-'Business Case'!$B$8*(('Business Case'!G11*$C378*'Business Case'!G12*$B378)-('Business Case'!F11*$C378*'Business Case'!F12*$B378))-'Business Case'!G15*$F378+'Business Case'!$B$8*('Business Case'!G11*$C378*'Business Case'!G12*$B378)</f>
        <v>896103039.107633</v>
      </c>
      <c r="N378" s="39" t="n">
        <f aca="false">IF(COUNT('Business Case'!B11:G11)=0,"",H378+NPV(G378,I378:M378))</f>
        <v>-473135691.084121</v>
      </c>
      <c r="P378" s="40" t="n">
        <f aca="true">RAND()</f>
        <v>0.534228153775032</v>
      </c>
      <c r="Q378" s="40" t="n">
        <f aca="true">RAND()</f>
        <v>0.344020693314017</v>
      </c>
      <c r="R378" s="40" t="n">
        <f aca="true">RAND()</f>
        <v>0.56431538285665</v>
      </c>
      <c r="S378" s="40" t="n">
        <f aca="true">RAND()</f>
        <v>0.881605237541773</v>
      </c>
      <c r="T378" s="40" t="n">
        <f aca="true">RAND()</f>
        <v>0.555658895455147</v>
      </c>
      <c r="U378" s="40" t="n">
        <f aca="true">RAND()</f>
        <v>0.786912165517203</v>
      </c>
    </row>
    <row r="379" customFormat="false" ht="15" hidden="false" customHeight="false" outlineLevel="0" collapsed="false">
      <c r="A379" s="36" t="n">
        <v>299</v>
      </c>
      <c r="B379" s="37" t="n">
        <f aca="false">1+IF($G$6=$E$6,$F$6,IF(P379&lt;($F$6-$E$6)/($G$6-$E$6),$E$6+SQRT(P379*($G$6-$E$6)*($F$6-$E$6)),$G$6-SQRT((1-P379)*($G$6-$E$6)*($G$6-$F$6))))</f>
        <v>0.952918293006545</v>
      </c>
      <c r="C379" s="37" t="n">
        <f aca="false">1+IF($G$7=$E$7,$F$7,IF(Q379&lt;($F$7-$E$7)/($G$7-$E$7),$E$7+SQRT(Q379*($G$7-$E$7)*($F$7-$E$7)),$G$7-SQRT((1-Q379)*($G$7-$E$7)*($G$7-$F$7))))</f>
        <v>1.0269332980122</v>
      </c>
      <c r="D379" s="37" t="n">
        <f aca="false">1+IF($G$8=$E$8,$F$8,IF(R379&lt;($F$8-$E$8)/($G$8-$E$8),$E$8+SQRT(R379*($G$8-$E$8)*($F$8-$E$8)),$G$8-SQRT((1-R379)*($G$8-$E$8)*($G$8-$F$8))))</f>
        <v>1.00031672128515</v>
      </c>
      <c r="E379" s="37" t="n">
        <f aca="false">1+IF($G$9=$E$9,$F$9,IF(S379&lt;($F$9-$E$9)/($G$9-$E$9),$E$9+SQRT(S379*($G$9-$E$9)*($F$9-$E$9)),$G$9-SQRT((1-S379)*($G$9-$E$9)*($G$9-$F$9))))</f>
        <v>1.03013171356507</v>
      </c>
      <c r="F379" s="37" t="n">
        <f aca="false">1+IF($G$10=$E$10,$F$10,IF(T379&lt;($F$10-$E$10)/($G$10-$E$10),$E$10+SQRT(T379*($G$10-$E$10)*($F$10-$E$10)),$G$10-SQRT((1-T379)*($G$10-$E$10)*($G$10-$F$10))))</f>
        <v>1.00199754577751</v>
      </c>
      <c r="G379" s="38" t="n">
        <f aca="false">IF($G$11=$E$11,$F$11,IF(U379&lt;($F$11-$E$11)/($G$11-$E$11),$E$11+SQRT(U379*($G$11-$E$11)*($F$11-$E$11)),$G$11-SQRT((1-U379)*($G$11-$E$11)*($G$11-$F$11))))</f>
        <v>0.11045000821961</v>
      </c>
      <c r="H379" s="39" t="n">
        <f aca="false">(('Business Case'!B11*$C379*'Business Case'!B12*$B379)-'Business Case'!B11*$C379*'Business Case'!B13*$D379-'Business Case'!B14*$E379)-MAX(0,(('Business Case'!B11*$C379*'Business Case'!B12*$B379)-'Business Case'!B11*$C379*'Business Case'!B13*$D379-'Business Case'!B14*$E379))*'Business Case'!$B$7-'Business Case'!$B$8*('Business Case'!B11*$C379*'Business Case'!B12*$B379)-'Business Case'!B15*$F379</f>
        <v>-2003995091.55502</v>
      </c>
      <c r="I379" s="39" t="n">
        <f aca="false">(('Business Case'!C11*$C379*'Business Case'!C12*$B379)-'Business Case'!C11*$C379*'Business Case'!C13*$D379-'Business Case'!C14*$E379)-MAX(0,(('Business Case'!C11*$C379*'Business Case'!C12*$B379)-'Business Case'!C11*$C379*'Business Case'!C13*$D379-'Business Case'!C14*$E379))*'Business Case'!$B$7-'Business Case'!$B$8*(('Business Case'!C11*$C379*'Business Case'!C12*$B379)-('Business Case'!B11*$C379*'Business Case'!B12*$B379))-'Business Case'!C15*$F379</f>
        <v>-21758085.6422828</v>
      </c>
      <c r="J379" s="39" t="n">
        <f aca="false">(('Business Case'!D11*$C379*'Business Case'!D12*$B379)-'Business Case'!D11*$C379*'Business Case'!D13*$D379-'Business Case'!D14*$E379)-MAX(0,(('Business Case'!D11*$C379*'Business Case'!D12*$B379)-'Business Case'!D11*$C379*'Business Case'!D13*$D379-'Business Case'!D14*$E379))*'Business Case'!$B$7-'Business Case'!$B$8*(('Business Case'!D11*$C379*'Business Case'!D12*$B379)-('Business Case'!C11*$C379*'Business Case'!C12*$B379))-'Business Case'!D15*$F379</f>
        <v>253898082.917494</v>
      </c>
      <c r="K379" s="39" t="n">
        <f aca="false">(('Business Case'!E11*$C379*'Business Case'!E12*$B379)-'Business Case'!E11*$C379*'Business Case'!E13*$D379-'Business Case'!E14*$E379)-MAX(0,(('Business Case'!E11*$C379*'Business Case'!E12*$B379)-'Business Case'!E11*$C379*'Business Case'!E13*$D379-'Business Case'!E14*$E379))*'Business Case'!$B$7-'Business Case'!$B$8*(('Business Case'!E11*$C379*'Business Case'!E12*$B379)-('Business Case'!D11*$C379*'Business Case'!D12*$B379))-'Business Case'!E15*$F379</f>
        <v>579654128.766146</v>
      </c>
      <c r="L379" s="39" t="n">
        <f aca="false">(('Business Case'!F11*$C379*'Business Case'!F12*$B379)-'Business Case'!F11*$C379*'Business Case'!F13*$D379-'Business Case'!F14*$E379)-MAX(0,(('Business Case'!F11*$C379*'Business Case'!F12*$B379)-'Business Case'!F11*$C379*'Business Case'!F13*$D379-'Business Case'!F14*$E379))*'Business Case'!$B$7-'Business Case'!$B$8*(('Business Case'!F11*$C379*'Business Case'!F12*$B379)-('Business Case'!E11*$C379*'Business Case'!E12*$B379))-'Business Case'!F15*$F379</f>
        <v>705359364.922975</v>
      </c>
      <c r="M379" s="39" t="n">
        <f aca="false">(('Business Case'!G11*$C379*'Business Case'!G12*$B379)-'Business Case'!G11*$C379*'Business Case'!G13*$D379-'Business Case'!G14*$E379)-MAX(0,(('Business Case'!G11*$C379*'Business Case'!G12*$B379)-'Business Case'!G11*$C379*'Business Case'!G13*$D379-'Business Case'!G14*$E379))*'Business Case'!$B$7-'Business Case'!$B$8*(('Business Case'!G11*$C379*'Business Case'!G12*$B379)-('Business Case'!F11*$C379*'Business Case'!F12*$B379))-'Business Case'!G15*$F379+'Business Case'!$B$8*('Business Case'!G11*$C379*'Business Case'!G12*$B379)</f>
        <v>891368521.425944</v>
      </c>
      <c r="N379" s="39" t="n">
        <f aca="false">IF(COUNT('Business Case'!B11:G11)=0,"",H379+NPV(G379,I379:M379))</f>
        <v>-402561410.311901</v>
      </c>
      <c r="P379" s="40" t="n">
        <f aca="true">RAND()</f>
        <v>0.112876459840078</v>
      </c>
      <c r="Q379" s="40" t="n">
        <f aca="true">RAND()</f>
        <v>0.711515940225624</v>
      </c>
      <c r="R379" s="40" t="n">
        <f aca="true">RAND()</f>
        <v>0.38947837435113</v>
      </c>
      <c r="S379" s="40" t="n">
        <f aca="true">RAND()</f>
        <v>0.674561503376456</v>
      </c>
      <c r="T379" s="40" t="n">
        <f aca="true">RAND()</f>
        <v>0.21590056243741</v>
      </c>
      <c r="U379" s="40" t="n">
        <f aca="true">RAND()</f>
        <v>0.84799609499082</v>
      </c>
    </row>
    <row r="380" customFormat="false" ht="15" hidden="false" customHeight="false" outlineLevel="0" collapsed="false">
      <c r="A380" s="36" t="n">
        <v>300</v>
      </c>
      <c r="B380" s="37" t="n">
        <f aca="false">1+IF($G$6=$E$6,$F$6,IF(P380&lt;($F$6-$E$6)/($G$6-$E$6),$E$6+SQRT(P380*($G$6-$E$6)*($F$6-$E$6)),$G$6-SQRT((1-P380)*($G$6-$E$6)*($G$6-$F$6))))</f>
        <v>0.983300069924558</v>
      </c>
      <c r="C380" s="37" t="n">
        <f aca="false">1+IF($G$7=$E$7,$F$7,IF(Q380&lt;($F$7-$E$7)/($G$7-$E$7),$E$7+SQRT(Q380*($G$7-$E$7)*($F$7-$E$7)),$G$7-SQRT((1-Q380)*($G$7-$E$7)*($G$7-$F$7))))</f>
        <v>0.898215898202304</v>
      </c>
      <c r="D380" s="37" t="n">
        <f aca="false">1+IF($G$8=$E$8,$F$8,IF(R380&lt;($F$8-$E$8)/($G$8-$E$8),$E$8+SQRT(R380*($G$8-$E$8)*($F$8-$E$8)),$G$8-SQRT((1-R380)*($G$8-$E$8)*($G$8-$F$8))))</f>
        <v>0.998867212578215</v>
      </c>
      <c r="E380" s="37" t="n">
        <f aca="false">1+IF($G$9=$E$9,$F$9,IF(S380&lt;($F$9-$E$9)/($G$9-$E$9),$E$9+SQRT(S380*($G$9-$E$9)*($F$9-$E$9)),$G$9-SQRT((1-S380)*($G$9-$E$9)*($G$9-$F$9))))</f>
        <v>1.01457046491964</v>
      </c>
      <c r="F380" s="37" t="n">
        <f aca="false">1+IF($G$10=$E$10,$F$10,IF(T380&lt;($F$10-$E$10)/($G$10-$E$10),$E$10+SQRT(T380*($G$10-$E$10)*($F$10-$E$10)),$G$10-SQRT((1-T380)*($G$10-$E$10)*($G$10-$F$10))))</f>
        <v>1.02941183745909</v>
      </c>
      <c r="G380" s="38" t="n">
        <f aca="false">IF($G$11=$E$11,$F$11,IF(U380&lt;($F$11-$E$11)/($G$11-$E$11),$E$11+SQRT(U380*($G$11-$E$11)*($F$11-$E$11)),$G$11-SQRT((1-U380)*($G$11-$E$11)*($G$11-$F$11))))</f>
        <v>0.105422797659027</v>
      </c>
      <c r="H380" s="39" t="n">
        <f aca="false">(('Business Case'!B11*$C380*'Business Case'!B12*$B380)-'Business Case'!B11*$C380*'Business Case'!B13*$D380-'Business Case'!B14*$E380)-MAX(0,(('Business Case'!B11*$C380*'Business Case'!B12*$B380)-'Business Case'!B11*$C380*'Business Case'!B13*$D380-'Business Case'!B14*$E380))*'Business Case'!$B$7-'Business Case'!$B$8*('Business Case'!B11*$C380*'Business Case'!B12*$B380)-'Business Case'!B15*$F380</f>
        <v>-2058823674.91819</v>
      </c>
      <c r="I380" s="39" t="n">
        <f aca="false">(('Business Case'!C11*$C380*'Business Case'!C12*$B380)-'Business Case'!C11*$C380*'Business Case'!C13*$D380-'Business Case'!C14*$E380)-MAX(0,(('Business Case'!C11*$C380*'Business Case'!C12*$B380)-'Business Case'!C11*$C380*'Business Case'!C13*$D380-'Business Case'!C14*$E380))*'Business Case'!$B$7-'Business Case'!$B$8*(('Business Case'!C11*$C380*'Business Case'!C12*$B380)-('Business Case'!B11*$C380*'Business Case'!B12*$B380))-'Business Case'!C15*$F380</f>
        <v>-28875523.645196</v>
      </c>
      <c r="J380" s="39" t="n">
        <f aca="false">(('Business Case'!D11*$C380*'Business Case'!D12*$B380)-'Business Case'!D11*$C380*'Business Case'!D13*$D380-'Business Case'!D14*$E380)-MAX(0,(('Business Case'!D11*$C380*'Business Case'!D12*$B380)-'Business Case'!D11*$C380*'Business Case'!D13*$D380-'Business Case'!D14*$E380))*'Business Case'!$B$7-'Business Case'!$B$8*(('Business Case'!D11*$C380*'Business Case'!D12*$B380)-('Business Case'!C11*$C380*'Business Case'!C12*$B380))-'Business Case'!D15*$F380</f>
        <v>235247961.332712</v>
      </c>
      <c r="K380" s="39" t="n">
        <f aca="false">(('Business Case'!E11*$C380*'Business Case'!E12*$B380)-'Business Case'!E11*$C380*'Business Case'!E13*$D380-'Business Case'!E14*$E380)-MAX(0,(('Business Case'!E11*$C380*'Business Case'!E12*$B380)-'Business Case'!E11*$C380*'Business Case'!E13*$D380-'Business Case'!E14*$E380))*'Business Case'!$B$7-'Business Case'!$B$8*(('Business Case'!E11*$C380*'Business Case'!E12*$B380)-('Business Case'!D11*$C380*'Business Case'!D12*$B380))-'Business Case'!E15*$F380</f>
        <v>550842038.183574</v>
      </c>
      <c r="L380" s="39" t="n">
        <f aca="false">(('Business Case'!F11*$C380*'Business Case'!F12*$B380)-'Business Case'!F11*$C380*'Business Case'!F13*$D380-'Business Case'!F14*$E380)-MAX(0,(('Business Case'!F11*$C380*'Business Case'!F12*$B380)-'Business Case'!F11*$C380*'Business Case'!F13*$D380-'Business Case'!F14*$E380))*'Business Case'!$B$7-'Business Case'!$B$8*(('Business Case'!F11*$C380*'Business Case'!F12*$B380)-('Business Case'!E11*$C380*'Business Case'!E12*$B380))-'Business Case'!F15*$F380</f>
        <v>669407136.353291</v>
      </c>
      <c r="M380" s="39" t="n">
        <f aca="false">(('Business Case'!G11*$C380*'Business Case'!G12*$B380)-'Business Case'!G11*$C380*'Business Case'!G13*$D380-'Business Case'!G14*$E380)-MAX(0,(('Business Case'!G11*$C380*'Business Case'!G12*$B380)-'Business Case'!G11*$C380*'Business Case'!G13*$D380-'Business Case'!G14*$E380))*'Business Case'!$B$7-'Business Case'!$B$8*(('Business Case'!G11*$C380*'Business Case'!G12*$B380)-('Business Case'!F11*$C380*'Business Case'!F12*$B380))-'Business Case'!G15*$F380+'Business Case'!$B$8*('Business Case'!G11*$C380*'Business Case'!G12*$B380)</f>
        <v>837288787.16057</v>
      </c>
      <c r="N380" s="39" t="n">
        <f aca="false">IF(COUNT('Business Case'!B11:G11)=0,"",H380+NPV(G380,I380:M380))</f>
        <v>-529062272.946827</v>
      </c>
      <c r="P380" s="40" t="n">
        <f aca="true">RAND()</f>
        <v>0.417385297130624</v>
      </c>
      <c r="Q380" s="40" t="n">
        <f aca="true">RAND()</f>
        <v>0.137805180852647</v>
      </c>
      <c r="R380" s="40" t="n">
        <f aca="true">RAND()</f>
        <v>0.367385302332985</v>
      </c>
      <c r="S380" s="40" t="n">
        <f aca="true">RAND()</f>
        <v>0.513452969063586</v>
      </c>
      <c r="T380" s="40" t="n">
        <f aca="true">RAND()</f>
        <v>0.417993576018339</v>
      </c>
      <c r="U380" s="40" t="n">
        <f aca="true">RAND()</f>
        <v>0.645841953183909</v>
      </c>
    </row>
    <row r="381" customFormat="false" ht="15" hidden="false" customHeight="false" outlineLevel="0" collapsed="false">
      <c r="A381" s="36" t="n">
        <v>301</v>
      </c>
      <c r="B381" s="37" t="n">
        <f aca="false">1+IF($G$6=$E$6,$F$6,IF(P381&lt;($F$6-$E$6)/($G$6-$E$6),$E$6+SQRT(P381*($G$6-$E$6)*($F$6-$E$6)),$G$6-SQRT((1-P381)*($G$6-$E$6)*($G$6-$F$6))))</f>
        <v>1.00662582586523</v>
      </c>
      <c r="C381" s="37" t="n">
        <f aca="false">1+IF($G$7=$E$7,$F$7,IF(Q381&lt;($F$7-$E$7)/($G$7-$E$7),$E$7+SQRT(Q381*($G$7-$E$7)*($F$7-$E$7)),$G$7-SQRT((1-Q381)*($G$7-$E$7)*($G$7-$F$7))))</f>
        <v>0.876092756973177</v>
      </c>
      <c r="D381" s="37" t="n">
        <f aca="false">1+IF($G$8=$E$8,$F$8,IF(R381&lt;($F$8-$E$8)/($G$8-$E$8),$E$8+SQRT(R381*($G$8-$E$8)*($F$8-$E$8)),$G$8-SQRT((1-R381)*($G$8-$E$8)*($G$8-$F$8))))</f>
        <v>1.01383622572683</v>
      </c>
      <c r="E381" s="37" t="n">
        <f aca="false">1+IF($G$9=$E$9,$F$9,IF(S381&lt;($F$9-$E$9)/($G$9-$E$9),$E$9+SQRT(S381*($G$9-$E$9)*($F$9-$E$9)),$G$9-SQRT((1-S381)*($G$9-$E$9)*($G$9-$F$9))))</f>
        <v>1.00013891155247</v>
      </c>
      <c r="F381" s="37" t="n">
        <f aca="false">1+IF($G$10=$E$10,$F$10,IF(T381&lt;($F$10-$E$10)/($G$10-$E$10),$E$10+SQRT(T381*($G$10-$E$10)*($F$10-$E$10)),$G$10-SQRT((1-T381)*($G$10-$E$10)*($G$10-$F$10))))</f>
        <v>1.01377648137762</v>
      </c>
      <c r="G381" s="38" t="n">
        <f aca="false">IF($G$11=$E$11,$F$11,IF(U381&lt;($F$11-$E$11)/($G$11-$E$11),$E$11+SQRT(U381*($G$11-$E$11)*($F$11-$E$11)),$G$11-SQRT((1-U381)*($G$11-$E$11)*($G$11-$F$11))))</f>
        <v>0.0932952250994191</v>
      </c>
      <c r="H381" s="39" t="n">
        <f aca="false">(('Business Case'!B11*$C381*'Business Case'!B12*$B381)-'Business Case'!B11*$C381*'Business Case'!B13*$D381-'Business Case'!B14*$E381)-MAX(0,(('Business Case'!B11*$C381*'Business Case'!B12*$B381)-'Business Case'!B11*$C381*'Business Case'!B13*$D381-'Business Case'!B14*$E381))*'Business Case'!$B$7-'Business Case'!$B$8*('Business Case'!B11*$C381*'Business Case'!B12*$B381)-'Business Case'!B15*$F381</f>
        <v>-2027552962.75524</v>
      </c>
      <c r="I381" s="39" t="n">
        <f aca="false">(('Business Case'!C11*$C381*'Business Case'!C12*$B381)-'Business Case'!C11*$C381*'Business Case'!C13*$D381-'Business Case'!C14*$E381)-MAX(0,(('Business Case'!C11*$C381*'Business Case'!C12*$B381)-'Business Case'!C11*$C381*'Business Case'!C13*$D381-'Business Case'!C14*$E381))*'Business Case'!$B$7-'Business Case'!$B$8*(('Business Case'!C11*$C381*'Business Case'!C12*$B381)-('Business Case'!B11*$C381*'Business Case'!B12*$B381))-'Business Case'!C15*$F381</f>
        <v>-21672150.517707</v>
      </c>
      <c r="J381" s="39" t="n">
        <f aca="false">(('Business Case'!D11*$C381*'Business Case'!D12*$B381)-'Business Case'!D11*$C381*'Business Case'!D13*$D381-'Business Case'!D14*$E381)-MAX(0,(('Business Case'!D11*$C381*'Business Case'!D12*$B381)-'Business Case'!D11*$C381*'Business Case'!D13*$D381-'Business Case'!D14*$E381))*'Business Case'!$B$7-'Business Case'!$B$8*(('Business Case'!D11*$C381*'Business Case'!D12*$B381)-('Business Case'!C11*$C381*'Business Case'!C12*$B381))-'Business Case'!D15*$F381</f>
        <v>245970671.651085</v>
      </c>
      <c r="K381" s="39" t="n">
        <f aca="false">(('Business Case'!E11*$C381*'Business Case'!E12*$B381)-'Business Case'!E11*$C381*'Business Case'!E13*$D381-'Business Case'!E14*$E381)-MAX(0,(('Business Case'!E11*$C381*'Business Case'!E12*$B381)-'Business Case'!E11*$C381*'Business Case'!E13*$D381-'Business Case'!E14*$E381))*'Business Case'!$B$7-'Business Case'!$B$8*(('Business Case'!E11*$C381*'Business Case'!E12*$B381)-('Business Case'!D11*$C381*'Business Case'!D12*$B381))-'Business Case'!E15*$F381</f>
        <v>564302317.888757</v>
      </c>
      <c r="L381" s="39" t="n">
        <f aca="false">(('Business Case'!F11*$C381*'Business Case'!F12*$B381)-'Business Case'!F11*$C381*'Business Case'!F13*$D381-'Business Case'!F14*$E381)-MAX(0,(('Business Case'!F11*$C381*'Business Case'!F12*$B381)-'Business Case'!F11*$C381*'Business Case'!F13*$D381-'Business Case'!F14*$E381))*'Business Case'!$B$7-'Business Case'!$B$8*(('Business Case'!F11*$C381*'Business Case'!F12*$B381)-('Business Case'!E11*$C381*'Business Case'!E12*$B381))-'Business Case'!F15*$F381</f>
        <v>683994972.829004</v>
      </c>
      <c r="M381" s="39" t="n">
        <f aca="false">(('Business Case'!G11*$C381*'Business Case'!G12*$B381)-'Business Case'!G11*$C381*'Business Case'!G13*$D381-'Business Case'!G14*$E381)-MAX(0,(('Business Case'!G11*$C381*'Business Case'!G12*$B381)-'Business Case'!G11*$C381*'Business Case'!G13*$D381-'Business Case'!G14*$E381))*'Business Case'!$B$7-'Business Case'!$B$8*(('Business Case'!G11*$C381*'Business Case'!G12*$B381)-('Business Case'!F11*$C381*'Business Case'!F12*$B381))-'Business Case'!G15*$F381+'Business Case'!$B$8*('Business Case'!G11*$C381*'Business Case'!G12*$B381)</f>
        <v>851626067.690913</v>
      </c>
      <c r="N381" s="39" t="n">
        <f aca="false">IF(COUNT('Business Case'!B11:G11)=0,"",H381+NPV(G381,I381:M381))</f>
        <v>-385825433.584395</v>
      </c>
      <c r="P381" s="40" t="n">
        <f aca="true">RAND()</f>
        <v>0.767950937671235</v>
      </c>
      <c r="Q381" s="40" t="n">
        <f aca="true">RAND()</f>
        <v>0.0827158237682701</v>
      </c>
      <c r="R381" s="40" t="n">
        <f aca="true">RAND()</f>
        <v>0.579072593647028</v>
      </c>
      <c r="S381" s="40" t="n">
        <f aca="true">RAND()</f>
        <v>0.335184200938339</v>
      </c>
      <c r="T381" s="40" t="n">
        <f aca="true">RAND()</f>
        <v>0.306416022237986</v>
      </c>
      <c r="U381" s="40" t="n">
        <f aca="true">RAND()</f>
        <v>0.0361950281861386</v>
      </c>
    </row>
    <row r="382" customFormat="false" ht="15" hidden="false" customHeight="false" outlineLevel="0" collapsed="false">
      <c r="A382" s="36" t="n">
        <v>302</v>
      </c>
      <c r="B382" s="37" t="n">
        <f aca="false">1+IF($G$6=$E$6,$F$6,IF(P382&lt;($F$6-$E$6)/($G$6-$E$6),$E$6+SQRT(P382*($G$6-$E$6)*($F$6-$E$6)),$G$6-SQRT((1-P382)*($G$6-$E$6)*($G$6-$F$6))))</f>
        <v>0.986989644026669</v>
      </c>
      <c r="C382" s="37" t="n">
        <f aca="false">1+IF($G$7=$E$7,$F$7,IF(Q382&lt;($F$7-$E$7)/($G$7-$E$7),$E$7+SQRT(Q382*($G$7-$E$7)*($F$7-$E$7)),$G$7-SQRT((1-Q382)*($G$7-$E$7)*($G$7-$F$7))))</f>
        <v>0.947232419113084</v>
      </c>
      <c r="D382" s="37" t="n">
        <f aca="false">1+IF($G$8=$E$8,$F$8,IF(R382&lt;($F$8-$E$8)/($G$8-$E$8),$E$8+SQRT(R382*($G$8-$E$8)*($F$8-$E$8)),$G$8-SQRT((1-R382)*($G$8-$E$8)*($G$8-$F$8))))</f>
        <v>1.012649326724</v>
      </c>
      <c r="E382" s="37" t="n">
        <f aca="false">1+IF($G$9=$E$9,$F$9,IF(S382&lt;($F$9-$E$9)/($G$9-$E$9),$E$9+SQRT(S382*($G$9-$E$9)*($F$9-$E$9)),$G$9-SQRT((1-S382)*($G$9-$E$9)*($G$9-$F$9))))</f>
        <v>1.05563999658717</v>
      </c>
      <c r="F382" s="37" t="n">
        <f aca="false">1+IF($G$10=$E$10,$F$10,IF(T382&lt;($F$10-$E$10)/($G$10-$E$10),$E$10+SQRT(T382*($G$10-$E$10)*($F$10-$E$10)),$G$10-SQRT((1-T382)*($G$10-$E$10)*($G$10-$F$10))))</f>
        <v>1.07287245598443</v>
      </c>
      <c r="G382" s="38" t="n">
        <f aca="false">IF($G$11=$E$11,$F$11,IF(U382&lt;($F$11-$E$11)/($G$11-$E$11),$E$11+SQRT(U382*($G$11-$E$11)*($F$11-$E$11)),$G$11-SQRT((1-U382)*($G$11-$E$11)*($G$11-$F$11))))</f>
        <v>0.103840703841649</v>
      </c>
      <c r="H382" s="39" t="n">
        <f aca="false">(('Business Case'!B11*$C382*'Business Case'!B12*$B382)-'Business Case'!B11*$C382*'Business Case'!B13*$D382-'Business Case'!B14*$E382)-MAX(0,(('Business Case'!B11*$C382*'Business Case'!B12*$B382)-'Business Case'!B11*$C382*'Business Case'!B13*$D382-'Business Case'!B14*$E382))*'Business Case'!$B$7-'Business Case'!$B$8*('Business Case'!B11*$C382*'Business Case'!B12*$B382)-'Business Case'!B15*$F382</f>
        <v>-2145744911.96886</v>
      </c>
      <c r="I382" s="39" t="n">
        <f aca="false">(('Business Case'!C11*$C382*'Business Case'!C12*$B382)-'Business Case'!C11*$C382*'Business Case'!C13*$D382-'Business Case'!C14*$E382)-MAX(0,(('Business Case'!C11*$C382*'Business Case'!C12*$B382)-'Business Case'!C11*$C382*'Business Case'!C13*$D382-'Business Case'!C14*$E382))*'Business Case'!$B$7-'Business Case'!$B$8*(('Business Case'!C11*$C382*'Business Case'!C12*$B382)-('Business Case'!B11*$C382*'Business Case'!B12*$B382))-'Business Case'!C15*$F382</f>
        <v>-31148437.0577932</v>
      </c>
      <c r="J382" s="39" t="n">
        <f aca="false">(('Business Case'!D11*$C382*'Business Case'!D12*$B382)-'Business Case'!D11*$C382*'Business Case'!D13*$D382-'Business Case'!D14*$E382)-MAX(0,(('Business Case'!D11*$C382*'Business Case'!D12*$B382)-'Business Case'!D11*$C382*'Business Case'!D13*$D382-'Business Case'!D14*$E382))*'Business Case'!$B$7-'Business Case'!$B$8*(('Business Case'!D11*$C382*'Business Case'!D12*$B382)-('Business Case'!C11*$C382*'Business Case'!C12*$B382))-'Business Case'!D15*$F382</f>
        <v>243568040.207297</v>
      </c>
      <c r="K382" s="39" t="n">
        <f aca="false">(('Business Case'!E11*$C382*'Business Case'!E12*$B382)-'Business Case'!E11*$C382*'Business Case'!E13*$D382-'Business Case'!E14*$E382)-MAX(0,(('Business Case'!E11*$C382*'Business Case'!E12*$B382)-'Business Case'!E11*$C382*'Business Case'!E13*$D382-'Business Case'!E14*$E382))*'Business Case'!$B$7-'Business Case'!$B$8*(('Business Case'!E11*$C382*'Business Case'!E12*$B382)-('Business Case'!D11*$C382*'Business Case'!D12*$B382))-'Business Case'!E15*$F382</f>
        <v>571928140.271609</v>
      </c>
      <c r="L382" s="39" t="n">
        <f aca="false">(('Business Case'!F11*$C382*'Business Case'!F12*$B382)-'Business Case'!F11*$C382*'Business Case'!F13*$D382-'Business Case'!F14*$E382)-MAX(0,(('Business Case'!F11*$C382*'Business Case'!F12*$B382)-'Business Case'!F11*$C382*'Business Case'!F13*$D382-'Business Case'!F14*$E382))*'Business Case'!$B$7-'Business Case'!$B$8*(('Business Case'!F11*$C382*'Business Case'!F12*$B382)-('Business Case'!E11*$C382*'Business Case'!E12*$B382))-'Business Case'!F15*$F382</f>
        <v>695810740.16647</v>
      </c>
      <c r="M382" s="39" t="n">
        <f aca="false">(('Business Case'!G11*$C382*'Business Case'!G12*$B382)-'Business Case'!G11*$C382*'Business Case'!G13*$D382-'Business Case'!G14*$E382)-MAX(0,(('Business Case'!G11*$C382*'Business Case'!G12*$B382)-'Business Case'!G11*$C382*'Business Case'!G13*$D382-'Business Case'!G14*$E382))*'Business Case'!$B$7-'Business Case'!$B$8*(('Business Case'!G11*$C382*'Business Case'!G12*$B382)-('Business Case'!F11*$C382*'Business Case'!F12*$B382))-'Business Case'!G15*$F382+'Business Case'!$B$8*('Business Case'!G11*$C382*'Business Case'!G12*$B382)</f>
        <v>873518164.602201</v>
      </c>
      <c r="N382" s="39" t="n">
        <f aca="false">IF(COUNT('Business Case'!B11:G11)=0,"",H382+NPV(G382,I382:M382))</f>
        <v>-547153375.589778</v>
      </c>
      <c r="P382" s="40" t="n">
        <f aca="true">RAND()</f>
        <v>0.4674596257104</v>
      </c>
      <c r="Q382" s="40" t="n">
        <f aca="true">RAND()</f>
        <v>0.30967693196987</v>
      </c>
      <c r="R382" s="40" t="n">
        <f aca="true">RAND()</f>
        <v>0.563835270122042</v>
      </c>
      <c r="S382" s="40" t="n">
        <f aca="true">RAND()</f>
        <v>0.868812673147589</v>
      </c>
      <c r="T382" s="40" t="n">
        <f aca="true">RAND()</f>
        <v>0.676771751051389</v>
      </c>
      <c r="U382" s="40" t="n">
        <f aca="true">RAND()</f>
        <v>0.564795246111169</v>
      </c>
    </row>
    <row r="383" customFormat="false" ht="15" hidden="false" customHeight="false" outlineLevel="0" collapsed="false">
      <c r="A383" s="36" t="n">
        <v>303</v>
      </c>
      <c r="B383" s="37" t="n">
        <f aca="false">1+IF($G$6=$E$6,$F$6,IF(P383&lt;($F$6-$E$6)/($G$6-$E$6),$E$6+SQRT(P383*($G$6-$E$6)*($F$6-$E$6)),$G$6-SQRT((1-P383)*($G$6-$E$6)*($G$6-$F$6))))</f>
        <v>0.988576305981503</v>
      </c>
      <c r="C383" s="37" t="n">
        <f aca="false">1+IF($G$7=$E$7,$F$7,IF(Q383&lt;($F$7-$E$7)/($G$7-$E$7),$E$7+SQRT(Q383*($G$7-$E$7)*($F$7-$E$7)),$G$7-SQRT((1-Q383)*($G$7-$E$7)*($G$7-$F$7))))</f>
        <v>0.842631766767909</v>
      </c>
      <c r="D383" s="37" t="n">
        <f aca="false">1+IF($G$8=$E$8,$F$8,IF(R383&lt;($F$8-$E$8)/($G$8-$E$8),$E$8+SQRT(R383*($G$8-$E$8)*($F$8-$E$8)),$G$8-SQRT((1-R383)*($G$8-$E$8)*($G$8-$F$8))))</f>
        <v>1.02654631338871</v>
      </c>
      <c r="E383" s="37" t="n">
        <f aca="false">1+IF($G$9=$E$9,$F$9,IF(S383&lt;($F$9-$E$9)/($G$9-$E$9),$E$9+SQRT(S383*($G$9-$E$9)*($F$9-$E$9)),$G$9-SQRT((1-S383)*($G$9-$E$9)*($G$9-$F$9))))</f>
        <v>0.982118110196078</v>
      </c>
      <c r="F383" s="37" t="n">
        <f aca="false">1+IF($G$10=$E$10,$F$10,IF(T383&lt;($F$10-$E$10)/($G$10-$E$10),$E$10+SQRT(T383*($G$10-$E$10)*($F$10-$E$10)),$G$10-SQRT((1-T383)*($G$10-$E$10)*($G$10-$F$10))))</f>
        <v>1.00005729002371</v>
      </c>
      <c r="G383" s="38" t="n">
        <f aca="false">IF($G$11=$E$11,$F$11,IF(U383&lt;($F$11-$E$11)/($G$11-$E$11),$E$11+SQRT(U383*($G$11-$E$11)*($F$11-$E$11)),$G$11-SQRT((1-U383)*($G$11-$E$11)*($G$11-$F$11))))</f>
        <v>0.113550980422561</v>
      </c>
      <c r="H383" s="39" t="n">
        <f aca="false">(('Business Case'!B11*$C383*'Business Case'!B12*$B383)-'Business Case'!B11*$C383*'Business Case'!B13*$D383-'Business Case'!B14*$E383)-MAX(0,(('Business Case'!B11*$C383*'Business Case'!B12*$B383)-'Business Case'!B11*$C383*'Business Case'!B13*$D383-'Business Case'!B14*$E383))*'Business Case'!$B$7-'Business Case'!$B$8*('Business Case'!B11*$C383*'Business Case'!B12*$B383)-'Business Case'!B15*$F383</f>
        <v>-2000114580.04742</v>
      </c>
      <c r="I383" s="39" t="n">
        <f aca="false">(('Business Case'!C11*$C383*'Business Case'!C12*$B383)-'Business Case'!C11*$C383*'Business Case'!C13*$D383-'Business Case'!C14*$E383)-MAX(0,(('Business Case'!C11*$C383*'Business Case'!C12*$B383)-'Business Case'!C11*$C383*'Business Case'!C13*$D383-'Business Case'!C14*$E383))*'Business Case'!$B$7-'Business Case'!$B$8*(('Business Case'!C11*$C383*'Business Case'!C12*$B383)-('Business Case'!B11*$C383*'Business Case'!B12*$B383))-'Business Case'!C15*$F383</f>
        <v>-43365292.0901004</v>
      </c>
      <c r="J383" s="39" t="n">
        <f aca="false">(('Business Case'!D11*$C383*'Business Case'!D12*$B383)-'Business Case'!D11*$C383*'Business Case'!D13*$D383-'Business Case'!D14*$E383)-MAX(0,(('Business Case'!D11*$C383*'Business Case'!D12*$B383)-'Business Case'!D11*$C383*'Business Case'!D13*$D383-'Business Case'!D14*$E383))*'Business Case'!$B$7-'Business Case'!$B$8*(('Business Case'!D11*$C383*'Business Case'!D12*$B383)-('Business Case'!C11*$C383*'Business Case'!C12*$B383))-'Business Case'!D15*$F383</f>
        <v>196115360.727458</v>
      </c>
      <c r="K383" s="39" t="n">
        <f aca="false">(('Business Case'!E11*$C383*'Business Case'!E12*$B383)-'Business Case'!E11*$C383*'Business Case'!E13*$D383-'Business Case'!E14*$E383)-MAX(0,(('Business Case'!E11*$C383*'Business Case'!E12*$B383)-'Business Case'!E11*$C383*'Business Case'!E13*$D383-'Business Case'!E14*$E383))*'Business Case'!$B$7-'Business Case'!$B$8*(('Business Case'!E11*$C383*'Business Case'!E12*$B383)-('Business Case'!D11*$C383*'Business Case'!D12*$B383))-'Business Case'!E15*$F383</f>
        <v>485598878.046201</v>
      </c>
      <c r="L383" s="39" t="n">
        <f aca="false">(('Business Case'!F11*$C383*'Business Case'!F12*$B383)-'Business Case'!F11*$C383*'Business Case'!F13*$D383-'Business Case'!F14*$E383)-MAX(0,(('Business Case'!F11*$C383*'Business Case'!F12*$B383)-'Business Case'!F11*$C383*'Business Case'!F13*$D383-'Business Case'!F14*$E383))*'Business Case'!$B$7-'Business Case'!$B$8*(('Business Case'!F11*$C383*'Business Case'!F12*$B383)-('Business Case'!E11*$C383*'Business Case'!E12*$B383))-'Business Case'!F15*$F383</f>
        <v>594214442.742325</v>
      </c>
      <c r="M383" s="39" t="n">
        <f aca="false">(('Business Case'!G11*$C383*'Business Case'!G12*$B383)-'Business Case'!G11*$C383*'Business Case'!G13*$D383-'Business Case'!G14*$E383)-MAX(0,(('Business Case'!G11*$C383*'Business Case'!G12*$B383)-'Business Case'!G11*$C383*'Business Case'!G13*$D383-'Business Case'!G14*$E383))*'Business Case'!$B$7-'Business Case'!$B$8*(('Business Case'!G11*$C383*'Business Case'!G12*$B383)-('Business Case'!F11*$C383*'Business Case'!F12*$B383))-'Business Case'!G15*$F383+'Business Case'!$B$8*('Business Case'!G11*$C383*'Business Case'!G12*$B383)</f>
        <v>752552185.072145</v>
      </c>
      <c r="N383" s="39" t="n">
        <f aca="false">IF(COUNT('Business Case'!B11:G11)=0,"",H383+NPV(G383,I383:M383))</f>
        <v>-703234017.363969</v>
      </c>
      <c r="P383" s="40" t="n">
        <f aca="true">RAND()</f>
        <v>0.48986559813216</v>
      </c>
      <c r="Q383" s="40" t="n">
        <f aca="true">RAND()</f>
        <v>0.0259638219679053</v>
      </c>
      <c r="R383" s="40" t="n">
        <f aca="true">RAND()</f>
        <v>0.725259941121387</v>
      </c>
      <c r="S383" s="40" t="n">
        <f aca="true">RAND()</f>
        <v>0.13754306700899</v>
      </c>
      <c r="T383" s="40" t="n">
        <f aca="true">RAND()</f>
        <v>0.200458254546742</v>
      </c>
      <c r="U383" s="40" t="n">
        <f aca="true">RAND()</f>
        <v>0.930683577483005</v>
      </c>
    </row>
    <row r="384" customFormat="false" ht="15" hidden="false" customHeight="false" outlineLevel="0" collapsed="false">
      <c r="A384" s="36" t="n">
        <v>304</v>
      </c>
      <c r="B384" s="37" t="n">
        <f aca="false">1+IF($G$6=$E$6,$F$6,IF(P384&lt;($F$6-$E$6)/($G$6-$E$6),$E$6+SQRT(P384*($G$6-$E$6)*($F$6-$E$6)),$G$6-SQRT((1-P384)*($G$6-$E$6)*($G$6-$F$6))))</f>
        <v>0.963624392438372</v>
      </c>
      <c r="C384" s="37" t="n">
        <f aca="false">1+IF($G$7=$E$7,$F$7,IF(Q384&lt;($F$7-$E$7)/($G$7-$E$7),$E$7+SQRT(Q384*($G$7-$E$7)*($F$7-$E$7)),$G$7-SQRT((1-Q384)*($G$7-$E$7)*($G$7-$F$7))))</f>
        <v>0.992704102350156</v>
      </c>
      <c r="D384" s="37" t="n">
        <f aca="false">1+IF($G$8=$E$8,$F$8,IF(R384&lt;($F$8-$E$8)/($G$8-$E$8),$E$8+SQRT(R384*($G$8-$E$8)*($F$8-$E$8)),$G$8-SQRT((1-R384)*($G$8-$E$8)*($G$8-$F$8))))</f>
        <v>1.03879927184821</v>
      </c>
      <c r="E384" s="37" t="n">
        <f aca="false">1+IF($G$9=$E$9,$F$9,IF(S384&lt;($F$9-$E$9)/($G$9-$E$9),$E$9+SQRT(S384*($G$9-$E$9)*($F$9-$E$9)),$G$9-SQRT((1-S384)*($G$9-$E$9)*($G$9-$F$9))))</f>
        <v>1.09215556117761</v>
      </c>
      <c r="F384" s="37" t="n">
        <f aca="false">1+IF($G$10=$E$10,$F$10,IF(T384&lt;($F$10-$E$10)/($G$10-$E$10),$E$10+SQRT(T384*($G$10-$E$10)*($F$10-$E$10)),$G$10-SQRT((1-T384)*($G$10-$E$10)*($G$10-$F$10))))</f>
        <v>1.03800903852296</v>
      </c>
      <c r="G384" s="38" t="n">
        <f aca="false">IF($G$11=$E$11,$F$11,IF(U384&lt;($F$11-$E$11)/($G$11-$E$11),$E$11+SQRT(U384*($G$11-$E$11)*($F$11-$E$11)),$G$11-SQRT((1-U384)*($G$11-$E$11)*($G$11-$F$11))))</f>
        <v>0.10480445695319</v>
      </c>
      <c r="H384" s="39" t="n">
        <f aca="false">(('Business Case'!B11*$C384*'Business Case'!B12*$B384)-'Business Case'!B11*$C384*'Business Case'!B13*$D384-'Business Case'!B14*$E384)-MAX(0,(('Business Case'!B11*$C384*'Business Case'!B12*$B384)-'Business Case'!B11*$C384*'Business Case'!B13*$D384-'Business Case'!B14*$E384))*'Business Case'!$B$7-'Business Case'!$B$8*('Business Case'!B11*$C384*'Business Case'!B12*$B384)-'Business Case'!B15*$F384</f>
        <v>-2076018077.04591</v>
      </c>
      <c r="I384" s="39" t="n">
        <f aca="false">(('Business Case'!C11*$C384*'Business Case'!C12*$B384)-'Business Case'!C11*$C384*'Business Case'!C13*$D384-'Business Case'!C14*$E384)-MAX(0,(('Business Case'!C11*$C384*'Business Case'!C12*$B384)-'Business Case'!C11*$C384*'Business Case'!C13*$D384-'Business Case'!C14*$E384))*'Business Case'!$B$7-'Business Case'!$B$8*(('Business Case'!C11*$C384*'Business Case'!C12*$B384)-('Business Case'!B11*$C384*'Business Case'!B12*$B384))-'Business Case'!C15*$F384</f>
        <v>-53078278.4600243</v>
      </c>
      <c r="J384" s="39" t="n">
        <f aca="false">(('Business Case'!D11*$C384*'Business Case'!D12*$B384)-'Business Case'!D11*$C384*'Business Case'!D13*$D384-'Business Case'!D14*$E384)-MAX(0,(('Business Case'!D11*$C384*'Business Case'!D12*$B384)-'Business Case'!D11*$C384*'Business Case'!D13*$D384-'Business Case'!D14*$E384))*'Business Case'!$B$7-'Business Case'!$B$8*(('Business Case'!D11*$C384*'Business Case'!D12*$B384)-('Business Case'!C11*$C384*'Business Case'!C12*$B384))-'Business Case'!D15*$F384</f>
        <v>202538694.859612</v>
      </c>
      <c r="K384" s="39" t="n">
        <f aca="false">(('Business Case'!E11*$C384*'Business Case'!E12*$B384)-'Business Case'!E11*$C384*'Business Case'!E13*$D384-'Business Case'!E14*$E384)-MAX(0,(('Business Case'!E11*$C384*'Business Case'!E12*$B384)-'Business Case'!E11*$C384*'Business Case'!E13*$D384-'Business Case'!E14*$E384))*'Business Case'!$B$7-'Business Case'!$B$8*(('Business Case'!E11*$C384*'Business Case'!E12*$B384)-('Business Case'!D11*$C384*'Business Case'!D12*$B384))-'Business Case'!E15*$F384</f>
        <v>510056120.105397</v>
      </c>
      <c r="L384" s="39" t="n">
        <f aca="false">(('Business Case'!F11*$C384*'Business Case'!F12*$B384)-'Business Case'!F11*$C384*'Business Case'!F13*$D384-'Business Case'!F14*$E384)-MAX(0,(('Business Case'!F11*$C384*'Business Case'!F12*$B384)-'Business Case'!F11*$C384*'Business Case'!F13*$D384-'Business Case'!F14*$E384))*'Business Case'!$B$7-'Business Case'!$B$8*(('Business Case'!F11*$C384*'Business Case'!F12*$B384)-('Business Case'!E11*$C384*'Business Case'!E12*$B384))-'Business Case'!F15*$F384</f>
        <v>628321662.630548</v>
      </c>
      <c r="M384" s="39" t="n">
        <f aca="false">(('Business Case'!G11*$C384*'Business Case'!G12*$B384)-'Business Case'!G11*$C384*'Business Case'!G13*$D384-'Business Case'!G14*$E384)-MAX(0,(('Business Case'!G11*$C384*'Business Case'!G12*$B384)-'Business Case'!G11*$C384*'Business Case'!G13*$D384-'Business Case'!G14*$E384))*'Business Case'!$B$7-'Business Case'!$B$8*(('Business Case'!G11*$C384*'Business Case'!G12*$B384)-('Business Case'!F11*$C384*'Business Case'!F12*$B384))-'Business Case'!G15*$F384+'Business Case'!$B$8*('Business Case'!G11*$C384*'Business Case'!G12*$B384)</f>
        <v>810151028.766215</v>
      </c>
      <c r="N384" s="39" t="n">
        <f aca="false">IF(COUNT('Business Case'!B11:G11)=0,"",H384+NPV(G384,I384:M384))</f>
        <v>-665958912.92654</v>
      </c>
      <c r="P384" s="40" t="n">
        <f aca="true">RAND()</f>
        <v>0.198238293293447</v>
      </c>
      <c r="Q384" s="40" t="n">
        <f aca="true">RAND()</f>
        <v>0.530498158036847</v>
      </c>
      <c r="R384" s="40" t="n">
        <f aca="true">RAND()</f>
        <v>0.836778846131019</v>
      </c>
      <c r="S384" s="40" t="n">
        <f aca="true">RAND()</f>
        <v>0.995897651970786</v>
      </c>
      <c r="T384" s="40" t="n">
        <f aca="true">RAND()</f>
        <v>0.475178567994862</v>
      </c>
      <c r="U384" s="40" t="n">
        <f aca="true">RAND()</f>
        <v>0.615159119187578</v>
      </c>
    </row>
    <row r="385" customFormat="false" ht="15" hidden="false" customHeight="false" outlineLevel="0" collapsed="false">
      <c r="A385" s="36" t="n">
        <v>305</v>
      </c>
      <c r="B385" s="37" t="n">
        <f aca="false">1+IF($G$6=$E$6,$F$6,IF(P385&lt;($F$6-$E$6)/($G$6-$E$6),$E$6+SQRT(P385*($G$6-$E$6)*($F$6-$E$6)),$G$6-SQRT((1-P385)*($G$6-$E$6)*($G$6-$F$6))))</f>
        <v>0.973565562821176</v>
      </c>
      <c r="C385" s="37" t="n">
        <f aca="false">1+IF($G$7=$E$7,$F$7,IF(Q385&lt;($F$7-$E$7)/($G$7-$E$7),$E$7+SQRT(Q385*($G$7-$E$7)*($F$7-$E$7)),$G$7-SQRT((1-Q385)*($G$7-$E$7)*($G$7-$F$7))))</f>
        <v>1.05144439664704</v>
      </c>
      <c r="D385" s="37" t="n">
        <f aca="false">1+IF($G$8=$E$8,$F$8,IF(R385&lt;($F$8-$E$8)/($G$8-$E$8),$E$8+SQRT(R385*($G$8-$E$8)*($F$8-$E$8)),$G$8-SQRT((1-R385)*($G$8-$E$8)*($G$8-$F$8))))</f>
        <v>1.05961760742837</v>
      </c>
      <c r="E385" s="37" t="n">
        <f aca="false">1+IF($G$9=$E$9,$F$9,IF(S385&lt;($F$9-$E$9)/($G$9-$E$9),$E$9+SQRT(S385*($G$9-$E$9)*($F$9-$E$9)),$G$9-SQRT((1-S385)*($G$9-$E$9)*($G$9-$F$9))))</f>
        <v>1.00802763871002</v>
      </c>
      <c r="F385" s="37" t="n">
        <f aca="false">1+IF($G$10=$E$10,$F$10,IF(T385&lt;($F$10-$E$10)/($G$10-$E$10),$E$10+SQRT(T385*($G$10-$E$10)*($F$10-$E$10)),$G$10-SQRT((1-T385)*($G$10-$E$10)*($G$10-$F$10))))</f>
        <v>1.05706413219345</v>
      </c>
      <c r="G385" s="38" t="n">
        <f aca="false">IF($G$11=$E$11,$F$11,IF(U385&lt;($F$11-$E$11)/($G$11-$E$11),$E$11+SQRT(U385*($G$11-$E$11)*($F$11-$E$11)),$G$11-SQRT((1-U385)*($G$11-$E$11)*($G$11-$F$11))))</f>
        <v>0.109206104563428</v>
      </c>
      <c r="H385" s="39" t="n">
        <f aca="false">(('Business Case'!B11*$C385*'Business Case'!B12*$B385)-'Business Case'!B11*$C385*'Business Case'!B13*$D385-'Business Case'!B14*$E385)-MAX(0,(('Business Case'!B11*$C385*'Business Case'!B12*$B385)-'Business Case'!B11*$C385*'Business Case'!B13*$D385-'Business Case'!B14*$E385))*'Business Case'!$B$7-'Business Case'!$B$8*('Business Case'!B11*$C385*'Business Case'!B12*$B385)-'Business Case'!B15*$F385</f>
        <v>-2114128264.3869</v>
      </c>
      <c r="I385" s="39" t="n">
        <f aca="false">(('Business Case'!C11*$C385*'Business Case'!C12*$B385)-'Business Case'!C11*$C385*'Business Case'!C13*$D385-'Business Case'!C14*$E385)-MAX(0,(('Business Case'!C11*$C385*'Business Case'!C12*$B385)-'Business Case'!C11*$C385*'Business Case'!C13*$D385-'Business Case'!C14*$E385))*'Business Case'!$B$7-'Business Case'!$B$8*(('Business Case'!C11*$C385*'Business Case'!C12*$B385)-('Business Case'!B11*$C385*'Business Case'!B12*$B385))-'Business Case'!C15*$F385</f>
        <v>-34015779.425692</v>
      </c>
      <c r="J385" s="39" t="n">
        <f aca="false">(('Business Case'!D11*$C385*'Business Case'!D12*$B385)-'Business Case'!D11*$C385*'Business Case'!D13*$D385-'Business Case'!D14*$E385)-MAX(0,(('Business Case'!D11*$C385*'Business Case'!D12*$B385)-'Business Case'!D11*$C385*'Business Case'!D13*$D385-'Business Case'!D14*$E385))*'Business Case'!$B$7-'Business Case'!$B$8*(('Business Case'!D11*$C385*'Business Case'!D12*$B385)-('Business Case'!C11*$C385*'Business Case'!C12*$B385))-'Business Case'!D15*$F385</f>
        <v>234082403.485035</v>
      </c>
      <c r="K385" s="39" t="n">
        <f aca="false">(('Business Case'!E11*$C385*'Business Case'!E12*$B385)-'Business Case'!E11*$C385*'Business Case'!E13*$D385-'Business Case'!E14*$E385)-MAX(0,(('Business Case'!E11*$C385*'Business Case'!E12*$B385)-'Business Case'!E11*$C385*'Business Case'!E13*$D385-'Business Case'!E14*$E385))*'Business Case'!$B$7-'Business Case'!$B$8*(('Business Case'!E11*$C385*'Business Case'!E12*$B385)-('Business Case'!D11*$C385*'Business Case'!D12*$B385))-'Business Case'!E15*$F385</f>
        <v>555033793.005435</v>
      </c>
      <c r="L385" s="39" t="n">
        <f aca="false">(('Business Case'!F11*$C385*'Business Case'!F12*$B385)-'Business Case'!F11*$C385*'Business Case'!F13*$D385-'Business Case'!F14*$E385)-MAX(0,(('Business Case'!F11*$C385*'Business Case'!F12*$B385)-'Business Case'!F11*$C385*'Business Case'!F13*$D385-'Business Case'!F14*$E385))*'Business Case'!$B$7-'Business Case'!$B$8*(('Business Case'!F11*$C385*'Business Case'!F12*$B385)-('Business Case'!E11*$C385*'Business Case'!E12*$B385))-'Business Case'!F15*$F385</f>
        <v>679777199.904016</v>
      </c>
      <c r="M385" s="39" t="n">
        <f aca="false">(('Business Case'!G11*$C385*'Business Case'!G12*$B385)-'Business Case'!G11*$C385*'Business Case'!G13*$D385-'Business Case'!G14*$E385)-MAX(0,(('Business Case'!G11*$C385*'Business Case'!G12*$B385)-'Business Case'!G11*$C385*'Business Case'!G13*$D385-'Business Case'!G14*$E385))*'Business Case'!$B$7-'Business Case'!$B$8*(('Business Case'!G11*$C385*'Business Case'!G12*$B385)-('Business Case'!F11*$C385*'Business Case'!F12*$B385))-'Business Case'!G15*$F385+'Business Case'!$B$8*('Business Case'!G11*$C385*'Business Case'!G12*$B385)</f>
        <v>874352602.509882</v>
      </c>
      <c r="N385" s="39" t="n">
        <f aca="false">IF(COUNT('Business Case'!B11:G11)=0,"",H385+NPV(G385,I385:M385))</f>
        <v>-578009538.941641</v>
      </c>
      <c r="P385" s="40" t="n">
        <f aca="true">RAND()</f>
        <v>0.298882241703053</v>
      </c>
      <c r="Q385" s="40" t="n">
        <f aca="true">RAND()</f>
        <v>0.814986534242566</v>
      </c>
      <c r="R385" s="40" t="n">
        <f aca="true">RAND()</f>
        <v>0.960053660870779</v>
      </c>
      <c r="S385" s="40" t="n">
        <f aca="true">RAND()</f>
        <v>0.436072317249745</v>
      </c>
      <c r="T385" s="40" t="n">
        <f aca="true">RAND()</f>
        <v>0.591386753887758</v>
      </c>
      <c r="U385" s="40" t="n">
        <f aca="true">RAND()</f>
        <v>0.805819702173932</v>
      </c>
    </row>
    <row r="386" customFormat="false" ht="15" hidden="false" customHeight="false" outlineLevel="0" collapsed="false">
      <c r="A386" s="36" t="n">
        <v>306</v>
      </c>
      <c r="B386" s="37" t="n">
        <f aca="false">1+IF($G$6=$E$6,$F$6,IF(P386&lt;($F$6-$E$6)/($G$6-$E$6),$E$6+SQRT(P386*($G$6-$E$6)*($F$6-$E$6)),$G$6-SQRT((1-P386)*($G$6-$E$6)*($G$6-$F$6))))</f>
        <v>1.00372942633163</v>
      </c>
      <c r="C386" s="37" t="n">
        <f aca="false">1+IF($G$7=$E$7,$F$7,IF(Q386&lt;($F$7-$E$7)/($G$7-$E$7),$E$7+SQRT(Q386*($G$7-$E$7)*($F$7-$E$7)),$G$7-SQRT((1-Q386)*($G$7-$E$7)*($G$7-$F$7))))</f>
        <v>1.04800764826158</v>
      </c>
      <c r="D386" s="37" t="n">
        <f aca="false">1+IF($G$8=$E$8,$F$8,IF(R386&lt;($F$8-$E$8)/($G$8-$E$8),$E$8+SQRT(R386*($G$8-$E$8)*($F$8-$E$8)),$G$8-SQRT((1-R386)*($G$8-$E$8)*($G$8-$F$8))))</f>
        <v>0.97213135998821</v>
      </c>
      <c r="E386" s="37" t="n">
        <f aca="false">1+IF($G$9=$E$9,$F$9,IF(S386&lt;($F$9-$E$9)/($G$9-$E$9),$E$9+SQRT(S386*($G$9-$E$9)*($F$9-$E$9)),$G$9-SQRT((1-S386)*($G$9-$E$9)*($G$9-$F$9))))</f>
        <v>1.03585747340355</v>
      </c>
      <c r="F386" s="37" t="n">
        <f aca="false">1+IF($G$10=$E$10,$F$10,IF(T386&lt;($F$10-$E$10)/($G$10-$E$10),$E$10+SQRT(T386*($G$10-$E$10)*($F$10-$E$10)),$G$10-SQRT((1-T386)*($G$10-$E$10)*($G$10-$F$10))))</f>
        <v>1.01376318968067</v>
      </c>
      <c r="G386" s="38" t="n">
        <f aca="false">IF($G$11=$E$11,$F$11,IF(U386&lt;($F$11-$E$11)/($G$11-$E$11),$E$11+SQRT(U386*($G$11-$E$11)*($F$11-$E$11)),$G$11-SQRT((1-U386)*($G$11-$E$11)*($G$11-$F$11))))</f>
        <v>0.0930244495919504</v>
      </c>
      <c r="H386" s="39" t="n">
        <f aca="false">(('Business Case'!B11*$C386*'Business Case'!B12*$B386)-'Business Case'!B11*$C386*'Business Case'!B13*$D386-'Business Case'!B14*$E386)-MAX(0,(('Business Case'!B11*$C386*'Business Case'!B12*$B386)-'Business Case'!B11*$C386*'Business Case'!B13*$D386-'Business Case'!B14*$E386))*'Business Case'!$B$7-'Business Case'!$B$8*('Business Case'!B11*$C386*'Business Case'!B12*$B386)-'Business Case'!B15*$F386</f>
        <v>-2027526379.36135</v>
      </c>
      <c r="I386" s="39" t="n">
        <f aca="false">(('Business Case'!C11*$C386*'Business Case'!C12*$B386)-'Business Case'!C11*$C386*'Business Case'!C13*$D386-'Business Case'!C14*$E386)-MAX(0,(('Business Case'!C11*$C386*'Business Case'!C12*$B386)-'Business Case'!C11*$C386*'Business Case'!C13*$D386-'Business Case'!C14*$E386))*'Business Case'!$B$7-'Business Case'!$B$8*(('Business Case'!C11*$C386*'Business Case'!C12*$B386)-('Business Case'!B11*$C386*'Business Case'!B12*$B386))-'Business Case'!C15*$F386</f>
        <v>36843794.1953584</v>
      </c>
      <c r="J386" s="39" t="n">
        <f aca="false">(('Business Case'!D11*$C386*'Business Case'!D12*$B386)-'Business Case'!D11*$C386*'Business Case'!D13*$D386-'Business Case'!D14*$E386)-MAX(0,(('Business Case'!D11*$C386*'Business Case'!D12*$B386)-'Business Case'!D11*$C386*'Business Case'!D13*$D386-'Business Case'!D14*$E386))*'Business Case'!$B$7-'Business Case'!$B$8*(('Business Case'!D11*$C386*'Business Case'!D12*$B386)-('Business Case'!C11*$C386*'Business Case'!C12*$B386))-'Business Case'!D15*$F386</f>
        <v>376894171.508475</v>
      </c>
      <c r="K386" s="39" t="n">
        <f aca="false">(('Business Case'!E11*$C386*'Business Case'!E12*$B386)-'Business Case'!E11*$C386*'Business Case'!E13*$D386-'Business Case'!E14*$E386)-MAX(0,(('Business Case'!E11*$C386*'Business Case'!E12*$B386)-'Business Case'!E11*$C386*'Business Case'!E13*$D386-'Business Case'!E14*$E386))*'Business Case'!$B$7-'Business Case'!$B$8*(('Business Case'!E11*$C386*'Business Case'!E12*$B386)-('Business Case'!D11*$C386*'Business Case'!D12*$B386))-'Business Case'!E15*$F386</f>
        <v>767632708.305625</v>
      </c>
      <c r="L386" s="39" t="n">
        <f aca="false">(('Business Case'!F11*$C386*'Business Case'!F12*$B386)-'Business Case'!F11*$C386*'Business Case'!F13*$D386-'Business Case'!F14*$E386)-MAX(0,(('Business Case'!F11*$C386*'Business Case'!F12*$B386)-'Business Case'!F11*$C386*'Business Case'!F13*$D386-'Business Case'!F14*$E386))*'Business Case'!$B$7-'Business Case'!$B$8*(('Business Case'!F11*$C386*'Business Case'!F12*$B386)-('Business Case'!E11*$C386*'Business Case'!E12*$B386))-'Business Case'!F15*$F386</f>
        <v>917337055.031135</v>
      </c>
      <c r="M386" s="39" t="n">
        <f aca="false">(('Business Case'!G11*$C386*'Business Case'!G12*$B386)-'Business Case'!G11*$C386*'Business Case'!G13*$D386-'Business Case'!G14*$E386)-MAX(0,(('Business Case'!G11*$C386*'Business Case'!G12*$B386)-'Business Case'!G11*$C386*'Business Case'!G13*$D386-'Business Case'!G14*$E386))*'Business Case'!$B$7-'Business Case'!$B$8*(('Business Case'!G11*$C386*'Business Case'!G12*$B386)-('Business Case'!F11*$C386*'Business Case'!F12*$B386))-'Business Case'!G15*$F386+'Business Case'!$B$8*('Business Case'!G11*$C386*'Business Case'!G12*$B386)</f>
        <v>1117285270.28073</v>
      </c>
      <c r="N386" s="39" t="n">
        <f aca="false">IF(COUNT('Business Case'!B11:G11)=0,"",H386+NPV(G386,I386:M386))</f>
        <v>268368577.119252</v>
      </c>
      <c r="P386" s="40" t="n">
        <f aca="true">RAND()</f>
        <v>0.72592614286826</v>
      </c>
      <c r="Q386" s="40" t="n">
        <f aca="true">RAND()</f>
        <v>0.801858289273644</v>
      </c>
      <c r="R386" s="40" t="n">
        <f aca="true">RAND()</f>
        <v>0.0753533992196515</v>
      </c>
      <c r="S386" s="40" t="n">
        <f aca="true">RAND()</f>
        <v>0.725715752121563</v>
      </c>
      <c r="T386" s="40" t="n">
        <f aca="true">RAND()</f>
        <v>0.306317009641657</v>
      </c>
      <c r="U386" s="40" t="n">
        <f aca="true">RAND()</f>
        <v>0.030490984447497</v>
      </c>
    </row>
    <row r="387" customFormat="false" ht="15" hidden="false" customHeight="false" outlineLevel="0" collapsed="false">
      <c r="A387" s="36" t="n">
        <v>307</v>
      </c>
      <c r="B387" s="37" t="n">
        <f aca="false">1+IF($G$6=$E$6,$F$6,IF(P387&lt;($F$6-$E$6)/($G$6-$E$6),$E$6+SQRT(P387*($G$6-$E$6)*($F$6-$E$6)),$G$6-SQRT((1-P387)*($G$6-$E$6)*($G$6-$F$6))))</f>
        <v>1.00123888069873</v>
      </c>
      <c r="C387" s="37" t="n">
        <f aca="false">1+IF($G$7=$E$7,$F$7,IF(Q387&lt;($F$7-$E$7)/($G$7-$E$7),$E$7+SQRT(Q387*($G$7-$E$7)*($F$7-$E$7)),$G$7-SQRT((1-Q387)*($G$7-$E$7)*($G$7-$F$7))))</f>
        <v>0.925517939791615</v>
      </c>
      <c r="D387" s="37" t="n">
        <f aca="false">1+IF($G$8=$E$8,$F$8,IF(R387&lt;($F$8-$E$8)/($G$8-$E$8),$E$8+SQRT(R387*($G$8-$E$8)*($F$8-$E$8)),$G$8-SQRT((1-R387)*($G$8-$E$8)*($G$8-$F$8))))</f>
        <v>1.05366027440923</v>
      </c>
      <c r="E387" s="37" t="n">
        <f aca="false">1+IF($G$9=$E$9,$F$9,IF(S387&lt;($F$9-$E$9)/($G$9-$E$9),$E$9+SQRT(S387*($G$9-$E$9)*($F$9-$E$9)),$G$9-SQRT((1-S387)*($G$9-$E$9)*($G$9-$F$9))))</f>
        <v>1.04962598853987</v>
      </c>
      <c r="F387" s="37" t="n">
        <f aca="false">1+IF($G$10=$E$10,$F$10,IF(T387&lt;($F$10-$E$10)/($G$10-$E$10),$E$10+SQRT(T387*($G$10-$E$10)*($F$10-$E$10)),$G$10-SQRT((1-T387)*($G$10-$E$10)*($G$10-$F$10))))</f>
        <v>1.10538826655694</v>
      </c>
      <c r="G387" s="38" t="n">
        <f aca="false">IF($G$11=$E$11,$F$11,IF(U387&lt;($F$11-$E$11)/($G$11-$E$11),$E$11+SQRT(U387*($G$11-$E$11)*($F$11-$E$11)),$G$11-SQRT((1-U387)*($G$11-$E$11)*($G$11-$F$11))))</f>
        <v>0.0985151740752632</v>
      </c>
      <c r="H387" s="39" t="n">
        <f aca="false">(('Business Case'!B11*$C387*'Business Case'!B12*$B387)-'Business Case'!B11*$C387*'Business Case'!B13*$D387-'Business Case'!B14*$E387)-MAX(0,(('Business Case'!B11*$C387*'Business Case'!B12*$B387)-'Business Case'!B11*$C387*'Business Case'!B13*$D387-'Business Case'!B14*$E387))*'Business Case'!$B$7-'Business Case'!$B$8*('Business Case'!B11*$C387*'Business Case'!B12*$B387)-'Business Case'!B15*$F387</f>
        <v>-2210776533.11387</v>
      </c>
      <c r="I387" s="39" t="n">
        <f aca="false">(('Business Case'!C11*$C387*'Business Case'!C12*$B387)-'Business Case'!C11*$C387*'Business Case'!C13*$D387-'Business Case'!C14*$E387)-MAX(0,(('Business Case'!C11*$C387*'Business Case'!C12*$B387)-'Business Case'!C11*$C387*'Business Case'!C13*$D387-'Business Case'!C14*$E387))*'Business Case'!$B$7-'Business Case'!$B$8*(('Business Case'!C11*$C387*'Business Case'!C12*$B387)-('Business Case'!B11*$C387*'Business Case'!B12*$B387))-'Business Case'!C15*$F387</f>
        <v>-48043855.7137126</v>
      </c>
      <c r="J387" s="39" t="n">
        <f aca="false">(('Business Case'!D11*$C387*'Business Case'!D12*$B387)-'Business Case'!D11*$C387*'Business Case'!D13*$D387-'Business Case'!D14*$E387)-MAX(0,(('Business Case'!D11*$C387*'Business Case'!D12*$B387)-'Business Case'!D11*$C387*'Business Case'!D13*$D387-'Business Case'!D14*$E387))*'Business Case'!$B$7-'Business Case'!$B$8*(('Business Case'!D11*$C387*'Business Case'!D12*$B387)-('Business Case'!C11*$C387*'Business Case'!C12*$B387))-'Business Case'!D15*$F387</f>
        <v>211746220.868646</v>
      </c>
      <c r="K387" s="39" t="n">
        <f aca="false">(('Business Case'!E11*$C387*'Business Case'!E12*$B387)-'Business Case'!E11*$C387*'Business Case'!E13*$D387-'Business Case'!E14*$E387)-MAX(0,(('Business Case'!E11*$C387*'Business Case'!E12*$B387)-'Business Case'!E11*$C387*'Business Case'!E13*$D387-'Business Case'!E14*$E387))*'Business Case'!$B$7-'Business Case'!$B$8*(('Business Case'!E11*$C387*'Business Case'!E12*$B387)-('Business Case'!D11*$C387*'Business Case'!D12*$B387))-'Business Case'!E15*$F387</f>
        <v>526805710.77885</v>
      </c>
      <c r="L387" s="39" t="n">
        <f aca="false">(('Business Case'!F11*$C387*'Business Case'!F12*$B387)-'Business Case'!F11*$C387*'Business Case'!F13*$D387-'Business Case'!F14*$E387)-MAX(0,(('Business Case'!F11*$C387*'Business Case'!F12*$B387)-'Business Case'!F11*$C387*'Business Case'!F13*$D387-'Business Case'!F14*$E387))*'Business Case'!$B$7-'Business Case'!$B$8*(('Business Case'!F11*$C387*'Business Case'!F12*$B387)-('Business Case'!E11*$C387*'Business Case'!E12*$B387))-'Business Case'!F15*$F387</f>
        <v>645427929.686309</v>
      </c>
      <c r="M387" s="39" t="n">
        <f aca="false">(('Business Case'!G11*$C387*'Business Case'!G12*$B387)-'Business Case'!G11*$C387*'Business Case'!G13*$D387-'Business Case'!G14*$E387)-MAX(0,(('Business Case'!G11*$C387*'Business Case'!G12*$B387)-'Business Case'!G11*$C387*'Business Case'!G13*$D387-'Business Case'!G14*$E387))*'Business Case'!$B$7-'Business Case'!$B$8*(('Business Case'!G11*$C387*'Business Case'!G12*$B387)-('Business Case'!F11*$C387*'Business Case'!F12*$B387))-'Business Case'!G15*$F387+'Business Case'!$B$8*('Business Case'!G11*$C387*'Business Case'!G12*$B387)</f>
        <v>821568326.609672</v>
      </c>
      <c r="N387" s="39" t="n">
        <f aca="false">IF(COUNT('Business Case'!B11:G11)=0,"",H387+NPV(G387,I387:M387))</f>
        <v>-724826978.389032</v>
      </c>
      <c r="P387" s="40" t="n">
        <f aca="true">RAND()</f>
        <v>0.68699492302354</v>
      </c>
      <c r="Q387" s="40" t="n">
        <f aca="true">RAND()</f>
        <v>0.225067902993307</v>
      </c>
      <c r="R387" s="40" t="n">
        <f aca="true">RAND()</f>
        <v>0.933290274596418</v>
      </c>
      <c r="S387" s="40" t="n">
        <f aca="true">RAND()</f>
        <v>0.830830597960954</v>
      </c>
      <c r="T387" s="40" t="n">
        <f aca="true">RAND()</f>
        <v>0.820972397897973</v>
      </c>
      <c r="U387" s="40" t="n">
        <f aca="true">RAND()</f>
        <v>0.241693965106779</v>
      </c>
    </row>
    <row r="388" customFormat="false" ht="15" hidden="false" customHeight="false" outlineLevel="0" collapsed="false">
      <c r="A388" s="36" t="n">
        <v>308</v>
      </c>
      <c r="B388" s="37" t="n">
        <f aca="false">1+IF($G$6=$E$6,$F$6,IF(P388&lt;($F$6-$E$6)/($G$6-$E$6),$E$6+SQRT(P388*($G$6-$E$6)*($F$6-$E$6)),$G$6-SQRT((1-P388)*($G$6-$E$6)*($G$6-$F$6))))</f>
        <v>0.988941595679475</v>
      </c>
      <c r="C388" s="37" t="n">
        <f aca="false">1+IF($G$7=$E$7,$F$7,IF(Q388&lt;($F$7-$E$7)/($G$7-$E$7),$E$7+SQRT(Q388*($G$7-$E$7)*($F$7-$E$7)),$G$7-SQRT((1-Q388)*($G$7-$E$7)*($G$7-$F$7))))</f>
        <v>0.997614311592832</v>
      </c>
      <c r="D388" s="37" t="n">
        <f aca="false">1+IF($G$8=$E$8,$F$8,IF(R388&lt;($F$8-$E$8)/($G$8-$E$8),$E$8+SQRT(R388*($G$8-$E$8)*($F$8-$E$8)),$G$8-SQRT((1-R388)*($G$8-$E$8)*($G$8-$F$8))))</f>
        <v>1.0463142165867</v>
      </c>
      <c r="E388" s="37" t="n">
        <f aca="false">1+IF($G$9=$E$9,$F$9,IF(S388&lt;($F$9-$E$9)/($G$9-$E$9),$E$9+SQRT(S388*($G$9-$E$9)*($F$9-$E$9)),$G$9-SQRT((1-S388)*($G$9-$E$9)*($G$9-$F$9))))</f>
        <v>0.974179963262391</v>
      </c>
      <c r="F388" s="37" t="n">
        <f aca="false">1+IF($G$10=$E$10,$F$10,IF(T388&lt;($F$10-$E$10)/($G$10-$E$10),$E$10+SQRT(T388*($G$10-$E$10)*($F$10-$E$10)),$G$10-SQRT((1-T388)*($G$10-$E$10)*($G$10-$F$10))))</f>
        <v>1.11128433489847</v>
      </c>
      <c r="G388" s="38" t="n">
        <f aca="false">IF($G$11=$E$11,$F$11,IF(U388&lt;($F$11-$E$11)/($G$11-$E$11),$E$11+SQRT(U388*($G$11-$E$11)*($F$11-$E$11)),$G$11-SQRT((1-U388)*($G$11-$E$11)*($G$11-$F$11))))</f>
        <v>0.11624376360953</v>
      </c>
      <c r="H388" s="39" t="n">
        <f aca="false">(('Business Case'!B11*$C388*'Business Case'!B12*$B388)-'Business Case'!B11*$C388*'Business Case'!B13*$D388-'Business Case'!B14*$E388)-MAX(0,(('Business Case'!B11*$C388*'Business Case'!B12*$B388)-'Business Case'!B11*$C388*'Business Case'!B13*$D388-'Business Case'!B14*$E388))*'Business Case'!$B$7-'Business Case'!$B$8*('Business Case'!B11*$C388*'Business Case'!B12*$B388)-'Business Case'!B15*$F388</f>
        <v>-2222568669.79695</v>
      </c>
      <c r="I388" s="39" t="n">
        <f aca="false">(('Business Case'!C11*$C388*'Business Case'!C12*$B388)-'Business Case'!C11*$C388*'Business Case'!C13*$D388-'Business Case'!C14*$E388)-MAX(0,(('Business Case'!C11*$C388*'Business Case'!C12*$B388)-'Business Case'!C11*$C388*'Business Case'!C13*$D388-'Business Case'!C14*$E388))*'Business Case'!$B$7-'Business Case'!$B$8*(('Business Case'!C11*$C388*'Business Case'!C12*$B388)-('Business Case'!B11*$C388*'Business Case'!B12*$B388))-'Business Case'!C15*$F388</f>
        <v>-27070650.8188432</v>
      </c>
      <c r="J388" s="39" t="n">
        <f aca="false">(('Business Case'!D11*$C388*'Business Case'!D12*$B388)-'Business Case'!D11*$C388*'Business Case'!D13*$D388-'Business Case'!D14*$E388)-MAX(0,(('Business Case'!D11*$C388*'Business Case'!D12*$B388)-'Business Case'!D11*$C388*'Business Case'!D13*$D388-'Business Case'!D14*$E388))*'Business Case'!$B$7-'Business Case'!$B$8*(('Business Case'!D11*$C388*'Business Case'!D12*$B388)-('Business Case'!C11*$C388*'Business Case'!C12*$B388))-'Business Case'!D15*$F388</f>
        <v>246659948.499128</v>
      </c>
      <c r="K388" s="39" t="n">
        <f aca="false">(('Business Case'!E11*$C388*'Business Case'!E12*$B388)-'Business Case'!E11*$C388*'Business Case'!E13*$D388-'Business Case'!E14*$E388)-MAX(0,(('Business Case'!E11*$C388*'Business Case'!E12*$B388)-'Business Case'!E11*$C388*'Business Case'!E13*$D388-'Business Case'!E14*$E388))*'Business Case'!$B$7-'Business Case'!$B$8*(('Business Case'!E11*$C388*'Business Case'!E12*$B388)-('Business Case'!D11*$C388*'Business Case'!D12*$B388))-'Business Case'!E15*$F388</f>
        <v>575954764.562022</v>
      </c>
      <c r="L388" s="39" t="n">
        <f aca="false">(('Business Case'!F11*$C388*'Business Case'!F12*$B388)-'Business Case'!F11*$C388*'Business Case'!F13*$D388-'Business Case'!F14*$E388)-MAX(0,(('Business Case'!F11*$C388*'Business Case'!F12*$B388)-'Business Case'!F11*$C388*'Business Case'!F13*$D388-'Business Case'!F14*$E388))*'Business Case'!$B$7-'Business Case'!$B$8*(('Business Case'!F11*$C388*'Business Case'!F12*$B388)-('Business Case'!E11*$C388*'Business Case'!E12*$B388))-'Business Case'!F15*$F388</f>
        <v>701294581.582048</v>
      </c>
      <c r="M388" s="39" t="n">
        <f aca="false">(('Business Case'!G11*$C388*'Business Case'!G12*$B388)-'Business Case'!G11*$C388*'Business Case'!G13*$D388-'Business Case'!G14*$E388)-MAX(0,(('Business Case'!G11*$C388*'Business Case'!G12*$B388)-'Business Case'!G11*$C388*'Business Case'!G13*$D388-'Business Case'!G14*$E388))*'Business Case'!$B$7-'Business Case'!$B$8*(('Business Case'!G11*$C388*'Business Case'!G12*$B388)-('Business Case'!F11*$C388*'Business Case'!F12*$B388))-'Business Case'!G15*$F388+'Business Case'!$B$8*('Business Case'!G11*$C388*'Business Case'!G12*$B388)</f>
        <v>888824143.109249</v>
      </c>
      <c r="N388" s="39" t="n">
        <f aca="false">IF(COUNT('Business Case'!B11:G11)=0,"",H388+NPV(G388,I388:M388))</f>
        <v>-670152576.381432</v>
      </c>
      <c r="P388" s="40" t="n">
        <f aca="true">RAND()</f>
        <v>0.495098293211688</v>
      </c>
      <c r="Q388" s="40" t="n">
        <f aca="true">RAND()</f>
        <v>0.557877373518698</v>
      </c>
      <c r="R388" s="40" t="n">
        <f aca="true">RAND()</f>
        <v>0.89089115344539</v>
      </c>
      <c r="S388" s="40" t="n">
        <f aca="true">RAND()</f>
        <v>0.0779560831160757</v>
      </c>
      <c r="T388" s="40" t="n">
        <f aca="true">RAND()</f>
        <v>0.842590615311875</v>
      </c>
      <c r="U388" s="40" t="n">
        <f aca="true">RAND()</f>
        <v>0.976484480298182</v>
      </c>
    </row>
    <row r="389" customFormat="false" ht="15" hidden="false" customHeight="false" outlineLevel="0" collapsed="false">
      <c r="A389" s="36" t="n">
        <v>309</v>
      </c>
      <c r="B389" s="37" t="n">
        <f aca="false">1+IF($G$6=$E$6,$F$6,IF(P389&lt;($F$6-$E$6)/($G$6-$E$6),$E$6+SQRT(P389*($G$6-$E$6)*($F$6-$E$6)),$G$6-SQRT((1-P389)*($G$6-$E$6)*($G$6-$F$6))))</f>
        <v>0.969390622139989</v>
      </c>
      <c r="C389" s="37" t="n">
        <f aca="false">1+IF($G$7=$E$7,$F$7,IF(Q389&lt;($F$7-$E$7)/($G$7-$E$7),$E$7+SQRT(Q389*($G$7-$E$7)*($F$7-$E$7)),$G$7-SQRT((1-Q389)*($G$7-$E$7)*($G$7-$F$7))))</f>
        <v>1.01124507382313</v>
      </c>
      <c r="D389" s="37" t="n">
        <f aca="false">1+IF($G$8=$E$8,$F$8,IF(R389&lt;($F$8-$E$8)/($G$8-$E$8),$E$8+SQRT(R389*($G$8-$E$8)*($F$8-$E$8)),$G$8-SQRT((1-R389)*($G$8-$E$8)*($G$8-$F$8))))</f>
        <v>1.04459910110447</v>
      </c>
      <c r="E389" s="37" t="n">
        <f aca="false">1+IF($G$9=$E$9,$F$9,IF(S389&lt;($F$9-$E$9)/($G$9-$E$9),$E$9+SQRT(S389*($G$9-$E$9)*($F$9-$E$9)),$G$9-SQRT((1-S389)*($G$9-$E$9)*($G$9-$F$9))))</f>
        <v>1.05992050911619</v>
      </c>
      <c r="F389" s="37" t="n">
        <f aca="false">1+IF($G$10=$E$10,$F$10,IF(T389&lt;($F$10-$E$10)/($G$10-$E$10),$E$10+SQRT(T389*($G$10-$E$10)*($F$10-$E$10)),$G$10-SQRT((1-T389)*($G$10-$E$10)*($G$10-$F$10))))</f>
        <v>1.07458696343527</v>
      </c>
      <c r="G389" s="38" t="n">
        <f aca="false">IF($G$11=$E$11,$F$11,IF(U389&lt;($F$11-$E$11)/($G$11-$E$11),$E$11+SQRT(U389*($G$11-$E$11)*($F$11-$E$11)),$G$11-SQRT((1-U389)*($G$11-$E$11)*($G$11-$F$11))))</f>
        <v>0.102747838413902</v>
      </c>
      <c r="H389" s="39" t="n">
        <f aca="false">(('Business Case'!B11*$C389*'Business Case'!B12*$B389)-'Business Case'!B11*$C389*'Business Case'!B13*$D389-'Business Case'!B14*$E389)-MAX(0,(('Business Case'!B11*$C389*'Business Case'!B12*$B389)-'Business Case'!B11*$C389*'Business Case'!B13*$D389-'Business Case'!B14*$E389))*'Business Case'!$B$7-'Business Case'!$B$8*('Business Case'!B11*$C389*'Business Case'!B12*$B389)-'Business Case'!B15*$F389</f>
        <v>-2149173926.87055</v>
      </c>
      <c r="I389" s="39" t="n">
        <f aca="false">(('Business Case'!C11*$C389*'Business Case'!C12*$B389)-'Business Case'!C11*$C389*'Business Case'!C13*$D389-'Business Case'!C14*$E389)-MAX(0,(('Business Case'!C11*$C389*'Business Case'!C12*$B389)-'Business Case'!C11*$C389*'Business Case'!C13*$D389-'Business Case'!C14*$E389))*'Business Case'!$B$7-'Business Case'!$B$8*(('Business Case'!C11*$C389*'Business Case'!C12*$B389)-('Business Case'!B11*$C389*'Business Case'!B12*$B389))-'Business Case'!C15*$F389</f>
        <v>-46832879.5673067</v>
      </c>
      <c r="J389" s="39" t="n">
        <f aca="false">(('Business Case'!D11*$C389*'Business Case'!D12*$B389)-'Business Case'!D11*$C389*'Business Case'!D13*$D389-'Business Case'!D14*$E389)-MAX(0,(('Business Case'!D11*$C389*'Business Case'!D12*$B389)-'Business Case'!D11*$C389*'Business Case'!D13*$D389-'Business Case'!D14*$E389))*'Business Case'!$B$7-'Business Case'!$B$8*(('Business Case'!D11*$C389*'Business Case'!D12*$B389)-('Business Case'!C11*$C389*'Business Case'!C12*$B389))-'Business Case'!D15*$F389</f>
        <v>215331944.511605</v>
      </c>
      <c r="K389" s="39" t="n">
        <f aca="false">(('Business Case'!E11*$C389*'Business Case'!E12*$B389)-'Business Case'!E11*$C389*'Business Case'!E13*$D389-'Business Case'!E14*$E389)-MAX(0,(('Business Case'!E11*$C389*'Business Case'!E12*$B389)-'Business Case'!E11*$C389*'Business Case'!E13*$D389-'Business Case'!E14*$E389))*'Business Case'!$B$7-'Business Case'!$B$8*(('Business Case'!E11*$C389*'Business Case'!E12*$B389)-('Business Case'!D11*$C389*'Business Case'!D12*$B389))-'Business Case'!E15*$F389</f>
        <v>531226116.762281</v>
      </c>
      <c r="L389" s="39" t="n">
        <f aca="false">(('Business Case'!F11*$C389*'Business Case'!F12*$B389)-'Business Case'!F11*$C389*'Business Case'!F13*$D389-'Business Case'!F14*$E389)-MAX(0,(('Business Case'!F11*$C389*'Business Case'!F12*$B389)-'Business Case'!F11*$C389*'Business Case'!F13*$D389-'Business Case'!F14*$E389))*'Business Case'!$B$7-'Business Case'!$B$8*(('Business Case'!F11*$C389*'Business Case'!F12*$B389)-('Business Case'!E11*$C389*'Business Case'!E12*$B389))-'Business Case'!F15*$F389</f>
        <v>652493265.392831</v>
      </c>
      <c r="M389" s="39" t="n">
        <f aca="false">(('Business Case'!G11*$C389*'Business Case'!G12*$B389)-'Business Case'!G11*$C389*'Business Case'!G13*$D389-'Business Case'!G14*$E389)-MAX(0,(('Business Case'!G11*$C389*'Business Case'!G12*$B389)-'Business Case'!G11*$C389*'Business Case'!G13*$D389-'Business Case'!G14*$E389))*'Business Case'!$B$7-'Business Case'!$B$8*(('Business Case'!G11*$C389*'Business Case'!G12*$B389)-('Business Case'!F11*$C389*'Business Case'!F12*$B389))-'Business Case'!G15*$F389+'Business Case'!$B$8*('Business Case'!G11*$C389*'Business Case'!G12*$B389)</f>
        <v>838827072.049516</v>
      </c>
      <c r="N389" s="39" t="n">
        <f aca="false">IF(COUNT('Business Case'!B11:G11)=0,"",H389+NPV(G389,I389:M389))</f>
        <v>-662801915.65952</v>
      </c>
      <c r="P389" s="40" t="n">
        <f aca="true">RAND()</f>
        <v>0.254107662018242</v>
      </c>
      <c r="Q389" s="40" t="n">
        <f aca="true">RAND()</f>
        <v>0.633277532602865</v>
      </c>
      <c r="R389" s="40" t="n">
        <f aca="true">RAND()</f>
        <v>0.879497726671977</v>
      </c>
      <c r="S389" s="40" t="n">
        <f aca="true">RAND()</f>
        <v>0.892908960699643</v>
      </c>
      <c r="T389" s="40" t="n">
        <f aca="true">RAND()</f>
        <v>0.685431405192298</v>
      </c>
      <c r="U389" s="40" t="n">
        <f aca="true">RAND()</f>
        <v>0.503938201011927</v>
      </c>
    </row>
    <row r="390" customFormat="false" ht="15" hidden="false" customHeight="false" outlineLevel="0" collapsed="false">
      <c r="A390" s="36" t="n">
        <v>310</v>
      </c>
      <c r="B390" s="37" t="n">
        <f aca="false">1+IF($G$6=$E$6,$F$6,IF(P390&lt;($F$6-$E$6)/($G$6-$E$6),$E$6+SQRT(P390*($G$6-$E$6)*($F$6-$E$6)),$G$6-SQRT((1-P390)*($G$6-$E$6)*($G$6-$F$6))))</f>
        <v>1.0173329430156</v>
      </c>
      <c r="C390" s="37" t="n">
        <f aca="false">1+IF($G$7=$E$7,$F$7,IF(Q390&lt;($F$7-$E$7)/($G$7-$E$7),$E$7+SQRT(Q390*($G$7-$E$7)*($F$7-$E$7)),$G$7-SQRT((1-Q390)*($G$7-$E$7)*($G$7-$F$7))))</f>
        <v>0.886188674015746</v>
      </c>
      <c r="D390" s="37" t="n">
        <f aca="false">1+IF($G$8=$E$8,$F$8,IF(R390&lt;($F$8-$E$8)/($G$8-$E$8),$E$8+SQRT(R390*($G$8-$E$8)*($F$8-$E$8)),$G$8-SQRT((1-R390)*($G$8-$E$8)*($G$8-$F$8))))</f>
        <v>1.00412979903353</v>
      </c>
      <c r="E390" s="37" t="n">
        <f aca="false">1+IF($G$9=$E$9,$F$9,IF(S390&lt;($F$9-$E$9)/($G$9-$E$9),$E$9+SQRT(S390*($G$9-$E$9)*($F$9-$E$9)),$G$9-SQRT((1-S390)*($G$9-$E$9)*($G$9-$F$9))))</f>
        <v>0.985089093130375</v>
      </c>
      <c r="F390" s="37" t="n">
        <f aca="false">1+IF($G$10=$E$10,$F$10,IF(T390&lt;($F$10-$E$10)/($G$10-$E$10),$E$10+SQRT(T390*($G$10-$E$10)*($F$10-$E$10)),$G$10-SQRT((1-T390)*($G$10-$E$10)*($G$10-$F$10))))</f>
        <v>1.10580967033183</v>
      </c>
      <c r="G390" s="38" t="n">
        <f aca="false">IF($G$11=$E$11,$F$11,IF(U390&lt;($F$11-$E$11)/($G$11-$E$11),$E$11+SQRT(U390*($G$11-$E$11)*($F$11-$E$11)),$G$11-SQRT((1-U390)*($G$11-$E$11)*($G$11-$F$11))))</f>
        <v>0.104290554298645</v>
      </c>
      <c r="H390" s="39" t="n">
        <f aca="false">(('Business Case'!B11*$C390*'Business Case'!B12*$B390)-'Business Case'!B11*$C390*'Business Case'!B13*$D390-'Business Case'!B14*$E390)-MAX(0,(('Business Case'!B11*$C390*'Business Case'!B12*$B390)-'Business Case'!B11*$C390*'Business Case'!B13*$D390-'Business Case'!B14*$E390))*'Business Case'!$B$7-'Business Case'!$B$8*('Business Case'!B11*$C390*'Business Case'!B12*$B390)-'Business Case'!B15*$F390</f>
        <v>-2211619340.66366</v>
      </c>
      <c r="I390" s="39" t="n">
        <f aca="false">(('Business Case'!C11*$C390*'Business Case'!C12*$B390)-'Business Case'!C11*$C390*'Business Case'!C13*$D390-'Business Case'!C14*$E390)-MAX(0,(('Business Case'!C11*$C390*'Business Case'!C12*$B390)-'Business Case'!C11*$C390*'Business Case'!C13*$D390-'Business Case'!C14*$E390))*'Business Case'!$B$7-'Business Case'!$B$8*(('Business Case'!C11*$C390*'Business Case'!C12*$B390)-('Business Case'!B11*$C390*'Business Case'!B12*$B390))-'Business Case'!C15*$F390</f>
        <v>-14494667.1887739</v>
      </c>
      <c r="J390" s="39" t="n">
        <f aca="false">(('Business Case'!D11*$C390*'Business Case'!D12*$B390)-'Business Case'!D11*$C390*'Business Case'!D13*$D390-'Business Case'!D14*$E390)-MAX(0,(('Business Case'!D11*$C390*'Business Case'!D12*$B390)-'Business Case'!D11*$C390*'Business Case'!D13*$D390-'Business Case'!D14*$E390))*'Business Case'!$B$7-'Business Case'!$B$8*(('Business Case'!D11*$C390*'Business Case'!D12*$B390)-('Business Case'!C11*$C390*'Business Case'!C12*$B390))-'Business Case'!D15*$F390</f>
        <v>268407598.32347</v>
      </c>
      <c r="K390" s="39" t="n">
        <f aca="false">(('Business Case'!E11*$C390*'Business Case'!E12*$B390)-'Business Case'!E11*$C390*'Business Case'!E13*$D390-'Business Case'!E14*$E390)-MAX(0,(('Business Case'!E11*$C390*'Business Case'!E12*$B390)-'Business Case'!E11*$C390*'Business Case'!E13*$D390-'Business Case'!E14*$E390))*'Business Case'!$B$7-'Business Case'!$B$8*(('Business Case'!E11*$C390*'Business Case'!E12*$B390)-('Business Case'!D11*$C390*'Business Case'!D12*$B390))-'Business Case'!E15*$F390</f>
        <v>606600347.352305</v>
      </c>
      <c r="L390" s="39" t="n">
        <f aca="false">(('Business Case'!F11*$C390*'Business Case'!F12*$B390)-'Business Case'!F11*$C390*'Business Case'!F13*$D390-'Business Case'!F14*$E390)-MAX(0,(('Business Case'!F11*$C390*'Business Case'!F12*$B390)-'Business Case'!F11*$C390*'Business Case'!F13*$D390-'Business Case'!F14*$E390))*'Business Case'!$B$7-'Business Case'!$B$8*(('Business Case'!F11*$C390*'Business Case'!F12*$B390)-('Business Case'!E11*$C390*'Business Case'!E12*$B390))-'Business Case'!F15*$F390</f>
        <v>732058633.606183</v>
      </c>
      <c r="M390" s="39" t="n">
        <f aca="false">(('Business Case'!G11*$C390*'Business Case'!G12*$B390)-'Business Case'!G11*$C390*'Business Case'!G13*$D390-'Business Case'!G14*$E390)-MAX(0,(('Business Case'!G11*$C390*'Business Case'!G12*$B390)-'Business Case'!G11*$C390*'Business Case'!G13*$D390-'Business Case'!G14*$E390))*'Business Case'!$B$7-'Business Case'!$B$8*(('Business Case'!G11*$C390*'Business Case'!G12*$B390)-('Business Case'!F11*$C390*'Business Case'!F12*$B390))-'Business Case'!G15*$F390+'Business Case'!$B$8*('Business Case'!G11*$C390*'Business Case'!G12*$B390)</f>
        <v>903425054.563399</v>
      </c>
      <c r="N390" s="39" t="n">
        <f aca="false">IF(COUNT('Business Case'!B11:G11)=0,"",H390+NPV(G390,I390:M390))</f>
        <v>-511761855.958666</v>
      </c>
      <c r="P390" s="40" t="n">
        <f aca="true">RAND()</f>
        <v>0.892959276597107</v>
      </c>
      <c r="Q390" s="40" t="n">
        <f aca="true">RAND()</f>
        <v>0.106121250408465</v>
      </c>
      <c r="R390" s="40" t="n">
        <f aca="true">RAND()</f>
        <v>0.44651082743337</v>
      </c>
      <c r="S390" s="40" t="n">
        <f aca="true">RAND()</f>
        <v>0.164165927561613</v>
      </c>
      <c r="T390" s="40" t="n">
        <f aca="true">RAND()</f>
        <v>0.822563635940034</v>
      </c>
      <c r="U390" s="40" t="n">
        <f aca="true">RAND()</f>
        <v>0.588688859593624</v>
      </c>
    </row>
    <row r="391" customFormat="false" ht="15" hidden="false" customHeight="false" outlineLevel="0" collapsed="false">
      <c r="A391" s="36" t="n">
        <v>311</v>
      </c>
      <c r="B391" s="37" t="n">
        <f aca="false">1+IF($G$6=$E$6,$F$6,IF(P391&lt;($F$6-$E$6)/($G$6-$E$6),$E$6+SQRT(P391*($G$6-$E$6)*($F$6-$E$6)),$G$6-SQRT((1-P391)*($G$6-$E$6)*($G$6-$F$6))))</f>
        <v>0.96877408522057</v>
      </c>
      <c r="C391" s="37" t="n">
        <f aca="false">1+IF($G$7=$E$7,$F$7,IF(Q391&lt;($F$7-$E$7)/($G$7-$E$7),$E$7+SQRT(Q391*($G$7-$E$7)*($F$7-$E$7)),$G$7-SQRT((1-Q391)*($G$7-$E$7)*($G$7-$F$7))))</f>
        <v>0.97984633878454</v>
      </c>
      <c r="D391" s="37" t="n">
        <f aca="false">1+IF($G$8=$E$8,$F$8,IF(R391&lt;($F$8-$E$8)/($G$8-$E$8),$E$8+SQRT(R391*($G$8-$E$8)*($F$8-$E$8)),$G$8-SQRT((1-R391)*($G$8-$E$8)*($G$8-$F$8))))</f>
        <v>1.01444153871032</v>
      </c>
      <c r="E391" s="37" t="n">
        <f aca="false">1+IF($G$9=$E$9,$F$9,IF(S391&lt;($F$9-$E$9)/($G$9-$E$9),$E$9+SQRT(S391*($G$9-$E$9)*($F$9-$E$9)),$G$9-SQRT((1-S391)*($G$9-$E$9)*($G$9-$F$9))))</f>
        <v>0.988609648136776</v>
      </c>
      <c r="F391" s="37" t="n">
        <f aca="false">1+IF($G$10=$E$10,$F$10,IF(T391&lt;($F$10-$E$10)/($G$10-$E$10),$E$10+SQRT(T391*($G$10-$E$10)*($F$10-$E$10)),$G$10-SQRT((1-T391)*($G$10-$E$10)*($G$10-$F$10))))</f>
        <v>0.959273451960126</v>
      </c>
      <c r="G391" s="38" t="n">
        <f aca="false">IF($G$11=$E$11,$F$11,IF(U391&lt;($F$11-$E$11)/($G$11-$E$11),$E$11+SQRT(U391*($G$11-$E$11)*($F$11-$E$11)),$G$11-SQRT((1-U391)*($G$11-$E$11)*($G$11-$F$11))))</f>
        <v>0.114323296388471</v>
      </c>
      <c r="H391" s="39" t="n">
        <f aca="false">(('Business Case'!B11*$C391*'Business Case'!B12*$B391)-'Business Case'!B11*$C391*'Business Case'!B13*$D391-'Business Case'!B14*$E391)-MAX(0,(('Business Case'!B11*$C391*'Business Case'!B12*$B391)-'Business Case'!B11*$C391*'Business Case'!B13*$D391-'Business Case'!B14*$E391))*'Business Case'!$B$7-'Business Case'!$B$8*('Business Case'!B11*$C391*'Business Case'!B12*$B391)-'Business Case'!B15*$F391</f>
        <v>-1918546903.92025</v>
      </c>
      <c r="I391" s="39" t="n">
        <f aca="false">(('Business Case'!C11*$C391*'Business Case'!C12*$B391)-'Business Case'!C11*$C391*'Business Case'!C13*$D391-'Business Case'!C14*$E391)-MAX(0,(('Business Case'!C11*$C391*'Business Case'!C12*$B391)-'Business Case'!C11*$C391*'Business Case'!C13*$D391-'Business Case'!C14*$E391))*'Business Case'!$B$7-'Business Case'!$B$8*(('Business Case'!C11*$C391*'Business Case'!C12*$B391)-('Business Case'!B11*$C391*'Business Case'!B12*$B391))-'Business Case'!C15*$F391</f>
        <v>-17059716.2413268</v>
      </c>
      <c r="J391" s="39" t="n">
        <f aca="false">(('Business Case'!D11*$C391*'Business Case'!D12*$B391)-'Business Case'!D11*$C391*'Business Case'!D13*$D391-'Business Case'!D14*$E391)-MAX(0,(('Business Case'!D11*$C391*'Business Case'!D12*$B391)-'Business Case'!D11*$C391*'Business Case'!D13*$D391-'Business Case'!D14*$E391))*'Business Case'!$B$7-'Business Case'!$B$8*(('Business Case'!D11*$C391*'Business Case'!D12*$B391)-('Business Case'!C11*$C391*'Business Case'!C12*$B391))-'Business Case'!D15*$F391</f>
        <v>251597311.226588</v>
      </c>
      <c r="K391" s="39" t="n">
        <f aca="false">(('Business Case'!E11*$C391*'Business Case'!E12*$B391)-'Business Case'!E11*$C391*'Business Case'!E13*$D391-'Business Case'!E14*$E391)-MAX(0,(('Business Case'!E11*$C391*'Business Case'!E12*$B391)-'Business Case'!E11*$C391*'Business Case'!E13*$D391-'Business Case'!E14*$E391))*'Business Case'!$B$7-'Business Case'!$B$8*(('Business Case'!E11*$C391*'Business Case'!E12*$B391)-('Business Case'!D11*$C391*'Business Case'!D12*$B391))-'Business Case'!E15*$F391</f>
        <v>568218011.292509</v>
      </c>
      <c r="L391" s="39" t="n">
        <f aca="false">(('Business Case'!F11*$C391*'Business Case'!F12*$B391)-'Business Case'!F11*$C391*'Business Case'!F13*$D391-'Business Case'!F14*$E391)-MAX(0,(('Business Case'!F11*$C391*'Business Case'!F12*$B391)-'Business Case'!F11*$C391*'Business Case'!F13*$D391-'Business Case'!F14*$E391))*'Business Case'!$B$7-'Business Case'!$B$8*(('Business Case'!F11*$C391*'Business Case'!F12*$B391)-('Business Case'!E11*$C391*'Business Case'!E12*$B391))-'Business Case'!F15*$F391</f>
        <v>690576424.813933</v>
      </c>
      <c r="M391" s="39" t="n">
        <f aca="false">(('Business Case'!G11*$C391*'Business Case'!G12*$B391)-'Business Case'!G11*$C391*'Business Case'!G13*$D391-'Business Case'!G14*$E391)-MAX(0,(('Business Case'!G11*$C391*'Business Case'!G12*$B391)-'Business Case'!G11*$C391*'Business Case'!G13*$D391-'Business Case'!G14*$E391))*'Business Case'!$B$7-'Business Case'!$B$8*(('Business Case'!G11*$C391*'Business Case'!G12*$B391)-('Business Case'!F11*$C391*'Business Case'!F12*$B391))-'Business Case'!G15*$F391+'Business Case'!$B$8*('Business Case'!G11*$C391*'Business Case'!G12*$B391)</f>
        <v>871009815.49059</v>
      </c>
      <c r="N391" s="39" t="n">
        <f aca="false">IF(COUNT('Business Case'!B11:G11)=0,"",H391+NPV(G391,I391:M391))</f>
        <v>-365739194.009334</v>
      </c>
      <c r="P391" s="40" t="n">
        <f aca="true">RAND()</f>
        <v>0.247803269698278</v>
      </c>
      <c r="Q391" s="40" t="n">
        <f aca="true">RAND()</f>
        <v>0.462067222488622</v>
      </c>
      <c r="R391" s="40" t="n">
        <f aca="true">RAND()</f>
        <v>0.586739245512491</v>
      </c>
      <c r="S391" s="40" t="n">
        <f aca="true">RAND()</f>
        <v>0.198760657232749</v>
      </c>
      <c r="T391" s="40" t="n">
        <f aca="true">RAND()</f>
        <v>0.00687975290054058</v>
      </c>
      <c r="U391" s="40" t="n">
        <f aca="true">RAND()</f>
        <v>0.946291726844759</v>
      </c>
    </row>
    <row r="392" customFormat="false" ht="15" hidden="false" customHeight="false" outlineLevel="0" collapsed="false">
      <c r="A392" s="36" t="n">
        <v>312</v>
      </c>
      <c r="B392" s="37" t="n">
        <f aca="false">1+IF($G$6=$E$6,$F$6,IF(P392&lt;($F$6-$E$6)/($G$6-$E$6),$E$6+SQRT(P392*($G$6-$E$6)*($F$6-$E$6)),$G$6-SQRT((1-P392)*($G$6-$E$6)*($G$6-$F$6))))</f>
        <v>0.988875938648545</v>
      </c>
      <c r="C392" s="37" t="n">
        <f aca="false">1+IF($G$7=$E$7,$F$7,IF(Q392&lt;($F$7-$E$7)/($G$7-$E$7),$E$7+SQRT(Q392*($G$7-$E$7)*($F$7-$E$7)),$G$7-SQRT((1-Q392)*($G$7-$E$7)*($G$7-$F$7))))</f>
        <v>0.928912464327554</v>
      </c>
      <c r="D392" s="37" t="n">
        <f aca="false">1+IF($G$8=$E$8,$F$8,IF(R392&lt;($F$8-$E$8)/($G$8-$E$8),$E$8+SQRT(R392*($G$8-$E$8)*($F$8-$E$8)),$G$8-SQRT((1-R392)*($G$8-$E$8)*($G$8-$F$8))))</f>
        <v>0.992372162748284</v>
      </c>
      <c r="E392" s="37" t="n">
        <f aca="false">1+IF($G$9=$E$9,$F$9,IF(S392&lt;($F$9-$E$9)/($G$9-$E$9),$E$9+SQRT(S392*($G$9-$E$9)*($F$9-$E$9)),$G$9-SQRT((1-S392)*($G$9-$E$9)*($G$9-$F$9))))</f>
        <v>0.996210305027021</v>
      </c>
      <c r="F392" s="37" t="n">
        <f aca="false">1+IF($G$10=$E$10,$F$10,IF(T392&lt;($F$10-$E$10)/($G$10-$E$10),$E$10+SQRT(T392*($G$10-$E$10)*($F$10-$E$10)),$G$10-SQRT((1-T392)*($G$10-$E$10)*($G$10-$F$10))))</f>
        <v>1.01815995117092</v>
      </c>
      <c r="G392" s="38" t="n">
        <f aca="false">IF($G$11=$E$11,$F$11,IF(U392&lt;($F$11-$E$11)/($G$11-$E$11),$E$11+SQRT(U392*($G$11-$E$11)*($F$11-$E$11)),$G$11-SQRT((1-U392)*($G$11-$E$11)*($G$11-$F$11))))</f>
        <v>0.102238762412024</v>
      </c>
      <c r="H392" s="39" t="n">
        <f aca="false">(('Business Case'!B11*$C392*'Business Case'!B12*$B392)-'Business Case'!B11*$C392*'Business Case'!B13*$D392-'Business Case'!B14*$E392)-MAX(0,(('Business Case'!B11*$C392*'Business Case'!B12*$B392)-'Business Case'!B11*$C392*'Business Case'!B13*$D392-'Business Case'!B14*$E392))*'Business Case'!$B$7-'Business Case'!$B$8*('Business Case'!B11*$C392*'Business Case'!B12*$B392)-'Business Case'!B15*$F392</f>
        <v>-2036319902.34184</v>
      </c>
      <c r="I392" s="39" t="n">
        <f aca="false">(('Business Case'!C11*$C392*'Business Case'!C12*$B392)-'Business Case'!C11*$C392*'Business Case'!C13*$D392-'Business Case'!C14*$E392)-MAX(0,(('Business Case'!C11*$C392*'Business Case'!C12*$B392)-'Business Case'!C11*$C392*'Business Case'!C13*$D392-'Business Case'!C14*$E392))*'Business Case'!$B$7-'Business Case'!$B$8*(('Business Case'!C11*$C392*'Business Case'!C12*$B392)-('Business Case'!B11*$C392*'Business Case'!B12*$B392))-'Business Case'!C15*$F392</f>
        <v>-10615367.0807119</v>
      </c>
      <c r="J392" s="39" t="n">
        <f aca="false">(('Business Case'!D11*$C392*'Business Case'!D12*$B392)-'Business Case'!D11*$C392*'Business Case'!D13*$D392-'Business Case'!D14*$E392)-MAX(0,(('Business Case'!D11*$C392*'Business Case'!D12*$B392)-'Business Case'!D11*$C392*'Business Case'!D13*$D392-'Business Case'!D14*$E392))*'Business Case'!$B$7-'Business Case'!$B$8*(('Business Case'!D11*$C392*'Business Case'!D12*$B392)-('Business Case'!C11*$C392*'Business Case'!C12*$B392))-'Business Case'!D15*$F392</f>
        <v>269865511.285278</v>
      </c>
      <c r="K392" s="39" t="n">
        <f aca="false">(('Business Case'!E11*$C392*'Business Case'!E12*$B392)-'Business Case'!E11*$C392*'Business Case'!E13*$D392-'Business Case'!E14*$E392)-MAX(0,(('Business Case'!E11*$C392*'Business Case'!E12*$B392)-'Business Case'!E11*$C392*'Business Case'!E13*$D392-'Business Case'!E14*$E392))*'Business Case'!$B$7-'Business Case'!$B$8*(('Business Case'!E11*$C392*'Business Case'!E12*$B392)-('Business Case'!D11*$C392*'Business Case'!D12*$B392))-'Business Case'!E15*$F392</f>
        <v>601254387.209814</v>
      </c>
      <c r="L392" s="39" t="n">
        <f aca="false">(('Business Case'!F11*$C392*'Business Case'!F12*$B392)-'Business Case'!F11*$C392*'Business Case'!F13*$D392-'Business Case'!F14*$E392)-MAX(0,(('Business Case'!F11*$C392*'Business Case'!F12*$B392)-'Business Case'!F11*$C392*'Business Case'!F13*$D392-'Business Case'!F14*$E392))*'Business Case'!$B$7-'Business Case'!$B$8*(('Business Case'!F11*$C392*'Business Case'!F12*$B392)-('Business Case'!E11*$C392*'Business Case'!E12*$B392))-'Business Case'!F15*$F392</f>
        <v>726494109.968322</v>
      </c>
      <c r="M392" s="39" t="n">
        <f aca="false">(('Business Case'!G11*$C392*'Business Case'!G12*$B392)-'Business Case'!G11*$C392*'Business Case'!G13*$D392-'Business Case'!G14*$E392)-MAX(0,(('Business Case'!G11*$C392*'Business Case'!G12*$B392)-'Business Case'!G11*$C392*'Business Case'!G13*$D392-'Business Case'!G14*$E392))*'Business Case'!$B$7-'Business Case'!$B$8*(('Business Case'!G11*$C392*'Business Case'!G12*$B392)-('Business Case'!F11*$C392*'Business Case'!F12*$B392))-'Business Case'!G15*$F392+'Business Case'!$B$8*('Business Case'!G11*$C392*'Business Case'!G12*$B392)</f>
        <v>901097641.469135</v>
      </c>
      <c r="N392" s="39" t="n">
        <f aca="false">IF(COUNT('Business Case'!B11:G11)=0,"",H392+NPV(G392,I392:M392))</f>
        <v>-328804203.944762</v>
      </c>
      <c r="P392" s="40" t="n">
        <f aca="true">RAND()</f>
        <v>0.494155721324805</v>
      </c>
      <c r="Q392" s="40" t="n">
        <f aca="true">RAND()</f>
        <v>0.237406049414327</v>
      </c>
      <c r="R392" s="40" t="n">
        <f aca="true">RAND()</f>
        <v>0.276215411687244</v>
      </c>
      <c r="S392" s="40" t="n">
        <f aca="true">RAND()</f>
        <v>0.284718972092048</v>
      </c>
      <c r="T392" s="40" t="n">
        <f aca="true">RAND()</f>
        <v>0.33868393283676</v>
      </c>
      <c r="U392" s="40" t="n">
        <f aca="true">RAND()</f>
        <v>0.474230732239119</v>
      </c>
    </row>
    <row r="393" customFormat="false" ht="15" hidden="false" customHeight="false" outlineLevel="0" collapsed="false">
      <c r="A393" s="36" t="n">
        <v>313</v>
      </c>
      <c r="B393" s="37" t="n">
        <f aca="false">1+IF($G$6=$E$6,$F$6,IF(P393&lt;($F$6-$E$6)/($G$6-$E$6),$E$6+SQRT(P393*($G$6-$E$6)*($F$6-$E$6)),$G$6-SQRT((1-P393)*($G$6-$E$6)*($G$6-$F$6))))</f>
        <v>0.961754629530624</v>
      </c>
      <c r="C393" s="37" t="n">
        <f aca="false">1+IF($G$7=$E$7,$F$7,IF(Q393&lt;($F$7-$E$7)/($G$7-$E$7),$E$7+SQRT(Q393*($G$7-$E$7)*($F$7-$E$7)),$G$7-SQRT((1-Q393)*($G$7-$E$7)*($G$7-$F$7))))</f>
        <v>0.886979570973183</v>
      </c>
      <c r="D393" s="37" t="n">
        <f aca="false">1+IF($G$8=$E$8,$F$8,IF(R393&lt;($F$8-$E$8)/($G$8-$E$8),$E$8+SQRT(R393*($G$8-$E$8)*($F$8-$E$8)),$G$8-SQRT((1-R393)*($G$8-$E$8)*($G$8-$F$8))))</f>
        <v>1.00144594097305</v>
      </c>
      <c r="E393" s="37" t="n">
        <f aca="false">1+IF($G$9=$E$9,$F$9,IF(S393&lt;($F$9-$E$9)/($G$9-$E$9),$E$9+SQRT(S393*($G$9-$E$9)*($F$9-$E$9)),$G$9-SQRT((1-S393)*($G$9-$E$9)*($G$9-$F$9))))</f>
        <v>1.00508893937425</v>
      </c>
      <c r="F393" s="37" t="n">
        <f aca="false">1+IF($G$10=$E$10,$F$10,IF(T393&lt;($F$10-$E$10)/($G$10-$E$10),$E$10+SQRT(T393*($G$10-$E$10)*($F$10-$E$10)),$G$10-SQRT((1-T393)*($G$10-$E$10)*($G$10-$F$10))))</f>
        <v>1.00215816631166</v>
      </c>
      <c r="G393" s="38" t="n">
        <f aca="false">IF($G$11=$E$11,$F$11,IF(U393&lt;($F$11-$E$11)/($G$11-$E$11),$E$11+SQRT(U393*($G$11-$E$11)*($F$11-$E$11)),$G$11-SQRT((1-U393)*($G$11-$E$11)*($G$11-$F$11))))</f>
        <v>0.095232875804115</v>
      </c>
      <c r="H393" s="39" t="n">
        <f aca="false">(('Business Case'!B11*$C393*'Business Case'!B12*$B393)-'Business Case'!B11*$C393*'Business Case'!B13*$D393-'Business Case'!B14*$E393)-MAX(0,(('Business Case'!B11*$C393*'Business Case'!B12*$B393)-'Business Case'!B11*$C393*'Business Case'!B13*$D393-'Business Case'!B14*$E393))*'Business Case'!$B$7-'Business Case'!$B$8*('Business Case'!B11*$C393*'Business Case'!B12*$B393)-'Business Case'!B15*$F393</f>
        <v>-2004316332.62331</v>
      </c>
      <c r="I393" s="39" t="n">
        <f aca="false">(('Business Case'!C11*$C393*'Business Case'!C12*$B393)-'Business Case'!C11*$C393*'Business Case'!C13*$D393-'Business Case'!C14*$E393)-MAX(0,(('Business Case'!C11*$C393*'Business Case'!C12*$B393)-'Business Case'!C11*$C393*'Business Case'!C13*$D393-'Business Case'!C14*$E393))*'Business Case'!$B$7-'Business Case'!$B$8*(('Business Case'!C11*$C393*'Business Case'!C12*$B393)-('Business Case'!B11*$C393*'Business Case'!B12*$B393))-'Business Case'!C15*$F393</f>
        <v>-43366188.75845</v>
      </c>
      <c r="J393" s="39" t="n">
        <f aca="false">(('Business Case'!D11*$C393*'Business Case'!D12*$B393)-'Business Case'!D11*$C393*'Business Case'!D13*$D393-'Business Case'!D14*$E393)-MAX(0,(('Business Case'!D11*$C393*'Business Case'!D12*$B393)-'Business Case'!D11*$C393*'Business Case'!D13*$D393-'Business Case'!D14*$E393))*'Business Case'!$B$7-'Business Case'!$B$8*(('Business Case'!D11*$C393*'Business Case'!D12*$B393)-('Business Case'!C11*$C393*'Business Case'!C12*$B393))-'Business Case'!D15*$F393</f>
        <v>200629546.071387</v>
      </c>
      <c r="K393" s="39" t="n">
        <f aca="false">(('Business Case'!E11*$C393*'Business Case'!E12*$B393)-'Business Case'!E11*$C393*'Business Case'!E13*$D393-'Business Case'!E14*$E393)-MAX(0,(('Business Case'!E11*$C393*'Business Case'!E12*$B393)-'Business Case'!E11*$C393*'Business Case'!E13*$D393-'Business Case'!E14*$E393))*'Business Case'!$B$7-'Business Case'!$B$8*(('Business Case'!E11*$C393*'Business Case'!E12*$B393)-('Business Case'!D11*$C393*'Business Case'!D12*$B393))-'Business Case'!E15*$F393</f>
        <v>494733189.216807</v>
      </c>
      <c r="L393" s="39" t="n">
        <f aca="false">(('Business Case'!F11*$C393*'Business Case'!F12*$B393)-'Business Case'!F11*$C393*'Business Case'!F13*$D393-'Business Case'!F14*$E393)-MAX(0,(('Business Case'!F11*$C393*'Business Case'!F12*$B393)-'Business Case'!F11*$C393*'Business Case'!F13*$D393-'Business Case'!F14*$E393))*'Business Case'!$B$7-'Business Case'!$B$8*(('Business Case'!F11*$C393*'Business Case'!F12*$B393)-('Business Case'!E11*$C393*'Business Case'!E12*$B393))-'Business Case'!F15*$F393</f>
        <v>605546740.678821</v>
      </c>
      <c r="M393" s="39" t="n">
        <f aca="false">(('Business Case'!G11*$C393*'Business Case'!G12*$B393)-'Business Case'!G11*$C393*'Business Case'!G13*$D393-'Business Case'!G14*$E393)-MAX(0,(('Business Case'!G11*$C393*'Business Case'!G12*$B393)-'Business Case'!G11*$C393*'Business Case'!G13*$D393-'Business Case'!G14*$E393))*'Business Case'!$B$7-'Business Case'!$B$8*(('Business Case'!G11*$C393*'Business Case'!G12*$B393)-('Business Case'!F11*$C393*'Business Case'!F12*$B393))-'Business Case'!G15*$F393+'Business Case'!$B$8*('Business Case'!G11*$C393*'Business Case'!G12*$B393)</f>
        <v>767695759.865199</v>
      </c>
      <c r="N393" s="39" t="n">
        <f aca="false">IF(COUNT('Business Case'!B11:G11)=0,"",H393+NPV(G393,I393:M393))</f>
        <v>-592092536.541764</v>
      </c>
      <c r="P393" s="40" t="n">
        <f aca="true">RAND()</f>
        <v>0.181609279920797</v>
      </c>
      <c r="Q393" s="40" t="n">
        <f aca="true">RAND()</f>
        <v>0.108077796666842</v>
      </c>
      <c r="R393" s="40" t="n">
        <f aca="true">RAND()</f>
        <v>0.406659597152854</v>
      </c>
      <c r="S393" s="40" t="n">
        <f aca="true">RAND()</f>
        <v>0.399459371393002</v>
      </c>
      <c r="T393" s="40" t="n">
        <f aca="true">RAND()</f>
        <v>0.217172176856685</v>
      </c>
      <c r="U393" s="40" t="n">
        <f aca="true">RAND()</f>
        <v>0.0912766306043083</v>
      </c>
    </row>
    <row r="394" customFormat="false" ht="15" hidden="false" customHeight="false" outlineLevel="0" collapsed="false">
      <c r="A394" s="36" t="n">
        <v>314</v>
      </c>
      <c r="B394" s="37" t="n">
        <f aca="false">1+IF($G$6=$E$6,$F$6,IF(P394&lt;($F$6-$E$6)/($G$6-$E$6),$E$6+SQRT(P394*($G$6-$E$6)*($F$6-$E$6)),$G$6-SQRT((1-P394)*($G$6-$E$6)*($G$6-$F$6))))</f>
        <v>1.01667036500529</v>
      </c>
      <c r="C394" s="37" t="n">
        <f aca="false">1+IF($G$7=$E$7,$F$7,IF(Q394&lt;($F$7-$E$7)/($G$7-$E$7),$E$7+SQRT(Q394*($G$7-$E$7)*($F$7-$E$7)),$G$7-SQRT((1-Q394)*($G$7-$E$7)*($G$7-$F$7))))</f>
        <v>0.94111823025247</v>
      </c>
      <c r="D394" s="37" t="n">
        <f aca="false">1+IF($G$8=$E$8,$F$8,IF(R394&lt;($F$8-$E$8)/($G$8-$E$8),$E$8+SQRT(R394*($G$8-$E$8)*($F$8-$E$8)),$G$8-SQRT((1-R394)*($G$8-$E$8)*($G$8-$F$8))))</f>
        <v>0.995723073658602</v>
      </c>
      <c r="E394" s="37" t="n">
        <f aca="false">1+IF($G$9=$E$9,$F$9,IF(S394&lt;($F$9-$E$9)/($G$9-$E$9),$E$9+SQRT(S394*($G$9-$E$9)*($F$9-$E$9)),$G$9-SQRT((1-S394)*($G$9-$E$9)*($G$9-$F$9))))</f>
        <v>1.01159836945315</v>
      </c>
      <c r="F394" s="37" t="n">
        <f aca="false">1+IF($G$10=$E$10,$F$10,IF(T394&lt;($F$10-$E$10)/($G$10-$E$10),$E$10+SQRT(T394*($G$10-$E$10)*($F$10-$E$10)),$G$10-SQRT((1-T394)*($G$10-$E$10)*($G$10-$F$10))))</f>
        <v>0.964584145653938</v>
      </c>
      <c r="G394" s="38" t="n">
        <f aca="false">IF($G$11=$E$11,$F$11,IF(U394&lt;($F$11-$E$11)/($G$11-$E$11),$E$11+SQRT(U394*($G$11-$E$11)*($F$11-$E$11)),$G$11-SQRT((1-U394)*($G$11-$E$11)*($G$11-$F$11))))</f>
        <v>0.103851831123753</v>
      </c>
      <c r="H394" s="39" t="n">
        <f aca="false">(('Business Case'!B11*$C394*'Business Case'!B12*$B394)-'Business Case'!B11*$C394*'Business Case'!B13*$D394-'Business Case'!B14*$E394)-MAX(0,(('Business Case'!B11*$C394*'Business Case'!B12*$B394)-'Business Case'!B11*$C394*'Business Case'!B13*$D394-'Business Case'!B14*$E394))*'Business Case'!$B$7-'Business Case'!$B$8*('Business Case'!B11*$C394*'Business Case'!B12*$B394)-'Business Case'!B15*$F394</f>
        <v>-1929168291.30788</v>
      </c>
      <c r="I394" s="39" t="n">
        <f aca="false">(('Business Case'!C11*$C394*'Business Case'!C12*$B394)-'Business Case'!C11*$C394*'Business Case'!C13*$D394-'Business Case'!C14*$E394)-MAX(0,(('Business Case'!C11*$C394*'Business Case'!C12*$B394)-'Business Case'!C11*$C394*'Business Case'!C13*$D394-'Business Case'!C14*$E394))*'Business Case'!$B$7-'Business Case'!$B$8*(('Business Case'!C11*$C394*'Business Case'!C12*$B394)-('Business Case'!B11*$C394*'Business Case'!B12*$B394))-'Business Case'!C15*$F394</f>
        <v>14068538.129537</v>
      </c>
      <c r="J394" s="39" t="n">
        <f aca="false">(('Business Case'!D11*$C394*'Business Case'!D12*$B394)-'Business Case'!D11*$C394*'Business Case'!D13*$D394-'Business Case'!D14*$E394)-MAX(0,(('Business Case'!D11*$C394*'Business Case'!D12*$B394)-'Business Case'!D11*$C394*'Business Case'!D13*$D394-'Business Case'!D14*$E394))*'Business Case'!$B$7-'Business Case'!$B$8*(('Business Case'!D11*$C394*'Business Case'!D12*$B394)-('Business Case'!C11*$C394*'Business Case'!C12*$B394))-'Business Case'!D15*$F394</f>
        <v>318045654.600883</v>
      </c>
      <c r="K394" s="39" t="n">
        <f aca="false">(('Business Case'!E11*$C394*'Business Case'!E12*$B394)-'Business Case'!E11*$C394*'Business Case'!E13*$D394-'Business Case'!E14*$E394)-MAX(0,(('Business Case'!E11*$C394*'Business Case'!E12*$B394)-'Business Case'!E11*$C394*'Business Case'!E13*$D394-'Business Case'!E14*$E394))*'Business Case'!$B$7-'Business Case'!$B$8*(('Business Case'!E11*$C394*'Business Case'!E12*$B394)-('Business Case'!D11*$C394*'Business Case'!D12*$B394))-'Business Case'!E15*$F394</f>
        <v>670251978.354927</v>
      </c>
      <c r="L394" s="39" t="n">
        <f aca="false">(('Business Case'!F11*$C394*'Business Case'!F12*$B394)-'Business Case'!F11*$C394*'Business Case'!F13*$D394-'Business Case'!F14*$E394)-MAX(0,(('Business Case'!F11*$C394*'Business Case'!F12*$B394)-'Business Case'!F11*$C394*'Business Case'!F13*$D394-'Business Case'!F14*$E394))*'Business Case'!$B$7-'Business Case'!$B$8*(('Business Case'!F11*$C394*'Business Case'!F12*$B394)-('Business Case'!E11*$C394*'Business Case'!E12*$B394))-'Business Case'!F15*$F394</f>
        <v>804644934.272161</v>
      </c>
      <c r="M394" s="39" t="n">
        <f aca="false">(('Business Case'!G11*$C394*'Business Case'!G12*$B394)-'Business Case'!G11*$C394*'Business Case'!G13*$D394-'Business Case'!G14*$E394)-MAX(0,(('Business Case'!G11*$C394*'Business Case'!G12*$B394)-'Business Case'!G11*$C394*'Business Case'!G13*$D394-'Business Case'!G14*$E394))*'Business Case'!$B$7-'Business Case'!$B$8*(('Business Case'!G11*$C394*'Business Case'!G12*$B394)-('Business Case'!F11*$C394*'Business Case'!F12*$B394))-'Business Case'!G15*$F394+'Business Case'!$B$8*('Business Case'!G11*$C394*'Business Case'!G12*$B394)</f>
        <v>986514811.619477</v>
      </c>
      <c r="N394" s="39" t="n">
        <f aca="false">IF(COUNT('Business Case'!B11:G11)=0,"",H394+NPV(G394,I394:M394))</f>
        <v>-13202263.2595899</v>
      </c>
      <c r="P394" s="40" t="n">
        <f aca="true">RAND()</f>
        <v>0.886610027294494</v>
      </c>
      <c r="Q394" s="40" t="n">
        <f aca="true">RAND()</f>
        <v>0.284490784422703</v>
      </c>
      <c r="R394" s="40" t="n">
        <f aca="true">RAND()</f>
        <v>0.321630686890759</v>
      </c>
      <c r="S394" s="40" t="n">
        <f aca="true">RAND()</f>
        <v>0.479010114443933</v>
      </c>
      <c r="T394" s="40" t="n">
        <f aca="true">RAND()</f>
        <v>0.0170157843564221</v>
      </c>
      <c r="U394" s="40" t="n">
        <f aca="true">RAND()</f>
        <v>0.565394403240353</v>
      </c>
    </row>
    <row r="395" customFormat="false" ht="15" hidden="false" customHeight="false" outlineLevel="0" collapsed="false">
      <c r="A395" s="36" t="n">
        <v>315</v>
      </c>
      <c r="B395" s="37" t="n">
        <f aca="false">1+IF($G$6=$E$6,$F$6,IF(P395&lt;($F$6-$E$6)/($G$6-$E$6),$E$6+SQRT(P395*($G$6-$E$6)*($F$6-$E$6)),$G$6-SQRT((1-P395)*($G$6-$E$6)*($G$6-$F$6))))</f>
        <v>0.989428659550638</v>
      </c>
      <c r="C395" s="37" t="n">
        <f aca="false">1+IF($G$7=$E$7,$F$7,IF(Q395&lt;($F$7-$E$7)/($G$7-$E$7),$E$7+SQRT(Q395*($G$7-$E$7)*($F$7-$E$7)),$G$7-SQRT((1-Q395)*($G$7-$E$7)*($G$7-$F$7))))</f>
        <v>0.985752355533082</v>
      </c>
      <c r="D395" s="37" t="n">
        <f aca="false">1+IF($G$8=$E$8,$F$8,IF(R395&lt;($F$8-$E$8)/($G$8-$E$8),$E$8+SQRT(R395*($G$8-$E$8)*($F$8-$E$8)),$G$8-SQRT((1-R395)*($G$8-$E$8)*($G$8-$F$8))))</f>
        <v>1.06563142919821</v>
      </c>
      <c r="E395" s="37" t="n">
        <f aca="false">1+IF($G$9=$E$9,$F$9,IF(S395&lt;($F$9-$E$9)/($G$9-$E$9),$E$9+SQRT(S395*($G$9-$E$9)*($F$9-$E$9)),$G$9-SQRT((1-S395)*($G$9-$E$9)*($G$9-$F$9))))</f>
        <v>1.01272658834929</v>
      </c>
      <c r="F395" s="37" t="n">
        <f aca="false">1+IF($G$10=$E$10,$F$10,IF(T395&lt;($F$10-$E$10)/($G$10-$E$10),$E$10+SQRT(T395*($G$10-$E$10)*($F$10-$E$10)),$G$10-SQRT((1-T395)*($G$10-$E$10)*($G$10-$F$10))))</f>
        <v>1.02542316761007</v>
      </c>
      <c r="G395" s="38" t="n">
        <f aca="false">IF($G$11=$E$11,$F$11,IF(U395&lt;($F$11-$E$11)/($G$11-$E$11),$E$11+SQRT(U395*($G$11-$E$11)*($F$11-$E$11)),$G$11-SQRT((1-U395)*($G$11-$E$11)*($G$11-$F$11))))</f>
        <v>0.102557793993386</v>
      </c>
      <c r="H395" s="39" t="n">
        <f aca="false">(('Business Case'!B11*$C395*'Business Case'!B12*$B395)-'Business Case'!B11*$C395*'Business Case'!B13*$D395-'Business Case'!B14*$E395)-MAX(0,(('Business Case'!B11*$C395*'Business Case'!B12*$B395)-'Business Case'!B11*$C395*'Business Case'!B13*$D395-'Business Case'!B14*$E395))*'Business Case'!$B$7-'Business Case'!$B$8*('Business Case'!B11*$C395*'Business Case'!B12*$B395)-'Business Case'!B15*$F395</f>
        <v>-2050846335.22013</v>
      </c>
      <c r="I395" s="39" t="n">
        <f aca="false">(('Business Case'!C11*$C395*'Business Case'!C12*$B395)-'Business Case'!C11*$C395*'Business Case'!C13*$D395-'Business Case'!C14*$E395)-MAX(0,(('Business Case'!C11*$C395*'Business Case'!C12*$B395)-'Business Case'!C11*$C395*'Business Case'!C13*$D395-'Business Case'!C14*$E395))*'Business Case'!$B$7-'Business Case'!$B$8*(('Business Case'!C11*$C395*'Business Case'!C12*$B395)-('Business Case'!B11*$C395*'Business Case'!B12*$B395))-'Business Case'!C15*$F395</f>
        <v>-35992093.2407295</v>
      </c>
      <c r="J395" s="39" t="n">
        <f aca="false">(('Business Case'!D11*$C395*'Business Case'!D12*$B395)-'Business Case'!D11*$C395*'Business Case'!D13*$D395-'Business Case'!D14*$E395)-MAX(0,(('Business Case'!D11*$C395*'Business Case'!D12*$B395)-'Business Case'!D11*$C395*'Business Case'!D13*$D395-'Business Case'!D14*$E395))*'Business Case'!$B$7-'Business Case'!$B$8*(('Business Case'!D11*$C395*'Business Case'!D12*$B395)-('Business Case'!C11*$C395*'Business Case'!C12*$B395))-'Business Case'!D15*$F395</f>
        <v>225129042.934498</v>
      </c>
      <c r="K395" s="39" t="n">
        <f aca="false">(('Business Case'!E11*$C395*'Business Case'!E12*$B395)-'Business Case'!E11*$C395*'Business Case'!E13*$D395-'Business Case'!E14*$E395)-MAX(0,(('Business Case'!E11*$C395*'Business Case'!E12*$B395)-'Business Case'!E11*$C395*'Business Case'!E13*$D395-'Business Case'!E14*$E395))*'Business Case'!$B$7-'Business Case'!$B$8*(('Business Case'!E11*$C395*'Business Case'!E12*$B395)-('Business Case'!D11*$C395*'Business Case'!D12*$B395))-'Business Case'!E15*$F395</f>
        <v>537521337.490229</v>
      </c>
      <c r="L395" s="39" t="n">
        <f aca="false">(('Business Case'!F11*$C395*'Business Case'!F12*$B395)-'Business Case'!F11*$C395*'Business Case'!F13*$D395-'Business Case'!F14*$E395)-MAX(0,(('Business Case'!F11*$C395*'Business Case'!F12*$B395)-'Business Case'!F11*$C395*'Business Case'!F13*$D395-'Business Case'!F14*$E395))*'Business Case'!$B$7-'Business Case'!$B$8*(('Business Case'!F11*$C395*'Business Case'!F12*$B395)-('Business Case'!E11*$C395*'Business Case'!E12*$B395))-'Business Case'!F15*$F395</f>
        <v>658269177.40976</v>
      </c>
      <c r="M395" s="39" t="n">
        <f aca="false">(('Business Case'!G11*$C395*'Business Case'!G12*$B395)-'Business Case'!G11*$C395*'Business Case'!G13*$D395-'Business Case'!G14*$E395)-MAX(0,(('Business Case'!G11*$C395*'Business Case'!G12*$B395)-'Business Case'!G11*$C395*'Business Case'!G13*$D395-'Business Case'!G14*$E395))*'Business Case'!$B$7-'Business Case'!$B$8*(('Business Case'!G11*$C395*'Business Case'!G12*$B395)-('Business Case'!F11*$C395*'Business Case'!F12*$B395))-'Business Case'!G15*$F395+'Business Case'!$B$8*('Business Case'!G11*$C395*'Business Case'!G12*$B395)</f>
        <v>843660213.979259</v>
      </c>
      <c r="N395" s="39" t="n">
        <f aca="false">IF(COUNT('Business Case'!B11:G11)=0,"",H395+NPV(G395,I395:M395))</f>
        <v>-534004548.949133</v>
      </c>
      <c r="P395" s="40" t="n">
        <f aca="true">RAND()</f>
        <v>0.502118621562339</v>
      </c>
      <c r="Q395" s="40" t="n">
        <f aca="true">RAND()</f>
        <v>0.492913394086976</v>
      </c>
      <c r="R395" s="40" t="n">
        <f aca="true">RAND()</f>
        <v>0.980148478184044</v>
      </c>
      <c r="S395" s="40" t="n">
        <f aca="true">RAND()</f>
        <v>0.49222344125638</v>
      </c>
      <c r="T395" s="40" t="n">
        <f aca="true">RAND()</f>
        <v>0.390458591853939</v>
      </c>
      <c r="U395" s="40" t="n">
        <f aca="true">RAND()</f>
        <v>0.492949082704737</v>
      </c>
    </row>
    <row r="396" customFormat="false" ht="15" hidden="false" customHeight="false" outlineLevel="0" collapsed="false">
      <c r="A396" s="36" t="n">
        <v>316</v>
      </c>
      <c r="B396" s="37" t="n">
        <f aca="false">1+IF($G$6=$E$6,$F$6,IF(P396&lt;($F$6-$E$6)/($G$6-$E$6),$E$6+SQRT(P396*($G$6-$E$6)*($F$6-$E$6)),$G$6-SQRT((1-P396)*($G$6-$E$6)*($G$6-$F$6))))</f>
        <v>1.03709545662131</v>
      </c>
      <c r="C396" s="37" t="n">
        <f aca="false">1+IF($G$7=$E$7,$F$7,IF(Q396&lt;($F$7-$E$7)/($G$7-$E$7),$E$7+SQRT(Q396*($G$7-$E$7)*($F$7-$E$7)),$G$7-SQRT((1-Q396)*($G$7-$E$7)*($G$7-$F$7))))</f>
        <v>1.0514761687197</v>
      </c>
      <c r="D396" s="37" t="n">
        <f aca="false">1+IF($G$8=$E$8,$F$8,IF(R396&lt;($F$8-$E$8)/($G$8-$E$8),$E$8+SQRT(R396*($G$8-$E$8)*($F$8-$E$8)),$G$8-SQRT((1-R396)*($G$8-$E$8)*($G$8-$F$8))))</f>
        <v>1.03291723478072</v>
      </c>
      <c r="E396" s="37" t="n">
        <f aca="false">1+IF($G$9=$E$9,$F$9,IF(S396&lt;($F$9-$E$9)/($G$9-$E$9),$E$9+SQRT(S396*($G$9-$E$9)*($F$9-$E$9)),$G$9-SQRT((1-S396)*($G$9-$E$9)*($G$9-$F$9))))</f>
        <v>0.966908388900456</v>
      </c>
      <c r="F396" s="37" t="n">
        <f aca="false">1+IF($G$10=$E$10,$F$10,IF(T396&lt;($F$10-$E$10)/($G$10-$E$10),$E$10+SQRT(T396*($G$10-$E$10)*($F$10-$E$10)),$G$10-SQRT((1-T396)*($G$10-$E$10)*($G$10-$F$10))))</f>
        <v>1.09328579287193</v>
      </c>
      <c r="G396" s="38" t="n">
        <f aca="false">IF($G$11=$E$11,$F$11,IF(U396&lt;($F$11-$E$11)/($G$11-$E$11),$E$11+SQRT(U396*($G$11-$E$11)*($F$11-$E$11)),$G$11-SQRT((1-U396)*($G$11-$E$11)*($G$11-$F$11))))</f>
        <v>0.117274042339652</v>
      </c>
      <c r="H396" s="39" t="n">
        <f aca="false">(('Business Case'!B11*$C396*'Business Case'!B12*$B396)-'Business Case'!B11*$C396*'Business Case'!B13*$D396-'Business Case'!B14*$E396)-MAX(0,(('Business Case'!B11*$C396*'Business Case'!B12*$B396)-'Business Case'!B11*$C396*'Business Case'!B13*$D396-'Business Case'!B14*$E396))*'Business Case'!$B$7-'Business Case'!$B$8*('Business Case'!B11*$C396*'Business Case'!B12*$B396)-'Business Case'!B15*$F396</f>
        <v>-2186571585.74386</v>
      </c>
      <c r="I396" s="39" t="n">
        <f aca="false">(('Business Case'!C11*$C396*'Business Case'!C12*$B396)-'Business Case'!C11*$C396*'Business Case'!C13*$D396-'Business Case'!C14*$E396)-MAX(0,(('Business Case'!C11*$C396*'Business Case'!C12*$B396)-'Business Case'!C11*$C396*'Business Case'!C13*$D396-'Business Case'!C14*$E396))*'Business Case'!$B$7-'Business Case'!$B$8*(('Business Case'!C11*$C396*'Business Case'!C12*$B396)-('Business Case'!B11*$C396*'Business Case'!B12*$B396))-'Business Case'!C15*$F396</f>
        <v>33838991.5408332</v>
      </c>
      <c r="J396" s="39" t="n">
        <f aca="false">(('Business Case'!D11*$C396*'Business Case'!D12*$B396)-'Business Case'!D11*$C396*'Business Case'!D13*$D396-'Business Case'!D14*$E396)-MAX(0,(('Business Case'!D11*$C396*'Business Case'!D12*$B396)-'Business Case'!D11*$C396*'Business Case'!D13*$D396-'Business Case'!D14*$E396))*'Business Case'!$B$7-'Business Case'!$B$8*(('Business Case'!D11*$C396*'Business Case'!D12*$B396)-('Business Case'!C11*$C396*'Business Case'!C12*$B396))-'Business Case'!D15*$F396</f>
        <v>371031478.466221</v>
      </c>
      <c r="K396" s="39" t="n">
        <f aca="false">(('Business Case'!E11*$C396*'Business Case'!E12*$B396)-'Business Case'!E11*$C396*'Business Case'!E13*$D396-'Business Case'!E14*$E396)-MAX(0,(('Business Case'!E11*$C396*'Business Case'!E12*$B396)-'Business Case'!E11*$C396*'Business Case'!E13*$D396-'Business Case'!E14*$E396))*'Business Case'!$B$7-'Business Case'!$B$8*(('Business Case'!E11*$C396*'Business Case'!E12*$B396)-('Business Case'!D11*$C396*'Business Case'!D12*$B396))-'Business Case'!E15*$F396</f>
        <v>762888255.035205</v>
      </c>
      <c r="L396" s="39" t="n">
        <f aca="false">(('Business Case'!F11*$C396*'Business Case'!F12*$B396)-'Business Case'!F11*$C396*'Business Case'!F13*$D396-'Business Case'!F14*$E396)-MAX(0,(('Business Case'!F11*$C396*'Business Case'!F12*$B396)-'Business Case'!F11*$C396*'Business Case'!F13*$D396-'Business Case'!F14*$E396))*'Business Case'!$B$7-'Business Case'!$B$8*(('Business Case'!F11*$C396*'Business Case'!F12*$B396)-('Business Case'!E11*$C396*'Business Case'!E12*$B396))-'Business Case'!F15*$F396</f>
        <v>912972779.474146</v>
      </c>
      <c r="M396" s="39" t="n">
        <f aca="false">(('Business Case'!G11*$C396*'Business Case'!G12*$B396)-'Business Case'!G11*$C396*'Business Case'!G13*$D396-'Business Case'!G14*$E396)-MAX(0,(('Business Case'!G11*$C396*'Business Case'!G12*$B396)-'Business Case'!G11*$C396*'Business Case'!G13*$D396-'Business Case'!G14*$E396))*'Business Case'!$B$7-'Business Case'!$B$8*(('Business Case'!G11*$C396*'Business Case'!G12*$B396)-('Business Case'!F11*$C396*'Business Case'!F12*$B396))-'Business Case'!G15*$F396+'Business Case'!$B$8*('Business Case'!G11*$C396*'Business Case'!G12*$B396)</f>
        <v>1120251437.85844</v>
      </c>
      <c r="N396" s="39" t="n">
        <f aca="false">IF(COUNT('Business Case'!B11:G11)=0,"",H396+NPV(G396,I396:M396))</f>
        <v>-82715210.4065597</v>
      </c>
      <c r="P396" s="40" t="n">
        <f aca="true">RAND()</f>
        <v>0.998242422450274</v>
      </c>
      <c r="Q396" s="40" t="n">
        <f aca="true">RAND()</f>
        <v>0.815105803235264</v>
      </c>
      <c r="R396" s="40" t="n">
        <f aca="true">RAND()</f>
        <v>0.78684742493326</v>
      </c>
      <c r="S396" s="40" t="n">
        <f aca="true">RAND()</f>
        <v>0.0381191486945393</v>
      </c>
      <c r="T396" s="40" t="n">
        <f aca="true">RAND()</f>
        <v>0.77224155994055</v>
      </c>
      <c r="U396" s="40" t="n">
        <f aca="true">RAND()</f>
        <v>0.987615258056651</v>
      </c>
    </row>
    <row r="397" customFormat="false" ht="15" hidden="false" customHeight="false" outlineLevel="0" collapsed="false">
      <c r="A397" s="36" t="n">
        <v>317</v>
      </c>
      <c r="B397" s="37" t="n">
        <f aca="false">1+IF($G$6=$E$6,$F$6,IF(P397&lt;($F$6-$E$6)/($G$6-$E$6),$E$6+SQRT(P397*($G$6-$E$6)*($F$6-$E$6)),$G$6-SQRT((1-P397)*($G$6-$E$6)*($G$6-$F$6))))</f>
        <v>0.990388947743967</v>
      </c>
      <c r="C397" s="37" t="n">
        <f aca="false">1+IF($G$7=$E$7,$F$7,IF(Q397&lt;($F$7-$E$7)/($G$7-$E$7),$E$7+SQRT(Q397*($G$7-$E$7)*($F$7-$E$7)),$G$7-SQRT((1-Q397)*($G$7-$E$7)*($G$7-$F$7))))</f>
        <v>0.93332916675341</v>
      </c>
      <c r="D397" s="37" t="n">
        <f aca="false">1+IF($G$8=$E$8,$F$8,IF(R397&lt;($F$8-$E$8)/($G$8-$E$8),$E$8+SQRT(R397*($G$8-$E$8)*($F$8-$E$8)),$G$8-SQRT((1-R397)*($G$8-$E$8)*($G$8-$F$8))))</f>
        <v>1.00139622861649</v>
      </c>
      <c r="E397" s="37" t="n">
        <f aca="false">1+IF($G$9=$E$9,$F$9,IF(S397&lt;($F$9-$E$9)/($G$9-$E$9),$E$9+SQRT(S397*($G$9-$E$9)*($F$9-$E$9)),$G$9-SQRT((1-S397)*($G$9-$E$9)*($G$9-$F$9))))</f>
        <v>0.965574613829506</v>
      </c>
      <c r="F397" s="37" t="n">
        <f aca="false">1+IF($G$10=$E$10,$F$10,IF(T397&lt;($F$10-$E$10)/($G$10-$E$10),$E$10+SQRT(T397*($G$10-$E$10)*($F$10-$E$10)),$G$10-SQRT((1-T397)*($G$10-$E$10)*($G$10-$F$10))))</f>
        <v>1.04206652906478</v>
      </c>
      <c r="G397" s="38" t="n">
        <f aca="false">IF($G$11=$E$11,$F$11,IF(U397&lt;($F$11-$E$11)/($G$11-$E$11),$E$11+SQRT(U397*($G$11-$E$11)*($F$11-$E$11)),$G$11-SQRT((1-U397)*($G$11-$E$11)*($G$11-$F$11))))</f>
        <v>0.102411086823462</v>
      </c>
      <c r="H397" s="39" t="n">
        <f aca="false">(('Business Case'!B11*$C397*'Business Case'!B12*$B397)-'Business Case'!B11*$C397*'Business Case'!B13*$D397-'Business Case'!B14*$E397)-MAX(0,(('Business Case'!B11*$C397*'Business Case'!B12*$B397)-'Business Case'!B11*$C397*'Business Case'!B13*$D397-'Business Case'!B14*$E397))*'Business Case'!$B$7-'Business Case'!$B$8*('Business Case'!B11*$C397*'Business Case'!B12*$B397)-'Business Case'!B15*$F397</f>
        <v>-2084133058.12956</v>
      </c>
      <c r="I397" s="39" t="n">
        <f aca="false">(('Business Case'!C11*$C397*'Business Case'!C12*$B397)-'Business Case'!C11*$C397*'Business Case'!C13*$D397-'Business Case'!C14*$E397)-MAX(0,(('Business Case'!C11*$C397*'Business Case'!C12*$B397)-'Business Case'!C11*$C397*'Business Case'!C13*$D397-'Business Case'!C14*$E397))*'Business Case'!$B$7-'Business Case'!$B$8*(('Business Case'!C11*$C397*'Business Case'!C12*$B397)-('Business Case'!B11*$C397*'Business Case'!B12*$B397))-'Business Case'!C15*$F397</f>
        <v>-10770612.9868189</v>
      </c>
      <c r="J397" s="39" t="n">
        <f aca="false">(('Business Case'!D11*$C397*'Business Case'!D12*$B397)-'Business Case'!D11*$C397*'Business Case'!D13*$D397-'Business Case'!D14*$E397)-MAX(0,(('Business Case'!D11*$C397*'Business Case'!D12*$B397)-'Business Case'!D11*$C397*'Business Case'!D13*$D397-'Business Case'!D14*$E397))*'Business Case'!$B$7-'Business Case'!$B$8*(('Business Case'!D11*$C397*'Business Case'!D12*$B397)-('Business Case'!C11*$C397*'Business Case'!C12*$B397))-'Business Case'!D15*$F397</f>
        <v>267888901.947481</v>
      </c>
      <c r="K397" s="39" t="n">
        <f aca="false">(('Business Case'!E11*$C397*'Business Case'!E12*$B397)-'Business Case'!E11*$C397*'Business Case'!E13*$D397-'Business Case'!E14*$E397)-MAX(0,(('Business Case'!E11*$C397*'Business Case'!E12*$B397)-'Business Case'!E11*$C397*'Business Case'!E13*$D397-'Business Case'!E14*$E397))*'Business Case'!$B$7-'Business Case'!$B$8*(('Business Case'!E11*$C397*'Business Case'!E12*$B397)-('Business Case'!D11*$C397*'Business Case'!D12*$B397))-'Business Case'!E15*$F397</f>
        <v>598651743.335019</v>
      </c>
      <c r="L397" s="39" t="n">
        <f aca="false">(('Business Case'!F11*$C397*'Business Case'!F12*$B397)-'Business Case'!F11*$C397*'Business Case'!F13*$D397-'Business Case'!F14*$E397)-MAX(0,(('Business Case'!F11*$C397*'Business Case'!F12*$B397)-'Business Case'!F11*$C397*'Business Case'!F13*$D397-'Business Case'!F14*$E397))*'Business Case'!$B$7-'Business Case'!$B$8*(('Business Case'!F11*$C397*'Business Case'!F12*$B397)-('Business Case'!E11*$C397*'Business Case'!E12*$B397))-'Business Case'!F15*$F397</f>
        <v>723484091.59851</v>
      </c>
      <c r="M397" s="39" t="n">
        <f aca="false">(('Business Case'!G11*$C397*'Business Case'!G12*$B397)-'Business Case'!G11*$C397*'Business Case'!G13*$D397-'Business Case'!G14*$E397)-MAX(0,(('Business Case'!G11*$C397*'Business Case'!G12*$B397)-'Business Case'!G11*$C397*'Business Case'!G13*$D397-'Business Case'!G14*$E397))*'Business Case'!$B$7-'Business Case'!$B$8*(('Business Case'!G11*$C397*'Business Case'!G12*$B397)-('Business Case'!F11*$C397*'Business Case'!F12*$B397))-'Business Case'!G15*$F397+'Business Case'!$B$8*('Business Case'!G11*$C397*'Business Case'!G12*$B397)</f>
        <v>899186229.668155</v>
      </c>
      <c r="N397" s="39" t="n">
        <f aca="false">IF(COUNT('Business Case'!B11:G11)=0,"",H397+NPV(G397,I397:M397))</f>
        <v>-384557948.295891</v>
      </c>
      <c r="P397" s="40" t="n">
        <f aca="true">RAND()</f>
        <v>0.516104579635724</v>
      </c>
      <c r="Q397" s="40" t="n">
        <f aca="true">RAND()</f>
        <v>0.253952381530838</v>
      </c>
      <c r="R397" s="40" t="n">
        <f aca="true">RAND()</f>
        <v>0.405908377335489</v>
      </c>
      <c r="S397" s="40" t="n">
        <f aca="true">RAND()</f>
        <v>0.0323424794584327</v>
      </c>
      <c r="T397" s="40" t="n">
        <f aca="true">RAND()</f>
        <v>0.50114037516707</v>
      </c>
      <c r="U397" s="40" t="n">
        <f aca="true">RAND()</f>
        <v>0.484383555447032</v>
      </c>
    </row>
    <row r="398" customFormat="false" ht="15" hidden="false" customHeight="false" outlineLevel="0" collapsed="false">
      <c r="A398" s="36" t="n">
        <v>318</v>
      </c>
      <c r="B398" s="37" t="n">
        <f aca="false">1+IF($G$6=$E$6,$F$6,IF(P398&lt;($F$6-$E$6)/($G$6-$E$6),$E$6+SQRT(P398*($G$6-$E$6)*($F$6-$E$6)),$G$6-SQRT((1-P398)*($G$6-$E$6)*($G$6-$F$6))))</f>
        <v>0.95554169737277</v>
      </c>
      <c r="C398" s="37" t="n">
        <f aca="false">1+IF($G$7=$E$7,$F$7,IF(Q398&lt;($F$7-$E$7)/($G$7-$E$7),$E$7+SQRT(Q398*($G$7-$E$7)*($F$7-$E$7)),$G$7-SQRT((1-Q398)*($G$7-$E$7)*($G$7-$F$7))))</f>
        <v>0.953280210285175</v>
      </c>
      <c r="D398" s="37" t="n">
        <f aca="false">1+IF($G$8=$E$8,$F$8,IF(R398&lt;($F$8-$E$8)/($G$8-$E$8),$E$8+SQRT(R398*($G$8-$E$8)*($F$8-$E$8)),$G$8-SQRT((1-R398)*($G$8-$E$8)*($G$8-$F$8))))</f>
        <v>1.00594420273744</v>
      </c>
      <c r="E398" s="37" t="n">
        <f aca="false">1+IF($G$9=$E$9,$F$9,IF(S398&lt;($F$9-$E$9)/($G$9-$E$9),$E$9+SQRT(S398*($G$9-$E$9)*($F$9-$E$9)),$G$9-SQRT((1-S398)*($G$9-$E$9)*($G$9-$F$9))))</f>
        <v>0.967540206756932</v>
      </c>
      <c r="F398" s="37" t="n">
        <f aca="false">1+IF($G$10=$E$10,$F$10,IF(T398&lt;($F$10-$E$10)/($G$10-$E$10),$E$10+SQRT(T398*($G$10-$E$10)*($F$10-$E$10)),$G$10-SQRT((1-T398)*($G$10-$E$10)*($G$10-$F$10))))</f>
        <v>1.06529867163749</v>
      </c>
      <c r="G398" s="38" t="n">
        <f aca="false">IF($G$11=$E$11,$F$11,IF(U398&lt;($F$11-$E$11)/($G$11-$E$11),$E$11+SQRT(U398*($G$11-$E$11)*($F$11-$E$11)),$G$11-SQRT((1-U398)*($G$11-$E$11)*($G$11-$F$11))))</f>
        <v>0.102063970070957</v>
      </c>
      <c r="H398" s="39" t="n">
        <f aca="false">(('Business Case'!B11*$C398*'Business Case'!B12*$B398)-'Business Case'!B11*$C398*'Business Case'!B13*$D398-'Business Case'!B14*$E398)-MAX(0,(('Business Case'!B11*$C398*'Business Case'!B12*$B398)-'Business Case'!B11*$C398*'Business Case'!B13*$D398-'Business Case'!B14*$E398))*'Business Case'!$B$7-'Business Case'!$B$8*('Business Case'!B11*$C398*'Business Case'!B12*$B398)-'Business Case'!B15*$F398</f>
        <v>-2130597343.27497</v>
      </c>
      <c r="I398" s="39" t="n">
        <f aca="false">(('Business Case'!C11*$C398*'Business Case'!C12*$B398)-'Business Case'!C11*$C398*'Business Case'!C13*$D398-'Business Case'!C14*$E398)-MAX(0,(('Business Case'!C11*$C398*'Business Case'!C12*$B398)-'Business Case'!C11*$C398*'Business Case'!C13*$D398-'Business Case'!C14*$E398))*'Business Case'!$B$7-'Business Case'!$B$8*(('Business Case'!C11*$C398*'Business Case'!C12*$B398)-('Business Case'!B11*$C398*'Business Case'!B12*$B398))-'Business Case'!C15*$F398</f>
        <v>-36147225.7472064</v>
      </c>
      <c r="J398" s="39" t="n">
        <f aca="false">(('Business Case'!D11*$C398*'Business Case'!D12*$B398)-'Business Case'!D11*$C398*'Business Case'!D13*$D398-'Business Case'!D14*$E398)-MAX(0,(('Business Case'!D11*$C398*'Business Case'!D12*$B398)-'Business Case'!D11*$C398*'Business Case'!D13*$D398-'Business Case'!D14*$E398))*'Business Case'!$B$7-'Business Case'!$B$8*(('Business Case'!D11*$C398*'Business Case'!D12*$B398)-('Business Case'!C11*$C398*'Business Case'!C12*$B398))-'Business Case'!D15*$F398</f>
        <v>219040636.722542</v>
      </c>
      <c r="K398" s="39" t="n">
        <f aca="false">(('Business Case'!E11*$C398*'Business Case'!E12*$B398)-'Business Case'!E11*$C398*'Business Case'!E13*$D398-'Business Case'!E14*$E398)-MAX(0,(('Business Case'!E11*$C398*'Business Case'!E12*$B398)-'Business Case'!E11*$C398*'Business Case'!E13*$D398-'Business Case'!E14*$E398))*'Business Case'!$B$7-'Business Case'!$B$8*(('Business Case'!E11*$C398*'Business Case'!E12*$B398)-('Business Case'!D11*$C398*'Business Case'!D12*$B398))-'Business Case'!E15*$F398</f>
        <v>527493432.774165</v>
      </c>
      <c r="L398" s="39" t="n">
        <f aca="false">(('Business Case'!F11*$C398*'Business Case'!F12*$B398)-'Business Case'!F11*$C398*'Business Case'!F13*$D398-'Business Case'!F14*$E398)-MAX(0,(('Business Case'!F11*$C398*'Business Case'!F12*$B398)-'Business Case'!F11*$C398*'Business Case'!F13*$D398-'Business Case'!F14*$E398))*'Business Case'!$B$7-'Business Case'!$B$8*(('Business Case'!F11*$C398*'Business Case'!F12*$B398)-('Business Case'!E11*$C398*'Business Case'!E12*$B398))-'Business Case'!F15*$F398</f>
        <v>644036722.698995</v>
      </c>
      <c r="M398" s="39" t="n">
        <f aca="false">(('Business Case'!G11*$C398*'Business Case'!G12*$B398)-'Business Case'!G11*$C398*'Business Case'!G13*$D398-'Business Case'!G14*$E398)-MAX(0,(('Business Case'!G11*$C398*'Business Case'!G12*$B398)-'Business Case'!G11*$C398*'Business Case'!G13*$D398-'Business Case'!G14*$E398))*'Business Case'!$B$7-'Business Case'!$B$8*(('Business Case'!G11*$C398*'Business Case'!G12*$B398)-('Business Case'!F11*$C398*'Business Case'!F12*$B398))-'Business Case'!G15*$F398+'Business Case'!$B$8*('Business Case'!G11*$C398*'Business Case'!G12*$B398)</f>
        <v>817180402.757687</v>
      </c>
      <c r="N398" s="39" t="n">
        <f aca="false">IF(COUNT('Business Case'!B11:G11)=0,"",H398+NPV(G398,I398:M398))</f>
        <v>-649687113.187605</v>
      </c>
      <c r="P398" s="40" t="n">
        <f aca="true">RAND()</f>
        <v>0.131584609597665</v>
      </c>
      <c r="Q398" s="40" t="n">
        <f aca="true">RAND()</f>
        <v>0.33564032664382</v>
      </c>
      <c r="R398" s="40" t="n">
        <f aca="true">RAND()</f>
        <v>0.472667201135229</v>
      </c>
      <c r="S398" s="40" t="n">
        <f aca="true">RAND()</f>
        <v>0.0410211804101239</v>
      </c>
      <c r="T398" s="40" t="n">
        <f aca="true">RAND()</f>
        <v>0.637111042747483</v>
      </c>
      <c r="U398" s="40" t="n">
        <f aca="true">RAND()</f>
        <v>0.463831383974147</v>
      </c>
    </row>
    <row r="399" customFormat="false" ht="15" hidden="false" customHeight="false" outlineLevel="0" collapsed="false">
      <c r="A399" s="36" t="n">
        <v>319</v>
      </c>
      <c r="B399" s="37" t="n">
        <f aca="false">1+IF($G$6=$E$6,$F$6,IF(P399&lt;($F$6-$E$6)/($G$6-$E$6),$E$6+SQRT(P399*($G$6-$E$6)*($F$6-$E$6)),$G$6-SQRT((1-P399)*($G$6-$E$6)*($G$6-$F$6))))</f>
        <v>1.00311656303822</v>
      </c>
      <c r="C399" s="37" t="n">
        <f aca="false">1+IF($G$7=$E$7,$F$7,IF(Q399&lt;($F$7-$E$7)/($G$7-$E$7),$E$7+SQRT(Q399*($G$7-$E$7)*($F$7-$E$7)),$G$7-SQRT((1-Q399)*($G$7-$E$7)*($G$7-$F$7))))</f>
        <v>1.00238194587751</v>
      </c>
      <c r="D399" s="37" t="n">
        <f aca="false">1+IF($G$8=$E$8,$F$8,IF(R399&lt;($F$8-$E$8)/($G$8-$E$8),$E$8+SQRT(R399*($G$8-$E$8)*($F$8-$E$8)),$G$8-SQRT((1-R399)*($G$8-$E$8)*($G$8-$F$8))))</f>
        <v>0.988894529115193</v>
      </c>
      <c r="E399" s="37" t="n">
        <f aca="false">1+IF($G$9=$E$9,$F$9,IF(S399&lt;($F$9-$E$9)/($G$9-$E$9),$E$9+SQRT(S399*($G$9-$E$9)*($F$9-$E$9)),$G$9-SQRT((1-S399)*($G$9-$E$9)*($G$9-$F$9))))</f>
        <v>0.983194661994842</v>
      </c>
      <c r="F399" s="37" t="n">
        <f aca="false">1+IF($G$10=$E$10,$F$10,IF(T399&lt;($F$10-$E$10)/($G$10-$E$10),$E$10+SQRT(T399*($G$10-$E$10)*($F$10-$E$10)),$G$10-SQRT((1-T399)*($G$10-$E$10)*($G$10-$F$10))))</f>
        <v>0.997693742409003</v>
      </c>
      <c r="G399" s="38" t="n">
        <f aca="false">IF($G$11=$E$11,$F$11,IF(U399&lt;($F$11-$E$11)/($G$11-$E$11),$E$11+SQRT(U399*($G$11-$E$11)*($F$11-$E$11)),$G$11-SQRT((1-U399)*($G$11-$E$11)*($G$11-$F$11))))</f>
        <v>0.0959038732765131</v>
      </c>
      <c r="H399" s="39" t="n">
        <f aca="false">(('Business Case'!B11*$C399*'Business Case'!B12*$B399)-'Business Case'!B11*$C399*'Business Case'!B13*$D399-'Business Case'!B14*$E399)-MAX(0,(('Business Case'!B11*$C399*'Business Case'!B12*$B399)-'Business Case'!B11*$C399*'Business Case'!B13*$D399-'Business Case'!B14*$E399))*'Business Case'!$B$7-'Business Case'!$B$8*('Business Case'!B11*$C399*'Business Case'!B12*$B399)-'Business Case'!B15*$F399</f>
        <v>-1995387484.81801</v>
      </c>
      <c r="I399" s="39" t="n">
        <f aca="false">(('Business Case'!C11*$C399*'Business Case'!C12*$B399)-'Business Case'!C11*$C399*'Business Case'!C13*$D399-'Business Case'!C14*$E399)-MAX(0,(('Business Case'!C11*$C399*'Business Case'!C12*$B399)-'Business Case'!C11*$C399*'Business Case'!C13*$D399-'Business Case'!C14*$E399))*'Business Case'!$B$7-'Business Case'!$B$8*(('Business Case'!C11*$C399*'Business Case'!C12*$B399)-('Business Case'!B11*$C399*'Business Case'!B12*$B399))-'Business Case'!C15*$F399</f>
        <v>24435960.9030992</v>
      </c>
      <c r="J399" s="39" t="n">
        <f aca="false">(('Business Case'!D11*$C399*'Business Case'!D12*$B399)-'Business Case'!D11*$C399*'Business Case'!D13*$D399-'Business Case'!D14*$E399)-MAX(0,(('Business Case'!D11*$C399*'Business Case'!D12*$B399)-'Business Case'!D11*$C399*'Business Case'!D13*$D399-'Business Case'!D14*$E399))*'Business Case'!$B$7-'Business Case'!$B$8*(('Business Case'!D11*$C399*'Business Case'!D12*$B399)-('Business Case'!C11*$C399*'Business Case'!C12*$B399))-'Business Case'!D15*$F399</f>
        <v>340577004.518392</v>
      </c>
      <c r="K399" s="39" t="n">
        <f aca="false">(('Business Case'!E11*$C399*'Business Case'!E12*$B399)-'Business Case'!E11*$C399*'Business Case'!E13*$D399-'Business Case'!E14*$E399)-MAX(0,(('Business Case'!E11*$C399*'Business Case'!E12*$B399)-'Business Case'!E11*$C399*'Business Case'!E13*$D399-'Business Case'!E14*$E399))*'Business Case'!$B$7-'Business Case'!$B$8*(('Business Case'!E11*$C399*'Business Case'!E12*$B399)-('Business Case'!D11*$C399*'Business Case'!D12*$B399))-'Business Case'!E15*$F399</f>
        <v>706602735.254135</v>
      </c>
      <c r="L399" s="39" t="n">
        <f aca="false">(('Business Case'!F11*$C399*'Business Case'!F12*$B399)-'Business Case'!F11*$C399*'Business Case'!F13*$D399-'Business Case'!F14*$E399)-MAX(0,(('Business Case'!F11*$C399*'Business Case'!F12*$B399)-'Business Case'!F11*$C399*'Business Case'!F13*$D399-'Business Case'!F14*$E399))*'Business Case'!$B$7-'Business Case'!$B$8*(('Business Case'!F11*$C399*'Business Case'!F12*$B399)-('Business Case'!E11*$C399*'Business Case'!E12*$B399))-'Business Case'!F15*$F399</f>
        <v>846733368.149651</v>
      </c>
      <c r="M399" s="39" t="n">
        <f aca="false">(('Business Case'!G11*$C399*'Business Case'!G12*$B399)-'Business Case'!G11*$C399*'Business Case'!G13*$D399-'Business Case'!G14*$E399)-MAX(0,(('Business Case'!G11*$C399*'Business Case'!G12*$B399)-'Business Case'!G11*$C399*'Business Case'!G13*$D399-'Business Case'!G14*$E399))*'Business Case'!$B$7-'Business Case'!$B$8*(('Business Case'!G11*$C399*'Business Case'!G12*$B399)-('Business Case'!F11*$C399*'Business Case'!F12*$B399))-'Business Case'!G15*$F399+'Business Case'!$B$8*('Business Case'!G11*$C399*'Business Case'!G12*$B399)</f>
        <v>1037859935.78028</v>
      </c>
      <c r="N399" s="39" t="n">
        <f aca="false">IF(COUNT('Business Case'!B11:G11)=0,"",H399+NPV(G399,I399:M399))</f>
        <v>90931166.1829</v>
      </c>
      <c r="P399" s="40" t="n">
        <f aca="true">RAND()</f>
        <v>0.716585849559639</v>
      </c>
      <c r="Q399" s="40" t="n">
        <f aca="true">RAND()</f>
        <v>0.584931620896953</v>
      </c>
      <c r="R399" s="40" t="n">
        <f aca="true">RAND()</f>
        <v>0.232736060783471</v>
      </c>
      <c r="S399" s="40" t="n">
        <f aca="true">RAND()</f>
        <v>0.146918077993572</v>
      </c>
      <c r="T399" s="40" t="n">
        <f aca="true">RAND()</f>
        <v>0.181975445198107</v>
      </c>
      <c r="U399" s="40" t="n">
        <f aca="true">RAND()</f>
        <v>0.116185732217083</v>
      </c>
    </row>
    <row r="400" customFormat="false" ht="15" hidden="false" customHeight="false" outlineLevel="0" collapsed="false">
      <c r="A400" s="36" t="n">
        <v>320</v>
      </c>
      <c r="B400" s="37" t="n">
        <f aca="false">1+IF($G$6=$E$6,$F$6,IF(P400&lt;($F$6-$E$6)/($G$6-$E$6),$E$6+SQRT(P400*($G$6-$E$6)*($F$6-$E$6)),$G$6-SQRT((1-P400)*($G$6-$E$6)*($G$6-$F$6))))</f>
        <v>0.963226528783429</v>
      </c>
      <c r="C400" s="37" t="n">
        <f aca="false">1+IF($G$7=$E$7,$F$7,IF(Q400&lt;($F$7-$E$7)/($G$7-$E$7),$E$7+SQRT(Q400*($G$7-$E$7)*($F$7-$E$7)),$G$7-SQRT((1-Q400)*($G$7-$E$7)*($G$7-$F$7))))</f>
        <v>0.933638783006284</v>
      </c>
      <c r="D400" s="37" t="n">
        <f aca="false">1+IF($G$8=$E$8,$F$8,IF(R400&lt;($F$8-$E$8)/($G$8-$E$8),$E$8+SQRT(R400*($G$8-$E$8)*($F$8-$E$8)),$G$8-SQRT((1-R400)*($G$8-$E$8)*($G$8-$F$8))))</f>
        <v>1.0042409362808</v>
      </c>
      <c r="E400" s="37" t="n">
        <f aca="false">1+IF($G$9=$E$9,$F$9,IF(S400&lt;($F$9-$E$9)/($G$9-$E$9),$E$9+SQRT(S400*($G$9-$E$9)*($F$9-$E$9)),$G$9-SQRT((1-S400)*($G$9-$E$9)*($G$9-$F$9))))</f>
        <v>1.01451661545804</v>
      </c>
      <c r="F400" s="37" t="n">
        <f aca="false">1+IF($G$10=$E$10,$F$10,IF(T400&lt;($F$10-$E$10)/($G$10-$E$10),$E$10+SQRT(T400*($G$10-$E$10)*($F$10-$E$10)),$G$10-SQRT((1-T400)*($G$10-$E$10)*($G$10-$F$10))))</f>
        <v>1.03996969243024</v>
      </c>
      <c r="G400" s="38" t="n">
        <f aca="false">IF($G$11=$E$11,$F$11,IF(U400&lt;($F$11-$E$11)/($G$11-$E$11),$E$11+SQRT(U400*($G$11-$E$11)*($F$11-$E$11)),$G$11-SQRT((1-U400)*($G$11-$E$11)*($G$11-$F$11))))</f>
        <v>0.105757250383678</v>
      </c>
      <c r="H400" s="39" t="n">
        <f aca="false">(('Business Case'!B11*$C400*'Business Case'!B12*$B400)-'Business Case'!B11*$C400*'Business Case'!B13*$D400-'Business Case'!B14*$E400)-MAX(0,(('Business Case'!B11*$C400*'Business Case'!B12*$B400)-'Business Case'!B11*$C400*'Business Case'!B13*$D400-'Business Case'!B14*$E400))*'Business Case'!$B$7-'Business Case'!$B$8*('Business Case'!B11*$C400*'Business Case'!B12*$B400)-'Business Case'!B15*$F400</f>
        <v>-2079939384.86048</v>
      </c>
      <c r="I400" s="39" t="n">
        <f aca="false">(('Business Case'!C11*$C400*'Business Case'!C12*$B400)-'Business Case'!C11*$C400*'Business Case'!C13*$D400-'Business Case'!C14*$E400)-MAX(0,(('Business Case'!C11*$C400*'Business Case'!C12*$B400)-'Business Case'!C11*$C400*'Business Case'!C13*$D400-'Business Case'!C14*$E400))*'Business Case'!$B$7-'Business Case'!$B$8*(('Business Case'!C11*$C400*'Business Case'!C12*$B400)-('Business Case'!B11*$C400*'Business Case'!B12*$B400))-'Business Case'!C15*$F400</f>
        <v>-38260478.3940395</v>
      </c>
      <c r="J400" s="39" t="n">
        <f aca="false">(('Business Case'!D11*$C400*'Business Case'!D12*$B400)-'Business Case'!D11*$C400*'Business Case'!D13*$D400-'Business Case'!D14*$E400)-MAX(0,(('Business Case'!D11*$C400*'Business Case'!D12*$B400)-'Business Case'!D11*$C400*'Business Case'!D13*$D400-'Business Case'!D14*$E400))*'Business Case'!$B$7-'Business Case'!$B$8*(('Business Case'!D11*$C400*'Business Case'!D12*$B400)-('Business Case'!C11*$C400*'Business Case'!C12*$B400))-'Business Case'!D15*$F400</f>
        <v>218360279.762845</v>
      </c>
      <c r="K400" s="39" t="n">
        <f aca="false">(('Business Case'!E11*$C400*'Business Case'!E12*$B400)-'Business Case'!E11*$C400*'Business Case'!E13*$D400-'Business Case'!E14*$E400)-MAX(0,(('Business Case'!E11*$C400*'Business Case'!E12*$B400)-'Business Case'!E11*$C400*'Business Case'!E13*$D400-'Business Case'!E14*$E400))*'Business Case'!$B$7-'Business Case'!$B$8*(('Business Case'!E11*$C400*'Business Case'!E12*$B400)-('Business Case'!D11*$C400*'Business Case'!D12*$B400))-'Business Case'!E15*$F400</f>
        <v>526979522.541243</v>
      </c>
      <c r="L400" s="39" t="n">
        <f aca="false">(('Business Case'!F11*$C400*'Business Case'!F12*$B400)-'Business Case'!F11*$C400*'Business Case'!F13*$D400-'Business Case'!F14*$E400)-MAX(0,(('Business Case'!F11*$C400*'Business Case'!F12*$B400)-'Business Case'!F11*$C400*'Business Case'!F13*$D400-'Business Case'!F14*$E400))*'Business Case'!$B$7-'Business Case'!$B$8*(('Business Case'!F11*$C400*'Business Case'!F12*$B400)-('Business Case'!E11*$C400*'Business Case'!E12*$B400))-'Business Case'!F15*$F400</f>
        <v>643599778.320049</v>
      </c>
      <c r="M400" s="39" t="n">
        <f aca="false">(('Business Case'!G11*$C400*'Business Case'!G12*$B400)-'Business Case'!G11*$C400*'Business Case'!G13*$D400-'Business Case'!G14*$E400)-MAX(0,(('Business Case'!G11*$C400*'Business Case'!G12*$B400)-'Business Case'!G11*$C400*'Business Case'!G13*$D400-'Business Case'!G14*$E400))*'Business Case'!$B$7-'Business Case'!$B$8*(('Business Case'!G11*$C400*'Business Case'!G12*$B400)-('Business Case'!F11*$C400*'Business Case'!F12*$B400))-'Business Case'!G15*$F400+'Business Case'!$B$8*('Business Case'!G11*$C400*'Business Case'!G12*$B400)</f>
        <v>814539795.149195</v>
      </c>
      <c r="N400" s="39" t="n">
        <f aca="false">IF(COUNT('Business Case'!B11:G11)=0,"",H400+NPV(G400,I400:M400))</f>
        <v>-622938053.878923</v>
      </c>
      <c r="P400" s="40" t="n">
        <f aca="true">RAND()</f>
        <v>0.194638832360896</v>
      </c>
      <c r="Q400" s="40" t="n">
        <f aca="true">RAND()</f>
        <v>0.25513320462001</v>
      </c>
      <c r="R400" s="40" t="n">
        <f aca="true">RAND()</f>
        <v>0.448131179268328</v>
      </c>
      <c r="S400" s="40" t="n">
        <f aca="true">RAND()</f>
        <v>0.512839397816756</v>
      </c>
      <c r="T400" s="40" t="n">
        <f aca="true">RAND()</f>
        <v>0.487806013182561</v>
      </c>
      <c r="U400" s="40" t="n">
        <f aca="true">RAND()</f>
        <v>0.661906805611261</v>
      </c>
    </row>
    <row r="401" customFormat="false" ht="15" hidden="false" customHeight="false" outlineLevel="0" collapsed="false">
      <c r="A401" s="36" t="n">
        <v>321</v>
      </c>
      <c r="B401" s="37" t="n">
        <f aca="false">1+IF($G$6=$E$6,$F$6,IF(P401&lt;($F$6-$E$6)/($G$6-$E$6),$E$6+SQRT(P401*($G$6-$E$6)*($F$6-$E$6)),$G$6-SQRT((1-P401)*($G$6-$E$6)*($G$6-$F$6))))</f>
        <v>0.966909388194843</v>
      </c>
      <c r="C401" s="37" t="n">
        <f aca="false">1+IF($G$7=$E$7,$F$7,IF(Q401&lt;($F$7-$E$7)/($G$7-$E$7),$E$7+SQRT(Q401*($G$7-$E$7)*($F$7-$E$7)),$G$7-SQRT((1-Q401)*($G$7-$E$7)*($G$7-$F$7))))</f>
        <v>0.993892857432451</v>
      </c>
      <c r="D401" s="37" t="n">
        <f aca="false">1+IF($G$8=$E$8,$F$8,IF(R401&lt;($F$8-$E$8)/($G$8-$E$8),$E$8+SQRT(R401*($G$8-$E$8)*($F$8-$E$8)),$G$8-SQRT((1-R401)*($G$8-$E$8)*($G$8-$F$8))))</f>
        <v>1.03534443251684</v>
      </c>
      <c r="E401" s="37" t="n">
        <f aca="false">1+IF($G$9=$E$9,$F$9,IF(S401&lt;($F$9-$E$9)/($G$9-$E$9),$E$9+SQRT(S401*($G$9-$E$9)*($F$9-$E$9)),$G$9-SQRT((1-S401)*($G$9-$E$9)*($G$9-$F$9))))</f>
        <v>0.974396631551479</v>
      </c>
      <c r="F401" s="37" t="n">
        <f aca="false">1+IF($G$10=$E$10,$F$10,IF(T401&lt;($F$10-$E$10)/($G$10-$E$10),$E$10+SQRT(T401*($G$10-$E$10)*($F$10-$E$10)),$G$10-SQRT((1-T401)*($G$10-$E$10)*($G$10-$F$10))))</f>
        <v>0.978709378765709</v>
      </c>
      <c r="G401" s="38" t="n">
        <f aca="false">IF($G$11=$E$11,$F$11,IF(U401&lt;($F$11-$E$11)/($G$11-$E$11),$E$11+SQRT(U401*($G$11-$E$11)*($F$11-$E$11)),$G$11-SQRT((1-U401)*($G$11-$E$11)*($G$11-$F$11))))</f>
        <v>0.107137296974159</v>
      </c>
      <c r="H401" s="39" t="n">
        <f aca="false">(('Business Case'!B11*$C401*'Business Case'!B12*$B401)-'Business Case'!B11*$C401*'Business Case'!B13*$D401-'Business Case'!B14*$E401)-MAX(0,(('Business Case'!B11*$C401*'Business Case'!B12*$B401)-'Business Case'!B11*$C401*'Business Case'!B13*$D401-'Business Case'!B14*$E401))*'Business Case'!$B$7-'Business Case'!$B$8*('Business Case'!B11*$C401*'Business Case'!B12*$B401)-'Business Case'!B15*$F401</f>
        <v>-1957418757.53142</v>
      </c>
      <c r="I401" s="39" t="n">
        <f aca="false">(('Business Case'!C11*$C401*'Business Case'!C12*$B401)-'Business Case'!C11*$C401*'Business Case'!C13*$D401-'Business Case'!C14*$E401)-MAX(0,(('Business Case'!C11*$C401*'Business Case'!C12*$B401)-'Business Case'!C11*$C401*'Business Case'!C13*$D401-'Business Case'!C14*$E401))*'Business Case'!$B$7-'Business Case'!$B$8*(('Business Case'!C11*$C401*'Business Case'!C12*$B401)-('Business Case'!B11*$C401*'Business Case'!B12*$B401))-'Business Case'!C15*$F401</f>
        <v>-25893514.9071076</v>
      </c>
      <c r="J401" s="39" t="n">
        <f aca="false">(('Business Case'!D11*$C401*'Business Case'!D12*$B401)-'Business Case'!D11*$C401*'Business Case'!D13*$D401-'Business Case'!D14*$E401)-MAX(0,(('Business Case'!D11*$C401*'Business Case'!D12*$B401)-'Business Case'!D11*$C401*'Business Case'!D13*$D401-'Business Case'!D14*$E401))*'Business Case'!$B$7-'Business Case'!$B$8*(('Business Case'!D11*$C401*'Business Case'!D12*$B401)-('Business Case'!C11*$C401*'Business Case'!C12*$B401))-'Business Case'!D15*$F401</f>
        <v>234461573.780406</v>
      </c>
      <c r="K401" s="39" t="n">
        <f aca="false">(('Business Case'!E11*$C401*'Business Case'!E12*$B401)-'Business Case'!E11*$C401*'Business Case'!E13*$D401-'Business Case'!E14*$E401)-MAX(0,(('Business Case'!E11*$C401*'Business Case'!E12*$B401)-'Business Case'!E11*$C401*'Business Case'!E13*$D401-'Business Case'!E14*$E401))*'Business Case'!$B$7-'Business Case'!$B$8*(('Business Case'!E11*$C401*'Business Case'!E12*$B401)-('Business Case'!D11*$C401*'Business Case'!D12*$B401))-'Business Case'!E15*$F401</f>
        <v>543752131.406206</v>
      </c>
      <c r="L401" s="39" t="n">
        <f aca="false">(('Business Case'!F11*$C401*'Business Case'!F12*$B401)-'Business Case'!F11*$C401*'Business Case'!F13*$D401-'Business Case'!F14*$E401)-MAX(0,(('Business Case'!F11*$C401*'Business Case'!F12*$B401)-'Business Case'!F11*$C401*'Business Case'!F13*$D401-'Business Case'!F14*$E401))*'Business Case'!$B$7-'Business Case'!$B$8*(('Business Case'!F11*$C401*'Business Case'!F12*$B401)-('Business Case'!E11*$C401*'Business Case'!E12*$B401))-'Business Case'!F15*$F401</f>
        <v>663749470.776331</v>
      </c>
      <c r="M401" s="39" t="n">
        <f aca="false">(('Business Case'!G11*$C401*'Business Case'!G12*$B401)-'Business Case'!G11*$C401*'Business Case'!G13*$D401-'Business Case'!G14*$E401)-MAX(0,(('Business Case'!G11*$C401*'Business Case'!G12*$B401)-'Business Case'!G11*$C401*'Business Case'!G13*$D401-'Business Case'!G14*$E401))*'Business Case'!$B$7-'Business Case'!$B$8*(('Business Case'!G11*$C401*'Business Case'!G12*$B401)-('Business Case'!F11*$C401*'Business Case'!F12*$B401))-'Business Case'!G15*$F401+'Business Case'!$B$8*('Business Case'!G11*$C401*'Business Case'!G12*$B401)</f>
        <v>846417174.718243</v>
      </c>
      <c r="N401" s="39" t="n">
        <f aca="false">IF(COUNT('Business Case'!B11:G11)=0,"",H401+NPV(G401,I401:M401))</f>
        <v>-438240814.37589</v>
      </c>
      <c r="P401" s="40" t="n">
        <f aca="true">RAND()</f>
        <v>0.229217781334846</v>
      </c>
      <c r="Q401" s="40" t="n">
        <f aca="true">RAND()</f>
        <v>0.537063430904582</v>
      </c>
      <c r="R401" s="40" t="n">
        <f aca="true">RAND()</f>
        <v>0.808257720457433</v>
      </c>
      <c r="S401" s="40" t="n">
        <f aca="true">RAND()</f>
        <v>0.0793594174744805</v>
      </c>
      <c r="T401" s="40" t="n">
        <f aca="true">RAND()</f>
        <v>0.0659382743290355</v>
      </c>
      <c r="U401" s="40" t="n">
        <f aca="true">RAND()</f>
        <v>0.724251451448356</v>
      </c>
    </row>
    <row r="402" customFormat="false" ht="15" hidden="false" customHeight="false" outlineLevel="0" collapsed="false">
      <c r="A402" s="36" t="n">
        <v>322</v>
      </c>
      <c r="B402" s="37" t="n">
        <f aca="false">1+IF($G$6=$E$6,$F$6,IF(P402&lt;($F$6-$E$6)/($G$6-$E$6),$E$6+SQRT(P402*($G$6-$E$6)*($F$6-$E$6)),$G$6-SQRT((1-P402)*($G$6-$E$6)*($G$6-$F$6))))</f>
        <v>0.983526987625231</v>
      </c>
      <c r="C402" s="37" t="n">
        <f aca="false">1+IF($G$7=$E$7,$F$7,IF(Q402&lt;($F$7-$E$7)/($G$7-$E$7),$E$7+SQRT(Q402*($G$7-$E$7)*($F$7-$E$7)),$G$7-SQRT((1-Q402)*($G$7-$E$7)*($G$7-$F$7))))</f>
        <v>0.847256745729201</v>
      </c>
      <c r="D402" s="37" t="n">
        <f aca="false">1+IF($G$8=$E$8,$F$8,IF(R402&lt;($F$8-$E$8)/($G$8-$E$8),$E$8+SQRT(R402*($G$8-$E$8)*($F$8-$E$8)),$G$8-SQRT((1-R402)*($G$8-$E$8)*($G$8-$F$8))))</f>
        <v>0.978519361343491</v>
      </c>
      <c r="E402" s="37" t="n">
        <f aca="false">1+IF($G$9=$E$9,$F$9,IF(S402&lt;($F$9-$E$9)/($G$9-$E$9),$E$9+SQRT(S402*($G$9-$E$9)*($F$9-$E$9)),$G$9-SQRT((1-S402)*($G$9-$E$9)*($G$9-$F$9))))</f>
        <v>1.06735726910974</v>
      </c>
      <c r="F402" s="37" t="n">
        <f aca="false">1+IF($G$10=$E$10,$F$10,IF(T402&lt;($F$10-$E$10)/($G$10-$E$10),$E$10+SQRT(T402*($G$10-$E$10)*($F$10-$E$10)),$G$10-SQRT((1-T402)*($G$10-$E$10)*($G$10-$F$10))))</f>
        <v>1.02686908031328</v>
      </c>
      <c r="G402" s="38" t="n">
        <f aca="false">IF($G$11=$E$11,$F$11,IF(U402&lt;($F$11-$E$11)/($G$11-$E$11),$E$11+SQRT(U402*($G$11-$E$11)*($F$11-$E$11)),$G$11-SQRT((1-U402)*($G$11-$E$11)*($G$11-$F$11))))</f>
        <v>0.0938420273553412</v>
      </c>
      <c r="H402" s="39" t="n">
        <f aca="false">(('Business Case'!B11*$C402*'Business Case'!B12*$B402)-'Business Case'!B11*$C402*'Business Case'!B13*$D402-'Business Case'!B14*$E402)-MAX(0,(('Business Case'!B11*$C402*'Business Case'!B12*$B402)-'Business Case'!B11*$C402*'Business Case'!B13*$D402-'Business Case'!B14*$E402))*'Business Case'!$B$7-'Business Case'!$B$8*('Business Case'!B11*$C402*'Business Case'!B12*$B402)-'Business Case'!B15*$F402</f>
        <v>-2053738160.62656</v>
      </c>
      <c r="I402" s="39" t="n">
        <f aca="false">(('Business Case'!C11*$C402*'Business Case'!C12*$B402)-'Business Case'!C11*$C402*'Business Case'!C13*$D402-'Business Case'!C14*$E402)-MAX(0,(('Business Case'!C11*$C402*'Business Case'!C12*$B402)-'Business Case'!C11*$C402*'Business Case'!C13*$D402-'Business Case'!C14*$E402))*'Business Case'!$B$7-'Business Case'!$B$8*(('Business Case'!C11*$C402*'Business Case'!C12*$B402)-('Business Case'!B11*$C402*'Business Case'!B12*$B402))-'Business Case'!C15*$F402</f>
        <v>-39541707.949559</v>
      </c>
      <c r="J402" s="39" t="n">
        <f aca="false">(('Business Case'!D11*$C402*'Business Case'!D12*$B402)-'Business Case'!D11*$C402*'Business Case'!D13*$D402-'Business Case'!D14*$E402)-MAX(0,(('Business Case'!D11*$C402*'Business Case'!D12*$B402)-'Business Case'!D11*$C402*'Business Case'!D13*$D402-'Business Case'!D14*$E402))*'Business Case'!$B$7-'Business Case'!$B$8*(('Business Case'!D11*$C402*'Business Case'!D12*$B402)-('Business Case'!C11*$C402*'Business Case'!C12*$B402))-'Business Case'!D15*$F402</f>
        <v>218579961.312989</v>
      </c>
      <c r="K402" s="39" t="n">
        <f aca="false">(('Business Case'!E11*$C402*'Business Case'!E12*$B402)-'Business Case'!E11*$C402*'Business Case'!E13*$D402-'Business Case'!E14*$E402)-MAX(0,(('Business Case'!E11*$C402*'Business Case'!E12*$B402)-'Business Case'!E11*$C402*'Business Case'!E13*$D402-'Business Case'!E14*$E402))*'Business Case'!$B$7-'Business Case'!$B$8*(('Business Case'!E11*$C402*'Business Case'!E12*$B402)-('Business Case'!D11*$C402*'Business Case'!D12*$B402))-'Business Case'!E15*$F402</f>
        <v>528045084.591202</v>
      </c>
      <c r="L402" s="39" t="n">
        <f aca="false">(('Business Case'!F11*$C402*'Business Case'!F12*$B402)-'Business Case'!F11*$C402*'Business Case'!F13*$D402-'Business Case'!F14*$E402)-MAX(0,(('Business Case'!F11*$C402*'Business Case'!F12*$B402)-'Business Case'!F11*$C402*'Business Case'!F13*$D402-'Business Case'!F14*$E402))*'Business Case'!$B$7-'Business Case'!$B$8*(('Business Case'!F11*$C402*'Business Case'!F12*$B402)-('Business Case'!E11*$C402*'Business Case'!E12*$B402))-'Business Case'!F15*$F402</f>
        <v>642884484.687635</v>
      </c>
      <c r="M402" s="39" t="n">
        <f aca="false">(('Business Case'!G11*$C402*'Business Case'!G12*$B402)-'Business Case'!G11*$C402*'Business Case'!G13*$D402-'Business Case'!G14*$E402)-MAX(0,(('Business Case'!G11*$C402*'Business Case'!G12*$B402)-'Business Case'!G11*$C402*'Business Case'!G13*$D402-'Business Case'!G14*$E402))*'Business Case'!$B$7-'Business Case'!$B$8*(('Business Case'!G11*$C402*'Business Case'!G12*$B402)-('Business Case'!F11*$C402*'Business Case'!F12*$B402))-'Business Case'!G15*$F402+'Business Case'!$B$8*('Business Case'!G11*$C402*'Business Case'!G12*$B402)</f>
        <v>801278124.903342</v>
      </c>
      <c r="N402" s="39" t="n">
        <f aca="false">IF(COUNT('Business Case'!B11:G11)=0,"",H402+NPV(G402,I402:M402))</f>
        <v>-542972633.015165</v>
      </c>
      <c r="P402" s="40" t="n">
        <f aca="true">RAND()</f>
        <v>0.420383141326692</v>
      </c>
      <c r="Q402" s="40" t="n">
        <f aca="true">RAND()</f>
        <v>0.0319028573844907</v>
      </c>
      <c r="R402" s="40" t="n">
        <f aca="true">RAND()</f>
        <v>0.125131380221629</v>
      </c>
      <c r="S402" s="40" t="n">
        <f aca="true">RAND()</f>
        <v>0.928963474668393</v>
      </c>
      <c r="T402" s="40" t="n">
        <f aca="true">RAND()</f>
        <v>0.400513692968615</v>
      </c>
      <c r="U402" s="40" t="n">
        <f aca="true">RAND()</f>
        <v>0.0492039139973005</v>
      </c>
    </row>
    <row r="403" customFormat="false" ht="15" hidden="false" customHeight="false" outlineLevel="0" collapsed="false">
      <c r="A403" s="36" t="n">
        <v>323</v>
      </c>
      <c r="B403" s="37" t="n">
        <f aca="false">1+IF($G$6=$E$6,$F$6,IF(P403&lt;($F$6-$E$6)/($G$6-$E$6),$E$6+SQRT(P403*($G$6-$E$6)*($F$6-$E$6)),$G$6-SQRT((1-P403)*($G$6-$E$6)*($G$6-$F$6))))</f>
        <v>1.02337931391172</v>
      </c>
      <c r="C403" s="37" t="n">
        <f aca="false">1+IF($G$7=$E$7,$F$7,IF(Q403&lt;($F$7-$E$7)/($G$7-$E$7),$E$7+SQRT(Q403*($G$7-$E$7)*($F$7-$E$7)),$G$7-SQRT((1-Q403)*($G$7-$E$7)*($G$7-$F$7))))</f>
        <v>0.851081950469716</v>
      </c>
      <c r="D403" s="37" t="n">
        <f aca="false">1+IF($G$8=$E$8,$F$8,IF(R403&lt;($F$8-$E$8)/($G$8-$E$8),$E$8+SQRT(R403*($G$8-$E$8)*($F$8-$E$8)),$G$8-SQRT((1-R403)*($G$8-$E$8)*($G$8-$F$8))))</f>
        <v>1.03885734100119</v>
      </c>
      <c r="E403" s="37" t="n">
        <f aca="false">1+IF($G$9=$E$9,$F$9,IF(S403&lt;($F$9-$E$9)/($G$9-$E$9),$E$9+SQRT(S403*($G$9-$E$9)*($F$9-$E$9)),$G$9-SQRT((1-S403)*($G$9-$E$9)*($G$9-$F$9))))</f>
        <v>1.00063752567883</v>
      </c>
      <c r="F403" s="37" t="n">
        <f aca="false">1+IF($G$10=$E$10,$F$10,IF(T403&lt;($F$10-$E$10)/($G$10-$E$10),$E$10+SQRT(T403*($G$10-$E$10)*($F$10-$E$10)),$G$10-SQRT((1-T403)*($G$10-$E$10)*($G$10-$F$10))))</f>
        <v>1.06688793306754</v>
      </c>
      <c r="G403" s="38" t="n">
        <f aca="false">IF($G$11=$E$11,$F$11,IF(U403&lt;($F$11-$E$11)/($G$11-$E$11),$E$11+SQRT(U403*($G$11-$E$11)*($F$11-$E$11)),$G$11-SQRT((1-U403)*($G$11-$E$11)*($G$11-$F$11))))</f>
        <v>0.105091369944196</v>
      </c>
      <c r="H403" s="39" t="n">
        <f aca="false">(('Business Case'!B11*$C403*'Business Case'!B12*$B403)-'Business Case'!B11*$C403*'Business Case'!B13*$D403-'Business Case'!B14*$E403)-MAX(0,(('Business Case'!B11*$C403*'Business Case'!B12*$B403)-'Business Case'!B11*$C403*'Business Case'!B13*$D403-'Business Case'!B14*$E403))*'Business Case'!$B$7-'Business Case'!$B$8*('Business Case'!B11*$C403*'Business Case'!B12*$B403)-'Business Case'!B15*$F403</f>
        <v>-2133775866.13508</v>
      </c>
      <c r="I403" s="39" t="n">
        <f aca="false">(('Business Case'!C11*$C403*'Business Case'!C12*$B403)-'Business Case'!C11*$C403*'Business Case'!C13*$D403-'Business Case'!C14*$E403)-MAX(0,(('Business Case'!C11*$C403*'Business Case'!C12*$B403)-'Business Case'!C11*$C403*'Business Case'!C13*$D403-'Business Case'!C14*$E403))*'Business Case'!$B$7-'Business Case'!$B$8*(('Business Case'!C11*$C403*'Business Case'!C12*$B403)-('Business Case'!B11*$C403*'Business Case'!B12*$B403))-'Business Case'!C15*$F403</f>
        <v>-33351447.5828309</v>
      </c>
      <c r="J403" s="39" t="n">
        <f aca="false">(('Business Case'!D11*$C403*'Business Case'!D12*$B403)-'Business Case'!D11*$C403*'Business Case'!D13*$D403-'Business Case'!D14*$E403)-MAX(0,(('Business Case'!D11*$C403*'Business Case'!D12*$B403)-'Business Case'!D11*$C403*'Business Case'!D13*$D403-'Business Case'!D14*$E403))*'Business Case'!$B$7-'Business Case'!$B$8*(('Business Case'!D11*$C403*'Business Case'!D12*$B403)-('Business Case'!C11*$C403*'Business Case'!C12*$B403))-'Business Case'!D15*$F403</f>
        <v>227428139.999439</v>
      </c>
      <c r="K403" s="39" t="n">
        <f aca="false">(('Business Case'!E11*$C403*'Business Case'!E12*$B403)-'Business Case'!E11*$C403*'Business Case'!E13*$D403-'Business Case'!E14*$E403)-MAX(0,(('Business Case'!E11*$C403*'Business Case'!E12*$B403)-'Business Case'!E11*$C403*'Business Case'!E13*$D403-'Business Case'!E14*$E403))*'Business Case'!$B$7-'Business Case'!$B$8*(('Business Case'!E11*$C403*'Business Case'!E12*$B403)-('Business Case'!D11*$C403*'Business Case'!D12*$B403))-'Business Case'!E15*$F403</f>
        <v>541552124.235087</v>
      </c>
      <c r="L403" s="39" t="n">
        <f aca="false">(('Business Case'!F11*$C403*'Business Case'!F12*$B403)-'Business Case'!F11*$C403*'Business Case'!F13*$D403-'Business Case'!F14*$E403)-MAX(0,(('Business Case'!F11*$C403*'Business Case'!F12*$B403)-'Business Case'!F11*$C403*'Business Case'!F13*$D403-'Business Case'!F14*$E403))*'Business Case'!$B$7-'Business Case'!$B$8*(('Business Case'!F11*$C403*'Business Case'!F12*$B403)-('Business Case'!E11*$C403*'Business Case'!E12*$B403))-'Business Case'!F15*$F403</f>
        <v>658579710.567055</v>
      </c>
      <c r="M403" s="39" t="n">
        <f aca="false">(('Business Case'!G11*$C403*'Business Case'!G12*$B403)-'Business Case'!G11*$C403*'Business Case'!G13*$D403-'Business Case'!G14*$E403)-MAX(0,(('Business Case'!G11*$C403*'Business Case'!G12*$B403)-'Business Case'!G11*$C403*'Business Case'!G13*$D403-'Business Case'!G14*$E403))*'Business Case'!$B$7-'Business Case'!$B$8*(('Business Case'!G11*$C403*'Business Case'!G12*$B403)-('Business Case'!F11*$C403*'Business Case'!F12*$B403))-'Business Case'!G15*$F403+'Business Case'!$B$8*('Business Case'!G11*$C403*'Business Case'!G12*$B403)</f>
        <v>824135524.825386</v>
      </c>
      <c r="N403" s="39" t="n">
        <f aca="false">IF(COUNT('Business Case'!B11:G11)=0,"",H403+NPV(G403,I403:M403))</f>
        <v>-634818426.288436</v>
      </c>
      <c r="P403" s="40" t="n">
        <f aca="true">RAND()</f>
        <v>0.94244849874061</v>
      </c>
      <c r="Q403" s="40" t="n">
        <f aca="true">RAND()</f>
        <v>0.0372766523398645</v>
      </c>
      <c r="R403" s="40" t="n">
        <f aca="true">RAND()</f>
        <v>0.837238616394988</v>
      </c>
      <c r="S403" s="40" t="n">
        <f aca="true">RAND()</f>
        <v>0.341806579785025</v>
      </c>
      <c r="T403" s="40" t="n">
        <f aca="true">RAND()</f>
        <v>0.645623552739356</v>
      </c>
      <c r="U403" s="40" t="n">
        <f aca="true">RAND()</f>
        <v>0.629554583098607</v>
      </c>
    </row>
    <row r="404" customFormat="false" ht="15" hidden="false" customHeight="false" outlineLevel="0" collapsed="false">
      <c r="A404" s="36" t="n">
        <v>324</v>
      </c>
      <c r="B404" s="37" t="n">
        <f aca="false">1+IF($G$6=$E$6,$F$6,IF(P404&lt;($F$6-$E$6)/($G$6-$E$6),$E$6+SQRT(P404*($G$6-$E$6)*($F$6-$E$6)),$G$6-SQRT((1-P404)*($G$6-$E$6)*($G$6-$F$6))))</f>
        <v>1.01123013861773</v>
      </c>
      <c r="C404" s="37" t="n">
        <f aca="false">1+IF($G$7=$E$7,$F$7,IF(Q404&lt;($F$7-$E$7)/($G$7-$E$7),$E$7+SQRT(Q404*($G$7-$E$7)*($F$7-$E$7)),$G$7-SQRT((1-Q404)*($G$7-$E$7)*($G$7-$F$7))))</f>
        <v>0.967037495303218</v>
      </c>
      <c r="D404" s="37" t="n">
        <f aca="false">1+IF($G$8=$E$8,$F$8,IF(R404&lt;($F$8-$E$8)/($G$8-$E$8),$E$8+SQRT(R404*($G$8-$E$8)*($F$8-$E$8)),$G$8-SQRT((1-R404)*($G$8-$E$8)*($G$8-$F$8))))</f>
        <v>1.01996972439387</v>
      </c>
      <c r="E404" s="37" t="n">
        <f aca="false">1+IF($G$9=$E$9,$F$9,IF(S404&lt;($F$9-$E$9)/($G$9-$E$9),$E$9+SQRT(S404*($G$9-$E$9)*($F$9-$E$9)),$G$9-SQRT((1-S404)*($G$9-$E$9)*($G$9-$F$9))))</f>
        <v>0.991535575561777</v>
      </c>
      <c r="F404" s="37" t="n">
        <f aca="false">1+IF($G$10=$E$10,$F$10,IF(T404&lt;($F$10-$E$10)/($G$10-$E$10),$E$10+SQRT(T404*($G$10-$E$10)*($F$10-$E$10)),$G$10-SQRT((1-T404)*($G$10-$E$10)*($G$10-$F$10))))</f>
        <v>1.03626374039989</v>
      </c>
      <c r="G404" s="38" t="n">
        <f aca="false">IF($G$11=$E$11,$F$11,IF(U404&lt;($F$11-$E$11)/($G$11-$E$11),$E$11+SQRT(U404*($G$11-$E$11)*($F$11-$E$11)),$G$11-SQRT((1-U404)*($G$11-$E$11)*($G$11-$F$11))))</f>
        <v>0.102634219299426</v>
      </c>
      <c r="H404" s="39" t="n">
        <f aca="false">(('Business Case'!B11*$C404*'Business Case'!B12*$B404)-'Business Case'!B11*$C404*'Business Case'!B13*$D404-'Business Case'!B14*$E404)-MAX(0,(('Business Case'!B11*$C404*'Business Case'!B12*$B404)-'Business Case'!B11*$C404*'Business Case'!B13*$D404-'Business Case'!B14*$E404))*'Business Case'!$B$7-'Business Case'!$B$8*('Business Case'!B11*$C404*'Business Case'!B12*$B404)-'Business Case'!B15*$F404</f>
        <v>-2072527480.79977</v>
      </c>
      <c r="I404" s="39" t="n">
        <f aca="false">(('Business Case'!C11*$C404*'Business Case'!C12*$B404)-'Business Case'!C11*$C404*'Business Case'!C13*$D404-'Business Case'!C14*$E404)-MAX(0,(('Business Case'!C11*$C404*'Business Case'!C12*$B404)-'Business Case'!C11*$C404*'Business Case'!C13*$D404-'Business Case'!C14*$E404))*'Business Case'!$B$7-'Business Case'!$B$8*(('Business Case'!C11*$C404*'Business Case'!C12*$B404)-('Business Case'!B11*$C404*'Business Case'!B12*$B404))-'Business Case'!C15*$F404</f>
        <v>719727.996331438</v>
      </c>
      <c r="J404" s="39" t="n">
        <f aca="false">(('Business Case'!D11*$C404*'Business Case'!D12*$B404)-'Business Case'!D11*$C404*'Business Case'!D13*$D404-'Business Case'!D14*$E404)-MAX(0,(('Business Case'!D11*$C404*'Business Case'!D12*$B404)-'Business Case'!D11*$C404*'Business Case'!D13*$D404-'Business Case'!D14*$E404))*'Business Case'!$B$7-'Business Case'!$B$8*(('Business Case'!D11*$C404*'Business Case'!D12*$B404)-('Business Case'!C11*$C404*'Business Case'!C12*$B404))-'Business Case'!D15*$F404</f>
        <v>296756393.225917</v>
      </c>
      <c r="K404" s="39" t="n">
        <f aca="false">(('Business Case'!E11*$C404*'Business Case'!E12*$B404)-'Business Case'!E11*$C404*'Business Case'!E13*$D404-'Business Case'!E14*$E404)-MAX(0,(('Business Case'!E11*$C404*'Business Case'!E12*$B404)-'Business Case'!E11*$C404*'Business Case'!E13*$D404-'Business Case'!E14*$E404))*'Business Case'!$B$7-'Business Case'!$B$8*(('Business Case'!E11*$C404*'Business Case'!E12*$B404)-('Business Case'!D11*$C404*'Business Case'!D12*$B404))-'Business Case'!E15*$F404</f>
        <v>644606245.475497</v>
      </c>
      <c r="L404" s="39" t="n">
        <f aca="false">(('Business Case'!F11*$C404*'Business Case'!F12*$B404)-'Business Case'!F11*$C404*'Business Case'!F13*$D404-'Business Case'!F14*$E404)-MAX(0,(('Business Case'!F11*$C404*'Business Case'!F12*$B404)-'Business Case'!F11*$C404*'Business Case'!F13*$D404-'Business Case'!F14*$E404))*'Business Case'!$B$7-'Business Case'!$B$8*(('Business Case'!F11*$C404*'Business Case'!F12*$B404)-('Business Case'!E11*$C404*'Business Case'!E12*$B404))-'Business Case'!F15*$F404</f>
        <v>777081270.117613</v>
      </c>
      <c r="M404" s="39" t="n">
        <f aca="false">(('Business Case'!G11*$C404*'Business Case'!G12*$B404)-'Business Case'!G11*$C404*'Business Case'!G13*$D404-'Business Case'!G14*$E404)-MAX(0,(('Business Case'!G11*$C404*'Business Case'!G12*$B404)-'Business Case'!G11*$C404*'Business Case'!G13*$D404-'Business Case'!G14*$E404))*'Business Case'!$B$7-'Business Case'!$B$8*(('Business Case'!G11*$C404*'Business Case'!G12*$B404)-('Business Case'!F11*$C404*'Business Case'!F12*$B404))-'Business Case'!G15*$F404+'Business Case'!$B$8*('Business Case'!G11*$C404*'Business Case'!G12*$B404)</f>
        <v>962960019.395009</v>
      </c>
      <c r="N404" s="39" t="n">
        <f aca="false">IF(COUNT('Business Case'!B11:G11)=0,"",H404+NPV(G404,I404:M404))</f>
        <v>-230435143.665478</v>
      </c>
      <c r="P404" s="40" t="n">
        <f aca="true">RAND()</f>
        <v>0.827561474176012</v>
      </c>
      <c r="Q404" s="40" t="n">
        <f aca="true">RAND()</f>
        <v>0.398593211959609</v>
      </c>
      <c r="R404" s="40" t="n">
        <f aca="true">RAND()</f>
        <v>0.653496731793487</v>
      </c>
      <c r="S404" s="40" t="n">
        <f aca="true">RAND()</f>
        <v>0.230027204966411</v>
      </c>
      <c r="T404" s="40" t="n">
        <f aca="true">RAND()</f>
        <v>0.463808745843291</v>
      </c>
      <c r="U404" s="40" t="n">
        <f aca="true">RAND()</f>
        <v>0.497382767765964</v>
      </c>
    </row>
    <row r="405" customFormat="false" ht="15" hidden="false" customHeight="false" outlineLevel="0" collapsed="false">
      <c r="A405" s="36" t="n">
        <v>325</v>
      </c>
      <c r="B405" s="37" t="n">
        <f aca="false">1+IF($G$6=$E$6,$F$6,IF(P405&lt;($F$6-$E$6)/($G$6-$E$6),$E$6+SQRT(P405*($G$6-$E$6)*($F$6-$E$6)),$G$6-SQRT((1-P405)*($G$6-$E$6)*($G$6-$F$6))))</f>
        <v>1.02887415845359</v>
      </c>
      <c r="C405" s="37" t="n">
        <f aca="false">1+IF($G$7=$E$7,$F$7,IF(Q405&lt;($F$7-$E$7)/($G$7-$E$7),$E$7+SQRT(Q405*($G$7-$E$7)*($F$7-$E$7)),$G$7-SQRT((1-Q405)*($G$7-$E$7)*($G$7-$F$7))))</f>
        <v>1.01280142000562</v>
      </c>
      <c r="D405" s="37" t="n">
        <f aca="false">1+IF($G$8=$E$8,$F$8,IF(R405&lt;($F$8-$E$8)/($G$8-$E$8),$E$8+SQRT(R405*($G$8-$E$8)*($F$8-$E$8)),$G$8-SQRT((1-R405)*($G$8-$E$8)*($G$8-$F$8))))</f>
        <v>1.00248958294852</v>
      </c>
      <c r="E405" s="37" t="n">
        <f aca="false">1+IF($G$9=$E$9,$F$9,IF(S405&lt;($F$9-$E$9)/($G$9-$E$9),$E$9+SQRT(S405*($G$9-$E$9)*($F$9-$E$9)),$G$9-SQRT((1-S405)*($G$9-$E$9)*($G$9-$F$9))))</f>
        <v>1.08021346496393</v>
      </c>
      <c r="F405" s="37" t="n">
        <f aca="false">1+IF($G$10=$E$10,$F$10,IF(T405&lt;($F$10-$E$10)/($G$10-$E$10),$E$10+SQRT(T405*($G$10-$E$10)*($F$10-$E$10)),$G$10-SQRT((1-T405)*($G$10-$E$10)*($G$10-$F$10))))</f>
        <v>0.97960176134036</v>
      </c>
      <c r="G405" s="38" t="n">
        <f aca="false">IF($G$11=$E$11,$F$11,IF(U405&lt;($F$11-$E$11)/($G$11-$E$11),$E$11+SQRT(U405*($G$11-$E$11)*($F$11-$E$11)),$G$11-SQRT((1-U405)*($G$11-$E$11)*($G$11-$F$11))))</f>
        <v>0.101593219830419</v>
      </c>
      <c r="H405" s="39" t="n">
        <f aca="false">(('Business Case'!B11*$C405*'Business Case'!B12*$B405)-'Business Case'!B11*$C405*'Business Case'!B13*$D405-'Business Case'!B14*$E405)-MAX(0,(('Business Case'!B11*$C405*'Business Case'!B12*$B405)-'Business Case'!B11*$C405*'Business Case'!B13*$D405-'Business Case'!B14*$E405))*'Business Case'!$B$7-'Business Case'!$B$8*('Business Case'!B11*$C405*'Business Case'!B12*$B405)-'Business Case'!B15*$F405</f>
        <v>-1959203522.68072</v>
      </c>
      <c r="I405" s="39" t="n">
        <f aca="false">(('Business Case'!C11*$C405*'Business Case'!C12*$B405)-'Business Case'!C11*$C405*'Business Case'!C13*$D405-'Business Case'!C14*$E405)-MAX(0,(('Business Case'!C11*$C405*'Business Case'!C12*$B405)-'Business Case'!C11*$C405*'Business Case'!C13*$D405-'Business Case'!C14*$E405))*'Business Case'!$B$7-'Business Case'!$B$8*(('Business Case'!C11*$C405*'Business Case'!C12*$B405)-('Business Case'!B11*$C405*'Business Case'!B12*$B405))-'Business Case'!C15*$F405</f>
        <v>28159813.4773694</v>
      </c>
      <c r="J405" s="39" t="n">
        <f aca="false">(('Business Case'!D11*$C405*'Business Case'!D12*$B405)-'Business Case'!D11*$C405*'Business Case'!D13*$D405-'Business Case'!D14*$E405)-MAX(0,(('Business Case'!D11*$C405*'Business Case'!D12*$B405)-'Business Case'!D11*$C405*'Business Case'!D13*$D405-'Business Case'!D14*$E405))*'Business Case'!$B$7-'Business Case'!$B$8*(('Business Case'!D11*$C405*'Business Case'!D12*$B405)-('Business Case'!C11*$C405*'Business Case'!C12*$B405))-'Business Case'!D15*$F405</f>
        <v>361905781.425077</v>
      </c>
      <c r="K405" s="39" t="n">
        <f aca="false">(('Business Case'!E11*$C405*'Business Case'!E12*$B405)-'Business Case'!E11*$C405*'Business Case'!E13*$D405-'Business Case'!E14*$E405)-MAX(0,(('Business Case'!E11*$C405*'Business Case'!E12*$B405)-'Business Case'!E11*$C405*'Business Case'!E13*$D405-'Business Case'!E14*$E405))*'Business Case'!$B$7-'Business Case'!$B$8*(('Business Case'!E11*$C405*'Business Case'!E12*$B405)-('Business Case'!D11*$C405*'Business Case'!D12*$B405))-'Business Case'!E15*$F405</f>
        <v>744631837.439803</v>
      </c>
      <c r="L405" s="39" t="n">
        <f aca="false">(('Business Case'!F11*$C405*'Business Case'!F12*$B405)-'Business Case'!F11*$C405*'Business Case'!F13*$D405-'Business Case'!F14*$E405)-MAX(0,(('Business Case'!F11*$C405*'Business Case'!F12*$B405)-'Business Case'!F11*$C405*'Business Case'!F13*$D405-'Business Case'!F14*$E405))*'Business Case'!$B$7-'Business Case'!$B$8*(('Business Case'!F11*$C405*'Business Case'!F12*$B405)-('Business Case'!E11*$C405*'Business Case'!E12*$B405))-'Business Case'!F15*$F405</f>
        <v>891893575.83466</v>
      </c>
      <c r="M405" s="39" t="n">
        <f aca="false">(('Business Case'!G11*$C405*'Business Case'!G12*$B405)-'Business Case'!G11*$C405*'Business Case'!G13*$D405-'Business Case'!G14*$E405)-MAX(0,(('Business Case'!G11*$C405*'Business Case'!G12*$B405)-'Business Case'!G11*$C405*'Business Case'!G13*$D405-'Business Case'!G14*$E405))*'Business Case'!$B$7-'Business Case'!$B$8*(('Business Case'!G11*$C405*'Business Case'!G12*$B405)-('Business Case'!F11*$C405*'Business Case'!F12*$B405))-'Business Case'!G15*$F405+'Business Case'!$B$8*('Business Case'!G11*$C405*'Business Case'!G12*$B405)</f>
        <v>1089965529.10224</v>
      </c>
      <c r="N405" s="39" t="n">
        <f aca="false">IF(COUNT('Business Case'!B11:G11)=0,"",H405+NPV(G405,I405:M405))</f>
        <v>199181126.75346</v>
      </c>
      <c r="P405" s="40" t="n">
        <f aca="true">RAND()</f>
        <v>0.974211593725885</v>
      </c>
      <c r="Q405" s="40" t="n">
        <f aca="true">RAND()</f>
        <v>0.641458088524284</v>
      </c>
      <c r="R405" s="40" t="n">
        <f aca="true">RAND()</f>
        <v>0.42232069697176</v>
      </c>
      <c r="S405" s="40" t="n">
        <f aca="true">RAND()</f>
        <v>0.973899535417757</v>
      </c>
      <c r="T405" s="40" t="n">
        <f aca="true">RAND()</f>
        <v>0.0701011419561322</v>
      </c>
      <c r="U405" s="40" t="n">
        <f aca="true">RAND()</f>
        <v>0.435317406314543</v>
      </c>
    </row>
    <row r="406" customFormat="false" ht="15" hidden="false" customHeight="false" outlineLevel="0" collapsed="false">
      <c r="A406" s="36" t="n">
        <v>326</v>
      </c>
      <c r="B406" s="37" t="n">
        <f aca="false">1+IF($G$6=$E$6,$F$6,IF(P406&lt;($F$6-$E$6)/($G$6-$E$6),$E$6+SQRT(P406*($G$6-$E$6)*($F$6-$E$6)),$G$6-SQRT((1-P406)*($G$6-$E$6)*($G$6-$F$6))))</f>
        <v>1.01579198940563</v>
      </c>
      <c r="C406" s="37" t="n">
        <f aca="false">1+IF($G$7=$E$7,$F$7,IF(Q406&lt;($F$7-$E$7)/($G$7-$E$7),$E$7+SQRT(Q406*($G$7-$E$7)*($F$7-$E$7)),$G$7-SQRT((1-Q406)*($G$7-$E$7)*($G$7-$F$7))))</f>
        <v>0.961278992749401</v>
      </c>
      <c r="D406" s="37" t="n">
        <f aca="false">1+IF($G$8=$E$8,$F$8,IF(R406&lt;($F$8-$E$8)/($G$8-$E$8),$E$8+SQRT(R406*($G$8-$E$8)*($F$8-$E$8)),$G$8-SQRT((1-R406)*($G$8-$E$8)*($G$8-$F$8))))</f>
        <v>0.999430203496741</v>
      </c>
      <c r="E406" s="37" t="n">
        <f aca="false">1+IF($G$9=$E$9,$F$9,IF(S406&lt;($F$9-$E$9)/($G$9-$E$9),$E$9+SQRT(S406*($G$9-$E$9)*($F$9-$E$9)),$G$9-SQRT((1-S406)*($G$9-$E$9)*($G$9-$F$9))))</f>
        <v>1.04972822310749</v>
      </c>
      <c r="F406" s="37" t="n">
        <f aca="false">1+IF($G$10=$E$10,$F$10,IF(T406&lt;($F$10-$E$10)/($G$10-$E$10),$E$10+SQRT(T406*($G$10-$E$10)*($F$10-$E$10)),$G$10-SQRT((1-T406)*($G$10-$E$10)*($G$10-$F$10))))</f>
        <v>1.02185514898111</v>
      </c>
      <c r="G406" s="38" t="n">
        <f aca="false">IF($G$11=$E$11,$F$11,IF(U406&lt;($F$11-$E$11)/($G$11-$E$11),$E$11+SQRT(U406*($G$11-$E$11)*($F$11-$E$11)),$G$11-SQRT((1-U406)*($G$11-$E$11)*($G$11-$F$11))))</f>
        <v>0.118464765469477</v>
      </c>
      <c r="H406" s="39" t="n">
        <f aca="false">(('Business Case'!B11*$C406*'Business Case'!B12*$B406)-'Business Case'!B11*$C406*'Business Case'!B13*$D406-'Business Case'!B14*$E406)-MAX(0,(('Business Case'!B11*$C406*'Business Case'!B12*$B406)-'Business Case'!B11*$C406*'Business Case'!B13*$D406-'Business Case'!B14*$E406))*'Business Case'!$B$7-'Business Case'!$B$8*('Business Case'!B11*$C406*'Business Case'!B12*$B406)-'Business Case'!B15*$F406</f>
        <v>-2043710297.96221</v>
      </c>
      <c r="I406" s="39" t="n">
        <f aca="false">(('Business Case'!C11*$C406*'Business Case'!C12*$B406)-'Business Case'!C11*$C406*'Business Case'!C13*$D406-'Business Case'!C14*$E406)-MAX(0,(('Business Case'!C11*$C406*'Business Case'!C12*$B406)-'Business Case'!C11*$C406*'Business Case'!C13*$D406-'Business Case'!C14*$E406))*'Business Case'!$B$7-'Business Case'!$B$8*(('Business Case'!C11*$C406*'Business Case'!C12*$B406)-('Business Case'!B11*$C406*'Business Case'!B12*$B406))-'Business Case'!C15*$F406</f>
        <v>5896560.91961055</v>
      </c>
      <c r="J406" s="39" t="n">
        <f aca="false">(('Business Case'!D11*$C406*'Business Case'!D12*$B406)-'Business Case'!D11*$C406*'Business Case'!D13*$D406-'Business Case'!D14*$E406)-MAX(0,(('Business Case'!D11*$C406*'Business Case'!D12*$B406)-'Business Case'!D11*$C406*'Business Case'!D13*$D406-'Business Case'!D14*$E406))*'Business Case'!$B$7-'Business Case'!$B$8*(('Business Case'!D11*$C406*'Business Case'!D12*$B406)-('Business Case'!C11*$C406*'Business Case'!C12*$B406))-'Business Case'!D15*$F406</f>
        <v>313869650.564925</v>
      </c>
      <c r="K406" s="39" t="n">
        <f aca="false">(('Business Case'!E11*$C406*'Business Case'!E12*$B406)-'Business Case'!E11*$C406*'Business Case'!E13*$D406-'Business Case'!E14*$E406)-MAX(0,(('Business Case'!E11*$C406*'Business Case'!E12*$B406)-'Business Case'!E11*$C406*'Business Case'!E13*$D406-'Business Case'!E14*$E406))*'Business Case'!$B$7-'Business Case'!$B$8*(('Business Case'!E11*$C406*'Business Case'!E12*$B406)-('Business Case'!D11*$C406*'Business Case'!D12*$B406))-'Business Case'!E15*$F406</f>
        <v>672935497.659295</v>
      </c>
      <c r="L406" s="39" t="n">
        <f aca="false">(('Business Case'!F11*$C406*'Business Case'!F12*$B406)-'Business Case'!F11*$C406*'Business Case'!F13*$D406-'Business Case'!F14*$E406)-MAX(0,(('Business Case'!F11*$C406*'Business Case'!F12*$B406)-'Business Case'!F11*$C406*'Business Case'!F13*$D406-'Business Case'!F14*$E406))*'Business Case'!$B$7-'Business Case'!$B$8*(('Business Case'!F11*$C406*'Business Case'!F12*$B406)-('Business Case'!E11*$C406*'Business Case'!E12*$B406))-'Business Case'!F15*$F406</f>
        <v>809339634.542206</v>
      </c>
      <c r="M406" s="39" t="n">
        <f aca="false">(('Business Case'!G11*$C406*'Business Case'!G12*$B406)-'Business Case'!G11*$C406*'Business Case'!G13*$D406-'Business Case'!G14*$E406)-MAX(0,(('Business Case'!G11*$C406*'Business Case'!G12*$B406)-'Business Case'!G11*$C406*'Business Case'!G13*$D406-'Business Case'!G14*$E406))*'Business Case'!$B$7-'Business Case'!$B$8*(('Business Case'!G11*$C406*'Business Case'!G12*$B406)-('Business Case'!F11*$C406*'Business Case'!F12*$B406))-'Business Case'!G15*$F406+'Business Case'!$B$8*('Business Case'!G11*$C406*'Business Case'!G12*$B406)</f>
        <v>994945056.381804</v>
      </c>
      <c r="N406" s="39" t="n">
        <f aca="false">IF(COUNT('Business Case'!B11:G11)=0,"",H406+NPV(G406,I406:M406))</f>
        <v>-220954983.163631</v>
      </c>
      <c r="P406" s="40" t="n">
        <f aca="true">RAND()</f>
        <v>0.877910879804809</v>
      </c>
      <c r="Q406" s="40" t="n">
        <f aca="true">RAND()</f>
        <v>0.371584478603736</v>
      </c>
      <c r="R406" s="40" t="n">
        <f aca="true">RAND()</f>
        <v>0.375899233496796</v>
      </c>
      <c r="S406" s="40" t="n">
        <f aca="true">RAND()</f>
        <v>0.831516563204651</v>
      </c>
      <c r="T406" s="40" t="n">
        <f aca="true">RAND()</f>
        <v>0.365288241109118</v>
      </c>
      <c r="U406" s="40" t="n">
        <f aca="true">RAND()</f>
        <v>0.996071758227152</v>
      </c>
    </row>
    <row r="407" customFormat="false" ht="15" hidden="false" customHeight="false" outlineLevel="0" collapsed="false">
      <c r="A407" s="36" t="n">
        <v>327</v>
      </c>
      <c r="B407" s="37" t="n">
        <f aca="false">1+IF($G$6=$E$6,$F$6,IF(P407&lt;($F$6-$E$6)/($G$6-$E$6),$E$6+SQRT(P407*($G$6-$E$6)*($F$6-$E$6)),$G$6-SQRT((1-P407)*($G$6-$E$6)*($G$6-$F$6))))</f>
        <v>0.984213159147635</v>
      </c>
      <c r="C407" s="37" t="n">
        <f aca="false">1+IF($G$7=$E$7,$F$7,IF(Q407&lt;($F$7-$E$7)/($G$7-$E$7),$E$7+SQRT(Q407*($G$7-$E$7)*($F$7-$E$7)),$G$7-SQRT((1-Q407)*($G$7-$E$7)*($G$7-$F$7))))</f>
        <v>1.08205849711542</v>
      </c>
      <c r="D407" s="37" t="n">
        <f aca="false">1+IF($G$8=$E$8,$F$8,IF(R407&lt;($F$8-$E$8)/($G$8-$E$8),$E$8+SQRT(R407*($G$8-$E$8)*($F$8-$E$8)),$G$8-SQRT((1-R407)*($G$8-$E$8)*($G$8-$F$8))))</f>
        <v>1.06407226063247</v>
      </c>
      <c r="E407" s="37" t="n">
        <f aca="false">1+IF($G$9=$E$9,$F$9,IF(S407&lt;($F$9-$E$9)/($G$9-$E$9),$E$9+SQRT(S407*($G$9-$E$9)*($F$9-$E$9)),$G$9-SQRT((1-S407)*($G$9-$E$9)*($G$9-$F$9))))</f>
        <v>1.07760787611313</v>
      </c>
      <c r="F407" s="37" t="n">
        <f aca="false">1+IF($G$10=$E$10,$F$10,IF(T407&lt;($F$10-$E$10)/($G$10-$E$10),$E$10+SQRT(T407*($G$10-$E$10)*($F$10-$E$10)),$G$10-SQRT((1-T407)*($G$10-$E$10)*($G$10-$F$10))))</f>
        <v>0.973587064888926</v>
      </c>
      <c r="G407" s="38" t="n">
        <f aca="false">IF($G$11=$E$11,$F$11,IF(U407&lt;($F$11-$E$11)/($G$11-$E$11),$E$11+SQRT(U407*($G$11-$E$11)*($F$11-$E$11)),$G$11-SQRT((1-U407)*($G$11-$E$11)*($G$11-$F$11))))</f>
        <v>0.105170219842496</v>
      </c>
      <c r="H407" s="39" t="n">
        <f aca="false">(('Business Case'!B11*$C407*'Business Case'!B12*$B407)-'Business Case'!B11*$C407*'Business Case'!B13*$D407-'Business Case'!B14*$E407)-MAX(0,(('Business Case'!B11*$C407*'Business Case'!B12*$B407)-'Business Case'!B11*$C407*'Business Case'!B13*$D407-'Business Case'!B14*$E407))*'Business Case'!$B$7-'Business Case'!$B$8*('Business Case'!B11*$C407*'Business Case'!B12*$B407)-'Business Case'!B15*$F407</f>
        <v>-1947174129.77785</v>
      </c>
      <c r="I407" s="39" t="n">
        <f aca="false">(('Business Case'!C11*$C407*'Business Case'!C12*$B407)-'Business Case'!C11*$C407*'Business Case'!C13*$D407-'Business Case'!C14*$E407)-MAX(0,(('Business Case'!C11*$C407*'Business Case'!C12*$B407)-'Business Case'!C11*$C407*'Business Case'!C13*$D407-'Business Case'!C14*$E407))*'Business Case'!$B$7-'Business Case'!$B$8*(('Business Case'!C11*$C407*'Business Case'!C12*$B407)-('Business Case'!B11*$C407*'Business Case'!B12*$B407))-'Business Case'!C15*$F407</f>
        <v>-22929483.1991105</v>
      </c>
      <c r="J407" s="39" t="n">
        <f aca="false">(('Business Case'!D11*$C407*'Business Case'!D12*$B407)-'Business Case'!D11*$C407*'Business Case'!D13*$D407-'Business Case'!D14*$E407)-MAX(0,(('Business Case'!D11*$C407*'Business Case'!D12*$B407)-'Business Case'!D11*$C407*'Business Case'!D13*$D407-'Business Case'!D14*$E407))*'Business Case'!$B$7-'Business Case'!$B$8*(('Business Case'!D11*$C407*'Business Case'!D12*$B407)-('Business Case'!C11*$C407*'Business Case'!C12*$B407))-'Business Case'!D15*$F407</f>
        <v>259943946.89515</v>
      </c>
      <c r="K407" s="39" t="n">
        <f aca="false">(('Business Case'!E11*$C407*'Business Case'!E12*$B407)-'Business Case'!E11*$C407*'Business Case'!E13*$D407-'Business Case'!E14*$E407)-MAX(0,(('Business Case'!E11*$C407*'Business Case'!E12*$B407)-'Business Case'!E11*$C407*'Business Case'!E13*$D407-'Business Case'!E14*$E407))*'Business Case'!$B$7-'Business Case'!$B$8*(('Business Case'!E11*$C407*'Business Case'!E12*$B407)-('Business Case'!D11*$C407*'Business Case'!D12*$B407))-'Business Case'!E15*$F407</f>
        <v>591496730.233856</v>
      </c>
      <c r="L407" s="39" t="n">
        <f aca="false">(('Business Case'!F11*$C407*'Business Case'!F12*$B407)-'Business Case'!F11*$C407*'Business Case'!F13*$D407-'Business Case'!F14*$E407)-MAX(0,(('Business Case'!F11*$C407*'Business Case'!F12*$B407)-'Business Case'!F11*$C407*'Business Case'!F13*$D407-'Business Case'!F14*$E407))*'Business Case'!$B$7-'Business Case'!$B$8*(('Business Case'!F11*$C407*'Business Case'!F12*$B407)-('Business Case'!E11*$C407*'Business Case'!E12*$B407))-'Business Case'!F15*$F407</f>
        <v>722593451.479403</v>
      </c>
      <c r="M407" s="39" t="n">
        <f aca="false">(('Business Case'!G11*$C407*'Business Case'!G12*$B407)-'Business Case'!G11*$C407*'Business Case'!G13*$D407-'Business Case'!G14*$E407)-MAX(0,(('Business Case'!G11*$C407*'Business Case'!G12*$B407)-'Business Case'!G11*$C407*'Business Case'!G13*$D407-'Business Case'!G14*$E407))*'Business Case'!$B$7-'Business Case'!$B$8*(('Business Case'!G11*$C407*'Business Case'!G12*$B407)-('Business Case'!F11*$C407*'Business Case'!F12*$B407))-'Business Case'!G15*$F407+'Business Case'!$B$8*('Business Case'!G11*$C407*'Business Case'!G12*$B407)</f>
        <v>925024129.823767</v>
      </c>
      <c r="N407" s="39" t="n">
        <f aca="false">IF(COUNT('Business Case'!B11:G11)=0,"",H407+NPV(G407,I407:M407))</f>
        <v>-271477471.387772</v>
      </c>
      <c r="P407" s="40" t="n">
        <f aca="true">RAND()</f>
        <v>0.429513521637445</v>
      </c>
      <c r="Q407" s="40" t="n">
        <f aca="true">RAND()</f>
        <v>0.912075279729243</v>
      </c>
      <c r="R407" s="40" t="n">
        <f aca="true">RAND()</f>
        <v>0.975606453715387</v>
      </c>
      <c r="S407" s="40" t="n">
        <f aca="true">RAND()</f>
        <v>0.966572852522351</v>
      </c>
      <c r="T407" s="40" t="n">
        <f aca="true">RAND()</f>
        <v>0.0445079704059543</v>
      </c>
      <c r="U407" s="40" t="n">
        <f aca="true">RAND()</f>
        <v>0.633462700800191</v>
      </c>
    </row>
    <row r="408" customFormat="false" ht="15" hidden="false" customHeight="false" outlineLevel="0" collapsed="false">
      <c r="A408" s="36" t="n">
        <v>328</v>
      </c>
      <c r="B408" s="37" t="n">
        <f aca="false">1+IF($G$6=$E$6,$F$6,IF(P408&lt;($F$6-$E$6)/($G$6-$E$6),$E$6+SQRT(P408*($G$6-$E$6)*($F$6-$E$6)),$G$6-SQRT((1-P408)*($G$6-$E$6)*($G$6-$F$6))))</f>
        <v>0.967528142987305</v>
      </c>
      <c r="C408" s="37" t="n">
        <f aca="false">1+IF($G$7=$E$7,$F$7,IF(Q408&lt;($F$7-$E$7)/($G$7-$E$7),$E$7+SQRT(Q408*($G$7-$E$7)*($F$7-$E$7)),$G$7-SQRT((1-Q408)*($G$7-$E$7)*($G$7-$F$7))))</f>
        <v>0.902952061012231</v>
      </c>
      <c r="D408" s="37" t="n">
        <f aca="false">1+IF($G$8=$E$8,$F$8,IF(R408&lt;($F$8-$E$8)/($G$8-$E$8),$E$8+SQRT(R408*($G$8-$E$8)*($F$8-$E$8)),$G$8-SQRT((1-R408)*($G$8-$E$8)*($G$8-$F$8))))</f>
        <v>1.03580760915472</v>
      </c>
      <c r="E408" s="37" t="n">
        <f aca="false">1+IF($G$9=$E$9,$F$9,IF(S408&lt;($F$9-$E$9)/($G$9-$E$9),$E$9+SQRT(S408*($G$9-$E$9)*($F$9-$E$9)),$G$9-SQRT((1-S408)*($G$9-$E$9)*($G$9-$F$9))))</f>
        <v>1.04610170421066</v>
      </c>
      <c r="F408" s="37" t="n">
        <f aca="false">1+IF($G$10=$E$10,$F$10,IF(T408&lt;($F$10-$E$10)/($G$10-$E$10),$E$10+SQRT(T408*($G$10-$E$10)*($F$10-$E$10)),$G$10-SQRT((1-T408)*($G$10-$E$10)*($G$10-$F$10))))</f>
        <v>1.08854016818021</v>
      </c>
      <c r="G408" s="38" t="n">
        <f aca="false">IF($G$11=$E$11,$F$11,IF(U408&lt;($F$11-$E$11)/($G$11-$E$11),$E$11+SQRT(U408*($G$11-$E$11)*($F$11-$E$11)),$G$11-SQRT((1-U408)*($G$11-$E$11)*($G$11-$F$11))))</f>
        <v>0.107286519805545</v>
      </c>
      <c r="H408" s="39" t="n">
        <f aca="false">(('Business Case'!B11*$C408*'Business Case'!B12*$B408)-'Business Case'!B11*$C408*'Business Case'!B13*$D408-'Business Case'!B14*$E408)-MAX(0,(('Business Case'!B11*$C408*'Business Case'!B12*$B408)-'Business Case'!B11*$C408*'Business Case'!B13*$D408-'Business Case'!B14*$E408))*'Business Case'!$B$7-'Business Case'!$B$8*('Business Case'!B11*$C408*'Business Case'!B12*$B408)-'Business Case'!B15*$F408</f>
        <v>-2177080336.36041</v>
      </c>
      <c r="I408" s="39" t="n">
        <f aca="false">(('Business Case'!C11*$C408*'Business Case'!C12*$B408)-'Business Case'!C11*$C408*'Business Case'!C13*$D408-'Business Case'!C14*$E408)-MAX(0,(('Business Case'!C11*$C408*'Business Case'!C12*$B408)-'Business Case'!C11*$C408*'Business Case'!C13*$D408-'Business Case'!C14*$E408))*'Business Case'!$B$7-'Business Case'!$B$8*(('Business Case'!C11*$C408*'Business Case'!C12*$B408)-('Business Case'!B11*$C408*'Business Case'!B12*$B408))-'Business Case'!C15*$F408</f>
        <v>-66122512.8857234</v>
      </c>
      <c r="J408" s="39" t="n">
        <f aca="false">(('Business Case'!D11*$C408*'Business Case'!D12*$B408)-'Business Case'!D11*$C408*'Business Case'!D13*$D408-'Business Case'!D14*$E408)-MAX(0,(('Business Case'!D11*$C408*'Business Case'!D12*$B408)-'Business Case'!D11*$C408*'Business Case'!D13*$D408-'Business Case'!D14*$E408))*'Business Case'!$B$7-'Business Case'!$B$8*(('Business Case'!D11*$C408*'Business Case'!D12*$B408)-('Business Case'!C11*$C408*'Business Case'!C12*$B408))-'Business Case'!D15*$F408</f>
        <v>170653711.941884</v>
      </c>
      <c r="K408" s="39" t="n">
        <f aca="false">(('Business Case'!E11*$C408*'Business Case'!E12*$B408)-'Business Case'!E11*$C408*'Business Case'!E13*$D408-'Business Case'!E14*$E408)-MAX(0,(('Business Case'!E11*$C408*'Business Case'!E12*$B408)-'Business Case'!E11*$C408*'Business Case'!E13*$D408-'Business Case'!E14*$E408))*'Business Case'!$B$7-'Business Case'!$B$8*(('Business Case'!E11*$C408*'Business Case'!E12*$B408)-('Business Case'!D11*$C408*'Business Case'!D12*$B408))-'Business Case'!E15*$F408</f>
        <v>461856945.178502</v>
      </c>
      <c r="L408" s="39" t="n">
        <f aca="false">(('Business Case'!F11*$C408*'Business Case'!F12*$B408)-'Business Case'!F11*$C408*'Business Case'!F13*$D408-'Business Case'!F14*$E408)-MAX(0,(('Business Case'!F11*$C408*'Business Case'!F12*$B408)-'Business Case'!F11*$C408*'Business Case'!F13*$D408-'Business Case'!F14*$E408))*'Business Case'!$B$7-'Business Case'!$B$8*(('Business Case'!F11*$C408*'Business Case'!F12*$B408)-('Business Case'!E11*$C408*'Business Case'!E12*$B408))-'Business Case'!F15*$F408</f>
        <v>570975059.15874</v>
      </c>
      <c r="M408" s="39" t="n">
        <f aca="false">(('Business Case'!G11*$C408*'Business Case'!G12*$B408)-'Business Case'!G11*$C408*'Business Case'!G13*$D408-'Business Case'!G14*$E408)-MAX(0,(('Business Case'!G11*$C408*'Business Case'!G12*$B408)-'Business Case'!G11*$C408*'Business Case'!G13*$D408-'Business Case'!G14*$E408))*'Business Case'!$B$7-'Business Case'!$B$8*(('Business Case'!G11*$C408*'Business Case'!G12*$B408)-('Business Case'!F11*$C408*'Business Case'!F12*$B408))-'Business Case'!G15*$F408+'Business Case'!$B$8*('Business Case'!G11*$C408*'Business Case'!G12*$B408)</f>
        <v>737034940.532771</v>
      </c>
      <c r="N408" s="39" t="n">
        <f aca="false">IF(COUNT('Business Case'!B11:G11)=0,"",H408+NPV(G408,I408:M408))</f>
        <v>-934816109.393715</v>
      </c>
      <c r="P408" s="40" t="n">
        <f aca="true">RAND()</f>
        <v>0.235304622481425</v>
      </c>
      <c r="Q408" s="40" t="n">
        <f aca="true">RAND()</f>
        <v>0.15141609809523</v>
      </c>
      <c r="R408" s="40" t="n">
        <f aca="true">RAND()</f>
        <v>0.812214672247914</v>
      </c>
      <c r="S408" s="40" t="n">
        <f aca="true">RAND()</f>
        <v>0.806331580733671</v>
      </c>
      <c r="T408" s="40" t="n">
        <f aca="true">RAND()</f>
        <v>0.751534117814061</v>
      </c>
      <c r="U408" s="40" t="n">
        <f aca="true">RAND()</f>
        <v>0.730612368908649</v>
      </c>
    </row>
    <row r="409" customFormat="false" ht="15" hidden="false" customHeight="false" outlineLevel="0" collapsed="false">
      <c r="A409" s="36" t="n">
        <v>329</v>
      </c>
      <c r="B409" s="37" t="n">
        <f aca="false">1+IF($G$6=$E$6,$F$6,IF(P409&lt;($F$6-$E$6)/($G$6-$E$6),$E$6+SQRT(P409*($G$6-$E$6)*($F$6-$E$6)),$G$6-SQRT((1-P409)*($G$6-$E$6)*($G$6-$F$6))))</f>
        <v>0.976549773368786</v>
      </c>
      <c r="C409" s="37" t="n">
        <f aca="false">1+IF($G$7=$E$7,$F$7,IF(Q409&lt;($F$7-$E$7)/($G$7-$E$7),$E$7+SQRT(Q409*($G$7-$E$7)*($F$7-$E$7)),$G$7-SQRT((1-Q409)*($G$7-$E$7)*($G$7-$F$7))))</f>
        <v>0.942067970878155</v>
      </c>
      <c r="D409" s="37" t="n">
        <f aca="false">1+IF($G$8=$E$8,$F$8,IF(R409&lt;($F$8-$E$8)/($G$8-$E$8),$E$8+SQRT(R409*($G$8-$E$8)*($F$8-$E$8)),$G$8-SQRT((1-R409)*($G$8-$E$8)*($G$8-$F$8))))</f>
        <v>1.02158872016442</v>
      </c>
      <c r="E409" s="37" t="n">
        <f aca="false">1+IF($G$9=$E$9,$F$9,IF(S409&lt;($F$9-$E$9)/($G$9-$E$9),$E$9+SQRT(S409*($G$9-$E$9)*($F$9-$E$9)),$G$9-SQRT((1-S409)*($G$9-$E$9)*($G$9-$F$9))))</f>
        <v>0.990278744613773</v>
      </c>
      <c r="F409" s="37" t="n">
        <f aca="false">1+IF($G$10=$E$10,$F$10,IF(T409&lt;($F$10-$E$10)/($G$10-$E$10),$E$10+SQRT(T409*($G$10-$E$10)*($F$10-$E$10)),$G$10-SQRT((1-T409)*($G$10-$E$10)*($G$10-$F$10))))</f>
        <v>1.08913482621768</v>
      </c>
      <c r="G409" s="38" t="n">
        <f aca="false">IF($G$11=$E$11,$F$11,IF(U409&lt;($F$11-$E$11)/($G$11-$E$11),$E$11+SQRT(U409*($G$11-$E$11)*($F$11-$E$11)),$G$11-SQRT((1-U409)*($G$11-$E$11)*($G$11-$F$11))))</f>
        <v>0.106849172500788</v>
      </c>
      <c r="H409" s="39" t="n">
        <f aca="false">(('Business Case'!B11*$C409*'Business Case'!B12*$B409)-'Business Case'!B11*$C409*'Business Case'!B13*$D409-'Business Case'!B14*$E409)-MAX(0,(('Business Case'!B11*$C409*'Business Case'!B12*$B409)-'Business Case'!B11*$C409*'Business Case'!B13*$D409-'Business Case'!B14*$E409))*'Business Case'!$B$7-'Business Case'!$B$8*('Business Case'!B11*$C409*'Business Case'!B12*$B409)-'Business Case'!B15*$F409</f>
        <v>-2178269652.43536</v>
      </c>
      <c r="I409" s="39" t="n">
        <f aca="false">(('Business Case'!C11*$C409*'Business Case'!C12*$B409)-'Business Case'!C11*$C409*'Business Case'!C13*$D409-'Business Case'!C14*$E409)-MAX(0,(('Business Case'!C11*$C409*'Business Case'!C12*$B409)-'Business Case'!C11*$C409*'Business Case'!C13*$D409-'Business Case'!C14*$E409))*'Business Case'!$B$7-'Business Case'!$B$8*(('Business Case'!C11*$C409*'Business Case'!C12*$B409)-('Business Case'!B11*$C409*'Business Case'!B12*$B409))-'Business Case'!C15*$F409</f>
        <v>-36570777.549397</v>
      </c>
      <c r="J409" s="39" t="n">
        <f aca="false">(('Business Case'!D11*$C409*'Business Case'!D12*$B409)-'Business Case'!D11*$C409*'Business Case'!D13*$D409-'Business Case'!D14*$E409)-MAX(0,(('Business Case'!D11*$C409*'Business Case'!D12*$B409)-'Business Case'!D11*$C409*'Business Case'!D13*$D409-'Business Case'!D14*$E409))*'Business Case'!$B$7-'Business Case'!$B$8*(('Business Case'!D11*$C409*'Business Case'!D12*$B409)-('Business Case'!C11*$C409*'Business Case'!C12*$B409))-'Business Case'!D15*$F409</f>
        <v>224281134.50477</v>
      </c>
      <c r="K409" s="39" t="n">
        <f aca="false">(('Business Case'!E11*$C409*'Business Case'!E12*$B409)-'Business Case'!E11*$C409*'Business Case'!E13*$D409-'Business Case'!E14*$E409)-MAX(0,(('Business Case'!E11*$C409*'Business Case'!E12*$B409)-'Business Case'!E11*$C409*'Business Case'!E13*$D409-'Business Case'!E14*$E409))*'Business Case'!$B$7-'Business Case'!$B$8*(('Business Case'!E11*$C409*'Business Case'!E12*$B409)-('Business Case'!D11*$C409*'Business Case'!D12*$B409))-'Business Case'!E15*$F409</f>
        <v>539589787.869821</v>
      </c>
      <c r="L409" s="39" t="n">
        <f aca="false">(('Business Case'!F11*$C409*'Business Case'!F12*$B409)-'Business Case'!F11*$C409*'Business Case'!F13*$D409-'Business Case'!F14*$E409)-MAX(0,(('Business Case'!F11*$C409*'Business Case'!F12*$B409)-'Business Case'!F11*$C409*'Business Case'!F13*$D409-'Business Case'!F14*$E409))*'Business Case'!$B$7-'Business Case'!$B$8*(('Business Case'!F11*$C409*'Business Case'!F12*$B409)-('Business Case'!E11*$C409*'Business Case'!E12*$B409))-'Business Case'!F15*$F409</f>
        <v>658334804.886355</v>
      </c>
      <c r="M409" s="39" t="n">
        <f aca="false">(('Business Case'!G11*$C409*'Business Case'!G12*$B409)-'Business Case'!G11*$C409*'Business Case'!G13*$D409-'Business Case'!G14*$E409)-MAX(0,(('Business Case'!G11*$C409*'Business Case'!G12*$B409)-'Business Case'!G11*$C409*'Business Case'!G13*$D409-'Business Case'!G14*$E409))*'Business Case'!$B$7-'Business Case'!$B$8*(('Business Case'!G11*$C409*'Business Case'!G12*$B409)-('Business Case'!F11*$C409*'Business Case'!F12*$B409))-'Business Case'!G15*$F409+'Business Case'!$B$8*('Business Case'!G11*$C409*'Business Case'!G12*$B409)</f>
        <v>833203893.044652</v>
      </c>
      <c r="N409" s="39" t="n">
        <f aca="false">IF(COUNT('Business Case'!B11:G11)=0,"",H409+NPV(G409,I409:M409))</f>
        <v>-690149561.512603</v>
      </c>
      <c r="P409" s="40" t="n">
        <f aca="true">RAND()</f>
        <v>0.333112173756363</v>
      </c>
      <c r="Q409" s="40" t="n">
        <f aca="true">RAND()</f>
        <v>0.288332976420519</v>
      </c>
      <c r="R409" s="40" t="n">
        <f aca="true">RAND()</f>
        <v>0.671934844997098</v>
      </c>
      <c r="S409" s="40" t="n">
        <f aca="true">RAND()</f>
        <v>0.216316969021535</v>
      </c>
      <c r="T409" s="40" t="n">
        <f aca="true">RAND()</f>
        <v>0.754178264844321</v>
      </c>
      <c r="U409" s="40" t="n">
        <f aca="true">RAND()</f>
        <v>0.711759560143265</v>
      </c>
    </row>
    <row r="410" customFormat="false" ht="15" hidden="false" customHeight="false" outlineLevel="0" collapsed="false">
      <c r="A410" s="36" t="n">
        <v>330</v>
      </c>
      <c r="B410" s="37" t="n">
        <f aca="false">1+IF($G$6=$E$6,$F$6,IF(P410&lt;($F$6-$E$6)/($G$6-$E$6),$E$6+SQRT(P410*($G$6-$E$6)*($F$6-$E$6)),$G$6-SQRT((1-P410)*($G$6-$E$6)*($G$6-$F$6))))</f>
        <v>0.985092760699042</v>
      </c>
      <c r="C410" s="37" t="n">
        <f aca="false">1+IF($G$7=$E$7,$F$7,IF(Q410&lt;($F$7-$E$7)/($G$7-$E$7),$E$7+SQRT(Q410*($G$7-$E$7)*($F$7-$E$7)),$G$7-SQRT((1-Q410)*($G$7-$E$7)*($G$7-$F$7))))</f>
        <v>0.878174503135497</v>
      </c>
      <c r="D410" s="37" t="n">
        <f aca="false">1+IF($G$8=$E$8,$F$8,IF(R410&lt;($F$8-$E$8)/($G$8-$E$8),$E$8+SQRT(R410*($G$8-$E$8)*($F$8-$E$8)),$G$8-SQRT((1-R410)*($G$8-$E$8)*($G$8-$F$8))))</f>
        <v>1.01315886964724</v>
      </c>
      <c r="E410" s="37" t="n">
        <f aca="false">1+IF($G$9=$E$9,$F$9,IF(S410&lt;($F$9-$E$9)/($G$9-$E$9),$E$9+SQRT(S410*($G$9-$E$9)*($F$9-$E$9)),$G$9-SQRT((1-S410)*($G$9-$E$9)*($G$9-$F$9))))</f>
        <v>1.02750873630231</v>
      </c>
      <c r="F410" s="37" t="n">
        <f aca="false">1+IF($G$10=$E$10,$F$10,IF(T410&lt;($F$10-$E$10)/($G$10-$E$10),$E$10+SQRT(T410*($G$10-$E$10)*($F$10-$E$10)),$G$10-SQRT((1-T410)*($G$10-$E$10)*($G$10-$F$10))))</f>
        <v>1.04392599495582</v>
      </c>
      <c r="G410" s="38" t="n">
        <f aca="false">IF($G$11=$E$11,$F$11,IF(U410&lt;($F$11-$E$11)/($G$11-$E$11),$E$11+SQRT(U410*($G$11-$E$11)*($F$11-$E$11)),$G$11-SQRT((1-U410)*($G$11-$E$11)*($G$11-$F$11))))</f>
        <v>0.101825992862998</v>
      </c>
      <c r="H410" s="39" t="n">
        <f aca="false">(('Business Case'!B11*$C410*'Business Case'!B12*$B410)-'Business Case'!B11*$C410*'Business Case'!B13*$D410-'Business Case'!B14*$E410)-MAX(0,(('Business Case'!B11*$C410*'Business Case'!B12*$B410)-'Business Case'!B11*$C410*'Business Case'!B13*$D410-'Business Case'!B14*$E410))*'Business Case'!$B$7-'Business Case'!$B$8*('Business Case'!B11*$C410*'Business Case'!B12*$B410)-'Business Case'!B15*$F410</f>
        <v>-2087851989.91163</v>
      </c>
      <c r="I410" s="39" t="n">
        <f aca="false">(('Business Case'!C11*$C410*'Business Case'!C12*$B410)-'Business Case'!C11*$C410*'Business Case'!C13*$D410-'Business Case'!C14*$E410)-MAX(0,(('Business Case'!C11*$C410*'Business Case'!C12*$B410)-'Business Case'!C11*$C410*'Business Case'!C13*$D410-'Business Case'!C14*$E410))*'Business Case'!$B$7-'Business Case'!$B$8*(('Business Case'!C11*$C410*'Business Case'!C12*$B410)-('Business Case'!B11*$C410*'Business Case'!B12*$B410))-'Business Case'!C15*$F410</f>
        <v>-42255444.8285913</v>
      </c>
      <c r="J410" s="39" t="n">
        <f aca="false">(('Business Case'!D11*$C410*'Business Case'!D12*$B410)-'Business Case'!D11*$C410*'Business Case'!D13*$D410-'Business Case'!D14*$E410)-MAX(0,(('Business Case'!D11*$C410*'Business Case'!D12*$B410)-'Business Case'!D11*$C410*'Business Case'!D13*$D410-'Business Case'!D14*$E410))*'Business Case'!$B$7-'Business Case'!$B$8*(('Business Case'!D11*$C410*'Business Case'!D12*$B410)-('Business Case'!C11*$C410*'Business Case'!C12*$B410))-'Business Case'!D15*$F410</f>
        <v>210839372.780082</v>
      </c>
      <c r="K410" s="39" t="n">
        <f aca="false">(('Business Case'!E11*$C410*'Business Case'!E12*$B410)-'Business Case'!E11*$C410*'Business Case'!E13*$D410-'Business Case'!E14*$E410)-MAX(0,(('Business Case'!E11*$C410*'Business Case'!E12*$B410)-'Business Case'!E11*$C410*'Business Case'!E13*$D410-'Business Case'!E14*$E410))*'Business Case'!$B$7-'Business Case'!$B$8*(('Business Case'!E11*$C410*'Business Case'!E12*$B410)-('Business Case'!D11*$C410*'Business Case'!D12*$B410))-'Business Case'!E15*$F410</f>
        <v>516130490.136547</v>
      </c>
      <c r="L410" s="39" t="n">
        <f aca="false">(('Business Case'!F11*$C410*'Business Case'!F12*$B410)-'Business Case'!F11*$C410*'Business Case'!F13*$D410-'Business Case'!F14*$E410)-MAX(0,(('Business Case'!F11*$C410*'Business Case'!F12*$B410)-'Business Case'!F11*$C410*'Business Case'!F13*$D410-'Business Case'!F14*$E410))*'Business Case'!$B$7-'Business Case'!$B$8*(('Business Case'!F11*$C410*'Business Case'!F12*$B410)-('Business Case'!E11*$C410*'Business Case'!E12*$B410))-'Business Case'!F15*$F410</f>
        <v>630392709.765768</v>
      </c>
      <c r="M410" s="39" t="n">
        <f aca="false">(('Business Case'!G11*$C410*'Business Case'!G12*$B410)-'Business Case'!G11*$C410*'Business Case'!G13*$D410-'Business Case'!G14*$E410)-MAX(0,(('Business Case'!G11*$C410*'Business Case'!G12*$B410)-'Business Case'!G11*$C410*'Business Case'!G13*$D410-'Business Case'!G14*$E410))*'Business Case'!$B$7-'Business Case'!$B$8*(('Business Case'!G11*$C410*'Business Case'!G12*$B410)-('Business Case'!F11*$C410*'Business Case'!F12*$B410))-'Business Case'!G15*$F410+'Business Case'!$B$8*('Business Case'!G11*$C410*'Business Case'!G12*$B410)</f>
        <v>794827752.11058</v>
      </c>
      <c r="N410" s="39" t="n">
        <f aca="false">IF(COUNT('Business Case'!B11:G11)=0,"",H410+NPV(G410,I410:M410))</f>
        <v>-649511114.107174</v>
      </c>
      <c r="P410" s="40" t="n">
        <f aca="true">RAND()</f>
        <v>0.441361197439871</v>
      </c>
      <c r="Q410" s="40" t="n">
        <f aca="true">RAND()</f>
        <v>0.0873036134354547</v>
      </c>
      <c r="R410" s="40" t="n">
        <f aca="true">RAND()</f>
        <v>0.570409932035148</v>
      </c>
      <c r="S410" s="40" t="n">
        <f aca="true">RAND()</f>
        <v>0.649667779167508</v>
      </c>
      <c r="T410" s="40" t="n">
        <f aca="true">RAND()</f>
        <v>0.512818098989364</v>
      </c>
      <c r="U410" s="40" t="n">
        <f aca="true">RAND()</f>
        <v>0.449509107640321</v>
      </c>
    </row>
    <row r="411" customFormat="false" ht="15" hidden="false" customHeight="false" outlineLevel="0" collapsed="false">
      <c r="A411" s="36" t="n">
        <v>331</v>
      </c>
      <c r="B411" s="37" t="n">
        <f aca="false">1+IF($G$6=$E$6,$F$6,IF(P411&lt;($F$6-$E$6)/($G$6-$E$6),$E$6+SQRT(P411*($G$6-$E$6)*($F$6-$E$6)),$G$6-SQRT((1-P411)*($G$6-$E$6)*($G$6-$F$6))))</f>
        <v>0.973380101684344</v>
      </c>
      <c r="C411" s="37" t="n">
        <f aca="false">1+IF($G$7=$E$7,$F$7,IF(Q411&lt;($F$7-$E$7)/($G$7-$E$7),$E$7+SQRT(Q411*($G$7-$E$7)*($F$7-$E$7)),$G$7-SQRT((1-Q411)*($G$7-$E$7)*($G$7-$F$7))))</f>
        <v>1.01947272771486</v>
      </c>
      <c r="D411" s="37" t="n">
        <f aca="false">1+IF($G$8=$E$8,$F$8,IF(R411&lt;($F$8-$E$8)/($G$8-$E$8),$E$8+SQRT(R411*($G$8-$E$8)*($F$8-$E$8)),$G$8-SQRT((1-R411)*($G$8-$E$8)*($G$8-$F$8))))</f>
        <v>1.00507250243885</v>
      </c>
      <c r="E411" s="37" t="n">
        <f aca="false">1+IF($G$9=$E$9,$F$9,IF(S411&lt;($F$9-$E$9)/($G$9-$E$9),$E$9+SQRT(S411*($G$9-$E$9)*($F$9-$E$9)),$G$9-SQRT((1-S411)*($G$9-$E$9)*($G$9-$F$9))))</f>
        <v>0.973383790362206</v>
      </c>
      <c r="F411" s="37" t="n">
        <f aca="false">1+IF($G$10=$E$10,$F$10,IF(T411&lt;($F$10-$E$10)/($G$10-$E$10),$E$10+SQRT(T411*($G$10-$E$10)*($F$10-$E$10)),$G$10-SQRT((1-T411)*($G$10-$E$10)*($G$10-$F$10))))</f>
        <v>1.00580755949715</v>
      </c>
      <c r="G411" s="38" t="n">
        <f aca="false">IF($G$11=$E$11,$F$11,IF(U411&lt;($F$11-$E$11)/($G$11-$E$11),$E$11+SQRT(U411*($G$11-$E$11)*($F$11-$E$11)),$G$11-SQRT((1-U411)*($G$11-$E$11)*($G$11-$F$11))))</f>
        <v>0.10436535766009</v>
      </c>
      <c r="H411" s="39" t="n">
        <f aca="false">(('Business Case'!B11*$C411*'Business Case'!B12*$B411)-'Business Case'!B11*$C411*'Business Case'!B13*$D411-'Business Case'!B14*$E411)-MAX(0,(('Business Case'!B11*$C411*'Business Case'!B12*$B411)-'Business Case'!B11*$C411*'Business Case'!B13*$D411-'Business Case'!B14*$E411))*'Business Case'!$B$7-'Business Case'!$B$8*('Business Case'!B11*$C411*'Business Case'!B12*$B411)-'Business Case'!B15*$F411</f>
        <v>-2011615118.99429</v>
      </c>
      <c r="I411" s="39" t="n">
        <f aca="false">(('Business Case'!C11*$C411*'Business Case'!C12*$B411)-'Business Case'!C11*$C411*'Business Case'!C13*$D411-'Business Case'!C14*$E411)-MAX(0,(('Business Case'!C11*$C411*'Business Case'!C12*$B411)-'Business Case'!C11*$C411*'Business Case'!C13*$D411-'Business Case'!C14*$E411))*'Business Case'!$B$7-'Business Case'!$B$8*(('Business Case'!C11*$C411*'Business Case'!C12*$B411)-('Business Case'!B11*$C411*'Business Case'!B12*$B411))-'Business Case'!C15*$F411</f>
        <v>-2180932.22508092</v>
      </c>
      <c r="J411" s="39" t="n">
        <f aca="false">(('Business Case'!D11*$C411*'Business Case'!D12*$B411)-'Business Case'!D11*$C411*'Business Case'!D13*$D411-'Business Case'!D14*$E411)-MAX(0,(('Business Case'!D11*$C411*'Business Case'!D12*$B411)-'Business Case'!D11*$C411*'Business Case'!D13*$D411-'Business Case'!D14*$E411))*'Business Case'!$B$7-'Business Case'!$B$8*(('Business Case'!D11*$C411*'Business Case'!D12*$B411)-('Business Case'!C11*$C411*'Business Case'!C12*$B411))-'Business Case'!D15*$F411</f>
        <v>286076685.27739</v>
      </c>
      <c r="K411" s="39" t="n">
        <f aca="false">(('Business Case'!E11*$C411*'Business Case'!E12*$B411)-'Business Case'!E11*$C411*'Business Case'!E13*$D411-'Business Case'!E14*$E411)-MAX(0,(('Business Case'!E11*$C411*'Business Case'!E12*$B411)-'Business Case'!E11*$C411*'Business Case'!E13*$D411-'Business Case'!E14*$E411))*'Business Case'!$B$7-'Business Case'!$B$8*(('Business Case'!E11*$C411*'Business Case'!E12*$B411)-('Business Case'!D11*$C411*'Business Case'!D12*$B411))-'Business Case'!E15*$F411</f>
        <v>624624680.754718</v>
      </c>
      <c r="L411" s="39" t="n">
        <f aca="false">(('Business Case'!F11*$C411*'Business Case'!F12*$B411)-'Business Case'!F11*$C411*'Business Case'!F13*$D411-'Business Case'!F14*$E411)-MAX(0,(('Business Case'!F11*$C411*'Business Case'!F12*$B411)-'Business Case'!F11*$C411*'Business Case'!F13*$D411-'Business Case'!F14*$E411))*'Business Case'!$B$7-'Business Case'!$B$8*(('Business Case'!F11*$C411*'Business Case'!F12*$B411)-('Business Case'!E11*$C411*'Business Case'!E12*$B411))-'Business Case'!F15*$F411</f>
        <v>755005632.447763</v>
      </c>
      <c r="M411" s="39" t="n">
        <f aca="false">(('Business Case'!G11*$C411*'Business Case'!G12*$B411)-'Business Case'!G11*$C411*'Business Case'!G13*$D411-'Business Case'!G14*$E411)-MAX(0,(('Business Case'!G11*$C411*'Business Case'!G12*$B411)-'Business Case'!G11*$C411*'Business Case'!G13*$D411-'Business Case'!G14*$E411))*'Business Case'!$B$7-'Business Case'!$B$8*(('Business Case'!G11*$C411*'Business Case'!G12*$B411)-('Business Case'!F11*$C411*'Business Case'!F12*$B411))-'Business Case'!G15*$F411+'Business Case'!$B$8*('Business Case'!G11*$C411*'Business Case'!G12*$B411)</f>
        <v>943628568.004978</v>
      </c>
      <c r="N411" s="39" t="n">
        <f aca="false">IF(COUNT('Business Case'!B11:G11)=0,"",H411+NPV(G411,I411:M411))</f>
        <v>-233277866.026236</v>
      </c>
      <c r="P411" s="40" t="n">
        <f aca="true">RAND()</f>
        <v>0.296816172482388</v>
      </c>
      <c r="Q411" s="40" t="n">
        <f aca="true">RAND()</f>
        <v>0.675478689329544</v>
      </c>
      <c r="R411" s="40" t="n">
        <f aca="true">RAND()</f>
        <v>0.46017981819456</v>
      </c>
      <c r="S411" s="40" t="n">
        <f aca="true">RAND()</f>
        <v>0.0729068868938095</v>
      </c>
      <c r="T411" s="40" t="n">
        <f aca="true">RAND()</f>
        <v>0.24578592103092</v>
      </c>
      <c r="U411" s="40" t="n">
        <f aca="true">RAND()</f>
        <v>0.592596598171808</v>
      </c>
    </row>
    <row r="412" customFormat="false" ht="15" hidden="false" customHeight="false" outlineLevel="0" collapsed="false">
      <c r="A412" s="36" t="n">
        <v>332</v>
      </c>
      <c r="B412" s="37" t="n">
        <f aca="false">1+IF($G$6=$E$6,$F$6,IF(P412&lt;($F$6-$E$6)/($G$6-$E$6),$E$6+SQRT(P412*($G$6-$E$6)*($F$6-$E$6)),$G$6-SQRT((1-P412)*($G$6-$E$6)*($G$6-$F$6))))</f>
        <v>0.970115345868242</v>
      </c>
      <c r="C412" s="37" t="n">
        <f aca="false">1+IF($G$7=$E$7,$F$7,IF(Q412&lt;($F$7-$E$7)/($G$7-$E$7),$E$7+SQRT(Q412*($G$7-$E$7)*($F$7-$E$7)),$G$7-SQRT((1-Q412)*($G$7-$E$7)*($G$7-$F$7))))</f>
        <v>1.07607666250496</v>
      </c>
      <c r="D412" s="37" t="n">
        <f aca="false">1+IF($G$8=$E$8,$F$8,IF(R412&lt;($F$8-$E$8)/($G$8-$E$8),$E$8+SQRT(R412*($G$8-$E$8)*($F$8-$E$8)),$G$8-SQRT((1-R412)*($G$8-$E$8)*($G$8-$F$8))))</f>
        <v>0.973065891200783</v>
      </c>
      <c r="E412" s="37" t="n">
        <f aca="false">1+IF($G$9=$E$9,$F$9,IF(S412&lt;($F$9-$E$9)/($G$9-$E$9),$E$9+SQRT(S412*($G$9-$E$9)*($F$9-$E$9)),$G$9-SQRT((1-S412)*($G$9-$E$9)*($G$9-$F$9))))</f>
        <v>1.04695297810138</v>
      </c>
      <c r="F412" s="37" t="n">
        <f aca="false">1+IF($G$10=$E$10,$F$10,IF(T412&lt;($F$10-$E$10)/($G$10-$E$10),$E$10+SQRT(T412*($G$10-$E$10)*($F$10-$E$10)),$G$10-SQRT((1-T412)*($G$10-$E$10)*($G$10-$F$10))))</f>
        <v>1.14389470561868</v>
      </c>
      <c r="G412" s="38" t="n">
        <f aca="false">IF($G$11=$E$11,$F$11,IF(U412&lt;($F$11-$E$11)/($G$11-$E$11),$E$11+SQRT(U412*($G$11-$E$11)*($F$11-$E$11)),$G$11-SQRT((1-U412)*($G$11-$E$11)*($G$11-$F$11))))</f>
        <v>0.0932359091129777</v>
      </c>
      <c r="H412" s="39" t="n">
        <f aca="false">(('Business Case'!B11*$C412*'Business Case'!B12*$B412)-'Business Case'!B11*$C412*'Business Case'!B13*$D412-'Business Case'!B14*$E412)-MAX(0,(('Business Case'!B11*$C412*'Business Case'!B12*$B412)-'Business Case'!B11*$C412*'Business Case'!B13*$D412-'Business Case'!B14*$E412))*'Business Case'!$B$7-'Business Case'!$B$8*('Business Case'!B11*$C412*'Business Case'!B12*$B412)-'Business Case'!B15*$F412</f>
        <v>-2287789411.23736</v>
      </c>
      <c r="I412" s="39" t="n">
        <f aca="false">(('Business Case'!C11*$C412*'Business Case'!C12*$B412)-'Business Case'!C11*$C412*'Business Case'!C13*$D412-'Business Case'!C14*$E412)-MAX(0,(('Business Case'!C11*$C412*'Business Case'!C12*$B412)-'Business Case'!C11*$C412*'Business Case'!C13*$D412-'Business Case'!C14*$E412))*'Business Case'!$B$7-'Business Case'!$B$8*(('Business Case'!C11*$C412*'Business Case'!C12*$B412)-('Business Case'!B11*$C412*'Business Case'!B12*$B412))-'Business Case'!C15*$F412</f>
        <v>1633379.20217115</v>
      </c>
      <c r="J412" s="39" t="n">
        <f aca="false">(('Business Case'!D11*$C412*'Business Case'!D12*$B412)-'Business Case'!D11*$C412*'Business Case'!D13*$D412-'Business Case'!D14*$E412)-MAX(0,(('Business Case'!D11*$C412*'Business Case'!D12*$B412)-'Business Case'!D11*$C412*'Business Case'!D13*$D412-'Business Case'!D14*$E412))*'Business Case'!$B$7-'Business Case'!$B$8*(('Business Case'!D11*$C412*'Business Case'!D12*$B412)-('Business Case'!C11*$C412*'Business Case'!C12*$B412))-'Business Case'!D15*$F412</f>
        <v>320649676.643437</v>
      </c>
      <c r="K412" s="39" t="n">
        <f aca="false">(('Business Case'!E11*$C412*'Business Case'!E12*$B412)-'Business Case'!E11*$C412*'Business Case'!E13*$D412-'Business Case'!E14*$E412)-MAX(0,(('Business Case'!E11*$C412*'Business Case'!E12*$B412)-'Business Case'!E11*$C412*'Business Case'!E13*$D412-'Business Case'!E14*$E412))*'Business Case'!$B$7-'Business Case'!$B$8*(('Business Case'!E11*$C412*'Business Case'!E12*$B412)-('Business Case'!D11*$C412*'Business Case'!D12*$B412))-'Business Case'!E15*$F412</f>
        <v>696860709.365637</v>
      </c>
      <c r="L412" s="39" t="n">
        <f aca="false">(('Business Case'!F11*$C412*'Business Case'!F12*$B412)-'Business Case'!F11*$C412*'Business Case'!F13*$D412-'Business Case'!F14*$E412)-MAX(0,(('Business Case'!F11*$C412*'Business Case'!F12*$B412)-'Business Case'!F11*$C412*'Business Case'!F13*$D412-'Business Case'!F14*$E412))*'Business Case'!$B$7-'Business Case'!$B$8*(('Business Case'!F11*$C412*'Business Case'!F12*$B412)-('Business Case'!E11*$C412*'Business Case'!E12*$B412))-'Business Case'!F15*$F412</f>
        <v>839277297.973532</v>
      </c>
      <c r="M412" s="39" t="n">
        <f aca="false">(('Business Case'!G11*$C412*'Business Case'!G12*$B412)-'Business Case'!G11*$C412*'Business Case'!G13*$D412-'Business Case'!G14*$E412)-MAX(0,(('Business Case'!G11*$C412*'Business Case'!G12*$B412)-'Business Case'!G11*$C412*'Business Case'!G13*$D412-'Business Case'!G14*$E412))*'Business Case'!$B$7-'Business Case'!$B$8*(('Business Case'!G11*$C412*'Business Case'!G12*$B412)-('Business Case'!F11*$C412*'Business Case'!F12*$B412))-'Business Case'!G15*$F412+'Business Case'!$B$8*('Business Case'!G11*$C412*'Business Case'!G12*$B412)</f>
        <v>1037705323.3413</v>
      </c>
      <c r="N412" s="39" t="n">
        <f aca="false">IF(COUNT('Business Case'!B11:G11)=0,"",H412+NPV(G412,I412:M412))</f>
        <v>-232594436.058472</v>
      </c>
      <c r="P412" s="40" t="n">
        <f aca="true">RAND()</f>
        <v>0.261619572030576</v>
      </c>
      <c r="Q412" s="40" t="n">
        <f aca="true">RAND()</f>
        <v>0.895911241401794</v>
      </c>
      <c r="R412" s="40" t="n">
        <f aca="true">RAND()</f>
        <v>0.0818515902902051</v>
      </c>
      <c r="S412" s="40" t="n">
        <f aca="true">RAND()</f>
        <v>0.812400897845839</v>
      </c>
      <c r="T412" s="40" t="n">
        <f aca="true">RAND()</f>
        <v>0.937043918847705</v>
      </c>
      <c r="U412" s="40" t="n">
        <f aca="true">RAND()</f>
        <v>0.0349036926248403</v>
      </c>
    </row>
    <row r="413" customFormat="false" ht="15" hidden="false" customHeight="false" outlineLevel="0" collapsed="false">
      <c r="A413" s="36" t="n">
        <v>333</v>
      </c>
      <c r="B413" s="37" t="n">
        <f aca="false">1+IF($G$6=$E$6,$F$6,IF(P413&lt;($F$6-$E$6)/($G$6-$E$6),$E$6+SQRT(P413*($G$6-$E$6)*($F$6-$E$6)),$G$6-SQRT((1-P413)*($G$6-$E$6)*($G$6-$F$6))))</f>
        <v>1.0023064657616</v>
      </c>
      <c r="C413" s="37" t="n">
        <f aca="false">1+IF($G$7=$E$7,$F$7,IF(Q413&lt;($F$7-$E$7)/($G$7-$E$7),$E$7+SQRT(Q413*($G$7-$E$7)*($F$7-$E$7)),$G$7-SQRT((1-Q413)*($G$7-$E$7)*($G$7-$F$7))))</f>
        <v>0.927727568542653</v>
      </c>
      <c r="D413" s="37" t="n">
        <f aca="false">1+IF($G$8=$E$8,$F$8,IF(R413&lt;($F$8-$E$8)/($G$8-$E$8),$E$8+SQRT(R413*($G$8-$E$8)*($F$8-$E$8)),$G$8-SQRT((1-R413)*($G$8-$E$8)*($G$8-$F$8))))</f>
        <v>0.966762029590287</v>
      </c>
      <c r="E413" s="37" t="n">
        <f aca="false">1+IF($G$9=$E$9,$F$9,IF(S413&lt;($F$9-$E$9)/($G$9-$E$9),$E$9+SQRT(S413*($G$9-$E$9)*($F$9-$E$9)),$G$9-SQRT((1-S413)*($G$9-$E$9)*($G$9-$F$9))))</f>
        <v>0.984796578263806</v>
      </c>
      <c r="F413" s="37" t="n">
        <f aca="false">1+IF($G$10=$E$10,$F$10,IF(T413&lt;($F$10-$E$10)/($G$10-$E$10),$E$10+SQRT(T413*($G$10-$E$10)*($F$10-$E$10)),$G$10-SQRT((1-T413)*($G$10-$E$10)*($G$10-$F$10))))</f>
        <v>1.03852794892448</v>
      </c>
      <c r="G413" s="38" t="n">
        <f aca="false">IF($G$11=$E$11,$F$11,IF(U413&lt;($F$11-$E$11)/($G$11-$E$11),$E$11+SQRT(U413*($G$11-$E$11)*($F$11-$E$11)),$G$11-SQRT((1-U413)*($G$11-$E$11)*($G$11-$F$11))))</f>
        <v>0.0985231863922291</v>
      </c>
      <c r="H413" s="39" t="n">
        <f aca="false">(('Business Case'!B11*$C413*'Business Case'!B12*$B413)-'Business Case'!B11*$C413*'Business Case'!B13*$D413-'Business Case'!B14*$E413)-MAX(0,(('Business Case'!B11*$C413*'Business Case'!B12*$B413)-'Business Case'!B11*$C413*'Business Case'!B13*$D413-'Business Case'!B14*$E413))*'Business Case'!$B$7-'Business Case'!$B$8*('Business Case'!B11*$C413*'Business Case'!B12*$B413)-'Business Case'!B15*$F413</f>
        <v>-2077055897.84896</v>
      </c>
      <c r="I413" s="39" t="n">
        <f aca="false">(('Business Case'!C11*$C413*'Business Case'!C12*$B413)-'Business Case'!C11*$C413*'Business Case'!C13*$D413-'Business Case'!C14*$E413)-MAX(0,(('Business Case'!C11*$C413*'Business Case'!C12*$B413)-'Business Case'!C11*$C413*'Business Case'!C13*$D413-'Business Case'!C14*$E413))*'Business Case'!$B$7-'Business Case'!$B$8*(('Business Case'!C11*$C413*'Business Case'!C12*$B413)-('Business Case'!B11*$C413*'Business Case'!B12*$B413))-'Business Case'!C15*$F413</f>
        <v>10396267.362707</v>
      </c>
      <c r="J413" s="39" t="n">
        <f aca="false">(('Business Case'!D11*$C413*'Business Case'!D12*$B413)-'Business Case'!D11*$C413*'Business Case'!D13*$D413-'Business Case'!D14*$E413)-MAX(0,(('Business Case'!D11*$C413*'Business Case'!D12*$B413)-'Business Case'!D11*$C413*'Business Case'!D13*$D413-'Business Case'!D14*$E413))*'Business Case'!$B$7-'Business Case'!$B$8*(('Business Case'!D11*$C413*'Business Case'!D12*$B413)-('Business Case'!C11*$C413*'Business Case'!C12*$B413))-'Business Case'!D15*$F413</f>
        <v>312887725.974119</v>
      </c>
      <c r="K413" s="39" t="n">
        <f aca="false">(('Business Case'!E11*$C413*'Business Case'!E12*$B413)-'Business Case'!E11*$C413*'Business Case'!E13*$D413-'Business Case'!E14*$E413)-MAX(0,(('Business Case'!E11*$C413*'Business Case'!E12*$B413)-'Business Case'!E11*$C413*'Business Case'!E13*$D413-'Business Case'!E14*$E413))*'Business Case'!$B$7-'Business Case'!$B$8*(('Business Case'!E11*$C413*'Business Case'!E12*$B413)-('Business Case'!D11*$C413*'Business Case'!D12*$B413))-'Business Case'!E15*$F413</f>
        <v>667305582.031756</v>
      </c>
      <c r="L413" s="39" t="n">
        <f aca="false">(('Business Case'!F11*$C413*'Business Case'!F12*$B413)-'Business Case'!F11*$C413*'Business Case'!F13*$D413-'Business Case'!F14*$E413)-MAX(0,(('Business Case'!F11*$C413*'Business Case'!F12*$B413)-'Business Case'!F11*$C413*'Business Case'!F13*$D413-'Business Case'!F14*$E413))*'Business Case'!$B$7-'Business Case'!$B$8*(('Business Case'!F11*$C413*'Business Case'!F12*$B413)-('Business Case'!E11*$C413*'Business Case'!E12*$B413))-'Business Case'!F15*$F413</f>
        <v>800272283.520322</v>
      </c>
      <c r="M413" s="39" t="n">
        <f aca="false">(('Business Case'!G11*$C413*'Business Case'!G12*$B413)-'Business Case'!G11*$C413*'Business Case'!G13*$D413-'Business Case'!G14*$E413)-MAX(0,(('Business Case'!G11*$C413*'Business Case'!G12*$B413)-'Business Case'!G11*$C413*'Business Case'!G13*$D413-'Business Case'!G14*$E413))*'Business Case'!$B$7-'Business Case'!$B$8*(('Business Case'!G11*$C413*'Business Case'!G12*$B413)-('Business Case'!F11*$C413*'Business Case'!F12*$B413))-'Business Case'!G15*$F413+'Business Case'!$B$8*('Business Case'!G11*$C413*'Business Case'!G12*$B413)</f>
        <v>977021467.586518</v>
      </c>
      <c r="N413" s="39" t="n">
        <f aca="false">IF(COUNT('Business Case'!B11:G11)=0,"",H413+NPV(G413,I413:M413))</f>
        <v>-144645896.196507</v>
      </c>
      <c r="P413" s="40" t="n">
        <f aca="true">RAND()</f>
        <v>0.703999474295572</v>
      </c>
      <c r="Q413" s="40" t="n">
        <f aca="true">RAND()</f>
        <v>0.233061882368832</v>
      </c>
      <c r="R413" s="40" t="n">
        <f aca="true">RAND()</f>
        <v>0.0432254824593327</v>
      </c>
      <c r="S413" s="40" t="n">
        <f aca="true">RAND()</f>
        <v>0.161440247849219</v>
      </c>
      <c r="T413" s="40" t="n">
        <f aca="true">RAND()</f>
        <v>0.478535534429289</v>
      </c>
      <c r="U413" s="40" t="n">
        <f aca="true">RAND()</f>
        <v>0.242149020922264</v>
      </c>
    </row>
    <row r="414" customFormat="false" ht="15" hidden="false" customHeight="false" outlineLevel="0" collapsed="false">
      <c r="A414" s="36" t="n">
        <v>334</v>
      </c>
      <c r="B414" s="37" t="n">
        <f aca="false">1+IF($G$6=$E$6,$F$6,IF(P414&lt;($F$6-$E$6)/($G$6-$E$6),$E$6+SQRT(P414*($G$6-$E$6)*($F$6-$E$6)),$G$6-SQRT((1-P414)*($G$6-$E$6)*($G$6-$F$6))))</f>
        <v>1.00800178020863</v>
      </c>
      <c r="C414" s="37" t="n">
        <f aca="false">1+IF($G$7=$E$7,$F$7,IF(Q414&lt;($F$7-$E$7)/($G$7-$E$7),$E$7+SQRT(Q414*($G$7-$E$7)*($F$7-$E$7)),$G$7-SQRT((1-Q414)*($G$7-$E$7)*($G$7-$F$7))))</f>
        <v>0.962929888658474</v>
      </c>
      <c r="D414" s="37" t="n">
        <f aca="false">1+IF($G$8=$E$8,$F$8,IF(R414&lt;($F$8-$E$8)/($G$8-$E$8),$E$8+SQRT(R414*($G$8-$E$8)*($F$8-$E$8)),$G$8-SQRT((1-R414)*($G$8-$E$8)*($G$8-$F$8))))</f>
        <v>1.05145861578373</v>
      </c>
      <c r="E414" s="37" t="n">
        <f aca="false">1+IF($G$9=$E$9,$F$9,IF(S414&lt;($F$9-$E$9)/($G$9-$E$9),$E$9+SQRT(S414*($G$9-$E$9)*($F$9-$E$9)),$G$9-SQRT((1-S414)*($G$9-$E$9)*($G$9-$F$9))))</f>
        <v>1.04211038570503</v>
      </c>
      <c r="F414" s="37" t="n">
        <f aca="false">1+IF($G$10=$E$10,$F$10,IF(T414&lt;($F$10-$E$10)/($G$10-$E$10),$E$10+SQRT(T414*($G$10-$E$10)*($F$10-$E$10)),$G$10-SQRT((1-T414)*($G$10-$E$10)*($G$10-$F$10))))</f>
        <v>1.04451187596723</v>
      </c>
      <c r="G414" s="38" t="n">
        <f aca="false">IF($G$11=$E$11,$F$11,IF(U414&lt;($F$11-$E$11)/($G$11-$E$11),$E$11+SQRT(U414*($G$11-$E$11)*($F$11-$E$11)),$G$11-SQRT((1-U414)*($G$11-$E$11)*($G$11-$F$11))))</f>
        <v>0.10201349402891</v>
      </c>
      <c r="H414" s="39" t="n">
        <f aca="false">(('Business Case'!B11*$C414*'Business Case'!B12*$B414)-'Business Case'!B11*$C414*'Business Case'!B13*$D414-'Business Case'!B14*$E414)-MAX(0,(('Business Case'!B11*$C414*'Business Case'!B12*$B414)-'Business Case'!B11*$C414*'Business Case'!B13*$D414-'Business Case'!B14*$E414))*'Business Case'!$B$7-'Business Case'!$B$8*('Business Case'!B11*$C414*'Business Case'!B12*$B414)-'Business Case'!B15*$F414</f>
        <v>-2089023751.93446</v>
      </c>
      <c r="I414" s="39" t="n">
        <f aca="false">(('Business Case'!C11*$C414*'Business Case'!C12*$B414)-'Business Case'!C11*$C414*'Business Case'!C13*$D414-'Business Case'!C14*$E414)-MAX(0,(('Business Case'!C11*$C414*'Business Case'!C12*$B414)-'Business Case'!C11*$C414*'Business Case'!C13*$D414-'Business Case'!C14*$E414))*'Business Case'!$B$7-'Business Case'!$B$8*(('Business Case'!C11*$C414*'Business Case'!C12*$B414)-('Business Case'!B11*$C414*'Business Case'!B12*$B414))-'Business Case'!C15*$F414</f>
        <v>-26246256.4851272</v>
      </c>
      <c r="J414" s="39" t="n">
        <f aca="false">(('Business Case'!D11*$C414*'Business Case'!D12*$B414)-'Business Case'!D11*$C414*'Business Case'!D13*$D414-'Business Case'!D14*$E414)-MAX(0,(('Business Case'!D11*$C414*'Business Case'!D12*$B414)-'Business Case'!D11*$C414*'Business Case'!D13*$D414-'Business Case'!D14*$E414))*'Business Case'!$B$7-'Business Case'!$B$8*(('Business Case'!D11*$C414*'Business Case'!D12*$B414)-('Business Case'!C11*$C414*'Business Case'!C12*$B414))-'Business Case'!D15*$F414</f>
        <v>250464492.050166</v>
      </c>
      <c r="K414" s="39" t="n">
        <f aca="false">(('Business Case'!E11*$C414*'Business Case'!E12*$B414)-'Business Case'!E11*$C414*'Business Case'!E13*$D414-'Business Case'!E14*$E414)-MAX(0,(('Business Case'!E11*$C414*'Business Case'!E12*$B414)-'Business Case'!E11*$C414*'Business Case'!E13*$D414-'Business Case'!E14*$E414))*'Business Case'!$B$7-'Business Case'!$B$8*(('Business Case'!E11*$C414*'Business Case'!E12*$B414)-('Business Case'!D11*$C414*'Business Case'!D12*$B414))-'Business Case'!E15*$F414</f>
        <v>579400834.38382</v>
      </c>
      <c r="L414" s="39" t="n">
        <f aca="false">(('Business Case'!F11*$C414*'Business Case'!F12*$B414)-'Business Case'!F11*$C414*'Business Case'!F13*$D414-'Business Case'!F14*$E414)-MAX(0,(('Business Case'!F11*$C414*'Business Case'!F12*$B414)-'Business Case'!F11*$C414*'Business Case'!F13*$D414-'Business Case'!F14*$E414))*'Business Case'!$B$7-'Business Case'!$B$8*(('Business Case'!F11*$C414*'Business Case'!F12*$B414)-('Business Case'!E11*$C414*'Business Case'!E12*$B414))-'Business Case'!F15*$F414</f>
        <v>705182897.613213</v>
      </c>
      <c r="M414" s="39" t="n">
        <f aca="false">(('Business Case'!G11*$C414*'Business Case'!G12*$B414)-'Business Case'!G11*$C414*'Business Case'!G13*$D414-'Business Case'!G14*$E414)-MAX(0,(('Business Case'!G11*$C414*'Business Case'!G12*$B414)-'Business Case'!G11*$C414*'Business Case'!G13*$D414-'Business Case'!G14*$E414))*'Business Case'!$B$7-'Business Case'!$B$8*(('Business Case'!G11*$C414*'Business Case'!G12*$B414)-('Business Case'!F11*$C414*'Business Case'!F12*$B414))-'Business Case'!G15*$F414+'Business Case'!$B$8*('Business Case'!G11*$C414*'Business Case'!G12*$B414)</f>
        <v>889681206.3935</v>
      </c>
      <c r="N414" s="39" t="n">
        <f aca="false">IF(COUNT('Business Case'!B11:G11)=0,"",H414+NPV(G414,I414:M414))</f>
        <v>-448137237.436734</v>
      </c>
      <c r="P414" s="40" t="n">
        <f aca="true">RAND()</f>
        <v>0.78669040212145</v>
      </c>
      <c r="Q414" s="40" t="n">
        <f aca="true">RAND()</f>
        <v>0.37923069454661</v>
      </c>
      <c r="R414" s="40" t="n">
        <f aca="true">RAND()</f>
        <v>0.921672056444163</v>
      </c>
      <c r="S414" s="40" t="n">
        <f aca="true">RAND()</f>
        <v>0.776586170451967</v>
      </c>
      <c r="T414" s="40" t="n">
        <f aca="true">RAND()</f>
        <v>0.516468865695387</v>
      </c>
      <c r="U414" s="40" t="n">
        <f aca="true">RAND()</f>
        <v>0.460809338253263</v>
      </c>
    </row>
    <row r="415" customFormat="false" ht="15" hidden="false" customHeight="false" outlineLevel="0" collapsed="false">
      <c r="A415" s="36" t="n">
        <v>335</v>
      </c>
      <c r="B415" s="37" t="n">
        <f aca="false">1+IF($G$6=$E$6,$F$6,IF(P415&lt;($F$6-$E$6)/($G$6-$E$6),$E$6+SQRT(P415*($G$6-$E$6)*($F$6-$E$6)),$G$6-SQRT((1-P415)*($G$6-$E$6)*($G$6-$F$6))))</f>
        <v>0.978170751288929</v>
      </c>
      <c r="C415" s="37" t="n">
        <f aca="false">1+IF($G$7=$E$7,$F$7,IF(Q415&lt;($F$7-$E$7)/($G$7-$E$7),$E$7+SQRT(Q415*($G$7-$E$7)*($F$7-$E$7)),$G$7-SQRT((1-Q415)*($G$7-$E$7)*($G$7-$F$7))))</f>
        <v>0.96891504782586</v>
      </c>
      <c r="D415" s="37" t="n">
        <f aca="false">1+IF($G$8=$E$8,$F$8,IF(R415&lt;($F$8-$E$8)/($G$8-$E$8),$E$8+SQRT(R415*($G$8-$E$8)*($F$8-$E$8)),$G$8-SQRT((1-R415)*($G$8-$E$8)*($G$8-$F$8))))</f>
        <v>0.976466912321603</v>
      </c>
      <c r="E415" s="37" t="n">
        <f aca="false">1+IF($G$9=$E$9,$F$9,IF(S415&lt;($F$9-$E$9)/($G$9-$E$9),$E$9+SQRT(S415*($G$9-$E$9)*($F$9-$E$9)),$G$9-SQRT((1-S415)*($G$9-$E$9)*($G$9-$F$9))))</f>
        <v>1.00713228903422</v>
      </c>
      <c r="F415" s="37" t="n">
        <f aca="false">1+IF($G$10=$E$10,$F$10,IF(T415&lt;($F$10-$E$10)/($G$10-$E$10),$E$10+SQRT(T415*($G$10-$E$10)*($F$10-$E$10)),$G$10-SQRT((1-T415)*($G$10-$E$10)*($G$10-$F$10))))</f>
        <v>1.07090810616894</v>
      </c>
      <c r="G415" s="38" t="n">
        <f aca="false">IF($G$11=$E$11,$F$11,IF(U415&lt;($F$11-$E$11)/($G$11-$E$11),$E$11+SQRT(U415*($G$11-$E$11)*($F$11-$E$11)),$G$11-SQRT((1-U415)*($G$11-$E$11)*($G$11-$F$11))))</f>
        <v>0.112820188072992</v>
      </c>
      <c r="H415" s="39" t="n">
        <f aca="false">(('Business Case'!B11*$C415*'Business Case'!B12*$B415)-'Business Case'!B11*$C415*'Business Case'!B13*$D415-'Business Case'!B14*$E415)-MAX(0,(('Business Case'!B11*$C415*'Business Case'!B12*$B415)-'Business Case'!B11*$C415*'Business Case'!B13*$D415-'Business Case'!B14*$E415))*'Business Case'!$B$7-'Business Case'!$B$8*('Business Case'!B11*$C415*'Business Case'!B12*$B415)-'Business Case'!B15*$F415</f>
        <v>-2141816212.33789</v>
      </c>
      <c r="I415" s="39" t="n">
        <f aca="false">(('Business Case'!C11*$C415*'Business Case'!C12*$B415)-'Business Case'!C11*$C415*'Business Case'!C13*$D415-'Business Case'!C14*$E415)-MAX(0,(('Business Case'!C11*$C415*'Business Case'!C12*$B415)-'Business Case'!C11*$C415*'Business Case'!C13*$D415-'Business Case'!C14*$E415))*'Business Case'!$B$7-'Business Case'!$B$8*(('Business Case'!C11*$C415*'Business Case'!C12*$B415)-('Business Case'!B11*$C415*'Business Case'!B12*$B415))-'Business Case'!C15*$F415</f>
        <v>-7484291.72926602</v>
      </c>
      <c r="J415" s="39" t="n">
        <f aca="false">(('Business Case'!D11*$C415*'Business Case'!D12*$B415)-'Business Case'!D11*$C415*'Business Case'!D13*$D415-'Business Case'!D14*$E415)-MAX(0,(('Business Case'!D11*$C415*'Business Case'!D12*$B415)-'Business Case'!D11*$C415*'Business Case'!D13*$D415-'Business Case'!D14*$E415))*'Business Case'!$B$7-'Business Case'!$B$8*(('Business Case'!D11*$C415*'Business Case'!D12*$B415)-('Business Case'!C11*$C415*'Business Case'!C12*$B415))-'Business Case'!D15*$F415</f>
        <v>284468543.095268</v>
      </c>
      <c r="K415" s="39" t="n">
        <f aca="false">(('Business Case'!E11*$C415*'Business Case'!E12*$B415)-'Business Case'!E11*$C415*'Business Case'!E13*$D415-'Business Case'!E14*$E415)-MAX(0,(('Business Case'!E11*$C415*'Business Case'!E12*$B415)-'Business Case'!E11*$C415*'Business Case'!E13*$D415-'Business Case'!E14*$E415))*'Business Case'!$B$7-'Business Case'!$B$8*(('Business Case'!E11*$C415*'Business Case'!E12*$B415)-('Business Case'!D11*$C415*'Business Case'!D12*$B415))-'Business Case'!E15*$F415</f>
        <v>629966783.22825</v>
      </c>
      <c r="L415" s="39" t="n">
        <f aca="false">(('Business Case'!F11*$C415*'Business Case'!F12*$B415)-'Business Case'!F11*$C415*'Business Case'!F13*$D415-'Business Case'!F14*$E415)-MAX(0,(('Business Case'!F11*$C415*'Business Case'!F12*$B415)-'Business Case'!F11*$C415*'Business Case'!F13*$D415-'Business Case'!F14*$E415))*'Business Case'!$B$7-'Business Case'!$B$8*(('Business Case'!F11*$C415*'Business Case'!F12*$B415)-('Business Case'!E11*$C415*'Business Case'!E12*$B415))-'Business Case'!F15*$F415</f>
        <v>760039131.127254</v>
      </c>
      <c r="M415" s="39" t="n">
        <f aca="false">(('Business Case'!G11*$C415*'Business Case'!G12*$B415)-'Business Case'!G11*$C415*'Business Case'!G13*$D415-'Business Case'!G14*$E415)-MAX(0,(('Business Case'!G11*$C415*'Business Case'!G12*$B415)-'Business Case'!G11*$C415*'Business Case'!G13*$D415-'Business Case'!G14*$E415))*'Business Case'!$B$7-'Business Case'!$B$8*(('Business Case'!G11*$C415*'Business Case'!G12*$B415)-('Business Case'!F11*$C415*'Business Case'!F12*$B415))-'Business Case'!G15*$F415+'Business Case'!$B$8*('Business Case'!G11*$C415*'Business Case'!G12*$B415)</f>
        <v>940190180.7268</v>
      </c>
      <c r="N415" s="39" t="n">
        <f aca="false">IF(COUNT('Business Case'!B11:G11)=0,"",H415+NPV(G415,I415:M415))</f>
        <v>-415168217.600989</v>
      </c>
      <c r="P415" s="40" t="n">
        <f aca="true">RAND()</f>
        <v>0.352482948491503</v>
      </c>
      <c r="Q415" s="40" t="n">
        <f aca="true">RAND()</f>
        <v>0.407604191171609</v>
      </c>
      <c r="R415" s="40" t="n">
        <f aca="true">RAND()</f>
        <v>0.107768838129145</v>
      </c>
      <c r="S415" s="40" t="n">
        <f aca="true">RAND()</f>
        <v>0.425039217331774</v>
      </c>
      <c r="T415" s="40" t="n">
        <f aca="true">RAND()</f>
        <v>0.666705658942228</v>
      </c>
      <c r="U415" s="40" t="n">
        <f aca="true">RAND()</f>
        <v>0.914083834487989</v>
      </c>
    </row>
    <row r="416" customFormat="false" ht="15" hidden="false" customHeight="false" outlineLevel="0" collapsed="false">
      <c r="A416" s="36" t="n">
        <v>336</v>
      </c>
      <c r="B416" s="37" t="n">
        <f aca="false">1+IF($G$6=$E$6,$F$6,IF(P416&lt;($F$6-$E$6)/($G$6-$E$6),$E$6+SQRT(P416*($G$6-$E$6)*($F$6-$E$6)),$G$6-SQRT((1-P416)*($G$6-$E$6)*($G$6-$F$6))))</f>
        <v>0.997555872980745</v>
      </c>
      <c r="C416" s="37" t="n">
        <f aca="false">1+IF($G$7=$E$7,$F$7,IF(Q416&lt;($F$7-$E$7)/($G$7-$E$7),$E$7+SQRT(Q416*($G$7-$E$7)*($F$7-$E$7)),$G$7-SQRT((1-Q416)*($G$7-$E$7)*($G$7-$F$7))))</f>
        <v>0.869569501450092</v>
      </c>
      <c r="D416" s="37" t="n">
        <f aca="false">1+IF($G$8=$E$8,$F$8,IF(R416&lt;($F$8-$E$8)/($G$8-$E$8),$E$8+SQRT(R416*($G$8-$E$8)*($F$8-$E$8)),$G$8-SQRT((1-R416)*($G$8-$E$8)*($G$8-$F$8))))</f>
        <v>1.03434257771847</v>
      </c>
      <c r="E416" s="37" t="n">
        <f aca="false">1+IF($G$9=$E$9,$F$9,IF(S416&lt;($F$9-$E$9)/($G$9-$E$9),$E$9+SQRT(S416*($G$9-$E$9)*($F$9-$E$9)),$G$9-SQRT((1-S416)*($G$9-$E$9)*($G$9-$F$9))))</f>
        <v>0.967026758224107</v>
      </c>
      <c r="F416" s="37" t="n">
        <f aca="false">1+IF($G$10=$E$10,$F$10,IF(T416&lt;($F$10-$E$10)/($G$10-$E$10),$E$10+SQRT(T416*($G$10-$E$10)*($F$10-$E$10)),$G$10-SQRT((1-T416)*($G$10-$E$10)*($G$10-$F$10))))</f>
        <v>0.997678546731751</v>
      </c>
      <c r="G416" s="38" t="n">
        <f aca="false">IF($G$11=$E$11,$F$11,IF(U416&lt;($F$11-$E$11)/($G$11-$E$11),$E$11+SQRT(U416*($G$11-$E$11)*($F$11-$E$11)),$G$11-SQRT((1-U416)*($G$11-$E$11)*($G$11-$F$11))))</f>
        <v>0.118653216882285</v>
      </c>
      <c r="H416" s="39" t="n">
        <f aca="false">(('Business Case'!B11*$C416*'Business Case'!B12*$B416)-'Business Case'!B11*$C416*'Business Case'!B13*$D416-'Business Case'!B14*$E416)-MAX(0,(('Business Case'!B11*$C416*'Business Case'!B12*$B416)-'Business Case'!B11*$C416*'Business Case'!B13*$D416-'Business Case'!B14*$E416))*'Business Case'!$B$7-'Business Case'!$B$8*('Business Case'!B11*$C416*'Business Case'!B12*$B416)-'Business Case'!B15*$F416</f>
        <v>-1995357093.4635</v>
      </c>
      <c r="I416" s="39" t="n">
        <f aca="false">(('Business Case'!C11*$C416*'Business Case'!C12*$B416)-'Business Case'!C11*$C416*'Business Case'!C13*$D416-'Business Case'!C14*$E416)-MAX(0,(('Business Case'!C11*$C416*'Business Case'!C12*$B416)-'Business Case'!C11*$C416*'Business Case'!C13*$D416-'Business Case'!C14*$E416))*'Business Case'!$B$7-'Business Case'!$B$8*(('Business Case'!C11*$C416*'Business Case'!C12*$B416)-('Business Case'!B11*$C416*'Business Case'!B12*$B416))-'Business Case'!C15*$F416</f>
        <v>-32185757.8335937</v>
      </c>
      <c r="J416" s="39" t="n">
        <f aca="false">(('Business Case'!D11*$C416*'Business Case'!D12*$B416)-'Business Case'!D11*$C416*'Business Case'!D13*$D416-'Business Case'!D14*$E416)-MAX(0,(('Business Case'!D11*$C416*'Business Case'!D12*$B416)-'Business Case'!D11*$C416*'Business Case'!D13*$D416-'Business Case'!D14*$E416))*'Business Case'!$B$7-'Business Case'!$B$8*(('Business Case'!D11*$C416*'Business Case'!D12*$B416)-('Business Case'!C11*$C416*'Business Case'!C12*$B416))-'Business Case'!D15*$F416</f>
        <v>217875849.442451</v>
      </c>
      <c r="K416" s="39" t="n">
        <f aca="false">(('Business Case'!E11*$C416*'Business Case'!E12*$B416)-'Business Case'!E11*$C416*'Business Case'!E13*$D416-'Business Case'!E14*$E416)-MAX(0,(('Business Case'!E11*$C416*'Business Case'!E12*$B416)-'Business Case'!E11*$C416*'Business Case'!E13*$D416-'Business Case'!E14*$E416))*'Business Case'!$B$7-'Business Case'!$B$8*(('Business Case'!E11*$C416*'Business Case'!E12*$B416)-('Business Case'!D11*$C416*'Business Case'!D12*$B416))-'Business Case'!E15*$F416</f>
        <v>517821384.055083</v>
      </c>
      <c r="L416" s="39" t="n">
        <f aca="false">(('Business Case'!F11*$C416*'Business Case'!F12*$B416)-'Business Case'!F11*$C416*'Business Case'!F13*$D416-'Business Case'!F14*$E416)-MAX(0,(('Business Case'!F11*$C416*'Business Case'!F12*$B416)-'Business Case'!F11*$C416*'Business Case'!F13*$D416-'Business Case'!F14*$E416))*'Business Case'!$B$7-'Business Case'!$B$8*(('Business Case'!F11*$C416*'Business Case'!F12*$B416)-('Business Case'!E11*$C416*'Business Case'!E12*$B416))-'Business Case'!F15*$F416</f>
        <v>631154123.425094</v>
      </c>
      <c r="M416" s="39" t="n">
        <f aca="false">(('Business Case'!G11*$C416*'Business Case'!G12*$B416)-'Business Case'!G11*$C416*'Business Case'!G13*$D416-'Business Case'!G14*$E416)-MAX(0,(('Business Case'!G11*$C416*'Business Case'!G12*$B416)-'Business Case'!G11*$C416*'Business Case'!G13*$D416-'Business Case'!G14*$E416))*'Business Case'!$B$7-'Business Case'!$B$8*(('Business Case'!G11*$C416*'Business Case'!G12*$B416)-('Business Case'!F11*$C416*'Business Case'!F12*$B416))-'Business Case'!G15*$F416+'Business Case'!$B$8*('Business Case'!G11*$C416*'Business Case'!G12*$B416)</f>
        <v>796037909.954076</v>
      </c>
      <c r="N416" s="39" t="n">
        <f aca="false">IF(COUNT('Business Case'!B11:G11)=0,"",H416+NPV(G416,I416:M416))</f>
        <v>-622649486.108031</v>
      </c>
      <c r="P416" s="40" t="n">
        <f aca="true">RAND()</f>
        <v>0.626553482688061</v>
      </c>
      <c r="Q416" s="40" t="n">
        <f aca="true">RAND()</f>
        <v>0.0691416504573482</v>
      </c>
      <c r="R416" s="40" t="n">
        <f aca="true">RAND()</f>
        <v>0.799557672173614</v>
      </c>
      <c r="S416" s="40" t="n">
        <f aca="true">RAND()</f>
        <v>0.0386547327496261</v>
      </c>
      <c r="T416" s="40" t="n">
        <f aca="true">RAND()</f>
        <v>0.181859505476141</v>
      </c>
      <c r="U416" s="40" t="n">
        <f aca="true">RAND()</f>
        <v>0.996976958723062</v>
      </c>
    </row>
    <row r="417" customFormat="false" ht="15" hidden="false" customHeight="false" outlineLevel="0" collapsed="false">
      <c r="A417" s="36" t="n">
        <v>337</v>
      </c>
      <c r="B417" s="37" t="n">
        <f aca="false">1+IF($G$6=$E$6,$F$6,IF(P417&lt;($F$6-$E$6)/($G$6-$E$6),$E$6+SQRT(P417*($G$6-$E$6)*($F$6-$E$6)),$G$6-SQRT((1-P417)*($G$6-$E$6)*($G$6-$F$6))))</f>
        <v>1.01762069634457</v>
      </c>
      <c r="C417" s="37" t="n">
        <f aca="false">1+IF($G$7=$E$7,$F$7,IF(Q417&lt;($F$7-$E$7)/($G$7-$E$7),$E$7+SQRT(Q417*($G$7-$E$7)*($F$7-$E$7)),$G$7-SQRT((1-Q417)*($G$7-$E$7)*($G$7-$F$7))))</f>
        <v>1.03408206783063</v>
      </c>
      <c r="D417" s="37" t="n">
        <f aca="false">1+IF($G$8=$E$8,$F$8,IF(R417&lt;($F$8-$E$8)/($G$8-$E$8),$E$8+SQRT(R417*($G$8-$E$8)*($F$8-$E$8)),$G$8-SQRT((1-R417)*($G$8-$E$8)*($G$8-$F$8))))</f>
        <v>0.96585049322748</v>
      </c>
      <c r="E417" s="37" t="n">
        <f aca="false">1+IF($G$9=$E$9,$F$9,IF(S417&lt;($F$9-$E$9)/($G$9-$E$9),$E$9+SQRT(S417*($G$9-$E$9)*($F$9-$E$9)),$G$9-SQRT((1-S417)*($G$9-$E$9)*($G$9-$F$9))))</f>
        <v>1.00933301066397</v>
      </c>
      <c r="F417" s="37" t="n">
        <f aca="false">1+IF($G$10=$E$10,$F$10,IF(T417&lt;($F$10-$E$10)/($G$10-$E$10),$E$10+SQRT(T417*($G$10-$E$10)*($F$10-$E$10)),$G$10-SQRT((1-T417)*($G$10-$E$10)*($G$10-$F$10))))</f>
        <v>1.02493011194596</v>
      </c>
      <c r="G417" s="38" t="n">
        <f aca="false">IF($G$11=$E$11,$F$11,IF(U417&lt;($F$11-$E$11)/($G$11-$E$11),$E$11+SQRT(U417*($G$11-$E$11)*($F$11-$E$11)),$G$11-SQRT((1-U417)*($G$11-$E$11)*($G$11-$F$11))))</f>
        <v>0.0990580581207897</v>
      </c>
      <c r="H417" s="39" t="n">
        <f aca="false">(('Business Case'!B11*$C417*'Business Case'!B12*$B417)-'Business Case'!B11*$C417*'Business Case'!B13*$D417-'Business Case'!B14*$E417)-MAX(0,(('Business Case'!B11*$C417*'Business Case'!B12*$B417)-'Business Case'!B11*$C417*'Business Case'!B13*$D417-'Business Case'!B14*$E417))*'Business Case'!$B$7-'Business Case'!$B$8*('Business Case'!B11*$C417*'Business Case'!B12*$B417)-'Business Case'!B15*$F417</f>
        <v>-2049860223.89191</v>
      </c>
      <c r="I417" s="39" t="n">
        <f aca="false">(('Business Case'!C11*$C417*'Business Case'!C12*$B417)-'Business Case'!C11*$C417*'Business Case'!C13*$D417-'Business Case'!C14*$E417)-MAX(0,(('Business Case'!C11*$C417*'Business Case'!C12*$B417)-'Business Case'!C11*$C417*'Business Case'!C13*$D417-'Business Case'!C14*$E417))*'Business Case'!$B$7-'Business Case'!$B$8*(('Business Case'!C11*$C417*'Business Case'!C12*$B417)-('Business Case'!B11*$C417*'Business Case'!B12*$B417))-'Business Case'!C15*$F417</f>
        <v>50050950.6173326</v>
      </c>
      <c r="J417" s="39" t="n">
        <f aca="false">(('Business Case'!D11*$C417*'Business Case'!D12*$B417)-'Business Case'!D11*$C417*'Business Case'!D13*$D417-'Business Case'!D14*$E417)-MAX(0,(('Business Case'!D11*$C417*'Business Case'!D12*$B417)-'Business Case'!D11*$C417*'Business Case'!D13*$D417-'Business Case'!D14*$E417))*'Business Case'!$B$7-'Business Case'!$B$8*(('Business Case'!D11*$C417*'Business Case'!D12*$B417)-('Business Case'!C11*$C417*'Business Case'!C12*$B417))-'Business Case'!D15*$F417</f>
        <v>400673470.340495</v>
      </c>
      <c r="K417" s="39" t="n">
        <f aca="false">(('Business Case'!E11*$C417*'Business Case'!E12*$B417)-'Business Case'!E11*$C417*'Business Case'!E13*$D417-'Business Case'!E14*$E417)-MAX(0,(('Business Case'!E11*$C417*'Business Case'!E12*$B417)-'Business Case'!E11*$C417*'Business Case'!E13*$D417-'Business Case'!E14*$E417))*'Business Case'!$B$7-'Business Case'!$B$8*(('Business Case'!E11*$C417*'Business Case'!E12*$B417)-('Business Case'!D11*$C417*'Business Case'!D12*$B417))-'Business Case'!E15*$F417</f>
        <v>802542495.660954</v>
      </c>
      <c r="L417" s="39" t="n">
        <f aca="false">(('Business Case'!F11*$C417*'Business Case'!F12*$B417)-'Business Case'!F11*$C417*'Business Case'!F13*$D417-'Business Case'!F14*$E417)-MAX(0,(('Business Case'!F11*$C417*'Business Case'!F12*$B417)-'Business Case'!F11*$C417*'Business Case'!F13*$D417-'Business Case'!F14*$E417))*'Business Case'!$B$7-'Business Case'!$B$8*(('Business Case'!F11*$C417*'Business Case'!F12*$B417)-('Business Case'!E11*$C417*'Business Case'!E12*$B417))-'Business Case'!F15*$F417</f>
        <v>955784271.431887</v>
      </c>
      <c r="M417" s="39" t="n">
        <f aca="false">(('Business Case'!G11*$C417*'Business Case'!G12*$B417)-'Business Case'!G11*$C417*'Business Case'!G13*$D417-'Business Case'!G14*$E417)-MAX(0,(('Business Case'!G11*$C417*'Business Case'!G12*$B417)-'Business Case'!G11*$C417*'Business Case'!G13*$D417-'Business Case'!G14*$E417))*'Business Case'!$B$7-'Business Case'!$B$8*(('Business Case'!G11*$C417*'Business Case'!G12*$B417)-('Business Case'!F11*$C417*'Business Case'!F12*$B417))-'Business Case'!G15*$F417+'Business Case'!$B$8*('Business Case'!G11*$C417*'Business Case'!G12*$B417)</f>
        <v>1155806085.34622</v>
      </c>
      <c r="N417" s="39" t="n">
        <f aca="false">IF(COUNT('Business Case'!B11:G11)=0,"",H417+NPV(G417,I417:M417))</f>
        <v>307695886.117322</v>
      </c>
      <c r="P417" s="40" t="n">
        <f aca="true">RAND()</f>
        <v>0.895659743312104</v>
      </c>
      <c r="Q417" s="40" t="n">
        <f aca="true">RAND()</f>
        <v>0.744057771458626</v>
      </c>
      <c r="R417" s="40" t="n">
        <f aca="true">RAND()</f>
        <v>0.0386520208545194</v>
      </c>
      <c r="S417" s="40" t="n">
        <f aca="true">RAND()</f>
        <v>0.45196646964931</v>
      </c>
      <c r="T417" s="40" t="n">
        <f aca="true">RAND()</f>
        <v>0.387010685934898</v>
      </c>
      <c r="U417" s="40" t="n">
        <f aca="true">RAND()</f>
        <v>0.27349472306535</v>
      </c>
    </row>
    <row r="418" customFormat="false" ht="15" hidden="false" customHeight="false" outlineLevel="0" collapsed="false">
      <c r="A418" s="36" t="n">
        <v>338</v>
      </c>
      <c r="B418" s="37" t="n">
        <f aca="false">1+IF($G$6=$E$6,$F$6,IF(P418&lt;($F$6-$E$6)/($G$6-$E$6),$E$6+SQRT(P418*($G$6-$E$6)*($F$6-$E$6)),$G$6-SQRT((1-P418)*($G$6-$E$6)*($G$6-$F$6))))</f>
        <v>0.952911025455876</v>
      </c>
      <c r="C418" s="37" t="n">
        <f aca="false">1+IF($G$7=$E$7,$F$7,IF(Q418&lt;($F$7-$E$7)/($G$7-$E$7),$E$7+SQRT(Q418*($G$7-$E$7)*($F$7-$E$7)),$G$7-SQRT((1-Q418)*($G$7-$E$7)*($G$7-$F$7))))</f>
        <v>1.02850799131379</v>
      </c>
      <c r="D418" s="37" t="n">
        <f aca="false">1+IF($G$8=$E$8,$F$8,IF(R418&lt;($F$8-$E$8)/($G$8-$E$8),$E$8+SQRT(R418*($G$8-$E$8)*($F$8-$E$8)),$G$8-SQRT((1-R418)*($G$8-$E$8)*($G$8-$F$8))))</f>
        <v>1.07647730072034</v>
      </c>
      <c r="E418" s="37" t="n">
        <f aca="false">1+IF($G$9=$E$9,$F$9,IF(S418&lt;($F$9-$E$9)/($G$9-$E$9),$E$9+SQRT(S418*($G$9-$E$9)*($F$9-$E$9)),$G$9-SQRT((1-S418)*($G$9-$E$9)*($G$9-$F$9))))</f>
        <v>1.04538409471986</v>
      </c>
      <c r="F418" s="37" t="n">
        <f aca="false">1+IF($G$10=$E$10,$F$10,IF(T418&lt;($F$10-$E$10)/($G$10-$E$10),$E$10+SQRT(T418*($G$10-$E$10)*($F$10-$E$10)),$G$10-SQRT((1-T418)*($G$10-$E$10)*($G$10-$F$10))))</f>
        <v>1.09485759611915</v>
      </c>
      <c r="G418" s="38" t="n">
        <f aca="false">IF($G$11=$E$11,$F$11,IF(U418&lt;($F$11-$E$11)/($G$11-$E$11),$E$11+SQRT(U418*($G$11-$E$11)*($F$11-$E$11)),$G$11-SQRT((1-U418)*($G$11-$E$11)*($G$11-$F$11))))</f>
        <v>0.0977048844934849</v>
      </c>
      <c r="H418" s="39" t="n">
        <f aca="false">(('Business Case'!B11*$C418*'Business Case'!B12*$B418)-'Business Case'!B11*$C418*'Business Case'!B13*$D418-'Business Case'!B14*$E418)-MAX(0,(('Business Case'!B11*$C418*'Business Case'!B12*$B418)-'Business Case'!B11*$C418*'Business Case'!B13*$D418-'Business Case'!B14*$E418))*'Business Case'!$B$7-'Business Case'!$B$8*('Business Case'!B11*$C418*'Business Case'!B12*$B418)-'Business Case'!B15*$F418</f>
        <v>-2189715192.2383</v>
      </c>
      <c r="I418" s="39" t="n">
        <f aca="false">(('Business Case'!C11*$C418*'Business Case'!C12*$B418)-'Business Case'!C11*$C418*'Business Case'!C13*$D418-'Business Case'!C14*$E418)-MAX(0,(('Business Case'!C11*$C418*'Business Case'!C12*$B418)-'Business Case'!C11*$C418*'Business Case'!C13*$D418-'Business Case'!C14*$E418))*'Business Case'!$B$7-'Business Case'!$B$8*(('Business Case'!C11*$C418*'Business Case'!C12*$B418)-('Business Case'!B11*$C418*'Business Case'!B12*$B418))-'Business Case'!C15*$F418</f>
        <v>-72973410.2737167</v>
      </c>
      <c r="J418" s="39" t="n">
        <f aca="false">(('Business Case'!D11*$C418*'Business Case'!D12*$B418)-'Business Case'!D11*$C418*'Business Case'!D13*$D418-'Business Case'!D14*$E418)-MAX(0,(('Business Case'!D11*$C418*'Business Case'!D12*$B418)-'Business Case'!D11*$C418*'Business Case'!D13*$D418-'Business Case'!D14*$E418))*'Business Case'!$B$7-'Business Case'!$B$8*(('Business Case'!D11*$C418*'Business Case'!D12*$B418)-('Business Case'!C11*$C418*'Business Case'!C12*$B418))-'Business Case'!D15*$F418</f>
        <v>162999728.520899</v>
      </c>
      <c r="K418" s="39" t="n">
        <f aca="false">(('Business Case'!E11*$C418*'Business Case'!E12*$B418)-'Business Case'!E11*$C418*'Business Case'!E13*$D418-'Business Case'!E14*$E418)-MAX(0,(('Business Case'!E11*$C418*'Business Case'!E12*$B418)-'Business Case'!E11*$C418*'Business Case'!E13*$D418-'Business Case'!E14*$E418))*'Business Case'!$B$7-'Business Case'!$B$8*(('Business Case'!E11*$C418*'Business Case'!E12*$B418)-('Business Case'!D11*$C418*'Business Case'!D12*$B418))-'Business Case'!E15*$F418</f>
        <v>453715747.121472</v>
      </c>
      <c r="L418" s="39" t="n">
        <f aca="false">(('Business Case'!F11*$C418*'Business Case'!F12*$B418)-'Business Case'!F11*$C418*'Business Case'!F13*$D418-'Business Case'!F14*$E418)-MAX(0,(('Business Case'!F11*$C418*'Business Case'!F12*$B418)-'Business Case'!F11*$C418*'Business Case'!F13*$D418-'Business Case'!F14*$E418))*'Business Case'!$B$7-'Business Case'!$B$8*(('Business Case'!F11*$C418*'Business Case'!F12*$B418)-('Business Case'!E11*$C418*'Business Case'!E12*$B418))-'Business Case'!F15*$F418</f>
        <v>566244907.511179</v>
      </c>
      <c r="M418" s="39" t="n">
        <f aca="false">(('Business Case'!G11*$C418*'Business Case'!G12*$B418)-'Business Case'!G11*$C418*'Business Case'!G13*$D418-'Business Case'!G14*$E418)-MAX(0,(('Business Case'!G11*$C418*'Business Case'!G12*$B418)-'Business Case'!G11*$C418*'Business Case'!G13*$D418-'Business Case'!G14*$E418))*'Business Case'!$B$7-'Business Case'!$B$8*(('Business Case'!G11*$C418*'Business Case'!G12*$B418)-('Business Case'!F11*$C418*'Business Case'!F12*$B418))-'Business Case'!G15*$F418+'Business Case'!$B$8*('Business Case'!G11*$C418*'Business Case'!G12*$B418)</f>
        <v>752537868.531107</v>
      </c>
      <c r="N418" s="39" t="n">
        <f aca="false">IF(COUNT('Business Case'!B11:G11)=0,"",H418+NPV(G418,I418:M418))</f>
        <v>-915723172.300774</v>
      </c>
      <c r="P418" s="40" t="n">
        <f aca="true">RAND()</f>
        <v>0.112826624641389</v>
      </c>
      <c r="Q418" s="40" t="n">
        <f aca="true">RAND()</f>
        <v>0.71885127286455</v>
      </c>
      <c r="R418" s="40" t="n">
        <f aca="true">RAND()</f>
        <v>0.998806787479333</v>
      </c>
      <c r="S418" s="40" t="n">
        <f aca="true">RAND()</f>
        <v>0.801140192695375</v>
      </c>
      <c r="T418" s="40" t="n">
        <f aca="true">RAND()</f>
        <v>0.778901498123118</v>
      </c>
      <c r="U418" s="40" t="n">
        <f aca="true">RAND()</f>
        <v>0.197884150193149</v>
      </c>
    </row>
    <row r="419" customFormat="false" ht="15" hidden="false" customHeight="false" outlineLevel="0" collapsed="false">
      <c r="A419" s="36" t="n">
        <v>339</v>
      </c>
      <c r="B419" s="37" t="n">
        <f aca="false">1+IF($G$6=$E$6,$F$6,IF(P419&lt;($F$6-$E$6)/($G$6-$E$6),$E$6+SQRT(P419*($G$6-$E$6)*($F$6-$E$6)),$G$6-SQRT((1-P419)*($G$6-$E$6)*($G$6-$F$6))))</f>
        <v>1.00187033172418</v>
      </c>
      <c r="C419" s="37" t="n">
        <f aca="false">1+IF($G$7=$E$7,$F$7,IF(Q419&lt;($F$7-$E$7)/($G$7-$E$7),$E$7+SQRT(Q419*($G$7-$E$7)*($F$7-$E$7)),$G$7-SQRT((1-Q419)*($G$7-$E$7)*($G$7-$F$7))))</f>
        <v>0.967168466910908</v>
      </c>
      <c r="D419" s="37" t="n">
        <f aca="false">1+IF($G$8=$E$8,$F$8,IF(R419&lt;($F$8-$E$8)/($G$8-$E$8),$E$8+SQRT(R419*($G$8-$E$8)*($F$8-$E$8)),$G$8-SQRT((1-R419)*($G$8-$E$8)*($G$8-$F$8))))</f>
        <v>0.962567417120392</v>
      </c>
      <c r="E419" s="37" t="n">
        <f aca="false">1+IF($G$9=$E$9,$F$9,IF(S419&lt;($F$9-$E$9)/($G$9-$E$9),$E$9+SQRT(S419*($G$9-$E$9)*($F$9-$E$9)),$G$9-SQRT((1-S419)*($G$9-$E$9)*($G$9-$F$9))))</f>
        <v>0.986806777108149</v>
      </c>
      <c r="F419" s="37" t="n">
        <f aca="false">1+IF($G$10=$E$10,$F$10,IF(T419&lt;($F$10-$E$10)/($G$10-$E$10),$E$10+SQRT(T419*($G$10-$E$10)*($F$10-$E$10)),$G$10-SQRT((1-T419)*($G$10-$E$10)*($G$10-$F$10))))</f>
        <v>1.0048887075546</v>
      </c>
      <c r="G419" s="38" t="n">
        <f aca="false">IF($G$11=$E$11,$F$11,IF(U419&lt;($F$11-$E$11)/($G$11-$E$11),$E$11+SQRT(U419*($G$11-$E$11)*($F$11-$E$11)),$G$11-SQRT((1-U419)*($G$11-$E$11)*($G$11-$F$11))))</f>
        <v>0.110147658226407</v>
      </c>
      <c r="H419" s="39" t="n">
        <f aca="false">(('Business Case'!B11*$C419*'Business Case'!B12*$B419)-'Business Case'!B11*$C419*'Business Case'!B13*$D419-'Business Case'!B14*$E419)-MAX(0,(('Business Case'!B11*$C419*'Business Case'!B12*$B419)-'Business Case'!B11*$C419*'Business Case'!B13*$D419-'Business Case'!B14*$E419))*'Business Case'!$B$7-'Business Case'!$B$8*('Business Case'!B11*$C419*'Business Case'!B12*$B419)-'Business Case'!B15*$F419</f>
        <v>-2009777415.1092</v>
      </c>
      <c r="I419" s="39" t="n">
        <f aca="false">(('Business Case'!C11*$C419*'Business Case'!C12*$B419)-'Business Case'!C11*$C419*'Business Case'!C13*$D419-'Business Case'!C14*$E419)-MAX(0,(('Business Case'!C11*$C419*'Business Case'!C12*$B419)-'Business Case'!C11*$C419*'Business Case'!C13*$D419-'Business Case'!C14*$E419))*'Business Case'!$B$7-'Business Case'!$B$8*(('Business Case'!C11*$C419*'Business Case'!C12*$B419)-('Business Case'!B11*$C419*'Business Case'!B12*$B419))-'Business Case'!C15*$F419</f>
        <v>26038140.9485085</v>
      </c>
      <c r="J419" s="39" t="n">
        <f aca="false">(('Business Case'!D11*$C419*'Business Case'!D12*$B419)-'Business Case'!D11*$C419*'Business Case'!D13*$D419-'Business Case'!D14*$E419)-MAX(0,(('Business Case'!D11*$C419*'Business Case'!D12*$B419)-'Business Case'!D11*$C419*'Business Case'!D13*$D419-'Business Case'!D14*$E419))*'Business Case'!$B$7-'Business Case'!$B$8*(('Business Case'!D11*$C419*'Business Case'!D12*$B419)-('Business Case'!C11*$C419*'Business Case'!C12*$B419))-'Business Case'!D15*$F419</f>
        <v>343120864.398826</v>
      </c>
      <c r="K419" s="39" t="n">
        <f aca="false">(('Business Case'!E11*$C419*'Business Case'!E12*$B419)-'Business Case'!E11*$C419*'Business Case'!E13*$D419-'Business Case'!E14*$E419)-MAX(0,(('Business Case'!E11*$C419*'Business Case'!E12*$B419)-'Business Case'!E11*$C419*'Business Case'!E13*$D419-'Business Case'!E14*$E419))*'Business Case'!$B$7-'Business Case'!$B$8*(('Business Case'!E11*$C419*'Business Case'!E12*$B419)-('Business Case'!D11*$C419*'Business Case'!D12*$B419))-'Business Case'!E15*$F419</f>
        <v>710448023.226873</v>
      </c>
      <c r="L419" s="39" t="n">
        <f aca="false">(('Business Case'!F11*$C419*'Business Case'!F12*$B419)-'Business Case'!F11*$C419*'Business Case'!F13*$D419-'Business Case'!F14*$E419)-MAX(0,(('Business Case'!F11*$C419*'Business Case'!F12*$B419)-'Business Case'!F11*$C419*'Business Case'!F13*$D419-'Business Case'!F14*$E419))*'Business Case'!$B$7-'Business Case'!$B$8*(('Business Case'!F11*$C419*'Business Case'!F12*$B419)-('Business Case'!E11*$C419*'Business Case'!E12*$B419))-'Business Case'!F15*$F419</f>
        <v>849630123.071358</v>
      </c>
      <c r="M419" s="39" t="n">
        <f aca="false">(('Business Case'!G11*$C419*'Business Case'!G12*$B419)-'Business Case'!G11*$C419*'Business Case'!G13*$D419-'Business Case'!G14*$E419)-MAX(0,(('Business Case'!G11*$C419*'Business Case'!G12*$B419)-'Business Case'!G11*$C419*'Business Case'!G13*$D419-'Business Case'!G14*$E419))*'Business Case'!$B$7-'Business Case'!$B$8*(('Business Case'!G11*$C419*'Business Case'!G12*$B419)-('Business Case'!F11*$C419*'Business Case'!F12*$B419))-'Business Case'!G15*$F419+'Business Case'!$B$8*('Business Case'!G11*$C419*'Business Case'!G12*$B419)</f>
        <v>1033813345.89045</v>
      </c>
      <c r="N419" s="39" t="n">
        <f aca="false">IF(COUNT('Business Case'!B11:G11)=0,"",H419+NPV(G419,I419:M419))</f>
        <v>-16156048.2527146</v>
      </c>
      <c r="P419" s="40" t="n">
        <f aca="true">RAND()</f>
        <v>0.697110082744997</v>
      </c>
      <c r="Q419" s="40" t="n">
        <f aca="true">RAND()</f>
        <v>0.399218518990618</v>
      </c>
      <c r="R419" s="40" t="n">
        <f aca="true">RAND()</f>
        <v>0.0242984573966039</v>
      </c>
      <c r="S419" s="40" t="n">
        <f aca="true">RAND()</f>
        <v>0.180631845478524</v>
      </c>
      <c r="T419" s="40" t="n">
        <f aca="true">RAND()</f>
        <v>0.238631671205699</v>
      </c>
      <c r="U419" s="40" t="n">
        <f aca="true">RAND()</f>
        <v>0.838218935960534</v>
      </c>
    </row>
    <row r="420" customFormat="false" ht="15" hidden="false" customHeight="false" outlineLevel="0" collapsed="false">
      <c r="A420" s="36" t="n">
        <v>340</v>
      </c>
      <c r="B420" s="37" t="n">
        <f aca="false">1+IF($G$6=$E$6,$F$6,IF(P420&lt;($F$6-$E$6)/($G$6-$E$6),$E$6+SQRT(P420*($G$6-$E$6)*($F$6-$E$6)),$G$6-SQRT((1-P420)*($G$6-$E$6)*($G$6-$F$6))))</f>
        <v>0.948177484514263</v>
      </c>
      <c r="C420" s="37" t="n">
        <f aca="false">1+IF($G$7=$E$7,$F$7,IF(Q420&lt;($F$7-$E$7)/($G$7-$E$7),$E$7+SQRT(Q420*($G$7-$E$7)*($F$7-$E$7)),$G$7-SQRT((1-Q420)*($G$7-$E$7)*($G$7-$F$7))))</f>
        <v>1.01890272227466</v>
      </c>
      <c r="D420" s="37" t="n">
        <f aca="false">1+IF($G$8=$E$8,$F$8,IF(R420&lt;($F$8-$E$8)/($G$8-$E$8),$E$8+SQRT(R420*($G$8-$E$8)*($F$8-$E$8)),$G$8-SQRT((1-R420)*($G$8-$E$8)*($G$8-$F$8))))</f>
        <v>1.015043223549</v>
      </c>
      <c r="E420" s="37" t="n">
        <f aca="false">1+IF($G$9=$E$9,$F$9,IF(S420&lt;($F$9-$E$9)/($G$9-$E$9),$E$9+SQRT(S420*($G$9-$E$9)*($F$9-$E$9)),$G$9-SQRT((1-S420)*($G$9-$E$9)*($G$9-$F$9))))</f>
        <v>1.06591128717151</v>
      </c>
      <c r="F420" s="37" t="n">
        <f aca="false">1+IF($G$10=$E$10,$F$10,IF(T420&lt;($F$10-$E$10)/($G$10-$E$10),$E$10+SQRT(T420*($G$10-$E$10)*($F$10-$E$10)),$G$10-SQRT((1-T420)*($G$10-$E$10)*($G$10-$F$10))))</f>
        <v>1.15017024895423</v>
      </c>
      <c r="G420" s="38" t="n">
        <f aca="false">IF($G$11=$E$11,$F$11,IF(U420&lt;($F$11-$E$11)/($G$11-$E$11),$E$11+SQRT(U420*($G$11-$E$11)*($F$11-$E$11)),$G$11-SQRT((1-U420)*($G$11-$E$11)*($G$11-$F$11))))</f>
        <v>0.100589207071505</v>
      </c>
      <c r="H420" s="39" t="n">
        <f aca="false">(('Business Case'!B11*$C420*'Business Case'!B12*$B420)-'Business Case'!B11*$C420*'Business Case'!B13*$D420-'Business Case'!B14*$E420)-MAX(0,(('Business Case'!B11*$C420*'Business Case'!B12*$B420)-'Business Case'!B11*$C420*'Business Case'!B13*$D420-'Business Case'!B14*$E420))*'Business Case'!$B$7-'Business Case'!$B$8*('Business Case'!B11*$C420*'Business Case'!B12*$B420)-'Business Case'!B15*$F420</f>
        <v>-2300340497.90846</v>
      </c>
      <c r="I420" s="39" t="n">
        <f aca="false">(('Business Case'!C11*$C420*'Business Case'!C12*$B420)-'Business Case'!C11*$C420*'Business Case'!C13*$D420-'Business Case'!C14*$E420)-MAX(0,(('Business Case'!C11*$C420*'Business Case'!C12*$B420)-'Business Case'!C11*$C420*'Business Case'!C13*$D420-'Business Case'!C14*$E420))*'Business Case'!$B$7-'Business Case'!$B$8*(('Business Case'!C11*$C420*'Business Case'!C12*$B420)-('Business Case'!B11*$C420*'Business Case'!B12*$B420))-'Business Case'!C15*$F420</f>
        <v>-54809475.9864539</v>
      </c>
      <c r="J420" s="39" t="n">
        <f aca="false">(('Business Case'!D11*$C420*'Business Case'!D12*$B420)-'Business Case'!D11*$C420*'Business Case'!D13*$D420-'Business Case'!D14*$E420)-MAX(0,(('Business Case'!D11*$C420*'Business Case'!D12*$B420)-'Business Case'!D11*$C420*'Business Case'!D13*$D420-'Business Case'!D14*$E420))*'Business Case'!$B$7-'Business Case'!$B$8*(('Business Case'!D11*$C420*'Business Case'!D12*$B420)-('Business Case'!C11*$C420*'Business Case'!C12*$B420))-'Business Case'!D15*$F420</f>
        <v>207053314.107975</v>
      </c>
      <c r="K420" s="39" t="n">
        <f aca="false">(('Business Case'!E11*$C420*'Business Case'!E12*$B420)-'Business Case'!E11*$C420*'Business Case'!E13*$D420-'Business Case'!E14*$E420)-MAX(0,(('Business Case'!E11*$C420*'Business Case'!E12*$B420)-'Business Case'!E11*$C420*'Business Case'!E13*$D420-'Business Case'!E14*$E420))*'Business Case'!$B$7-'Business Case'!$B$8*(('Business Case'!E11*$C420*'Business Case'!E12*$B420)-('Business Case'!D11*$C420*'Business Case'!D12*$B420))-'Business Case'!E15*$F420</f>
        <v>526424616.650114</v>
      </c>
      <c r="L420" s="39" t="n">
        <f aca="false">(('Business Case'!F11*$C420*'Business Case'!F12*$B420)-'Business Case'!F11*$C420*'Business Case'!F13*$D420-'Business Case'!F14*$E420)-MAX(0,(('Business Case'!F11*$C420*'Business Case'!F12*$B420)-'Business Case'!F11*$C420*'Business Case'!F13*$D420-'Business Case'!F14*$E420))*'Business Case'!$B$7-'Business Case'!$B$8*(('Business Case'!F11*$C420*'Business Case'!F12*$B420)-('Business Case'!E11*$C420*'Business Case'!E12*$B420))-'Business Case'!F15*$F420</f>
        <v>647100650.781371</v>
      </c>
      <c r="M420" s="39" t="n">
        <f aca="false">(('Business Case'!G11*$C420*'Business Case'!G12*$B420)-'Business Case'!G11*$C420*'Business Case'!G13*$D420-'Business Case'!G14*$E420)-MAX(0,(('Business Case'!G11*$C420*'Business Case'!G12*$B420)-'Business Case'!G11*$C420*'Business Case'!G13*$D420-'Business Case'!G14*$E420))*'Business Case'!$B$7-'Business Case'!$B$8*(('Business Case'!G11*$C420*'Business Case'!G12*$B420)-('Business Case'!F11*$C420*'Business Case'!F12*$B420))-'Business Case'!G15*$F420+'Business Case'!$B$8*('Business Case'!G11*$C420*'Business Case'!G12*$B420)</f>
        <v>830737056.663498</v>
      </c>
      <c r="N420" s="39" t="n">
        <f aca="false">IF(COUNT('Business Case'!B11:G11)=0,"",H420+NPV(G420,I420:M420))</f>
        <v>-828853783.427347</v>
      </c>
      <c r="P420" s="40" t="n">
        <f aca="true">RAND()</f>
        <v>0.0827052743282853</v>
      </c>
      <c r="Q420" s="40" t="n">
        <f aca="true">RAND()</f>
        <v>0.672638167104857</v>
      </c>
      <c r="R420" s="40" t="n">
        <f aca="true">RAND()</f>
        <v>0.594290114720684</v>
      </c>
      <c r="S420" s="40" t="n">
        <f aca="true">RAND()</f>
        <v>0.922530643846441</v>
      </c>
      <c r="T420" s="40" t="n">
        <f aca="true">RAND()</f>
        <v>0.950339918214331</v>
      </c>
      <c r="U420" s="40" t="n">
        <f aca="true">RAND()</f>
        <v>0.372035196478484</v>
      </c>
    </row>
    <row r="421" customFormat="false" ht="15" hidden="false" customHeight="false" outlineLevel="0" collapsed="false">
      <c r="A421" s="36" t="n">
        <v>341</v>
      </c>
      <c r="B421" s="37" t="n">
        <f aca="false">1+IF($G$6=$E$6,$F$6,IF(P421&lt;($F$6-$E$6)/($G$6-$E$6),$E$6+SQRT(P421*($G$6-$E$6)*($F$6-$E$6)),$G$6-SQRT((1-P421)*($G$6-$E$6)*($G$6-$F$6))))</f>
        <v>0.968600371852254</v>
      </c>
      <c r="C421" s="37" t="n">
        <f aca="false">1+IF($G$7=$E$7,$F$7,IF(Q421&lt;($F$7-$E$7)/($G$7-$E$7),$E$7+SQRT(Q421*($G$7-$E$7)*($F$7-$E$7)),$G$7-SQRT((1-Q421)*($G$7-$E$7)*($G$7-$F$7))))</f>
        <v>0.928672752133253</v>
      </c>
      <c r="D421" s="37" t="n">
        <f aca="false">1+IF($G$8=$E$8,$F$8,IF(R421&lt;($F$8-$E$8)/($G$8-$E$8),$E$8+SQRT(R421*($G$8-$E$8)*($F$8-$E$8)),$G$8-SQRT((1-R421)*($G$8-$E$8)*($G$8-$F$8))))</f>
        <v>0.997855467960706</v>
      </c>
      <c r="E421" s="37" t="n">
        <f aca="false">1+IF($G$9=$E$9,$F$9,IF(S421&lt;($F$9-$E$9)/($G$9-$E$9),$E$9+SQRT(S421*($G$9-$E$9)*($F$9-$E$9)),$G$9-SQRT((1-S421)*($G$9-$E$9)*($G$9-$F$9))))</f>
        <v>1.01816660336042</v>
      </c>
      <c r="F421" s="37" t="n">
        <f aca="false">1+IF($G$10=$E$10,$F$10,IF(T421&lt;($F$10-$E$10)/($G$10-$E$10),$E$10+SQRT(T421*($G$10-$E$10)*($F$10-$E$10)),$G$10-SQRT((1-T421)*($G$10-$E$10)*($G$10-$F$10))))</f>
        <v>1.11323663445467</v>
      </c>
      <c r="G421" s="38" t="n">
        <f aca="false">IF($G$11=$E$11,$F$11,IF(U421&lt;($F$11-$E$11)/($G$11-$E$11),$E$11+SQRT(U421*($G$11-$E$11)*($F$11-$E$11)),$G$11-SQRT((1-U421)*($G$11-$E$11)*($G$11-$F$11))))</f>
        <v>0.113359052159586</v>
      </c>
      <c r="H421" s="39" t="n">
        <f aca="false">(('Business Case'!B11*$C421*'Business Case'!B12*$B421)-'Business Case'!B11*$C421*'Business Case'!B13*$D421-'Business Case'!B14*$E421)-MAX(0,(('Business Case'!B11*$C421*'Business Case'!B12*$B421)-'Business Case'!B11*$C421*'Business Case'!B13*$D421-'Business Case'!B14*$E421))*'Business Case'!$B$7-'Business Case'!$B$8*('Business Case'!B11*$C421*'Business Case'!B12*$B421)-'Business Case'!B15*$F421</f>
        <v>-2226473268.90934</v>
      </c>
      <c r="I421" s="39" t="n">
        <f aca="false">(('Business Case'!C11*$C421*'Business Case'!C12*$B421)-'Business Case'!C11*$C421*'Business Case'!C13*$D421-'Business Case'!C14*$E421)-MAX(0,(('Business Case'!C11*$C421*'Business Case'!C12*$B421)-'Business Case'!C11*$C421*'Business Case'!C13*$D421-'Business Case'!C14*$E421))*'Business Case'!$B$7-'Business Case'!$B$8*(('Business Case'!C11*$C421*'Business Case'!C12*$B421)-('Business Case'!B11*$C421*'Business Case'!B12*$B421))-'Business Case'!C15*$F421</f>
        <v>-40358602.0946044</v>
      </c>
      <c r="J421" s="39" t="n">
        <f aca="false">(('Business Case'!D11*$C421*'Business Case'!D12*$B421)-'Business Case'!D11*$C421*'Business Case'!D13*$D421-'Business Case'!D14*$E421)-MAX(0,(('Business Case'!D11*$C421*'Business Case'!D12*$B421)-'Business Case'!D11*$C421*'Business Case'!D13*$D421-'Business Case'!D14*$E421))*'Business Case'!$B$7-'Business Case'!$B$8*(('Business Case'!D11*$C421*'Business Case'!D12*$B421)-('Business Case'!C11*$C421*'Business Case'!C12*$B421))-'Business Case'!D15*$F421</f>
        <v>222020492.40878</v>
      </c>
      <c r="K421" s="39" t="n">
        <f aca="false">(('Business Case'!E11*$C421*'Business Case'!E12*$B421)-'Business Case'!E11*$C421*'Business Case'!E13*$D421-'Business Case'!E14*$E421)-MAX(0,(('Business Case'!E11*$C421*'Business Case'!E12*$B421)-'Business Case'!E11*$C421*'Business Case'!E13*$D421-'Business Case'!E14*$E421))*'Business Case'!$B$7-'Business Case'!$B$8*(('Business Case'!E11*$C421*'Business Case'!E12*$B421)-('Business Case'!D11*$C421*'Business Case'!D12*$B421))-'Business Case'!E15*$F421</f>
        <v>540061418.634898</v>
      </c>
      <c r="L421" s="39" t="n">
        <f aca="false">(('Business Case'!F11*$C421*'Business Case'!F12*$B421)-'Business Case'!F11*$C421*'Business Case'!F13*$D421-'Business Case'!F14*$E421)-MAX(0,(('Business Case'!F11*$C421*'Business Case'!F12*$B421)-'Business Case'!F11*$C421*'Business Case'!F13*$D421-'Business Case'!F14*$E421))*'Business Case'!$B$7-'Business Case'!$B$8*(('Business Case'!F11*$C421*'Business Case'!F12*$B421)-('Business Case'!E11*$C421*'Business Case'!E12*$B421))-'Business Case'!F15*$F421</f>
        <v>658608278.239139</v>
      </c>
      <c r="M421" s="39" t="n">
        <f aca="false">(('Business Case'!G11*$C421*'Business Case'!G12*$B421)-'Business Case'!G11*$C421*'Business Case'!G13*$D421-'Business Case'!G14*$E421)-MAX(0,(('Business Case'!G11*$C421*'Business Case'!G12*$B421)-'Business Case'!G11*$C421*'Business Case'!G13*$D421-'Business Case'!G14*$E421))*'Business Case'!$B$7-'Business Case'!$B$8*(('Business Case'!G11*$C421*'Business Case'!G12*$B421)-('Business Case'!F11*$C421*'Business Case'!F12*$B421))-'Business Case'!G15*$F421+'Business Case'!$B$8*('Business Case'!G11*$C421*'Business Case'!G12*$B421)</f>
        <v>829587666.139594</v>
      </c>
      <c r="N421" s="39" t="n">
        <f aca="false">IF(COUNT('Business Case'!B11:G11)=0,"",H421+NPV(G421,I421:M421))</f>
        <v>-778715276.029728</v>
      </c>
      <c r="P421" s="40" t="n">
        <f aca="true">RAND()</f>
        <v>0.24604126501848</v>
      </c>
      <c r="Q421" s="40" t="n">
        <f aca="true">RAND()</f>
        <v>0.236523959164938</v>
      </c>
      <c r="R421" s="40" t="n">
        <f aca="true">RAND()</f>
        <v>0.35233012519049</v>
      </c>
      <c r="S421" s="40" t="n">
        <f aca="true">RAND()</f>
        <v>0.553553012961968</v>
      </c>
      <c r="T421" s="40" t="n">
        <f aca="true">RAND()</f>
        <v>0.849442367984952</v>
      </c>
      <c r="U421" s="40" t="n">
        <f aca="true">RAND()</f>
        <v>0.926496352968168</v>
      </c>
    </row>
    <row r="422" customFormat="false" ht="15" hidden="false" customHeight="false" outlineLevel="0" collapsed="false">
      <c r="A422" s="36" t="n">
        <v>342</v>
      </c>
      <c r="B422" s="37" t="n">
        <f aca="false">1+IF($G$6=$E$6,$F$6,IF(P422&lt;($F$6-$E$6)/($G$6-$E$6),$E$6+SQRT(P422*($G$6-$E$6)*($F$6-$E$6)),$G$6-SQRT((1-P422)*($G$6-$E$6)*($G$6-$F$6))))</f>
        <v>1.02495573122733</v>
      </c>
      <c r="C422" s="37" t="n">
        <f aca="false">1+IF($G$7=$E$7,$F$7,IF(Q422&lt;($F$7-$E$7)/($G$7-$E$7),$E$7+SQRT(Q422*($G$7-$E$7)*($F$7-$E$7)),$G$7-SQRT((1-Q422)*($G$7-$E$7)*($G$7-$F$7))))</f>
        <v>0.871783630021646</v>
      </c>
      <c r="D422" s="37" t="n">
        <f aca="false">1+IF($G$8=$E$8,$F$8,IF(R422&lt;($F$8-$E$8)/($G$8-$E$8),$E$8+SQRT(R422*($G$8-$E$8)*($F$8-$E$8)),$G$8-SQRT((1-R422)*($G$8-$E$8)*($G$8-$F$8))))</f>
        <v>1.01146485088277</v>
      </c>
      <c r="E422" s="37" t="n">
        <f aca="false">1+IF($G$9=$E$9,$F$9,IF(S422&lt;($F$9-$E$9)/($G$9-$E$9),$E$9+SQRT(S422*($G$9-$E$9)*($F$9-$E$9)),$G$9-SQRT((1-S422)*($G$9-$E$9)*($G$9-$F$9))))</f>
        <v>1.03513916346788</v>
      </c>
      <c r="F422" s="37" t="n">
        <f aca="false">1+IF($G$10=$E$10,$F$10,IF(T422&lt;($F$10-$E$10)/($G$10-$E$10),$E$10+SQRT(T422*($G$10-$E$10)*($F$10-$E$10)),$G$10-SQRT((1-T422)*($G$10-$E$10)*($G$10-$F$10))))</f>
        <v>1.0283915325794</v>
      </c>
      <c r="G422" s="38" t="n">
        <f aca="false">IF($G$11=$E$11,$F$11,IF(U422&lt;($F$11-$E$11)/($G$11-$E$11),$E$11+SQRT(U422*($G$11-$E$11)*($F$11-$E$11)),$G$11-SQRT((1-U422)*($G$11-$E$11)*($G$11-$F$11))))</f>
        <v>0.114282241936529</v>
      </c>
      <c r="H422" s="39" t="n">
        <f aca="false">(('Business Case'!B11*$C422*'Business Case'!B12*$B422)-'Business Case'!B11*$C422*'Business Case'!B13*$D422-'Business Case'!B14*$E422)-MAX(0,(('Business Case'!B11*$C422*'Business Case'!B12*$B422)-'Business Case'!B11*$C422*'Business Case'!B13*$D422-'Business Case'!B14*$E422))*'Business Case'!$B$7-'Business Case'!$B$8*('Business Case'!B11*$C422*'Business Case'!B12*$B422)-'Business Case'!B15*$F422</f>
        <v>-2056783065.1588</v>
      </c>
      <c r="I422" s="39" t="n">
        <f aca="false">(('Business Case'!C11*$C422*'Business Case'!C12*$B422)-'Business Case'!C11*$C422*'Business Case'!C13*$D422-'Business Case'!C14*$E422)-MAX(0,(('Business Case'!C11*$C422*'Business Case'!C12*$B422)-'Business Case'!C11*$C422*'Business Case'!C13*$D422-'Business Case'!C14*$E422))*'Business Case'!$B$7-'Business Case'!$B$8*(('Business Case'!C11*$C422*'Business Case'!C12*$B422)-('Business Case'!B11*$C422*'Business Case'!B12*$B422))-'Business Case'!C15*$F422</f>
        <v>-15883795.831165</v>
      </c>
      <c r="J422" s="39" t="n">
        <f aca="false">(('Business Case'!D11*$C422*'Business Case'!D12*$B422)-'Business Case'!D11*$C422*'Business Case'!D13*$D422-'Business Case'!D14*$E422)-MAX(0,(('Business Case'!D11*$C422*'Business Case'!D12*$B422)-'Business Case'!D11*$C422*'Business Case'!D13*$D422-'Business Case'!D14*$E422))*'Business Case'!$B$7-'Business Case'!$B$8*(('Business Case'!D11*$C422*'Business Case'!D12*$B422)-('Business Case'!C11*$C422*'Business Case'!C12*$B422))-'Business Case'!D15*$F422</f>
        <v>264589444.955269</v>
      </c>
      <c r="K422" s="39" t="n">
        <f aca="false">(('Business Case'!E11*$C422*'Business Case'!E12*$B422)-'Business Case'!E11*$C422*'Business Case'!E13*$D422-'Business Case'!E14*$E422)-MAX(0,(('Business Case'!E11*$C422*'Business Case'!E12*$B422)-'Business Case'!E11*$C422*'Business Case'!E13*$D422-'Business Case'!E14*$E422))*'Business Case'!$B$7-'Business Case'!$B$8*(('Business Case'!E11*$C422*'Business Case'!E12*$B422)-('Business Case'!D11*$C422*'Business Case'!D12*$B422))-'Business Case'!E15*$F422</f>
        <v>596482262.370674</v>
      </c>
      <c r="L422" s="39" t="n">
        <f aca="false">(('Business Case'!F11*$C422*'Business Case'!F12*$B422)-'Business Case'!F11*$C422*'Business Case'!F13*$D422-'Business Case'!F14*$E422)-MAX(0,(('Business Case'!F11*$C422*'Business Case'!F12*$B422)-'Business Case'!F11*$C422*'Business Case'!F13*$D422-'Business Case'!F14*$E422))*'Business Case'!$B$7-'Business Case'!$B$8*(('Business Case'!F11*$C422*'Business Case'!F12*$B422)-('Business Case'!E11*$C422*'Business Case'!E12*$B422))-'Business Case'!F15*$F422</f>
        <v>720854072.175837</v>
      </c>
      <c r="M422" s="39" t="n">
        <f aca="false">(('Business Case'!G11*$C422*'Business Case'!G12*$B422)-'Business Case'!G11*$C422*'Business Case'!G13*$D422-'Business Case'!G14*$E422)-MAX(0,(('Business Case'!G11*$C422*'Business Case'!G12*$B422)-'Business Case'!G11*$C422*'Business Case'!G13*$D422-'Business Case'!G14*$E422))*'Business Case'!$B$7-'Business Case'!$B$8*(('Business Case'!G11*$C422*'Business Case'!G12*$B422)-('Business Case'!F11*$C422*'Business Case'!F12*$B422))-'Business Case'!G15*$F422+'Business Case'!$B$8*('Business Case'!G11*$C422*'Business Case'!G12*$B422)</f>
        <v>890698084.662437</v>
      </c>
      <c r="N422" s="39" t="n">
        <f aca="false">IF(COUNT('Business Case'!B11:G11)=0,"",H422+NPV(G422,I422:M422))</f>
        <v>-440706604.578338</v>
      </c>
      <c r="P422" s="40" t="n">
        <f aca="true">RAND()</f>
        <v>0.952847911894931</v>
      </c>
      <c r="Q422" s="40" t="n">
        <f aca="true">RAND()</f>
        <v>0.0736127077012086</v>
      </c>
      <c r="R422" s="40" t="n">
        <f aca="true">RAND()</f>
        <v>0.548358974565329</v>
      </c>
      <c r="S422" s="40" t="n">
        <f aca="true">RAND()</f>
        <v>0.719538125623532</v>
      </c>
      <c r="T422" s="40" t="n">
        <f aca="true">RAND()</f>
        <v>0.41101067819107</v>
      </c>
      <c r="U422" s="40" t="n">
        <f aca="true">RAND()</f>
        <v>0.945512071212678</v>
      </c>
    </row>
    <row r="423" customFormat="false" ht="15" hidden="false" customHeight="false" outlineLevel="0" collapsed="false">
      <c r="A423" s="36" t="n">
        <v>343</v>
      </c>
      <c r="B423" s="37" t="n">
        <f aca="false">1+IF($G$6=$E$6,$F$6,IF(P423&lt;($F$6-$E$6)/($G$6-$E$6),$E$6+SQRT(P423*($G$6-$E$6)*($F$6-$E$6)),$G$6-SQRT((1-P423)*($G$6-$E$6)*($G$6-$F$6))))</f>
        <v>0.991801871194571</v>
      </c>
      <c r="C423" s="37" t="n">
        <f aca="false">1+IF($G$7=$E$7,$F$7,IF(Q423&lt;($F$7-$E$7)/($G$7-$E$7),$E$7+SQRT(Q423*($G$7-$E$7)*($F$7-$E$7)),$G$7-SQRT((1-Q423)*($G$7-$E$7)*($G$7-$F$7))))</f>
        <v>0.973771514832755</v>
      </c>
      <c r="D423" s="37" t="n">
        <f aca="false">1+IF($G$8=$E$8,$F$8,IF(R423&lt;($F$8-$E$8)/($G$8-$E$8),$E$8+SQRT(R423*($G$8-$E$8)*($F$8-$E$8)),$G$8-SQRT((1-R423)*($G$8-$E$8)*($G$8-$F$8))))</f>
        <v>1.03280971980282</v>
      </c>
      <c r="E423" s="37" t="n">
        <f aca="false">1+IF($G$9=$E$9,$F$9,IF(S423&lt;($F$9-$E$9)/($G$9-$E$9),$E$9+SQRT(S423*($G$9-$E$9)*($F$9-$E$9)),$G$9-SQRT((1-S423)*($G$9-$E$9)*($G$9-$F$9))))</f>
        <v>0.999735350824584</v>
      </c>
      <c r="F423" s="37" t="n">
        <f aca="false">1+IF($G$10=$E$10,$F$10,IF(T423&lt;($F$10-$E$10)/($G$10-$E$10),$E$10+SQRT(T423*($G$10-$E$10)*($F$10-$E$10)),$G$10-SQRT((1-T423)*($G$10-$E$10)*($G$10-$F$10))))</f>
        <v>1.00207046609096</v>
      </c>
      <c r="G423" s="38" t="n">
        <f aca="false">IF($G$11=$E$11,$F$11,IF(U423&lt;($F$11-$E$11)/($G$11-$E$11),$E$11+SQRT(U423*($G$11-$E$11)*($F$11-$E$11)),$G$11-SQRT((1-U423)*($G$11-$E$11)*($G$11-$F$11))))</f>
        <v>0.0988717024928915</v>
      </c>
      <c r="H423" s="39" t="n">
        <f aca="false">(('Business Case'!B11*$C423*'Business Case'!B12*$B423)-'Business Case'!B11*$C423*'Business Case'!B13*$D423-'Business Case'!B14*$E423)-MAX(0,(('Business Case'!B11*$C423*'Business Case'!B12*$B423)-'Business Case'!B11*$C423*'Business Case'!B13*$D423-'Business Case'!B14*$E423))*'Business Case'!$B$7-'Business Case'!$B$8*('Business Case'!B11*$C423*'Business Case'!B12*$B423)-'Business Case'!B15*$F423</f>
        <v>-2004140932.18191</v>
      </c>
      <c r="I423" s="39" t="n">
        <f aca="false">(('Business Case'!C11*$C423*'Business Case'!C12*$B423)-'Business Case'!C11*$C423*'Business Case'!C13*$D423-'Business Case'!C14*$E423)-MAX(0,(('Business Case'!C11*$C423*'Business Case'!C12*$B423)-'Business Case'!C11*$C423*'Business Case'!C13*$D423-'Business Case'!C14*$E423))*'Business Case'!$B$7-'Business Case'!$B$8*(('Business Case'!C11*$C423*'Business Case'!C12*$B423)-('Business Case'!B11*$C423*'Business Case'!B12*$B423))-'Business Case'!C15*$F423</f>
        <v>-16234172.9738224</v>
      </c>
      <c r="J423" s="39" t="n">
        <f aca="false">(('Business Case'!D11*$C423*'Business Case'!D12*$B423)-'Business Case'!D11*$C423*'Business Case'!D13*$D423-'Business Case'!D14*$E423)-MAX(0,(('Business Case'!D11*$C423*'Business Case'!D12*$B423)-'Business Case'!D11*$C423*'Business Case'!D13*$D423-'Business Case'!D14*$E423))*'Business Case'!$B$7-'Business Case'!$B$8*(('Business Case'!D11*$C423*'Business Case'!D12*$B423)-('Business Case'!C11*$C423*'Business Case'!C12*$B423))-'Business Case'!D15*$F423</f>
        <v>259967538.750431</v>
      </c>
      <c r="K423" s="39" t="n">
        <f aca="false">(('Business Case'!E11*$C423*'Business Case'!E12*$B423)-'Business Case'!E11*$C423*'Business Case'!E13*$D423-'Business Case'!E14*$E423)-MAX(0,(('Business Case'!E11*$C423*'Business Case'!E12*$B423)-'Business Case'!E11*$C423*'Business Case'!E13*$D423-'Business Case'!E14*$E423))*'Business Case'!$B$7-'Business Case'!$B$8*(('Business Case'!E11*$C423*'Business Case'!E12*$B423)-('Business Case'!D11*$C423*'Business Case'!D12*$B423))-'Business Case'!E15*$F423</f>
        <v>586272773.779233</v>
      </c>
      <c r="L423" s="39" t="n">
        <f aca="false">(('Business Case'!F11*$C423*'Business Case'!F12*$B423)-'Business Case'!F11*$C423*'Business Case'!F13*$D423-'Business Case'!F14*$E423)-MAX(0,(('Business Case'!F11*$C423*'Business Case'!F12*$B423)-'Business Case'!F11*$C423*'Business Case'!F13*$D423-'Business Case'!F14*$E423))*'Business Case'!$B$7-'Business Case'!$B$8*(('Business Case'!F11*$C423*'Business Case'!F12*$B423)-('Business Case'!E11*$C423*'Business Case'!E12*$B423))-'Business Case'!F15*$F423</f>
        <v>711717658.488468</v>
      </c>
      <c r="M423" s="39" t="n">
        <f aca="false">(('Business Case'!G11*$C423*'Business Case'!G12*$B423)-'Business Case'!G11*$C423*'Business Case'!G13*$D423-'Business Case'!G14*$E423)-MAX(0,(('Business Case'!G11*$C423*'Business Case'!G12*$B423)-'Business Case'!G11*$C423*'Business Case'!G13*$D423-'Business Case'!G14*$E423))*'Business Case'!$B$7-'Business Case'!$B$8*(('Business Case'!G11*$C423*'Business Case'!G12*$B423)-('Business Case'!F11*$C423*'Business Case'!F12*$B423))-'Business Case'!G15*$F423+'Business Case'!$B$8*('Business Case'!G11*$C423*'Business Case'!G12*$B423)</f>
        <v>895294719.561459</v>
      </c>
      <c r="N423" s="39" t="n">
        <f aca="false">IF(COUNT('Business Case'!B11:G11)=0,"",H423+NPV(G423,I423:M423))</f>
        <v>-314910418.539521</v>
      </c>
      <c r="P423" s="40" t="n">
        <f aca="true">RAND()</f>
        <v>0.537032156983522</v>
      </c>
      <c r="Q423" s="40" t="n">
        <f aca="true">RAND()</f>
        <v>0.431379133818146</v>
      </c>
      <c r="R423" s="40" t="n">
        <f aca="true">RAND()</f>
        <v>0.785872832203032</v>
      </c>
      <c r="S423" s="40" t="n">
        <f aca="true">RAND()</f>
        <v>0.329814016219261</v>
      </c>
      <c r="T423" s="40" t="n">
        <f aca="true">RAND()</f>
        <v>0.216477992130976</v>
      </c>
      <c r="U423" s="40" t="n">
        <f aca="true">RAND()</f>
        <v>0.262357017074593</v>
      </c>
    </row>
    <row r="424" customFormat="false" ht="15" hidden="false" customHeight="false" outlineLevel="0" collapsed="false">
      <c r="A424" s="36" t="n">
        <v>344</v>
      </c>
      <c r="B424" s="37" t="n">
        <f aca="false">1+IF($G$6=$E$6,$F$6,IF(P424&lt;($F$6-$E$6)/($G$6-$E$6),$E$6+SQRT(P424*($G$6-$E$6)*($F$6-$E$6)),$G$6-SQRT((1-P424)*($G$6-$E$6)*($G$6-$F$6))))</f>
        <v>0.969420073289277</v>
      </c>
      <c r="C424" s="37" t="n">
        <f aca="false">1+IF($G$7=$E$7,$F$7,IF(Q424&lt;($F$7-$E$7)/($G$7-$E$7),$E$7+SQRT(Q424*($G$7-$E$7)*($F$7-$E$7)),$G$7-SQRT((1-Q424)*($G$7-$E$7)*($G$7-$F$7))))</f>
        <v>1.05961119437301</v>
      </c>
      <c r="D424" s="37" t="n">
        <f aca="false">1+IF($G$8=$E$8,$F$8,IF(R424&lt;($F$8-$E$8)/($G$8-$E$8),$E$8+SQRT(R424*($G$8-$E$8)*($F$8-$E$8)),$G$8-SQRT((1-R424)*($G$8-$E$8)*($G$8-$F$8))))</f>
        <v>0.993993507832235</v>
      </c>
      <c r="E424" s="37" t="n">
        <f aca="false">1+IF($G$9=$E$9,$F$9,IF(S424&lt;($F$9-$E$9)/($G$9-$E$9),$E$9+SQRT(S424*($G$9-$E$9)*($F$9-$E$9)),$G$9-SQRT((1-S424)*($G$9-$E$9)*($G$9-$F$9))))</f>
        <v>0.998957127246489</v>
      </c>
      <c r="F424" s="37" t="n">
        <f aca="false">1+IF($G$10=$E$10,$F$10,IF(T424&lt;($F$10-$E$10)/($G$10-$E$10),$E$10+SQRT(T424*($G$10-$E$10)*($F$10-$E$10)),$G$10-SQRT((1-T424)*($G$10-$E$10)*($G$10-$F$10))))</f>
        <v>1.14361456509448</v>
      </c>
      <c r="G424" s="38" t="n">
        <f aca="false">IF($G$11=$E$11,$F$11,IF(U424&lt;($F$11-$E$11)/($G$11-$E$11),$E$11+SQRT(U424*($G$11-$E$11)*($F$11-$E$11)),$G$11-SQRT((1-U424)*($G$11-$E$11)*($G$11-$F$11))))</f>
        <v>0.104137526363588</v>
      </c>
      <c r="H424" s="39" t="n">
        <f aca="false">(('Business Case'!B11*$C424*'Business Case'!B12*$B424)-'Business Case'!B11*$C424*'Business Case'!B13*$D424-'Business Case'!B14*$E424)-MAX(0,(('Business Case'!B11*$C424*'Business Case'!B12*$B424)-'Business Case'!B11*$C424*'Business Case'!B13*$D424-'Business Case'!B14*$E424))*'Business Case'!$B$7-'Business Case'!$B$8*('Business Case'!B11*$C424*'Business Case'!B12*$B424)-'Business Case'!B15*$F424</f>
        <v>-2287229130.18896</v>
      </c>
      <c r="I424" s="39" t="n">
        <f aca="false">(('Business Case'!C11*$C424*'Business Case'!C12*$B424)-'Business Case'!C11*$C424*'Business Case'!C13*$D424-'Business Case'!C14*$E424)-MAX(0,(('Business Case'!C11*$C424*'Business Case'!C12*$B424)-'Business Case'!C11*$C424*'Business Case'!C13*$D424-'Business Case'!C14*$E424))*'Business Case'!$B$7-'Business Case'!$B$8*(('Business Case'!C11*$C424*'Business Case'!C12*$B424)-('Business Case'!B11*$C424*'Business Case'!B12*$B424))-'Business Case'!C15*$F424</f>
        <v>-7484058.29566547</v>
      </c>
      <c r="J424" s="39" t="n">
        <f aca="false">(('Business Case'!D11*$C424*'Business Case'!D12*$B424)-'Business Case'!D11*$C424*'Business Case'!D13*$D424-'Business Case'!D14*$E424)-MAX(0,(('Business Case'!D11*$C424*'Business Case'!D12*$B424)-'Business Case'!D11*$C424*'Business Case'!D13*$D424-'Business Case'!D14*$E424))*'Business Case'!$B$7-'Business Case'!$B$8*(('Business Case'!D11*$C424*'Business Case'!D12*$B424)-('Business Case'!C11*$C424*'Business Case'!C12*$B424))-'Business Case'!D15*$F424</f>
        <v>294695524.88347</v>
      </c>
      <c r="K424" s="39" t="n">
        <f aca="false">(('Business Case'!E11*$C424*'Business Case'!E12*$B424)-'Business Case'!E11*$C424*'Business Case'!E13*$D424-'Business Case'!E14*$E424)-MAX(0,(('Business Case'!E11*$C424*'Business Case'!E12*$B424)-'Business Case'!E11*$C424*'Business Case'!E13*$D424-'Business Case'!E14*$E424))*'Business Case'!$B$7-'Business Case'!$B$8*(('Business Case'!E11*$C424*'Business Case'!E12*$B424)-('Business Case'!D11*$C424*'Business Case'!D12*$B424))-'Business Case'!E15*$F424</f>
        <v>654055836.317329</v>
      </c>
      <c r="L424" s="39" t="n">
        <f aca="false">(('Business Case'!F11*$C424*'Business Case'!F12*$B424)-'Business Case'!F11*$C424*'Business Case'!F13*$D424-'Business Case'!F14*$E424)-MAX(0,(('Business Case'!F11*$C424*'Business Case'!F12*$B424)-'Business Case'!F11*$C424*'Business Case'!F13*$D424-'Business Case'!F14*$E424))*'Business Case'!$B$7-'Business Case'!$B$8*(('Business Case'!F11*$C424*'Business Case'!F12*$B424)-('Business Case'!E11*$C424*'Business Case'!E12*$B424))-'Business Case'!F15*$F424</f>
        <v>790282685.02431</v>
      </c>
      <c r="M424" s="39" t="n">
        <f aca="false">(('Business Case'!G11*$C424*'Business Case'!G12*$B424)-'Business Case'!G11*$C424*'Business Case'!G13*$D424-'Business Case'!G14*$E424)-MAX(0,(('Business Case'!G11*$C424*'Business Case'!G12*$B424)-'Business Case'!G11*$C424*'Business Case'!G13*$D424-'Business Case'!G14*$E424))*'Business Case'!$B$7-'Business Case'!$B$8*(('Business Case'!G11*$C424*'Business Case'!G12*$B424)-('Business Case'!F11*$C424*'Business Case'!F12*$B424))-'Business Case'!G15*$F424+'Business Case'!$B$8*('Business Case'!G11*$C424*'Business Case'!G12*$B424)</f>
        <v>985534450.417618</v>
      </c>
      <c r="N424" s="39" t="n">
        <f aca="false">IF(COUNT('Business Case'!B11:G11)=0,"",H424+NPV(G424,I424:M424))</f>
        <v>-434093267.856943</v>
      </c>
      <c r="P424" s="40" t="n">
        <f aca="true">RAND()</f>
        <v>0.254410796241405</v>
      </c>
      <c r="Q424" s="40" t="n">
        <f aca="true">RAND()</f>
        <v>0.844378358425252</v>
      </c>
      <c r="R424" s="40" t="n">
        <f aca="true">RAND()</f>
        <v>0.29775826636691</v>
      </c>
      <c r="S424" s="40" t="n">
        <f aca="true">RAND()</f>
        <v>0.319573374430523</v>
      </c>
      <c r="T424" s="40" t="n">
        <f aca="true">RAND()</f>
        <v>0.936413654610303</v>
      </c>
      <c r="U424" s="40" t="n">
        <f aca="true">RAND()</f>
        <v>0.580636550223551</v>
      </c>
    </row>
    <row r="425" customFormat="false" ht="15" hidden="false" customHeight="false" outlineLevel="0" collapsed="false">
      <c r="A425" s="36" t="n">
        <v>345</v>
      </c>
      <c r="B425" s="37" t="n">
        <f aca="false">1+IF($G$6=$E$6,$F$6,IF(P425&lt;($F$6-$E$6)/($G$6-$E$6),$E$6+SQRT(P425*($G$6-$E$6)*($F$6-$E$6)),$G$6-SQRT((1-P425)*($G$6-$E$6)*($G$6-$F$6))))</f>
        <v>0.981017595707166</v>
      </c>
      <c r="C425" s="37" t="n">
        <f aca="false">1+IF($G$7=$E$7,$F$7,IF(Q425&lt;($F$7-$E$7)/($G$7-$E$7),$E$7+SQRT(Q425*($G$7-$E$7)*($F$7-$E$7)),$G$7-SQRT((1-Q425)*($G$7-$E$7)*($G$7-$F$7))))</f>
        <v>0.983461358259675</v>
      </c>
      <c r="D425" s="37" t="n">
        <f aca="false">1+IF($G$8=$E$8,$F$8,IF(R425&lt;($F$8-$E$8)/($G$8-$E$8),$E$8+SQRT(R425*($G$8-$E$8)*($F$8-$E$8)),$G$8-SQRT((1-R425)*($G$8-$E$8)*($G$8-$F$8))))</f>
        <v>1.03113265610271</v>
      </c>
      <c r="E425" s="37" t="n">
        <f aca="false">1+IF($G$9=$E$9,$F$9,IF(S425&lt;($F$9-$E$9)/($G$9-$E$9),$E$9+SQRT(S425*($G$9-$E$9)*($F$9-$E$9)),$G$9-SQRT((1-S425)*($G$9-$E$9)*($G$9-$F$9))))</f>
        <v>0.993609193834735</v>
      </c>
      <c r="F425" s="37" t="n">
        <f aca="false">1+IF($G$10=$E$10,$F$10,IF(T425&lt;($F$10-$E$10)/($G$10-$E$10),$E$10+SQRT(T425*($G$10-$E$10)*($F$10-$E$10)),$G$10-SQRT((1-T425)*($G$10-$E$10)*($G$10-$F$10))))</f>
        <v>1.05770263606521</v>
      </c>
      <c r="G425" s="38" t="n">
        <f aca="false">IF($G$11=$E$11,$F$11,IF(U425&lt;($F$11-$E$11)/($G$11-$E$11),$E$11+SQRT(U425*($G$11-$E$11)*($F$11-$E$11)),$G$11-SQRT((1-U425)*($G$11-$E$11)*($G$11-$F$11))))</f>
        <v>0.0992819685809069</v>
      </c>
      <c r="H425" s="39" t="n">
        <f aca="false">(('Business Case'!B11*$C425*'Business Case'!B12*$B425)-'Business Case'!B11*$C425*'Business Case'!B13*$D425-'Business Case'!B14*$E425)-MAX(0,(('Business Case'!B11*$C425*'Business Case'!B12*$B425)-'Business Case'!B11*$C425*'Business Case'!B13*$D425-'Business Case'!B14*$E425))*'Business Case'!$B$7-'Business Case'!$B$8*('Business Case'!B11*$C425*'Business Case'!B12*$B425)-'Business Case'!B15*$F425</f>
        <v>-2115405272.13042</v>
      </c>
      <c r="I425" s="39" t="n">
        <f aca="false">(('Business Case'!C11*$C425*'Business Case'!C12*$B425)-'Business Case'!C11*$C425*'Business Case'!C13*$D425-'Business Case'!C14*$E425)-MAX(0,(('Business Case'!C11*$C425*'Business Case'!C12*$B425)-'Business Case'!C11*$C425*'Business Case'!C13*$D425-'Business Case'!C14*$E425))*'Business Case'!$B$7-'Business Case'!$B$8*(('Business Case'!C11*$C425*'Business Case'!C12*$B425)-('Business Case'!B11*$C425*'Business Case'!B12*$B425))-'Business Case'!C15*$F425</f>
        <v>-25968891.3017464</v>
      </c>
      <c r="J425" s="39" t="n">
        <f aca="false">(('Business Case'!D11*$C425*'Business Case'!D12*$B425)-'Business Case'!D11*$C425*'Business Case'!D13*$D425-'Business Case'!D14*$E425)-MAX(0,(('Business Case'!D11*$C425*'Business Case'!D12*$B425)-'Business Case'!D11*$C425*'Business Case'!D13*$D425-'Business Case'!D14*$E425))*'Business Case'!$B$7-'Business Case'!$B$8*(('Business Case'!D11*$C425*'Business Case'!D12*$B425)-('Business Case'!C11*$C425*'Business Case'!C12*$B425))-'Business Case'!D15*$F425</f>
        <v>245138572.154626</v>
      </c>
      <c r="K425" s="39" t="n">
        <f aca="false">(('Business Case'!E11*$C425*'Business Case'!E12*$B425)-'Business Case'!E11*$C425*'Business Case'!E13*$D425-'Business Case'!E14*$E425)-MAX(0,(('Business Case'!E11*$C425*'Business Case'!E12*$B425)-'Business Case'!E11*$C425*'Business Case'!E13*$D425-'Business Case'!E14*$E425))*'Business Case'!$B$7-'Business Case'!$B$8*(('Business Case'!E11*$C425*'Business Case'!E12*$B425)-('Business Case'!D11*$C425*'Business Case'!D12*$B425))-'Business Case'!E15*$F425</f>
        <v>569131167.414258</v>
      </c>
      <c r="L425" s="39" t="n">
        <f aca="false">(('Business Case'!F11*$C425*'Business Case'!F12*$B425)-'Business Case'!F11*$C425*'Business Case'!F13*$D425-'Business Case'!F14*$E425)-MAX(0,(('Business Case'!F11*$C425*'Business Case'!F12*$B425)-'Business Case'!F11*$C425*'Business Case'!F13*$D425-'Business Case'!F14*$E425))*'Business Case'!$B$7-'Business Case'!$B$8*(('Business Case'!F11*$C425*'Business Case'!F12*$B425)-('Business Case'!E11*$C425*'Business Case'!E12*$B425))-'Business Case'!F15*$F425</f>
        <v>692843564.425248</v>
      </c>
      <c r="M425" s="39" t="n">
        <f aca="false">(('Business Case'!G11*$C425*'Business Case'!G12*$B425)-'Business Case'!G11*$C425*'Business Case'!G13*$D425-'Business Case'!G14*$E425)-MAX(0,(('Business Case'!G11*$C425*'Business Case'!G12*$B425)-'Business Case'!G11*$C425*'Business Case'!G13*$D425-'Business Case'!G14*$E425))*'Business Case'!$B$7-'Business Case'!$B$8*(('Business Case'!G11*$C425*'Business Case'!G12*$B425)-('Business Case'!F11*$C425*'Business Case'!F12*$B425))-'Business Case'!G15*$F425+'Business Case'!$B$8*('Business Case'!G11*$C425*'Business Case'!G12*$B425)</f>
        <v>876231398.315674</v>
      </c>
      <c r="N425" s="39" t="n">
        <f aca="false">IF(COUNT('Business Case'!B11:G11)=0,"",H425+NPV(G425,I425:M425))</f>
        <v>-487425996.73728</v>
      </c>
      <c r="P425" s="40" t="n">
        <f aca="true">RAND()</f>
        <v>0.387827811029497</v>
      </c>
      <c r="Q425" s="40" t="n">
        <f aca="true">RAND()</f>
        <v>0.480829571064067</v>
      </c>
      <c r="R425" s="40" t="n">
        <f aca="true">RAND()</f>
        <v>0.770382951963819</v>
      </c>
      <c r="S425" s="40" t="n">
        <f aca="true">RAND()</f>
        <v>0.253568238255403</v>
      </c>
      <c r="T425" s="40" t="n">
        <f aca="true">RAND()</f>
        <v>0.595029204344213</v>
      </c>
      <c r="U425" s="40" t="n">
        <f aca="true">RAND()</f>
        <v>0.287183135789807</v>
      </c>
    </row>
    <row r="426" customFormat="false" ht="15" hidden="false" customHeight="false" outlineLevel="0" collapsed="false">
      <c r="A426" s="36" t="n">
        <v>346</v>
      </c>
      <c r="B426" s="37" t="n">
        <f aca="false">1+IF($G$6=$E$6,$F$6,IF(P426&lt;($F$6-$E$6)/($G$6-$E$6),$E$6+SQRT(P426*($G$6-$E$6)*($F$6-$E$6)),$G$6-SQRT((1-P426)*($G$6-$E$6)*($G$6-$F$6))))</f>
        <v>1.00148426407001</v>
      </c>
      <c r="C426" s="37" t="n">
        <f aca="false">1+IF($G$7=$E$7,$F$7,IF(Q426&lt;($F$7-$E$7)/($G$7-$E$7),$E$7+SQRT(Q426*($G$7-$E$7)*($F$7-$E$7)),$G$7-SQRT((1-Q426)*($G$7-$E$7)*($G$7-$F$7))))</f>
        <v>0.958540331496804</v>
      </c>
      <c r="D426" s="37" t="n">
        <f aca="false">1+IF($G$8=$E$8,$F$8,IF(R426&lt;($F$8-$E$8)/($G$8-$E$8),$E$8+SQRT(R426*($G$8-$E$8)*($F$8-$E$8)),$G$8-SQRT((1-R426)*($G$8-$E$8)*($G$8-$F$8))))</f>
        <v>1.01139630076674</v>
      </c>
      <c r="E426" s="37" t="n">
        <f aca="false">1+IF($G$9=$E$9,$F$9,IF(S426&lt;($F$9-$E$9)/($G$9-$E$9),$E$9+SQRT(S426*($G$9-$E$9)*($F$9-$E$9)),$G$9-SQRT((1-S426)*($G$9-$E$9)*($G$9-$F$9))))</f>
        <v>0.985034496982979</v>
      </c>
      <c r="F426" s="37" t="n">
        <f aca="false">1+IF($G$10=$E$10,$F$10,IF(T426&lt;($F$10-$E$10)/($G$10-$E$10),$E$10+SQRT(T426*($G$10-$E$10)*($F$10-$E$10)),$G$10-SQRT((1-T426)*($G$10-$E$10)*($G$10-$F$10))))</f>
        <v>1.06282756849721</v>
      </c>
      <c r="G426" s="38" t="n">
        <f aca="false">IF($G$11=$E$11,$F$11,IF(U426&lt;($F$11-$E$11)/($G$11-$E$11),$E$11+SQRT(U426*($G$11-$E$11)*($F$11-$E$11)),$G$11-SQRT((1-U426)*($G$11-$E$11)*($G$11-$F$11))))</f>
        <v>0.0977123816633713</v>
      </c>
      <c r="H426" s="39" t="n">
        <f aca="false">(('Business Case'!B11*$C426*'Business Case'!B12*$B426)-'Business Case'!B11*$C426*'Business Case'!B13*$D426-'Business Case'!B14*$E426)-MAX(0,(('Business Case'!B11*$C426*'Business Case'!B12*$B426)-'Business Case'!B11*$C426*'Business Case'!B13*$D426-'Business Case'!B14*$E426))*'Business Case'!$B$7-'Business Case'!$B$8*('Business Case'!B11*$C426*'Business Case'!B12*$B426)-'Business Case'!B15*$F426</f>
        <v>-2125655136.99442</v>
      </c>
      <c r="I426" s="39" t="n">
        <f aca="false">(('Business Case'!C11*$C426*'Business Case'!C12*$B426)-'Business Case'!C11*$C426*'Business Case'!C13*$D426-'Business Case'!C14*$E426)-MAX(0,(('Business Case'!C11*$C426*'Business Case'!C12*$B426)-'Business Case'!C11*$C426*'Business Case'!C13*$D426-'Business Case'!C14*$E426))*'Business Case'!$B$7-'Business Case'!$B$8*(('Business Case'!C11*$C426*'Business Case'!C12*$B426)-('Business Case'!B11*$C426*'Business Case'!B12*$B426))-'Business Case'!C15*$F426</f>
        <v>-6128370.3633669</v>
      </c>
      <c r="J426" s="39" t="n">
        <f aca="false">(('Business Case'!D11*$C426*'Business Case'!D12*$B426)-'Business Case'!D11*$C426*'Business Case'!D13*$D426-'Business Case'!D14*$E426)-MAX(0,(('Business Case'!D11*$C426*'Business Case'!D12*$B426)-'Business Case'!D11*$C426*'Business Case'!D13*$D426-'Business Case'!D14*$E426))*'Business Case'!$B$7-'Business Case'!$B$8*(('Business Case'!D11*$C426*'Business Case'!D12*$B426)-('Business Case'!C11*$C426*'Business Case'!C12*$B426))-'Business Case'!D15*$F426</f>
        <v>283862406.545077</v>
      </c>
      <c r="K426" s="39" t="n">
        <f aca="false">(('Business Case'!E11*$C426*'Business Case'!E12*$B426)-'Business Case'!E11*$C426*'Business Case'!E13*$D426-'Business Case'!E14*$E426)-MAX(0,(('Business Case'!E11*$C426*'Business Case'!E12*$B426)-'Business Case'!E11*$C426*'Business Case'!E13*$D426-'Business Case'!E14*$E426))*'Business Case'!$B$7-'Business Case'!$B$8*(('Business Case'!E11*$C426*'Business Case'!E12*$B426)-('Business Case'!D11*$C426*'Business Case'!D12*$B426))-'Business Case'!E15*$F426</f>
        <v>626994561.878382</v>
      </c>
      <c r="L426" s="39" t="n">
        <f aca="false">(('Business Case'!F11*$C426*'Business Case'!F12*$B426)-'Business Case'!F11*$C426*'Business Case'!F13*$D426-'Business Case'!F14*$E426)-MAX(0,(('Business Case'!F11*$C426*'Business Case'!F12*$B426)-'Business Case'!F11*$C426*'Business Case'!F13*$D426-'Business Case'!F14*$E426))*'Business Case'!$B$7-'Business Case'!$B$8*(('Business Case'!F11*$C426*'Business Case'!F12*$B426)-('Business Case'!E11*$C426*'Business Case'!E12*$B426))-'Business Case'!F15*$F426</f>
        <v>756834477.481937</v>
      </c>
      <c r="M426" s="39" t="n">
        <f aca="false">(('Business Case'!G11*$C426*'Business Case'!G12*$B426)-'Business Case'!G11*$C426*'Business Case'!G13*$D426-'Business Case'!G14*$E426)-MAX(0,(('Business Case'!G11*$C426*'Business Case'!G12*$B426)-'Business Case'!G11*$C426*'Business Case'!G13*$D426-'Business Case'!G14*$E426))*'Business Case'!$B$7-'Business Case'!$B$8*(('Business Case'!G11*$C426*'Business Case'!G12*$B426)-('Business Case'!F11*$C426*'Business Case'!F12*$B426))-'Business Case'!G15*$F426+'Business Case'!$B$8*('Business Case'!G11*$C426*'Business Case'!G12*$B426)</f>
        <v>939304255.636009</v>
      </c>
      <c r="N426" s="39" t="n">
        <f aca="false">IF(COUNT('Business Case'!B11:G11)=0,"",H426+NPV(G426,I426:M426))</f>
        <v>-311053209.264201</v>
      </c>
      <c r="P426" s="40" t="n">
        <f aca="true">RAND()</f>
        <v>0.69094543453561</v>
      </c>
      <c r="Q426" s="40" t="n">
        <f aca="true">RAND()</f>
        <v>0.359071953015951</v>
      </c>
      <c r="R426" s="40" t="n">
        <f aca="true">RAND()</f>
        <v>0.547455043414642</v>
      </c>
      <c r="S426" s="40" t="n">
        <f aca="true">RAND()</f>
        <v>0.163655463846712</v>
      </c>
      <c r="T426" s="40" t="n">
        <f aca="true">RAND()</f>
        <v>0.623674480712249</v>
      </c>
      <c r="U426" s="40" t="n">
        <f aca="true">RAND()</f>
        <v>0.198269436405021</v>
      </c>
    </row>
    <row r="427" customFormat="false" ht="15" hidden="false" customHeight="false" outlineLevel="0" collapsed="false">
      <c r="A427" s="36" t="n">
        <v>347</v>
      </c>
      <c r="B427" s="37" t="n">
        <f aca="false">1+IF($G$6=$E$6,$F$6,IF(P427&lt;($F$6-$E$6)/($G$6-$E$6),$E$6+SQRT(P427*($G$6-$E$6)*($F$6-$E$6)),$G$6-SQRT((1-P427)*($G$6-$E$6)*($G$6-$F$6))))</f>
        <v>1.01251563707366</v>
      </c>
      <c r="C427" s="37" t="n">
        <f aca="false">1+IF($G$7=$E$7,$F$7,IF(Q427&lt;($F$7-$E$7)/($G$7-$E$7),$E$7+SQRT(Q427*($G$7-$E$7)*($F$7-$E$7)),$G$7-SQRT((1-Q427)*($G$7-$E$7)*($G$7-$F$7))))</f>
        <v>1.06295907549236</v>
      </c>
      <c r="D427" s="37" t="n">
        <f aca="false">1+IF($G$8=$E$8,$F$8,IF(R427&lt;($F$8-$E$8)/($G$8-$E$8),$E$8+SQRT(R427*($G$8-$E$8)*($F$8-$E$8)),$G$8-SQRT((1-R427)*($G$8-$E$8)*($G$8-$F$8))))</f>
        <v>1.05154260428572</v>
      </c>
      <c r="E427" s="37" t="n">
        <f aca="false">1+IF($G$9=$E$9,$F$9,IF(S427&lt;($F$9-$E$9)/($G$9-$E$9),$E$9+SQRT(S427*($G$9-$E$9)*($F$9-$E$9)),$G$9-SQRT((1-S427)*($G$9-$E$9)*($G$9-$F$9))))</f>
        <v>1.03726838546405</v>
      </c>
      <c r="F427" s="37" t="n">
        <f aca="false">1+IF($G$10=$E$10,$F$10,IF(T427&lt;($F$10-$E$10)/($G$10-$E$10),$E$10+SQRT(T427*($G$10-$E$10)*($F$10-$E$10)),$G$10-SQRT((1-T427)*($G$10-$E$10)*($G$10-$F$10))))</f>
        <v>1.11008945085178</v>
      </c>
      <c r="G427" s="38" t="n">
        <f aca="false">IF($G$11=$E$11,$F$11,IF(U427&lt;($F$11-$E$11)/($G$11-$E$11),$E$11+SQRT(U427*($G$11-$E$11)*($F$11-$E$11)),$G$11-SQRT((1-U427)*($G$11-$E$11)*($G$11-$F$11))))</f>
        <v>0.104690359495908</v>
      </c>
      <c r="H427" s="39" t="n">
        <f aca="false">(('Business Case'!B11*$C427*'Business Case'!B12*$B427)-'Business Case'!B11*$C427*'Business Case'!B13*$D427-'Business Case'!B14*$E427)-MAX(0,(('Business Case'!B11*$C427*'Business Case'!B12*$B427)-'Business Case'!B11*$C427*'Business Case'!B13*$D427-'Business Case'!B14*$E427))*'Business Case'!$B$7-'Business Case'!$B$8*('Business Case'!B11*$C427*'Business Case'!B12*$B427)-'Business Case'!B15*$F427</f>
        <v>-2220178901.70357</v>
      </c>
      <c r="I427" s="39" t="n">
        <f aca="false">(('Business Case'!C11*$C427*'Business Case'!C12*$B427)-'Business Case'!C11*$C427*'Business Case'!C13*$D427-'Business Case'!C14*$E427)-MAX(0,(('Business Case'!C11*$C427*'Business Case'!C12*$B427)-'Business Case'!C11*$C427*'Business Case'!C13*$D427-'Business Case'!C14*$E427))*'Business Case'!$B$7-'Business Case'!$B$8*(('Business Case'!C11*$C427*'Business Case'!C12*$B427)-('Business Case'!B11*$C427*'Business Case'!B12*$B427))-'Business Case'!C15*$F427</f>
        <v>-4962255.33224657</v>
      </c>
      <c r="J427" s="39" t="n">
        <f aca="false">(('Business Case'!D11*$C427*'Business Case'!D12*$B427)-'Business Case'!D11*$C427*'Business Case'!D13*$D427-'Business Case'!D14*$E427)-MAX(0,(('Business Case'!D11*$C427*'Business Case'!D12*$B427)-'Business Case'!D11*$C427*'Business Case'!D13*$D427-'Business Case'!D14*$E427))*'Business Case'!$B$7-'Business Case'!$B$8*(('Business Case'!D11*$C427*'Business Case'!D12*$B427)-('Business Case'!C11*$C427*'Business Case'!C12*$B427))-'Business Case'!D15*$F427</f>
        <v>304377456.450271</v>
      </c>
      <c r="K427" s="39" t="n">
        <f aca="false">(('Business Case'!E11*$C427*'Business Case'!E12*$B427)-'Business Case'!E11*$C427*'Business Case'!E13*$D427-'Business Case'!E14*$E427)-MAX(0,(('Business Case'!E11*$C427*'Business Case'!E12*$B427)-'Business Case'!E11*$C427*'Business Case'!E13*$D427-'Business Case'!E14*$E427))*'Business Case'!$B$7-'Business Case'!$B$8*(('Business Case'!E11*$C427*'Business Case'!E12*$B427)-('Business Case'!D11*$C427*'Business Case'!D12*$B427))-'Business Case'!E15*$F427</f>
        <v>669221640.775378</v>
      </c>
      <c r="L427" s="39" t="n">
        <f aca="false">(('Business Case'!F11*$C427*'Business Case'!F12*$B427)-'Business Case'!F11*$C427*'Business Case'!F13*$D427-'Business Case'!F14*$E427)-MAX(0,(('Business Case'!F11*$C427*'Business Case'!F12*$B427)-'Business Case'!F11*$C427*'Business Case'!F13*$D427-'Business Case'!F14*$E427))*'Business Case'!$B$7-'Business Case'!$B$8*(('Business Case'!F11*$C427*'Business Case'!F12*$B427)-('Business Case'!E11*$C427*'Business Case'!E12*$B427))-'Business Case'!F15*$F427</f>
        <v>809530516.447283</v>
      </c>
      <c r="M427" s="39" t="n">
        <f aca="false">(('Business Case'!G11*$C427*'Business Case'!G12*$B427)-'Business Case'!G11*$C427*'Business Case'!G13*$D427-'Business Case'!G14*$E427)-MAX(0,(('Business Case'!G11*$C427*'Business Case'!G12*$B427)-'Business Case'!G11*$C427*'Business Case'!G13*$D427-'Business Case'!G14*$E427))*'Business Case'!$B$7-'Business Case'!$B$8*(('Business Case'!G11*$C427*'Business Case'!G12*$B427)-('Business Case'!F11*$C427*'Business Case'!F12*$B427))-'Business Case'!G15*$F427+'Business Case'!$B$8*('Business Case'!G11*$C427*'Business Case'!G12*$B427)</f>
        <v>1014106527.70814</v>
      </c>
      <c r="N427" s="39" t="n">
        <f aca="false">IF(COUNT('Business Case'!B11:G11)=0,"",H427+NPV(G427,I427:M427))</f>
        <v>-318816852.77855</v>
      </c>
      <c r="P427" s="40" t="n">
        <f aca="true">RAND()</f>
        <v>0.842627040527701</v>
      </c>
      <c r="Q427" s="40" t="n">
        <f aca="true">RAND()</f>
        <v>0.855692904016281</v>
      </c>
      <c r="R427" s="40" t="n">
        <f aca="true">RAND()</f>
        <v>0.922132368188528</v>
      </c>
      <c r="S427" s="40" t="n">
        <f aca="true">RAND()</f>
        <v>0.73764963584753</v>
      </c>
      <c r="T427" s="40" t="n">
        <f aca="true">RAND()</f>
        <v>0.838321863037322</v>
      </c>
      <c r="U427" s="40" t="n">
        <f aca="true">RAND()</f>
        <v>0.609358179392435</v>
      </c>
    </row>
    <row r="428" customFormat="false" ht="15" hidden="false" customHeight="false" outlineLevel="0" collapsed="false">
      <c r="A428" s="36" t="n">
        <v>348</v>
      </c>
      <c r="B428" s="37" t="n">
        <f aca="false">1+IF($G$6=$E$6,$F$6,IF(P428&lt;($F$6-$E$6)/($G$6-$E$6),$E$6+SQRT(P428*($G$6-$E$6)*($F$6-$E$6)),$G$6-SQRT((1-P428)*($G$6-$E$6)*($G$6-$F$6))))</f>
        <v>0.943154537379841</v>
      </c>
      <c r="C428" s="37" t="n">
        <f aca="false">1+IF($G$7=$E$7,$F$7,IF(Q428&lt;($F$7-$E$7)/($G$7-$E$7),$E$7+SQRT(Q428*($G$7-$E$7)*($F$7-$E$7)),$G$7-SQRT((1-Q428)*($G$7-$E$7)*($G$7-$F$7))))</f>
        <v>1.02559784595696</v>
      </c>
      <c r="D428" s="37" t="n">
        <f aca="false">1+IF($G$8=$E$8,$F$8,IF(R428&lt;($F$8-$E$8)/($G$8-$E$8),$E$8+SQRT(R428*($G$8-$E$8)*($F$8-$E$8)),$G$8-SQRT((1-R428)*($G$8-$E$8)*($G$8-$F$8))))</f>
        <v>1.01553652065462</v>
      </c>
      <c r="E428" s="37" t="n">
        <f aca="false">1+IF($G$9=$E$9,$F$9,IF(S428&lt;($F$9-$E$9)/($G$9-$E$9),$E$9+SQRT(S428*($G$9-$E$9)*($F$9-$E$9)),$G$9-SQRT((1-S428)*($G$9-$E$9)*($G$9-$F$9))))</f>
        <v>1.03582627704677</v>
      </c>
      <c r="F428" s="37" t="n">
        <f aca="false">1+IF($G$10=$E$10,$F$10,IF(T428&lt;($F$10-$E$10)/($G$10-$E$10),$E$10+SQRT(T428*($G$10-$E$10)*($F$10-$E$10)),$G$10-SQRT((1-T428)*($G$10-$E$10)*($G$10-$F$10))))</f>
        <v>1.05266511013188</v>
      </c>
      <c r="G428" s="38" t="n">
        <f aca="false">IF($G$11=$E$11,$F$11,IF(U428&lt;($F$11-$E$11)/($G$11-$E$11),$E$11+SQRT(U428*($G$11-$E$11)*($F$11-$E$11)),$G$11-SQRT((1-U428)*($G$11-$E$11)*($G$11-$F$11))))</f>
        <v>0.0992659793473524</v>
      </c>
      <c r="H428" s="39" t="n">
        <f aca="false">(('Business Case'!B11*$C428*'Business Case'!B12*$B428)-'Business Case'!B11*$C428*'Business Case'!B13*$D428-'Business Case'!B14*$E428)-MAX(0,(('Business Case'!B11*$C428*'Business Case'!B12*$B428)-'Business Case'!B11*$C428*'Business Case'!B13*$D428-'Business Case'!B14*$E428))*'Business Case'!$B$7-'Business Case'!$B$8*('Business Case'!B11*$C428*'Business Case'!B12*$B428)-'Business Case'!B15*$F428</f>
        <v>-2105330220.26376</v>
      </c>
      <c r="I428" s="39" t="n">
        <f aca="false">(('Business Case'!C11*$C428*'Business Case'!C12*$B428)-'Business Case'!C11*$C428*'Business Case'!C13*$D428-'Business Case'!C14*$E428)-MAX(0,(('Business Case'!C11*$C428*'Business Case'!C12*$B428)-'Business Case'!C11*$C428*'Business Case'!C13*$D428-'Business Case'!C14*$E428))*'Business Case'!$B$7-'Business Case'!$B$8*(('Business Case'!C11*$C428*'Business Case'!C12*$B428)-('Business Case'!B11*$C428*'Business Case'!B12*$B428))-'Business Case'!C15*$F428</f>
        <v>-43600691.0239363</v>
      </c>
      <c r="J428" s="39" t="n">
        <f aca="false">(('Business Case'!D11*$C428*'Business Case'!D12*$B428)-'Business Case'!D11*$C428*'Business Case'!D13*$D428-'Business Case'!D14*$E428)-MAX(0,(('Business Case'!D11*$C428*'Business Case'!D12*$B428)-'Business Case'!D11*$C428*'Business Case'!D13*$D428-'Business Case'!D14*$E428))*'Business Case'!$B$7-'Business Case'!$B$8*(('Business Case'!D11*$C428*'Business Case'!D12*$B428)-('Business Case'!C11*$C428*'Business Case'!C12*$B428))-'Business Case'!D15*$F428</f>
        <v>215504315.620403</v>
      </c>
      <c r="K428" s="39" t="n">
        <f aca="false">(('Business Case'!E11*$C428*'Business Case'!E12*$B428)-'Business Case'!E11*$C428*'Business Case'!E13*$D428-'Business Case'!E14*$E428)-MAX(0,(('Business Case'!E11*$C428*'Business Case'!E12*$B428)-'Business Case'!E11*$C428*'Business Case'!E13*$D428-'Business Case'!E14*$E428))*'Business Case'!$B$7-'Business Case'!$B$8*(('Business Case'!E11*$C428*'Business Case'!E12*$B428)-('Business Case'!D11*$C428*'Business Case'!D12*$B428))-'Business Case'!E15*$F428</f>
        <v>527242577.771337</v>
      </c>
      <c r="L428" s="39" t="n">
        <f aca="false">(('Business Case'!F11*$C428*'Business Case'!F12*$B428)-'Business Case'!F11*$C428*'Business Case'!F13*$D428-'Business Case'!F14*$E428)-MAX(0,(('Business Case'!F11*$C428*'Business Case'!F12*$B428)-'Business Case'!F11*$C428*'Business Case'!F13*$D428-'Business Case'!F14*$E428))*'Business Case'!$B$7-'Business Case'!$B$8*(('Business Case'!F11*$C428*'Business Case'!F12*$B428)-('Business Case'!E11*$C428*'Business Case'!E12*$B428))-'Business Case'!F15*$F428</f>
        <v>647040706.692141</v>
      </c>
      <c r="M428" s="39" t="n">
        <f aca="false">(('Business Case'!G11*$C428*'Business Case'!G12*$B428)-'Business Case'!G11*$C428*'Business Case'!G13*$D428-'Business Case'!G14*$E428)-MAX(0,(('Business Case'!G11*$C428*'Business Case'!G12*$B428)-'Business Case'!G11*$C428*'Business Case'!G13*$D428-'Business Case'!G14*$E428))*'Business Case'!$B$7-'Business Case'!$B$8*(('Business Case'!G11*$C428*'Business Case'!G12*$B428)-('Business Case'!F11*$C428*'Business Case'!F12*$B428))-'Business Case'!G15*$F428+'Business Case'!$B$8*('Business Case'!G11*$C428*'Business Case'!G12*$B428)</f>
        <v>830904570.241943</v>
      </c>
      <c r="N428" s="39" t="n">
        <f aca="false">IF(COUNT('Business Case'!B11:G11)=0,"",H428+NPV(G428,I428:M428))</f>
        <v>-608963536.595446</v>
      </c>
      <c r="P428" s="40" t="n">
        <f aca="true">RAND()</f>
        <v>0.0558471459660887</v>
      </c>
      <c r="Q428" s="40" t="n">
        <f aca="true">RAND()</f>
        <v>0.705221029894308</v>
      </c>
      <c r="R428" s="40" t="n">
        <f aca="true">RAND()</f>
        <v>0.600428829873786</v>
      </c>
      <c r="S428" s="40" t="n">
        <f aca="true">RAND()</f>
        <v>0.725448885488174</v>
      </c>
      <c r="T428" s="40" t="n">
        <f aca="true">RAND()</f>
        <v>0.565848604550974</v>
      </c>
      <c r="U428" s="40" t="n">
        <f aca="true">RAND()</f>
        <v>0.286194577551871</v>
      </c>
    </row>
    <row r="429" customFormat="false" ht="15" hidden="false" customHeight="false" outlineLevel="0" collapsed="false">
      <c r="A429" s="36" t="n">
        <v>349</v>
      </c>
      <c r="B429" s="37" t="n">
        <f aca="false">1+IF($G$6=$E$6,$F$6,IF(P429&lt;($F$6-$E$6)/($G$6-$E$6),$E$6+SQRT(P429*($G$6-$E$6)*($F$6-$E$6)),$G$6-SQRT((1-P429)*($G$6-$E$6)*($G$6-$F$6))))</f>
        <v>1.01639819555289</v>
      </c>
      <c r="C429" s="37" t="n">
        <f aca="false">1+IF($G$7=$E$7,$F$7,IF(Q429&lt;($F$7-$E$7)/($G$7-$E$7),$E$7+SQRT(Q429*($G$7-$E$7)*($F$7-$E$7)),$G$7-SQRT((1-Q429)*($G$7-$E$7)*($G$7-$F$7))))</f>
        <v>1.02558623018505</v>
      </c>
      <c r="D429" s="37" t="n">
        <f aca="false">1+IF($G$8=$E$8,$F$8,IF(R429&lt;($F$8-$E$8)/($G$8-$E$8),$E$8+SQRT(R429*($G$8-$E$8)*($F$8-$E$8)),$G$8-SQRT((1-R429)*($G$8-$E$8)*($G$8-$F$8))))</f>
        <v>0.98546269531221</v>
      </c>
      <c r="E429" s="37" t="n">
        <f aca="false">1+IF($G$9=$E$9,$F$9,IF(S429&lt;($F$9-$E$9)/($G$9-$E$9),$E$9+SQRT(S429*($G$9-$E$9)*($F$9-$E$9)),$G$9-SQRT((1-S429)*($G$9-$E$9)*($G$9-$F$9))))</f>
        <v>1.06816817597792</v>
      </c>
      <c r="F429" s="37" t="n">
        <f aca="false">1+IF($G$10=$E$10,$F$10,IF(T429&lt;($F$10-$E$10)/($G$10-$E$10),$E$10+SQRT(T429*($G$10-$E$10)*($F$10-$E$10)),$G$10-SQRT((1-T429)*($G$10-$E$10)*($G$10-$F$10))))</f>
        <v>1.01738674125081</v>
      </c>
      <c r="G429" s="38" t="n">
        <f aca="false">IF($G$11=$E$11,$F$11,IF(U429&lt;($F$11-$E$11)/($G$11-$E$11),$E$11+SQRT(U429*($G$11-$E$11)*($F$11-$E$11)),$G$11-SQRT((1-U429)*($G$11-$E$11)*($G$11-$F$11))))</f>
        <v>0.109805738360463</v>
      </c>
      <c r="H429" s="39" t="n">
        <f aca="false">(('Business Case'!B11*$C429*'Business Case'!B12*$B429)-'Business Case'!B11*$C429*'Business Case'!B13*$D429-'Business Case'!B14*$E429)-MAX(0,(('Business Case'!B11*$C429*'Business Case'!B12*$B429)-'Business Case'!B11*$C429*'Business Case'!B13*$D429-'Business Case'!B14*$E429))*'Business Case'!$B$7-'Business Case'!$B$8*('Business Case'!B11*$C429*'Business Case'!B12*$B429)-'Business Case'!B15*$F429</f>
        <v>-2034773482.50162</v>
      </c>
      <c r="I429" s="39" t="n">
        <f aca="false">(('Business Case'!C11*$C429*'Business Case'!C12*$B429)-'Business Case'!C11*$C429*'Business Case'!C13*$D429-'Business Case'!C14*$E429)-MAX(0,(('Business Case'!C11*$C429*'Business Case'!C12*$B429)-'Business Case'!C11*$C429*'Business Case'!C13*$D429-'Business Case'!C14*$E429))*'Business Case'!$B$7-'Business Case'!$B$8*(('Business Case'!C11*$C429*'Business Case'!C12*$B429)-('Business Case'!B11*$C429*'Business Case'!B12*$B429))-'Business Case'!C15*$F429</f>
        <v>28747757.3519863</v>
      </c>
      <c r="J429" s="39" t="n">
        <f aca="false">(('Business Case'!D11*$C429*'Business Case'!D12*$B429)-'Business Case'!D11*$C429*'Business Case'!D13*$D429-'Business Case'!D14*$E429)-MAX(0,(('Business Case'!D11*$C429*'Business Case'!D12*$B429)-'Business Case'!D11*$C429*'Business Case'!D13*$D429-'Business Case'!D14*$E429))*'Business Case'!$B$7-'Business Case'!$B$8*(('Business Case'!D11*$C429*'Business Case'!D12*$B429)-('Business Case'!C11*$C429*'Business Case'!C12*$B429))-'Business Case'!D15*$F429</f>
        <v>365165926.488801</v>
      </c>
      <c r="K429" s="39" t="n">
        <f aca="false">(('Business Case'!E11*$C429*'Business Case'!E12*$B429)-'Business Case'!E11*$C429*'Business Case'!E13*$D429-'Business Case'!E14*$E429)-MAX(0,(('Business Case'!E11*$C429*'Business Case'!E12*$B429)-'Business Case'!E11*$C429*'Business Case'!E13*$D429-'Business Case'!E14*$E429))*'Business Case'!$B$7-'Business Case'!$B$8*(('Business Case'!E11*$C429*'Business Case'!E12*$B429)-('Business Case'!D11*$C429*'Business Case'!D12*$B429))-'Business Case'!E15*$F429</f>
        <v>752453432.688157</v>
      </c>
      <c r="L429" s="39" t="n">
        <f aca="false">(('Business Case'!F11*$C429*'Business Case'!F12*$B429)-'Business Case'!F11*$C429*'Business Case'!F13*$D429-'Business Case'!F14*$E429)-MAX(0,(('Business Case'!F11*$C429*'Business Case'!F12*$B429)-'Business Case'!F11*$C429*'Business Case'!F13*$D429-'Business Case'!F14*$E429))*'Business Case'!$B$7-'Business Case'!$B$8*(('Business Case'!F11*$C429*'Business Case'!F12*$B429)-('Business Case'!E11*$C429*'Business Case'!E12*$B429))-'Business Case'!F15*$F429</f>
        <v>900618304.424221</v>
      </c>
      <c r="M429" s="39" t="n">
        <f aca="false">(('Business Case'!G11*$C429*'Business Case'!G12*$B429)-'Business Case'!G11*$C429*'Business Case'!G13*$D429-'Business Case'!G14*$E429)-MAX(0,(('Business Case'!G11*$C429*'Business Case'!G12*$B429)-'Business Case'!G11*$C429*'Business Case'!G13*$D429-'Business Case'!G14*$E429))*'Business Case'!$B$7-'Business Case'!$B$8*(('Business Case'!G11*$C429*'Business Case'!G12*$B429)-('Business Case'!F11*$C429*'Business Case'!F12*$B429))-'Business Case'!G15*$F429+'Business Case'!$B$8*('Business Case'!G11*$C429*'Business Case'!G12*$B429)</f>
        <v>1098758455.55508</v>
      </c>
      <c r="N429" s="39" t="n">
        <f aca="false">IF(COUNT('Business Case'!B11:G11)=0,"",H429+NPV(G429,I429:M429))</f>
        <v>84398202.2333338</v>
      </c>
      <c r="P429" s="40" t="n">
        <f aca="true">RAND()</f>
        <v>0.883948922258387</v>
      </c>
      <c r="Q429" s="40" t="n">
        <f aca="true">RAND()</f>
        <v>0.70516597867492</v>
      </c>
      <c r="R429" s="40" t="n">
        <f aca="true">RAND()</f>
        <v>0.193477347508715</v>
      </c>
      <c r="S429" s="40" t="n">
        <f aca="true">RAND()</f>
        <v>0.932448998628484</v>
      </c>
      <c r="T429" s="40" t="n">
        <f aca="true">RAND()</f>
        <v>0.333047954580032</v>
      </c>
      <c r="U429" s="40" t="n">
        <f aca="true">RAND()</f>
        <v>0.826795049374439</v>
      </c>
    </row>
    <row r="430" customFormat="false" ht="15" hidden="false" customHeight="false" outlineLevel="0" collapsed="false">
      <c r="A430" s="36" t="n">
        <v>350</v>
      </c>
      <c r="B430" s="37" t="n">
        <f aca="false">1+IF($G$6=$E$6,$F$6,IF(P430&lt;($F$6-$E$6)/($G$6-$E$6),$E$6+SQRT(P430*($G$6-$E$6)*($F$6-$E$6)),$G$6-SQRT((1-P430)*($G$6-$E$6)*($G$6-$F$6))))</f>
        <v>1.0145222213842</v>
      </c>
      <c r="C430" s="37" t="n">
        <f aca="false">1+IF($G$7=$E$7,$F$7,IF(Q430&lt;($F$7-$E$7)/($G$7-$E$7),$E$7+SQRT(Q430*($G$7-$E$7)*($F$7-$E$7)),$G$7-SQRT((1-Q430)*($G$7-$E$7)*($G$7-$F$7))))</f>
        <v>1.02818641554798</v>
      </c>
      <c r="D430" s="37" t="n">
        <f aca="false">1+IF($G$8=$E$8,$F$8,IF(R430&lt;($F$8-$E$8)/($G$8-$E$8),$E$8+SQRT(R430*($G$8-$E$8)*($F$8-$E$8)),$G$8-SQRT((1-R430)*($G$8-$E$8)*($G$8-$F$8))))</f>
        <v>1.01482389869577</v>
      </c>
      <c r="E430" s="37" t="n">
        <f aca="false">1+IF($G$9=$E$9,$F$9,IF(S430&lt;($F$9-$E$9)/($G$9-$E$9),$E$9+SQRT(S430*($G$9-$E$9)*($F$9-$E$9)),$G$9-SQRT((1-S430)*($G$9-$E$9)*($G$9-$F$9))))</f>
        <v>1.04399243957519</v>
      </c>
      <c r="F430" s="37" t="n">
        <f aca="false">1+IF($G$10=$E$10,$F$10,IF(T430&lt;($F$10-$E$10)/($G$10-$E$10),$E$10+SQRT(T430*($G$10-$E$10)*($F$10-$E$10)),$G$10-SQRT((1-T430)*($G$10-$E$10)*($G$10-$F$10))))</f>
        <v>1.1189879166606</v>
      </c>
      <c r="G430" s="38" t="n">
        <f aca="false">IF($G$11=$E$11,$F$11,IF(U430&lt;($F$11-$E$11)/($G$11-$E$11),$E$11+SQRT(U430*($G$11-$E$11)*($F$11-$E$11)),$G$11-SQRT((1-U430)*($G$11-$E$11)*($G$11-$F$11))))</f>
        <v>0.0923630007717372</v>
      </c>
      <c r="H430" s="39" t="n">
        <f aca="false">(('Business Case'!B11*$C430*'Business Case'!B12*$B430)-'Business Case'!B11*$C430*'Business Case'!B13*$D430-'Business Case'!B14*$E430)-MAX(0,(('Business Case'!B11*$C430*'Business Case'!B12*$B430)-'Business Case'!B11*$C430*'Business Case'!B13*$D430-'Business Case'!B14*$E430))*'Business Case'!$B$7-'Business Case'!$B$8*('Business Case'!B11*$C430*'Business Case'!B12*$B430)-'Business Case'!B15*$F430</f>
        <v>-2237975833.32121</v>
      </c>
      <c r="I430" s="39" t="n">
        <f aca="false">(('Business Case'!C11*$C430*'Business Case'!C12*$B430)-'Business Case'!C11*$C430*'Business Case'!C13*$D430-'Business Case'!C14*$E430)-MAX(0,(('Business Case'!C11*$C430*'Business Case'!C12*$B430)-'Business Case'!C11*$C430*'Business Case'!C13*$D430-'Business Case'!C14*$E430))*'Business Case'!$B$7-'Business Case'!$B$8*(('Business Case'!C11*$C430*'Business Case'!C12*$B430)-('Business Case'!B11*$C430*'Business Case'!B12*$B430))-'Business Case'!C15*$F430</f>
        <v>5807230.02949019</v>
      </c>
      <c r="J430" s="39" t="n">
        <f aca="false">(('Business Case'!D11*$C430*'Business Case'!D12*$B430)-'Business Case'!D11*$C430*'Business Case'!D13*$D430-'Business Case'!D14*$E430)-MAX(0,(('Business Case'!D11*$C430*'Business Case'!D12*$B430)-'Business Case'!D11*$C430*'Business Case'!D13*$D430-'Business Case'!D14*$E430))*'Business Case'!$B$7-'Business Case'!$B$8*(('Business Case'!D11*$C430*'Business Case'!D12*$B430)-('Business Case'!C11*$C430*'Business Case'!C12*$B430))-'Business Case'!D15*$F430</f>
        <v>326044212.005562</v>
      </c>
      <c r="K430" s="39" t="n">
        <f aca="false">(('Business Case'!E11*$C430*'Business Case'!E12*$B430)-'Business Case'!E11*$C430*'Business Case'!E13*$D430-'Business Case'!E14*$E430)-MAX(0,(('Business Case'!E11*$C430*'Business Case'!E12*$B430)-'Business Case'!E11*$C430*'Business Case'!E13*$D430-'Business Case'!E14*$E430))*'Business Case'!$B$7-'Business Case'!$B$8*(('Business Case'!E11*$C430*'Business Case'!E12*$B430)-('Business Case'!D11*$C430*'Business Case'!D12*$B430))-'Business Case'!E15*$F430</f>
        <v>702230589.814664</v>
      </c>
      <c r="L430" s="39" t="n">
        <f aca="false">(('Business Case'!F11*$C430*'Business Case'!F12*$B430)-'Business Case'!F11*$C430*'Business Case'!F13*$D430-'Business Case'!F14*$E430)-MAX(0,(('Business Case'!F11*$C430*'Business Case'!F12*$B430)-'Business Case'!F11*$C430*'Business Case'!F13*$D430-'Business Case'!F14*$E430))*'Business Case'!$B$7-'Business Case'!$B$8*(('Business Case'!F11*$C430*'Business Case'!F12*$B430)-('Business Case'!E11*$C430*'Business Case'!E12*$B430))-'Business Case'!F15*$F430</f>
        <v>845026407.388641</v>
      </c>
      <c r="M430" s="39" t="n">
        <f aca="false">(('Business Case'!G11*$C430*'Business Case'!G12*$B430)-'Business Case'!G11*$C430*'Business Case'!G13*$D430-'Business Case'!G14*$E430)-MAX(0,(('Business Case'!G11*$C430*'Business Case'!G12*$B430)-'Business Case'!G11*$C430*'Business Case'!G13*$D430-'Business Case'!G14*$E430))*'Business Case'!$B$7-'Business Case'!$B$8*(('Business Case'!G11*$C430*'Business Case'!G12*$B430)-('Business Case'!F11*$C430*'Business Case'!F12*$B430))-'Business Case'!G15*$F430+'Business Case'!$B$8*('Business Case'!G11*$C430*'Business Case'!G12*$B430)</f>
        <v>1043302270.42272</v>
      </c>
      <c r="N430" s="39" t="n">
        <f aca="false">IF(COUNT('Business Case'!B11:G11)=0,"",H430+NPV(G430,I430:M430))</f>
        <v>-156433859.794366</v>
      </c>
      <c r="P430" s="40" t="n">
        <f aca="true">RAND()</f>
        <v>0.864767249334253</v>
      </c>
      <c r="Q430" s="40" t="n">
        <f aca="true">RAND()</f>
        <v>0.717360964627642</v>
      </c>
      <c r="R430" s="40" t="n">
        <f aca="true">RAND()</f>
        <v>0.59154575180581</v>
      </c>
      <c r="S430" s="40" t="n">
        <f aca="true">RAND()</f>
        <v>0.790876878350715</v>
      </c>
      <c r="T430" s="40" t="n">
        <f aca="true">RAND()</f>
        <v>0.86874084706021</v>
      </c>
      <c r="U430" s="40" t="n">
        <f aca="true">RAND()</f>
        <v>0.018612575490768</v>
      </c>
    </row>
    <row r="431" customFormat="false" ht="15" hidden="false" customHeight="false" outlineLevel="0" collapsed="false">
      <c r="A431" s="36" t="n">
        <v>351</v>
      </c>
      <c r="B431" s="37" t="n">
        <f aca="false">1+IF($G$6=$E$6,$F$6,IF(P431&lt;($F$6-$E$6)/($G$6-$E$6),$E$6+SQRT(P431*($G$6-$E$6)*($F$6-$E$6)),$G$6-SQRT((1-P431)*($G$6-$E$6)*($G$6-$F$6))))</f>
        <v>0.991380111587176</v>
      </c>
      <c r="C431" s="37" t="n">
        <f aca="false">1+IF($G$7=$E$7,$F$7,IF(Q431&lt;($F$7-$E$7)/($G$7-$E$7),$E$7+SQRT(Q431*($G$7-$E$7)*($F$7-$E$7)),$G$7-SQRT((1-Q431)*($G$7-$E$7)*($G$7-$F$7))))</f>
        <v>1.00897066783515</v>
      </c>
      <c r="D431" s="37" t="n">
        <f aca="false">1+IF($G$8=$E$8,$F$8,IF(R431&lt;($F$8-$E$8)/($G$8-$E$8),$E$8+SQRT(R431*($G$8-$E$8)*($F$8-$E$8)),$G$8-SQRT((1-R431)*($G$8-$E$8)*($G$8-$F$8))))</f>
        <v>1.03681727695391</v>
      </c>
      <c r="E431" s="37" t="n">
        <f aca="false">1+IF($G$9=$E$9,$F$9,IF(S431&lt;($F$9-$E$9)/($G$9-$E$9),$E$9+SQRT(S431*($G$9-$E$9)*($F$9-$E$9)),$G$9-SQRT((1-S431)*($G$9-$E$9)*($G$9-$F$9))))</f>
        <v>1.01283881698285</v>
      </c>
      <c r="F431" s="37" t="n">
        <f aca="false">1+IF($G$10=$E$10,$F$10,IF(T431&lt;($F$10-$E$10)/($G$10-$E$10),$E$10+SQRT(T431*($G$10-$E$10)*($F$10-$E$10)),$G$10-SQRT((1-T431)*($G$10-$E$10)*($G$10-$F$10))))</f>
        <v>1.04976136294376</v>
      </c>
      <c r="G431" s="38" t="n">
        <f aca="false">IF($G$11=$E$11,$F$11,IF(U431&lt;($F$11-$E$11)/($G$11-$E$11),$E$11+SQRT(U431*($G$11-$E$11)*($F$11-$E$11)),$G$11-SQRT((1-U431)*($G$11-$E$11)*($G$11-$F$11))))</f>
        <v>0.102013498197578</v>
      </c>
      <c r="H431" s="39" t="n">
        <f aca="false">(('Business Case'!B11*$C431*'Business Case'!B12*$B431)-'Business Case'!B11*$C431*'Business Case'!B13*$D431-'Business Case'!B14*$E431)-MAX(0,(('Business Case'!B11*$C431*'Business Case'!B12*$B431)-'Business Case'!B11*$C431*'Business Case'!B13*$D431-'Business Case'!B14*$E431))*'Business Case'!$B$7-'Business Case'!$B$8*('Business Case'!B11*$C431*'Business Case'!B12*$B431)-'Business Case'!B15*$F431</f>
        <v>-2099522725.88753</v>
      </c>
      <c r="I431" s="39" t="n">
        <f aca="false">(('Business Case'!C11*$C431*'Business Case'!C12*$B431)-'Business Case'!C11*$C431*'Business Case'!C13*$D431-'Business Case'!C14*$E431)-MAX(0,(('Business Case'!C11*$C431*'Business Case'!C12*$B431)-'Business Case'!C11*$C431*'Business Case'!C13*$D431-'Business Case'!C14*$E431))*'Business Case'!$B$7-'Business Case'!$B$8*(('Business Case'!C11*$C431*'Business Case'!C12*$B431)-('Business Case'!B11*$C431*'Business Case'!B12*$B431))-'Business Case'!C15*$F431</f>
        <v>-17088853.3348895</v>
      </c>
      <c r="J431" s="39" t="n">
        <f aca="false">(('Business Case'!D11*$C431*'Business Case'!D12*$B431)-'Business Case'!D11*$C431*'Business Case'!D13*$D431-'Business Case'!D14*$E431)-MAX(0,(('Business Case'!D11*$C431*'Business Case'!D12*$B431)-'Business Case'!D11*$C431*'Business Case'!D13*$D431-'Business Case'!D14*$E431))*'Business Case'!$B$7-'Business Case'!$B$8*(('Business Case'!D11*$C431*'Business Case'!D12*$B431)-('Business Case'!C11*$C431*'Business Case'!C12*$B431))-'Business Case'!D15*$F431</f>
        <v>266678285.216899</v>
      </c>
      <c r="K431" s="39" t="n">
        <f aca="false">(('Business Case'!E11*$C431*'Business Case'!E12*$B431)-'Business Case'!E11*$C431*'Business Case'!E13*$D431-'Business Case'!E14*$E431)-MAX(0,(('Business Case'!E11*$C431*'Business Case'!E12*$B431)-'Business Case'!E11*$C431*'Business Case'!E13*$D431-'Business Case'!E14*$E431))*'Business Case'!$B$7-'Business Case'!$B$8*(('Business Case'!E11*$C431*'Business Case'!E12*$B431)-('Business Case'!D11*$C431*'Business Case'!D12*$B431))-'Business Case'!E15*$F431</f>
        <v>602933491.915875</v>
      </c>
      <c r="L431" s="39" t="n">
        <f aca="false">(('Business Case'!F11*$C431*'Business Case'!F12*$B431)-'Business Case'!F11*$C431*'Business Case'!F13*$D431-'Business Case'!F14*$E431)-MAX(0,(('Business Case'!F11*$C431*'Business Case'!F12*$B431)-'Business Case'!F11*$C431*'Business Case'!F13*$D431-'Business Case'!F14*$E431))*'Business Case'!$B$7-'Business Case'!$B$8*(('Business Case'!F11*$C431*'Business Case'!F12*$B431)-('Business Case'!E11*$C431*'Business Case'!E12*$B431))-'Business Case'!F15*$F431</f>
        <v>732091988.644698</v>
      </c>
      <c r="M431" s="39" t="n">
        <f aca="false">(('Business Case'!G11*$C431*'Business Case'!G12*$B431)-'Business Case'!G11*$C431*'Business Case'!G13*$D431-'Business Case'!G14*$E431)-MAX(0,(('Business Case'!G11*$C431*'Business Case'!G12*$B431)-'Business Case'!G11*$C431*'Business Case'!G13*$D431-'Business Case'!G14*$E431))*'Business Case'!$B$7-'Business Case'!$B$8*(('Business Case'!G11*$C431*'Business Case'!G12*$B431)-('Business Case'!F11*$C431*'Business Case'!F12*$B431))-'Business Case'!G15*$F431+'Business Case'!$B$8*('Business Case'!G11*$C431*'Business Case'!G12*$B431)</f>
        <v>922223966.641613</v>
      </c>
      <c r="N431" s="39" t="n">
        <f aca="false">IF(COUNT('Business Case'!B11:G11)=0,"",H431+NPV(G431,I431:M431))</f>
        <v>-381124042.309508</v>
      </c>
      <c r="P431" s="40" t="n">
        <f aca="true">RAND()</f>
        <v>0.530741701062261</v>
      </c>
      <c r="Q431" s="40" t="n">
        <f aca="true">RAND()</f>
        <v>0.621156713697827</v>
      </c>
      <c r="R431" s="40" t="n">
        <f aca="true">RAND()</f>
        <v>0.820697349069685</v>
      </c>
      <c r="S431" s="40" t="n">
        <f aca="true">RAND()</f>
        <v>0.493528545003375</v>
      </c>
      <c r="T431" s="40" t="n">
        <f aca="true">RAND()</f>
        <v>0.548567038709686</v>
      </c>
      <c r="U431" s="40" t="n">
        <f aca="true">RAND()</f>
        <v>0.460809588185781</v>
      </c>
    </row>
    <row r="432" customFormat="false" ht="15" hidden="false" customHeight="false" outlineLevel="0" collapsed="false">
      <c r="A432" s="36" t="n">
        <v>352</v>
      </c>
      <c r="B432" s="37" t="n">
        <f aca="false">1+IF($G$6=$E$6,$F$6,IF(P432&lt;($F$6-$E$6)/($G$6-$E$6),$E$6+SQRT(P432*($G$6-$E$6)*($F$6-$E$6)),$G$6-SQRT((1-P432)*($G$6-$E$6)*($G$6-$F$6))))</f>
        <v>1.03125637657131</v>
      </c>
      <c r="C432" s="37" t="n">
        <f aca="false">1+IF($G$7=$E$7,$F$7,IF(Q432&lt;($F$7-$E$7)/($G$7-$E$7),$E$7+SQRT(Q432*($G$7-$E$7)*($F$7-$E$7)),$G$7-SQRT((1-Q432)*($G$7-$E$7)*($G$7-$F$7))))</f>
        <v>0.971384607476859</v>
      </c>
      <c r="D432" s="37" t="n">
        <f aca="false">1+IF($G$8=$E$8,$F$8,IF(R432&lt;($F$8-$E$8)/($G$8-$E$8),$E$8+SQRT(R432*($G$8-$E$8)*($F$8-$E$8)),$G$8-SQRT((1-R432)*($G$8-$E$8)*($G$8-$F$8))))</f>
        <v>1.00974900659773</v>
      </c>
      <c r="E432" s="37" t="n">
        <f aca="false">1+IF($G$9=$E$9,$F$9,IF(S432&lt;($F$9-$E$9)/($G$9-$E$9),$E$9+SQRT(S432*($G$9-$E$9)*($F$9-$E$9)),$G$9-SQRT((1-S432)*($G$9-$E$9)*($G$9-$F$9))))</f>
        <v>1.03373263978683</v>
      </c>
      <c r="F432" s="37" t="n">
        <f aca="false">1+IF($G$10=$E$10,$F$10,IF(T432&lt;($F$10-$E$10)/($G$10-$E$10),$E$10+SQRT(T432*($G$10-$E$10)*($F$10-$E$10)),$G$10-SQRT((1-T432)*($G$10-$E$10)*($G$10-$F$10))))</f>
        <v>1.17305823092632</v>
      </c>
      <c r="G432" s="38" t="n">
        <f aca="false">IF($G$11=$E$11,$F$11,IF(U432&lt;($F$11-$E$11)/($G$11-$E$11),$E$11+SQRT(U432*($G$11-$E$11)*($F$11-$E$11)),$G$11-SQRT((1-U432)*($G$11-$E$11)*($G$11-$F$11))))</f>
        <v>0.0990536730278334</v>
      </c>
      <c r="H432" s="39" t="n">
        <f aca="false">(('Business Case'!B11*$C432*'Business Case'!B12*$B432)-'Business Case'!B11*$C432*'Business Case'!B13*$D432-'Business Case'!B14*$E432)-MAX(0,(('Business Case'!B11*$C432*'Business Case'!B12*$B432)-'Business Case'!B11*$C432*'Business Case'!B13*$D432-'Business Case'!B14*$E432))*'Business Case'!$B$7-'Business Case'!$B$8*('Business Case'!B11*$C432*'Business Case'!B12*$B432)-'Business Case'!B15*$F432</f>
        <v>-2346116461.85264</v>
      </c>
      <c r="I432" s="39" t="n">
        <f aca="false">(('Business Case'!C11*$C432*'Business Case'!C12*$B432)-'Business Case'!C11*$C432*'Business Case'!C13*$D432-'Business Case'!C14*$E432)-MAX(0,(('Business Case'!C11*$C432*'Business Case'!C12*$B432)-'Business Case'!C11*$C432*'Business Case'!C13*$D432-'Business Case'!C14*$E432))*'Business Case'!$B$7-'Business Case'!$B$8*(('Business Case'!C11*$C432*'Business Case'!C12*$B432)-('Business Case'!B11*$C432*'Business Case'!B12*$B432))-'Business Case'!C15*$F432</f>
        <v>2150311.80669615</v>
      </c>
      <c r="J432" s="39" t="n">
        <f aca="false">(('Business Case'!D11*$C432*'Business Case'!D12*$B432)-'Business Case'!D11*$C432*'Business Case'!D13*$D432-'Business Case'!D14*$E432)-MAX(0,(('Business Case'!D11*$C432*'Business Case'!D12*$B432)-'Business Case'!D11*$C432*'Business Case'!D13*$D432-'Business Case'!D14*$E432))*'Business Case'!$B$7-'Business Case'!$B$8*(('Business Case'!D11*$C432*'Business Case'!D12*$B432)-('Business Case'!C11*$C432*'Business Case'!C12*$B432))-'Business Case'!D15*$F432</f>
        <v>320533770.301736</v>
      </c>
      <c r="K432" s="39" t="n">
        <f aca="false">(('Business Case'!E11*$C432*'Business Case'!E12*$B432)-'Business Case'!E11*$C432*'Business Case'!E13*$D432-'Business Case'!E14*$E432)-MAX(0,(('Business Case'!E11*$C432*'Business Case'!E12*$B432)-'Business Case'!E11*$C432*'Business Case'!E13*$D432-'Business Case'!E14*$E432))*'Business Case'!$B$7-'Business Case'!$B$8*(('Business Case'!E11*$C432*'Business Case'!E12*$B432)-('Business Case'!D11*$C432*'Business Case'!D12*$B432))-'Business Case'!E15*$F432</f>
        <v>697570140.343091</v>
      </c>
      <c r="L432" s="39" t="n">
        <f aca="false">(('Business Case'!F11*$C432*'Business Case'!F12*$B432)-'Business Case'!F11*$C432*'Business Case'!F13*$D432-'Business Case'!F14*$E432)-MAX(0,(('Business Case'!F11*$C432*'Business Case'!F12*$B432)-'Business Case'!F11*$C432*'Business Case'!F13*$D432-'Business Case'!F14*$E432))*'Business Case'!$B$7-'Business Case'!$B$8*(('Business Case'!F11*$C432*'Business Case'!F12*$B432)-('Business Case'!E11*$C432*'Business Case'!E12*$B432))-'Business Case'!F15*$F432</f>
        <v>838318321.320121</v>
      </c>
      <c r="M432" s="39" t="n">
        <f aca="false">(('Business Case'!G11*$C432*'Business Case'!G12*$B432)-'Business Case'!G11*$C432*'Business Case'!G13*$D432-'Business Case'!G14*$E432)-MAX(0,(('Business Case'!G11*$C432*'Business Case'!G12*$B432)-'Business Case'!G11*$C432*'Business Case'!G13*$D432-'Business Case'!G14*$E432))*'Business Case'!$B$7-'Business Case'!$B$8*(('Business Case'!G11*$C432*'Business Case'!G12*$B432)-('Business Case'!F11*$C432*'Business Case'!F12*$B432))-'Business Case'!G15*$F432+'Business Case'!$B$8*('Business Case'!G11*$C432*'Business Case'!G12*$B432)</f>
        <v>1028730309.45287</v>
      </c>
      <c r="N432" s="39" t="n">
        <f aca="false">IF(COUNT('Business Case'!B11:G11)=0,"",H432+NPV(G432,I432:M432))</f>
        <v>-337277278.693464</v>
      </c>
      <c r="P432" s="40" t="n">
        <f aca="true">RAND()</f>
        <v>0.984072718611931</v>
      </c>
      <c r="Q432" s="40" t="n">
        <f aca="true">RAND()</f>
        <v>0.419609766857101</v>
      </c>
      <c r="R432" s="40" t="n">
        <f aca="true">RAND()</f>
        <v>0.525461339037871</v>
      </c>
      <c r="S432" s="40" t="n">
        <f aca="true">RAND()</f>
        <v>0.707242464691884</v>
      </c>
      <c r="T432" s="40" t="n">
        <f aca="true">RAND()</f>
        <v>0.985482821583612</v>
      </c>
      <c r="U432" s="40" t="n">
        <f aca="true">RAND()</f>
        <v>0.273229984316395</v>
      </c>
    </row>
    <row r="433" customFormat="false" ht="15" hidden="false" customHeight="false" outlineLevel="0" collapsed="false">
      <c r="A433" s="36" t="n">
        <v>353</v>
      </c>
      <c r="B433" s="37" t="n">
        <f aca="false">1+IF($G$6=$E$6,$F$6,IF(P433&lt;($F$6-$E$6)/($G$6-$E$6),$E$6+SQRT(P433*($G$6-$E$6)*($F$6-$E$6)),$G$6-SQRT((1-P433)*($G$6-$E$6)*($G$6-$F$6))))</f>
        <v>0.971767250306199</v>
      </c>
      <c r="C433" s="37" t="n">
        <f aca="false">1+IF($G$7=$E$7,$F$7,IF(Q433&lt;($F$7-$E$7)/($G$7-$E$7),$E$7+SQRT(Q433*($G$7-$E$7)*($F$7-$E$7)),$G$7-SQRT((1-Q433)*($G$7-$E$7)*($G$7-$F$7))))</f>
        <v>1.01332469501249</v>
      </c>
      <c r="D433" s="37" t="n">
        <f aca="false">1+IF($G$8=$E$8,$F$8,IF(R433&lt;($F$8-$E$8)/($G$8-$E$8),$E$8+SQRT(R433*($G$8-$E$8)*($F$8-$E$8)),$G$8-SQRT((1-R433)*($G$8-$E$8)*($G$8-$F$8))))</f>
        <v>1.02804675313421</v>
      </c>
      <c r="E433" s="37" t="n">
        <f aca="false">1+IF($G$9=$E$9,$F$9,IF(S433&lt;($F$9-$E$9)/($G$9-$E$9),$E$9+SQRT(S433*($G$9-$E$9)*($F$9-$E$9)),$G$9-SQRT((1-S433)*($G$9-$E$9)*($G$9-$F$9))))</f>
        <v>0.983432429857516</v>
      </c>
      <c r="F433" s="37" t="n">
        <f aca="false">1+IF($G$10=$E$10,$F$10,IF(T433&lt;($F$10-$E$10)/($G$10-$E$10),$E$10+SQRT(T433*($G$10-$E$10)*($F$10-$E$10)),$G$10-SQRT((1-T433)*($G$10-$E$10)*($G$10-$F$10))))</f>
        <v>1.04130175496337</v>
      </c>
      <c r="G433" s="38" t="n">
        <f aca="false">IF($G$11=$E$11,$F$11,IF(U433&lt;($F$11-$E$11)/($G$11-$E$11),$E$11+SQRT(U433*($G$11-$E$11)*($F$11-$E$11)),$G$11-SQRT((1-U433)*($G$11-$E$11)*($G$11-$F$11))))</f>
        <v>0.105241312439977</v>
      </c>
      <c r="H433" s="39" t="n">
        <f aca="false">(('Business Case'!B11*$C433*'Business Case'!B12*$B433)-'Business Case'!B11*$C433*'Business Case'!B13*$D433-'Business Case'!B14*$E433)-MAX(0,(('Business Case'!B11*$C433*'Business Case'!B12*$B433)-'Business Case'!B11*$C433*'Business Case'!B13*$D433-'Business Case'!B14*$E433))*'Business Case'!$B$7-'Business Case'!$B$8*('Business Case'!B11*$C433*'Business Case'!B12*$B433)-'Business Case'!B15*$F433</f>
        <v>-2082603509.92674</v>
      </c>
      <c r="I433" s="39" t="n">
        <f aca="false">(('Business Case'!C11*$C433*'Business Case'!C12*$B433)-'Business Case'!C11*$C433*'Business Case'!C13*$D433-'Business Case'!C14*$E433)-MAX(0,(('Business Case'!C11*$C433*'Business Case'!C12*$B433)-'Business Case'!C11*$C433*'Business Case'!C13*$D433-'Business Case'!C14*$E433))*'Business Case'!$B$7-'Business Case'!$B$8*(('Business Case'!C11*$C433*'Business Case'!C12*$B433)-('Business Case'!B11*$C433*'Business Case'!B12*$B433))-'Business Case'!C15*$F433</f>
        <v>-21759014.3966553</v>
      </c>
      <c r="J433" s="39" t="n">
        <f aca="false">(('Business Case'!D11*$C433*'Business Case'!D12*$B433)-'Business Case'!D11*$C433*'Business Case'!D13*$D433-'Business Case'!D14*$E433)-MAX(0,(('Business Case'!D11*$C433*'Business Case'!D12*$B433)-'Business Case'!D11*$C433*'Business Case'!D13*$D433-'Business Case'!D14*$E433))*'Business Case'!$B$7-'Business Case'!$B$8*(('Business Case'!D11*$C433*'Business Case'!D12*$B433)-('Business Case'!C11*$C433*'Business Case'!C12*$B433))-'Business Case'!D15*$F433</f>
        <v>251503902.840421</v>
      </c>
      <c r="K433" s="39" t="n">
        <f aca="false">(('Business Case'!E11*$C433*'Business Case'!E12*$B433)-'Business Case'!E11*$C433*'Business Case'!E13*$D433-'Business Case'!E14*$E433)-MAX(0,(('Business Case'!E11*$C433*'Business Case'!E12*$B433)-'Business Case'!E11*$C433*'Business Case'!E13*$D433-'Business Case'!E14*$E433))*'Business Case'!$B$7-'Business Case'!$B$8*(('Business Case'!E11*$C433*'Business Case'!E12*$B433)-('Business Case'!D11*$C433*'Business Case'!D12*$B433))-'Business Case'!E15*$F433</f>
        <v>576831907.825665</v>
      </c>
      <c r="L433" s="39" t="n">
        <f aca="false">(('Business Case'!F11*$C433*'Business Case'!F12*$B433)-'Business Case'!F11*$C433*'Business Case'!F13*$D433-'Business Case'!F14*$E433)-MAX(0,(('Business Case'!F11*$C433*'Business Case'!F12*$B433)-'Business Case'!F11*$C433*'Business Case'!F13*$D433-'Business Case'!F14*$E433))*'Business Case'!$B$7-'Business Case'!$B$8*(('Business Case'!F11*$C433*'Business Case'!F12*$B433)-('Business Case'!E11*$C433*'Business Case'!E12*$B433))-'Business Case'!F15*$F433</f>
        <v>701951323.312461</v>
      </c>
      <c r="M433" s="39" t="n">
        <f aca="false">(('Business Case'!G11*$C433*'Business Case'!G12*$B433)-'Business Case'!G11*$C433*'Business Case'!G13*$D433-'Business Case'!G14*$E433)-MAX(0,(('Business Case'!G11*$C433*'Business Case'!G12*$B433)-'Business Case'!G11*$C433*'Business Case'!G13*$D433-'Business Case'!G14*$E433))*'Business Case'!$B$7-'Business Case'!$B$8*(('Business Case'!G11*$C433*'Business Case'!G12*$B433)-('Business Case'!F11*$C433*'Business Case'!F12*$B433))-'Business Case'!G15*$F433+'Business Case'!$B$8*('Business Case'!G11*$C433*'Business Case'!G12*$B433)</f>
        <v>889126093.555198</v>
      </c>
      <c r="N433" s="39" t="n">
        <f aca="false">IF(COUNT('Business Case'!B11:G11)=0,"",H433+NPV(G433,I433:M433))</f>
        <v>-459634234.923134</v>
      </c>
      <c r="P433" s="40" t="n">
        <f aca="true">RAND()</f>
        <v>0.279150854610904</v>
      </c>
      <c r="Q433" s="40" t="n">
        <f aca="true">RAND()</f>
        <v>0.644187828696589</v>
      </c>
      <c r="R433" s="40" t="n">
        <f aca="true">RAND()</f>
        <v>0.740467321163659</v>
      </c>
      <c r="S433" s="40" t="n">
        <f aca="true">RAND()</f>
        <v>0.149030315490364</v>
      </c>
      <c r="T433" s="40" t="n">
        <f aca="true">RAND()</f>
        <v>0.496297340445869</v>
      </c>
      <c r="U433" s="40" t="n">
        <f aca="true">RAND()</f>
        <v>0.636968569176045</v>
      </c>
    </row>
    <row r="434" customFormat="false" ht="15" hidden="false" customHeight="false" outlineLevel="0" collapsed="false">
      <c r="A434" s="36" t="n">
        <v>354</v>
      </c>
      <c r="B434" s="37" t="n">
        <f aca="false">1+IF($G$6=$E$6,$F$6,IF(P434&lt;($F$6-$E$6)/($G$6-$E$6),$E$6+SQRT(P434*($G$6-$E$6)*($F$6-$E$6)),$G$6-SQRT((1-P434)*($G$6-$E$6)*($G$6-$F$6))))</f>
        <v>1.00126043431771</v>
      </c>
      <c r="C434" s="37" t="n">
        <f aca="false">1+IF($G$7=$E$7,$F$7,IF(Q434&lt;($F$7-$E$7)/($G$7-$E$7),$E$7+SQRT(Q434*($G$7-$E$7)*($F$7-$E$7)),$G$7-SQRT((1-Q434)*($G$7-$E$7)*($G$7-$F$7))))</f>
        <v>1.08190121483656</v>
      </c>
      <c r="D434" s="37" t="n">
        <f aca="false">1+IF($G$8=$E$8,$F$8,IF(R434&lt;($F$8-$E$8)/($G$8-$E$8),$E$8+SQRT(R434*($G$8-$E$8)*($F$8-$E$8)),$G$8-SQRT((1-R434)*($G$8-$E$8)*($G$8-$F$8))))</f>
        <v>0.985423344279224</v>
      </c>
      <c r="E434" s="37" t="n">
        <f aca="false">1+IF($G$9=$E$9,$F$9,IF(S434&lt;($F$9-$E$9)/($G$9-$E$9),$E$9+SQRT(S434*($G$9-$E$9)*($F$9-$E$9)),$G$9-SQRT((1-S434)*($G$9-$E$9)*($G$9-$F$9))))</f>
        <v>0.968515626897507</v>
      </c>
      <c r="F434" s="37" t="n">
        <f aca="false">1+IF($G$10=$E$10,$F$10,IF(T434&lt;($F$10-$E$10)/($G$10-$E$10),$E$10+SQRT(T434*($G$10-$E$10)*($F$10-$E$10)),$G$10-SQRT((1-T434)*($G$10-$E$10)*($G$10-$F$10))))</f>
        <v>1.02905456130487</v>
      </c>
      <c r="G434" s="38" t="n">
        <f aca="false">IF($G$11=$E$11,$F$11,IF(U434&lt;($F$11-$E$11)/($G$11-$E$11),$E$11+SQRT(U434*($G$11-$E$11)*($F$11-$E$11)),$G$11-SQRT((1-U434)*($G$11-$E$11)*($G$11-$F$11))))</f>
        <v>0.0997399946898481</v>
      </c>
      <c r="H434" s="39" t="n">
        <f aca="false">(('Business Case'!B11*$C434*'Business Case'!B12*$B434)-'Business Case'!B11*$C434*'Business Case'!B13*$D434-'Business Case'!B14*$E434)-MAX(0,(('Business Case'!B11*$C434*'Business Case'!B12*$B434)-'Business Case'!B11*$C434*'Business Case'!B13*$D434-'Business Case'!B14*$E434))*'Business Case'!$B$7-'Business Case'!$B$8*('Business Case'!B11*$C434*'Business Case'!B12*$B434)-'Business Case'!B15*$F434</f>
        <v>-2058109122.60975</v>
      </c>
      <c r="I434" s="39" t="n">
        <f aca="false">(('Business Case'!C11*$C434*'Business Case'!C12*$B434)-'Business Case'!C11*$C434*'Business Case'!C13*$D434-'Business Case'!C14*$E434)-MAX(0,(('Business Case'!C11*$C434*'Business Case'!C12*$B434)-'Business Case'!C11*$C434*'Business Case'!C13*$D434-'Business Case'!C14*$E434))*'Business Case'!$B$7-'Business Case'!$B$8*(('Business Case'!C11*$C434*'Business Case'!C12*$B434)-('Business Case'!B11*$C434*'Business Case'!B12*$B434))-'Business Case'!C15*$F434</f>
        <v>44713467.5787589</v>
      </c>
      <c r="J434" s="39" t="n">
        <f aca="false">(('Business Case'!D11*$C434*'Business Case'!D12*$B434)-'Business Case'!D11*$C434*'Business Case'!D13*$D434-'Business Case'!D14*$E434)-MAX(0,(('Business Case'!D11*$C434*'Business Case'!D12*$B434)-'Business Case'!D11*$C434*'Business Case'!D13*$D434-'Business Case'!D14*$E434))*'Business Case'!$B$7-'Business Case'!$B$8*(('Business Case'!D11*$C434*'Business Case'!D12*$B434)-('Business Case'!C11*$C434*'Business Case'!C12*$B434))-'Business Case'!D15*$F434</f>
        <v>386211764.825307</v>
      </c>
      <c r="K434" s="39" t="n">
        <f aca="false">(('Business Case'!E11*$C434*'Business Case'!E12*$B434)-'Business Case'!E11*$C434*'Business Case'!E13*$D434-'Business Case'!E14*$E434)-MAX(0,(('Business Case'!E11*$C434*'Business Case'!E12*$B434)-'Business Case'!E11*$C434*'Business Case'!E13*$D434-'Business Case'!E14*$E434))*'Business Case'!$B$7-'Business Case'!$B$8*(('Business Case'!E11*$C434*'Business Case'!E12*$B434)-('Business Case'!D11*$C434*'Business Case'!D12*$B434))-'Business Case'!E15*$F434</f>
        <v>779162790.1371</v>
      </c>
      <c r="L434" s="39" t="n">
        <f aca="false">(('Business Case'!F11*$C434*'Business Case'!F12*$B434)-'Business Case'!F11*$C434*'Business Case'!F13*$D434-'Business Case'!F14*$E434)-MAX(0,(('Business Case'!F11*$C434*'Business Case'!F12*$B434)-'Business Case'!F11*$C434*'Business Case'!F13*$D434-'Business Case'!F14*$E434))*'Business Case'!$B$7-'Business Case'!$B$8*(('Business Case'!F11*$C434*'Business Case'!F12*$B434)-('Business Case'!E11*$C434*'Business Case'!E12*$B434))-'Business Case'!F15*$F434</f>
        <v>930433190.1476</v>
      </c>
      <c r="M434" s="39" t="n">
        <f aca="false">(('Business Case'!G11*$C434*'Business Case'!G12*$B434)-'Business Case'!G11*$C434*'Business Case'!G13*$D434-'Business Case'!G14*$E434)-MAX(0,(('Business Case'!G11*$C434*'Business Case'!G12*$B434)-'Business Case'!G11*$C434*'Business Case'!G13*$D434-'Business Case'!G14*$E434))*'Business Case'!$B$7-'Business Case'!$B$8*(('Business Case'!G11*$C434*'Business Case'!G12*$B434)-('Business Case'!F11*$C434*'Business Case'!F12*$B434))-'Business Case'!G15*$F434+'Business Case'!$B$8*('Business Case'!G11*$C434*'Business Case'!G12*$B434)</f>
        <v>1136340178.58668</v>
      </c>
      <c r="N434" s="39" t="n">
        <f aca="false">IF(COUNT('Business Case'!B11:G11)=0,"",H434+NPV(G434,I434:M434))</f>
        <v>230207066.298209</v>
      </c>
      <c r="P434" s="40" t="n">
        <f aca="true">RAND()</f>
        <v>0.687342927239002</v>
      </c>
      <c r="Q434" s="40" t="n">
        <f aca="true">RAND()</f>
        <v>0.911667723033599</v>
      </c>
      <c r="R434" s="40" t="n">
        <f aca="true">RAND()</f>
        <v>0.193048203065299</v>
      </c>
      <c r="S434" s="40" t="n">
        <f aca="true">RAND()</f>
        <v>0.0457104585876914</v>
      </c>
      <c r="T434" s="40" t="n">
        <f aca="true">RAND()</f>
        <v>0.415553139786611</v>
      </c>
      <c r="U434" s="40" t="n">
        <f aca="true">RAND()</f>
        <v>0.316224988527562</v>
      </c>
    </row>
    <row r="435" customFormat="false" ht="15" hidden="false" customHeight="false" outlineLevel="0" collapsed="false">
      <c r="A435" s="36" t="n">
        <v>355</v>
      </c>
      <c r="B435" s="37" t="n">
        <f aca="false">1+IF($G$6=$E$6,$F$6,IF(P435&lt;($F$6-$E$6)/($G$6-$E$6),$E$6+SQRT(P435*($G$6-$E$6)*($F$6-$E$6)),$G$6-SQRT((1-P435)*($G$6-$E$6)*($G$6-$F$6))))</f>
        <v>1.000729413469</v>
      </c>
      <c r="C435" s="37" t="n">
        <f aca="false">1+IF($G$7=$E$7,$F$7,IF(Q435&lt;($F$7-$E$7)/($G$7-$E$7),$E$7+SQRT(Q435*($G$7-$E$7)*($F$7-$E$7)),$G$7-SQRT((1-Q435)*($G$7-$E$7)*($G$7-$F$7))))</f>
        <v>1.06890690386411</v>
      </c>
      <c r="D435" s="37" t="n">
        <f aca="false">1+IF($G$8=$E$8,$F$8,IF(R435&lt;($F$8-$E$8)/($G$8-$E$8),$E$8+SQRT(R435*($G$8-$E$8)*($F$8-$E$8)),$G$8-SQRT((1-R435)*($G$8-$E$8)*($G$8-$F$8))))</f>
        <v>1.04242679951682</v>
      </c>
      <c r="E435" s="37" t="n">
        <f aca="false">1+IF($G$9=$E$9,$F$9,IF(S435&lt;($F$9-$E$9)/($G$9-$E$9),$E$9+SQRT(S435*($G$9-$E$9)*($F$9-$E$9)),$G$9-SQRT((1-S435)*($G$9-$E$9)*($G$9-$F$9))))</f>
        <v>0.958470788581627</v>
      </c>
      <c r="F435" s="37" t="n">
        <f aca="false">1+IF($G$10=$E$10,$F$10,IF(T435&lt;($F$10-$E$10)/($G$10-$E$10),$E$10+SQRT(T435*($G$10-$E$10)*($F$10-$E$10)),$G$10-SQRT((1-T435)*($G$10-$E$10)*($G$10-$F$10))))</f>
        <v>1.02596652453105</v>
      </c>
      <c r="G435" s="38" t="n">
        <f aca="false">IF($G$11=$E$11,$F$11,IF(U435&lt;($F$11-$E$11)/($G$11-$E$11),$E$11+SQRT(U435*($G$11-$E$11)*($F$11-$E$11)),$G$11-SQRT((1-U435)*($G$11-$E$11)*($G$11-$F$11))))</f>
        <v>0.0979014752201181</v>
      </c>
      <c r="H435" s="39" t="n">
        <f aca="false">(('Business Case'!B11*$C435*'Business Case'!B12*$B435)-'Business Case'!B11*$C435*'Business Case'!B13*$D435-'Business Case'!B14*$E435)-MAX(0,(('Business Case'!B11*$C435*'Business Case'!B12*$B435)-'Business Case'!B11*$C435*'Business Case'!B13*$D435-'Business Case'!B14*$E435))*'Business Case'!$B$7-'Business Case'!$B$8*('Business Case'!B11*$C435*'Business Case'!B12*$B435)-'Business Case'!B15*$F435</f>
        <v>-2051933049.0621</v>
      </c>
      <c r="I435" s="39" t="n">
        <f aca="false">(('Business Case'!C11*$C435*'Business Case'!C12*$B435)-'Business Case'!C11*$C435*'Business Case'!C13*$D435-'Business Case'!C14*$E435)-MAX(0,(('Business Case'!C11*$C435*'Business Case'!C12*$B435)-'Business Case'!C11*$C435*'Business Case'!C13*$D435-'Business Case'!C14*$E435))*'Business Case'!$B$7-'Business Case'!$B$8*(('Business Case'!C11*$C435*'Business Case'!C12*$B435)-('Business Case'!B11*$C435*'Business Case'!B12*$B435))-'Business Case'!C15*$F435</f>
        <v>11396027.5114974</v>
      </c>
      <c r="J435" s="39" t="n">
        <f aca="false">(('Business Case'!D11*$C435*'Business Case'!D12*$B435)-'Business Case'!D11*$C435*'Business Case'!D13*$D435-'Business Case'!D14*$E435)-MAX(0,(('Business Case'!D11*$C435*'Business Case'!D12*$B435)-'Business Case'!D11*$C435*'Business Case'!D13*$D435-'Business Case'!D14*$E435))*'Business Case'!$B$7-'Business Case'!$B$8*(('Business Case'!D11*$C435*'Business Case'!D12*$B435)-('Business Case'!C11*$C435*'Business Case'!C12*$B435))-'Business Case'!D15*$F435</f>
        <v>317135805.865533</v>
      </c>
      <c r="K435" s="39" t="n">
        <f aca="false">(('Business Case'!E11*$C435*'Business Case'!E12*$B435)-'Business Case'!E11*$C435*'Business Case'!E13*$D435-'Business Case'!E14*$E435)-MAX(0,(('Business Case'!E11*$C435*'Business Case'!E12*$B435)-'Business Case'!E11*$C435*'Business Case'!E13*$D435-'Business Case'!E14*$E435))*'Business Case'!$B$7-'Business Case'!$B$8*(('Business Case'!E11*$C435*'Business Case'!E12*$B435)-('Business Case'!D11*$C435*'Business Case'!D12*$B435))-'Business Case'!E15*$F435</f>
        <v>674173910.44612</v>
      </c>
      <c r="L435" s="39" t="n">
        <f aca="false">(('Business Case'!F11*$C435*'Business Case'!F12*$B435)-'Business Case'!F11*$C435*'Business Case'!F13*$D435-'Business Case'!F14*$E435)-MAX(0,(('Business Case'!F11*$C435*'Business Case'!F12*$B435)-'Business Case'!F11*$C435*'Business Case'!F13*$D435-'Business Case'!F14*$E435))*'Business Case'!$B$7-'Business Case'!$B$8*(('Business Case'!F11*$C435*'Business Case'!F12*$B435)-('Business Case'!E11*$C435*'Business Case'!E12*$B435))-'Business Case'!F15*$F435</f>
        <v>813055538.066215</v>
      </c>
      <c r="M435" s="39" t="n">
        <f aca="false">(('Business Case'!G11*$C435*'Business Case'!G12*$B435)-'Business Case'!G11*$C435*'Business Case'!G13*$D435-'Business Case'!G14*$E435)-MAX(0,(('Business Case'!G11*$C435*'Business Case'!G12*$B435)-'Business Case'!G11*$C435*'Business Case'!G13*$D435-'Business Case'!G14*$E435))*'Business Case'!$B$7-'Business Case'!$B$8*(('Business Case'!G11*$C435*'Business Case'!G12*$B435)-('Business Case'!F11*$C435*'Business Case'!F12*$B435))-'Business Case'!G15*$F435+'Business Case'!$B$8*('Business Case'!G11*$C435*'Business Case'!G12*$B435)</f>
        <v>1016381562.99434</v>
      </c>
      <c r="N435" s="39" t="n">
        <f aca="false">IF(COUNT('Business Case'!B11:G11)=0,"",H435+NPV(G435,I435:M435))</f>
        <v>-72294466.977329</v>
      </c>
      <c r="P435" s="40" t="n">
        <f aca="true">RAND()</f>
        <v>0.678712715314817</v>
      </c>
      <c r="Q435" s="40" t="n">
        <f aca="true">RAND()</f>
        <v>0.874741138268489</v>
      </c>
      <c r="R435" s="40" t="n">
        <f aca="true">RAND()</f>
        <v>0.86425525052414</v>
      </c>
      <c r="S435" s="40" t="n">
        <f aca="true">RAND()</f>
        <v>0.00956723455928299</v>
      </c>
      <c r="T435" s="40" t="n">
        <f aca="true">RAND()</f>
        <v>0.394246988323957</v>
      </c>
      <c r="U435" s="40" t="n">
        <f aca="true">RAND()</f>
        <v>0.208111035513803</v>
      </c>
    </row>
    <row r="436" customFormat="false" ht="15" hidden="false" customHeight="false" outlineLevel="0" collapsed="false">
      <c r="A436" s="36" t="n">
        <v>356</v>
      </c>
      <c r="B436" s="37" t="n">
        <f aca="false">1+IF($G$6=$E$6,$F$6,IF(P436&lt;($F$6-$E$6)/($G$6-$E$6),$E$6+SQRT(P436*($G$6-$E$6)*($F$6-$E$6)),$G$6-SQRT((1-P436)*($G$6-$E$6)*($G$6-$F$6))))</f>
        <v>1.02543621263304</v>
      </c>
      <c r="C436" s="37" t="n">
        <f aca="false">1+IF($G$7=$E$7,$F$7,IF(Q436&lt;($F$7-$E$7)/($G$7-$E$7),$E$7+SQRT(Q436*($G$7-$E$7)*($F$7-$E$7)),$G$7-SQRT((1-Q436)*($G$7-$E$7)*($G$7-$F$7))))</f>
        <v>1.09116911269097</v>
      </c>
      <c r="D436" s="37" t="n">
        <f aca="false">1+IF($G$8=$E$8,$F$8,IF(R436&lt;($F$8-$E$8)/($G$8-$E$8),$E$8+SQRT(R436*($G$8-$E$8)*($F$8-$E$8)),$G$8-SQRT((1-R436)*($G$8-$E$8)*($G$8-$F$8))))</f>
        <v>0.970818051347594</v>
      </c>
      <c r="E436" s="37" t="n">
        <f aca="false">1+IF($G$9=$E$9,$F$9,IF(S436&lt;($F$9-$E$9)/($G$9-$E$9),$E$9+SQRT(S436*($G$9-$E$9)*($F$9-$E$9)),$G$9-SQRT((1-S436)*($G$9-$E$9)*($G$9-$F$9))))</f>
        <v>1.00799944565641</v>
      </c>
      <c r="F436" s="37" t="n">
        <f aca="false">1+IF($G$10=$E$10,$F$10,IF(T436&lt;($F$10-$E$10)/($G$10-$E$10),$E$10+SQRT(T436*($G$10-$E$10)*($F$10-$E$10)),$G$10-SQRT((1-T436)*($G$10-$E$10)*($G$10-$F$10))))</f>
        <v>1.02576381980089</v>
      </c>
      <c r="G436" s="38" t="n">
        <f aca="false">IF($G$11=$E$11,$F$11,IF(U436&lt;($F$11-$E$11)/($G$11-$E$11),$E$11+SQRT(U436*($G$11-$E$11)*($F$11-$E$11)),$G$11-SQRT((1-U436)*($G$11-$E$11)*($G$11-$F$11))))</f>
        <v>0.108138143071848</v>
      </c>
      <c r="H436" s="39" t="n">
        <f aca="false">(('Business Case'!B11*$C436*'Business Case'!B12*$B436)-'Business Case'!B11*$C436*'Business Case'!B13*$D436-'Business Case'!B14*$E436)-MAX(0,(('Business Case'!B11*$C436*'Business Case'!B12*$B436)-'Business Case'!B11*$C436*'Business Case'!B13*$D436-'Business Case'!B14*$E436))*'Business Case'!$B$7-'Business Case'!$B$8*('Business Case'!B11*$C436*'Business Case'!B12*$B436)-'Business Case'!B15*$F436</f>
        <v>-2051527639.60179</v>
      </c>
      <c r="I436" s="39" t="n">
        <f aca="false">(('Business Case'!C11*$C436*'Business Case'!C12*$B436)-'Business Case'!C11*$C436*'Business Case'!C13*$D436-'Business Case'!C14*$E436)-MAX(0,(('Business Case'!C11*$C436*'Business Case'!C12*$B436)-'Business Case'!C11*$C436*'Business Case'!C13*$D436-'Business Case'!C14*$E436))*'Business Case'!$B$7-'Business Case'!$B$8*(('Business Case'!C11*$C436*'Business Case'!C12*$B436)-('Business Case'!B11*$C436*'Business Case'!B12*$B436))-'Business Case'!C15*$F436</f>
        <v>70270132.7007321</v>
      </c>
      <c r="J436" s="39" t="n">
        <f aca="false">(('Business Case'!D11*$C436*'Business Case'!D12*$B436)-'Business Case'!D11*$C436*'Business Case'!D13*$D436-'Business Case'!D14*$E436)-MAX(0,(('Business Case'!D11*$C436*'Business Case'!D12*$B436)-'Business Case'!D11*$C436*'Business Case'!D13*$D436-'Business Case'!D14*$E436))*'Business Case'!$B$7-'Business Case'!$B$8*(('Business Case'!D11*$C436*'Business Case'!D12*$B436)-('Business Case'!C11*$C436*'Business Case'!C12*$B436))-'Business Case'!D15*$F436</f>
        <v>444459205.419853</v>
      </c>
      <c r="K436" s="39" t="n">
        <f aca="false">(('Business Case'!E11*$C436*'Business Case'!E12*$B436)-'Business Case'!E11*$C436*'Business Case'!E13*$D436-'Business Case'!E14*$E436)-MAX(0,(('Business Case'!E11*$C436*'Business Case'!E12*$B436)-'Business Case'!E11*$C436*'Business Case'!E13*$D436-'Business Case'!E14*$E436))*'Business Case'!$B$7-'Business Case'!$B$8*(('Business Case'!E11*$C436*'Business Case'!E12*$B436)-('Business Case'!D11*$C436*'Business Case'!D12*$B436))-'Business Case'!E15*$F436</f>
        <v>869936469.129018</v>
      </c>
      <c r="L436" s="39" t="n">
        <f aca="false">(('Business Case'!F11*$C436*'Business Case'!F12*$B436)-'Business Case'!F11*$C436*'Business Case'!F13*$D436-'Business Case'!F14*$E436)-MAX(0,(('Business Case'!F11*$C436*'Business Case'!F12*$B436)-'Business Case'!F11*$C436*'Business Case'!F13*$D436-'Business Case'!F14*$E436))*'Business Case'!$B$7-'Business Case'!$B$8*(('Business Case'!F11*$C436*'Business Case'!F12*$B436)-('Business Case'!E11*$C436*'Business Case'!E12*$B436))-'Business Case'!F15*$F436</f>
        <v>1033336184.6127</v>
      </c>
      <c r="M436" s="39" t="n">
        <f aca="false">(('Business Case'!G11*$C436*'Business Case'!G12*$B436)-'Business Case'!G11*$C436*'Business Case'!G13*$D436-'Business Case'!G14*$E436)-MAX(0,(('Business Case'!G11*$C436*'Business Case'!G12*$B436)-'Business Case'!G11*$C436*'Business Case'!G13*$D436-'Business Case'!G14*$E436))*'Business Case'!$B$7-'Business Case'!$B$8*(('Business Case'!G11*$C436*'Business Case'!G12*$B436)-('Business Case'!F11*$C436*'Business Case'!F12*$B436))-'Business Case'!G15*$F436+'Business Case'!$B$8*('Business Case'!G11*$C436*'Business Case'!G12*$B436)</f>
        <v>1246021319.78788</v>
      </c>
      <c r="N436" s="39" t="n">
        <f aca="false">IF(COUNT('Business Case'!B11:G11)=0,"",H436+NPV(G436,I436:M436))</f>
        <v>444095792.892916</v>
      </c>
      <c r="P436" s="40" t="n">
        <f aca="true">RAND()</f>
        <v>0.955811686985426</v>
      </c>
      <c r="Q436" s="40" t="n">
        <f aca="true">RAND()</f>
        <v>0.934074794255856</v>
      </c>
      <c r="R436" s="40" t="n">
        <f aca="true">RAND()</f>
        <v>0.0666755787555455</v>
      </c>
      <c r="S436" s="40" t="n">
        <f aca="true">RAND()</f>
        <v>0.435726533364801</v>
      </c>
      <c r="T436" s="40" t="n">
        <f aca="true">RAND()</f>
        <v>0.392835070192491</v>
      </c>
      <c r="U436" s="40" t="n">
        <f aca="true">RAND()</f>
        <v>0.765493917026744</v>
      </c>
    </row>
    <row r="437" customFormat="false" ht="15" hidden="false" customHeight="false" outlineLevel="0" collapsed="false">
      <c r="A437" s="36" t="n">
        <v>357</v>
      </c>
      <c r="B437" s="37" t="n">
        <f aca="false">1+IF($G$6=$E$6,$F$6,IF(P437&lt;($F$6-$E$6)/($G$6-$E$6),$E$6+SQRT(P437*($G$6-$E$6)*($F$6-$E$6)),$G$6-SQRT((1-P437)*($G$6-$E$6)*($G$6-$F$6))))</f>
        <v>0.982264247982598</v>
      </c>
      <c r="C437" s="37" t="n">
        <f aca="false">1+IF($G$7=$E$7,$F$7,IF(Q437&lt;($F$7-$E$7)/($G$7-$E$7),$E$7+SQRT(Q437*($G$7-$E$7)*($F$7-$E$7)),$G$7-SQRT((1-Q437)*($G$7-$E$7)*($G$7-$F$7))))</f>
        <v>1.03112467112481</v>
      </c>
      <c r="D437" s="37" t="n">
        <f aca="false">1+IF($G$8=$E$8,$F$8,IF(R437&lt;($F$8-$E$8)/($G$8-$E$8),$E$8+SQRT(R437*($G$8-$E$8)*($F$8-$E$8)),$G$8-SQRT((1-R437)*($G$8-$E$8)*($G$8-$F$8))))</f>
        <v>0.999078662033627</v>
      </c>
      <c r="E437" s="37" t="n">
        <f aca="false">1+IF($G$9=$E$9,$F$9,IF(S437&lt;($F$9-$E$9)/($G$9-$E$9),$E$9+SQRT(S437*($G$9-$E$9)*($F$9-$E$9)),$G$9-SQRT((1-S437)*($G$9-$E$9)*($G$9-$F$9))))</f>
        <v>0.989646127180291</v>
      </c>
      <c r="F437" s="37" t="n">
        <f aca="false">1+IF($G$10=$E$10,$F$10,IF(T437&lt;($F$10-$E$10)/($G$10-$E$10),$E$10+SQRT(T437*($G$10-$E$10)*($F$10-$E$10)),$G$10-SQRT((1-T437)*($G$10-$E$10)*($G$10-$F$10))))</f>
        <v>1.08890336525691</v>
      </c>
      <c r="G437" s="38" t="n">
        <f aca="false">IF($G$11=$E$11,$F$11,IF(U437&lt;($F$11-$E$11)/($G$11-$E$11),$E$11+SQRT(U437*($G$11-$E$11)*($F$11-$E$11)),$G$11-SQRT((1-U437)*($G$11-$E$11)*($G$11-$F$11))))</f>
        <v>0.114230516282827</v>
      </c>
      <c r="H437" s="39" t="n">
        <f aca="false">(('Business Case'!B11*$C437*'Business Case'!B12*$B437)-'Business Case'!B11*$C437*'Business Case'!B13*$D437-'Business Case'!B14*$E437)-MAX(0,(('Business Case'!B11*$C437*'Business Case'!B12*$B437)-'Business Case'!B11*$C437*'Business Case'!B13*$D437-'Business Case'!B14*$E437))*'Business Case'!$B$7-'Business Case'!$B$8*('Business Case'!B11*$C437*'Business Case'!B12*$B437)-'Business Case'!B15*$F437</f>
        <v>-2177806730.51381</v>
      </c>
      <c r="I437" s="39" t="n">
        <f aca="false">(('Business Case'!C11*$C437*'Business Case'!C12*$B437)-'Business Case'!C11*$C437*'Business Case'!C13*$D437-'Business Case'!C14*$E437)-MAX(0,(('Business Case'!C11*$C437*'Business Case'!C12*$B437)-'Business Case'!C11*$C437*'Business Case'!C13*$D437-'Business Case'!C14*$E437))*'Business Case'!$B$7-'Business Case'!$B$8*(('Business Case'!C11*$C437*'Business Case'!C12*$B437)-('Business Case'!B11*$C437*'Business Case'!B12*$B437))-'Business Case'!C15*$F437</f>
        <v>95854.0703476667</v>
      </c>
      <c r="J437" s="39" t="n">
        <f aca="false">(('Business Case'!D11*$C437*'Business Case'!D12*$B437)-'Business Case'!D11*$C437*'Business Case'!D13*$D437-'Business Case'!D14*$E437)-MAX(0,(('Business Case'!D11*$C437*'Business Case'!D12*$B437)-'Business Case'!D11*$C437*'Business Case'!D13*$D437-'Business Case'!D14*$E437))*'Business Case'!$B$7-'Business Case'!$B$8*(('Business Case'!D11*$C437*'Business Case'!D12*$B437)-('Business Case'!C11*$C437*'Business Case'!C12*$B437))-'Business Case'!D15*$F437</f>
        <v>302315188.829731</v>
      </c>
      <c r="K437" s="39" t="n">
        <f aca="false">(('Business Case'!E11*$C437*'Business Case'!E12*$B437)-'Business Case'!E11*$C437*'Business Case'!E13*$D437-'Business Case'!E14*$E437)-MAX(0,(('Business Case'!E11*$C437*'Business Case'!E12*$B437)-'Business Case'!E11*$C437*'Business Case'!E13*$D437-'Business Case'!E14*$E437))*'Business Case'!$B$7-'Business Case'!$B$8*(('Business Case'!E11*$C437*'Business Case'!E12*$B437)-('Business Case'!D11*$C437*'Business Case'!D12*$B437))-'Business Case'!E15*$F437</f>
        <v>658979691.85196</v>
      </c>
      <c r="L437" s="39" t="n">
        <f aca="false">(('Business Case'!F11*$C437*'Business Case'!F12*$B437)-'Business Case'!F11*$C437*'Business Case'!F13*$D437-'Business Case'!F14*$E437)-MAX(0,(('Business Case'!F11*$C437*'Business Case'!F12*$B437)-'Business Case'!F11*$C437*'Business Case'!F13*$D437-'Business Case'!F14*$E437))*'Business Case'!$B$7-'Business Case'!$B$8*(('Business Case'!F11*$C437*'Business Case'!F12*$B437)-('Business Case'!E11*$C437*'Business Case'!E12*$B437))-'Business Case'!F15*$F437</f>
        <v>794723113.357293</v>
      </c>
      <c r="M437" s="39" t="n">
        <f aca="false">(('Business Case'!G11*$C437*'Business Case'!G12*$B437)-'Business Case'!G11*$C437*'Business Case'!G13*$D437-'Business Case'!G14*$E437)-MAX(0,(('Business Case'!G11*$C437*'Business Case'!G12*$B437)-'Business Case'!G11*$C437*'Business Case'!G13*$D437-'Business Case'!G14*$E437))*'Business Case'!$B$7-'Business Case'!$B$8*(('Business Case'!G11*$C437*'Business Case'!G12*$B437)-('Business Case'!F11*$C437*'Business Case'!F12*$B437))-'Business Case'!G15*$F437+'Business Case'!$B$8*('Business Case'!G11*$C437*'Business Case'!G12*$B437)</f>
        <v>987243151.244423</v>
      </c>
      <c r="N437" s="39" t="n">
        <f aca="false">IF(COUNT('Business Case'!B11:G11)=0,"",H437+NPV(G437,I437:M437))</f>
        <v>-367396091.037809</v>
      </c>
      <c r="P437" s="40" t="n">
        <f aca="true">RAND()</f>
        <v>0.403837143420674</v>
      </c>
      <c r="Q437" s="40" t="n">
        <f aca="true">RAND()</f>
        <v>0.730831546377454</v>
      </c>
      <c r="R437" s="40" t="n">
        <f aca="true">RAND()</f>
        <v>0.370571548770915</v>
      </c>
      <c r="S437" s="40" t="n">
        <f aca="true">RAND()</f>
        <v>0.209575386719439</v>
      </c>
      <c r="T437" s="40" t="n">
        <f aca="true">RAND()</f>
        <v>0.753150754975186</v>
      </c>
      <c r="U437" s="40" t="n">
        <f aca="true">RAND()</f>
        <v>0.944521762728791</v>
      </c>
    </row>
    <row r="438" customFormat="false" ht="15" hidden="false" customHeight="false" outlineLevel="0" collapsed="false">
      <c r="A438" s="36" t="n">
        <v>358</v>
      </c>
      <c r="B438" s="37" t="n">
        <f aca="false">1+IF($G$6=$E$6,$F$6,IF(P438&lt;($F$6-$E$6)/($G$6-$E$6),$E$6+SQRT(P438*($G$6-$E$6)*($F$6-$E$6)),$G$6-SQRT((1-P438)*($G$6-$E$6)*($G$6-$F$6))))</f>
        <v>1.0057855070263</v>
      </c>
      <c r="C438" s="37" t="n">
        <f aca="false">1+IF($G$7=$E$7,$F$7,IF(Q438&lt;($F$7-$E$7)/($G$7-$E$7),$E$7+SQRT(Q438*($G$7-$E$7)*($F$7-$E$7)),$G$7-SQRT((1-Q438)*($G$7-$E$7)*($G$7-$F$7))))</f>
        <v>1.03807868031686</v>
      </c>
      <c r="D438" s="37" t="n">
        <f aca="false">1+IF($G$8=$E$8,$F$8,IF(R438&lt;($F$8-$E$8)/($G$8-$E$8),$E$8+SQRT(R438*($G$8-$E$8)*($F$8-$E$8)),$G$8-SQRT((1-R438)*($G$8-$E$8)*($G$8-$F$8))))</f>
        <v>1.02267126985286</v>
      </c>
      <c r="E438" s="37" t="n">
        <f aca="false">1+IF($G$9=$E$9,$F$9,IF(S438&lt;($F$9-$E$9)/($G$9-$E$9),$E$9+SQRT(S438*($G$9-$E$9)*($F$9-$E$9)),$G$9-SQRT((1-S438)*($G$9-$E$9)*($G$9-$F$9))))</f>
        <v>1.01742164499825</v>
      </c>
      <c r="F438" s="37" t="n">
        <f aca="false">1+IF($G$10=$E$10,$F$10,IF(T438&lt;($F$10-$E$10)/($G$10-$E$10),$E$10+SQRT(T438*($G$10-$E$10)*($F$10-$E$10)),$G$10-SQRT((1-T438)*($G$10-$E$10)*($G$10-$F$10))))</f>
        <v>0.988375139776694</v>
      </c>
      <c r="G438" s="38" t="n">
        <f aca="false">IF($G$11=$E$11,$F$11,IF(U438&lt;($F$11-$E$11)/($G$11-$E$11),$E$11+SQRT(U438*($G$11-$E$11)*($F$11-$E$11)),$G$11-SQRT((1-U438)*($G$11-$E$11)*($G$11-$F$11))))</f>
        <v>0.111113844503473</v>
      </c>
      <c r="H438" s="39" t="n">
        <f aca="false">(('Business Case'!B11*$C438*'Business Case'!B12*$B438)-'Business Case'!B11*$C438*'Business Case'!B13*$D438-'Business Case'!B14*$E438)-MAX(0,(('Business Case'!B11*$C438*'Business Case'!B12*$B438)-'Business Case'!B11*$C438*'Business Case'!B13*$D438-'Business Case'!B14*$E438))*'Business Case'!$B$7-'Business Case'!$B$8*('Business Case'!B11*$C438*'Business Case'!B12*$B438)-'Business Case'!B15*$F438</f>
        <v>-1976750279.55339</v>
      </c>
      <c r="I438" s="39" t="n">
        <f aca="false">(('Business Case'!C11*$C438*'Business Case'!C12*$B438)-'Business Case'!C11*$C438*'Business Case'!C13*$D438-'Business Case'!C14*$E438)-MAX(0,(('Business Case'!C11*$C438*'Business Case'!C12*$B438)-'Business Case'!C11*$C438*'Business Case'!C13*$D438-'Business Case'!C14*$E438))*'Business Case'!$B$7-'Business Case'!$B$8*(('Business Case'!C11*$C438*'Business Case'!C12*$B438)-('Business Case'!B11*$C438*'Business Case'!B12*$B438))-'Business Case'!C15*$F438</f>
        <v>14079109.9777993</v>
      </c>
      <c r="J438" s="39" t="n">
        <f aca="false">(('Business Case'!D11*$C438*'Business Case'!D12*$B438)-'Business Case'!D11*$C438*'Business Case'!D13*$D438-'Business Case'!D14*$E438)-MAX(0,(('Business Case'!D11*$C438*'Business Case'!D12*$B438)-'Business Case'!D11*$C438*'Business Case'!D13*$D438-'Business Case'!D14*$E438))*'Business Case'!$B$7-'Business Case'!$B$8*(('Business Case'!D11*$C438*'Business Case'!D12*$B438)-('Business Case'!C11*$C438*'Business Case'!C12*$B438))-'Business Case'!D15*$F438</f>
        <v>325798431.907745</v>
      </c>
      <c r="K438" s="39" t="n">
        <f aca="false">(('Business Case'!E11*$C438*'Business Case'!E12*$B438)-'Business Case'!E11*$C438*'Business Case'!E13*$D438-'Business Case'!E14*$E438)-MAX(0,(('Business Case'!E11*$C438*'Business Case'!E12*$B438)-'Business Case'!E11*$C438*'Business Case'!E13*$D438-'Business Case'!E14*$E438))*'Business Case'!$B$7-'Business Case'!$B$8*(('Business Case'!E11*$C438*'Business Case'!E12*$B438)-('Business Case'!D11*$C438*'Business Case'!D12*$B438))-'Business Case'!E15*$F438</f>
        <v>686936510.826526</v>
      </c>
      <c r="L438" s="39" t="n">
        <f aca="false">(('Business Case'!F11*$C438*'Business Case'!F12*$B438)-'Business Case'!F11*$C438*'Business Case'!F13*$D438-'Business Case'!F14*$E438)-MAX(0,(('Business Case'!F11*$C438*'Business Case'!F12*$B438)-'Business Case'!F11*$C438*'Business Case'!F13*$D438-'Business Case'!F14*$E438))*'Business Case'!$B$7-'Business Case'!$B$8*(('Business Case'!F11*$C438*'Business Case'!F12*$B438)-('Business Case'!E11*$C438*'Business Case'!E12*$B438))-'Business Case'!F15*$F438</f>
        <v>826926511.506991</v>
      </c>
      <c r="M438" s="39" t="n">
        <f aca="false">(('Business Case'!G11*$C438*'Business Case'!G12*$B438)-'Business Case'!G11*$C438*'Business Case'!G13*$D438-'Business Case'!G14*$E438)-MAX(0,(('Business Case'!G11*$C438*'Business Case'!G12*$B438)-'Business Case'!G11*$C438*'Business Case'!G13*$D438-'Business Case'!G14*$E438))*'Business Case'!$B$7-'Business Case'!$B$8*(('Business Case'!G11*$C438*'Business Case'!G12*$B438)-('Business Case'!F11*$C438*'Business Case'!F12*$B438))-'Business Case'!G15*$F438+'Business Case'!$B$8*('Business Case'!G11*$C438*'Business Case'!G12*$B438)</f>
        <v>1025386091.71132</v>
      </c>
      <c r="N438" s="39" t="n">
        <f aca="false">IF(COUNT('Business Case'!B11:G11)=0,"",H438+NPV(G438,I438:M438))</f>
        <v>-51396728.4545043</v>
      </c>
      <c r="P438" s="40" t="n">
        <f aca="true">RAND()</f>
        <v>0.756118431365195</v>
      </c>
      <c r="Q438" s="40" t="n">
        <f aca="true">RAND()</f>
        <v>0.761402251435893</v>
      </c>
      <c r="R438" s="40" t="n">
        <f aca="true">RAND()</f>
        <v>0.683982374972676</v>
      </c>
      <c r="S438" s="40" t="n">
        <f aca="true">RAND()</f>
        <v>0.545387685680379</v>
      </c>
      <c r="T438" s="40" t="n">
        <f aca="true">RAND()</f>
        <v>0.117812108230463</v>
      </c>
      <c r="U438" s="40" t="n">
        <f aca="true">RAND()</f>
        <v>0.868393734152566</v>
      </c>
    </row>
    <row r="439" customFormat="false" ht="15" hidden="false" customHeight="false" outlineLevel="0" collapsed="false">
      <c r="A439" s="36" t="n">
        <v>359</v>
      </c>
      <c r="B439" s="37" t="n">
        <f aca="false">1+IF($G$6=$E$6,$F$6,IF(P439&lt;($F$6-$E$6)/($G$6-$E$6),$E$6+SQRT(P439*($G$6-$E$6)*($F$6-$E$6)),$G$6-SQRT((1-P439)*($G$6-$E$6)*($G$6-$F$6))))</f>
        <v>0.980087621996221</v>
      </c>
      <c r="C439" s="37" t="n">
        <f aca="false">1+IF($G$7=$E$7,$F$7,IF(Q439&lt;($F$7-$E$7)/($G$7-$E$7),$E$7+SQRT(Q439*($G$7-$E$7)*($F$7-$E$7)),$G$7-SQRT((1-Q439)*($G$7-$E$7)*($G$7-$F$7))))</f>
        <v>0.918985096637592</v>
      </c>
      <c r="D439" s="37" t="n">
        <f aca="false">1+IF($G$8=$E$8,$F$8,IF(R439&lt;($F$8-$E$8)/($G$8-$E$8),$E$8+SQRT(R439*($G$8-$E$8)*($F$8-$E$8)),$G$8-SQRT((1-R439)*($G$8-$E$8)*($G$8-$F$8))))</f>
        <v>0.989576234171387</v>
      </c>
      <c r="E439" s="37" t="n">
        <f aca="false">1+IF($G$9=$E$9,$F$9,IF(S439&lt;($F$9-$E$9)/($G$9-$E$9),$E$9+SQRT(S439*($G$9-$E$9)*($F$9-$E$9)),$G$9-SQRT((1-S439)*($G$9-$E$9)*($G$9-$F$9))))</f>
        <v>0.980980652360238</v>
      </c>
      <c r="F439" s="37" t="n">
        <f aca="false">1+IF($G$10=$E$10,$F$10,IF(T439&lt;($F$10-$E$10)/($G$10-$E$10),$E$10+SQRT(T439*($G$10-$E$10)*($F$10-$E$10)),$G$10-SQRT((1-T439)*($G$10-$E$10)*($G$10-$F$10))))</f>
        <v>0.991763890322314</v>
      </c>
      <c r="G439" s="38" t="n">
        <f aca="false">IF($G$11=$E$11,$F$11,IF(U439&lt;($F$11-$E$11)/($G$11-$E$11),$E$11+SQRT(U439*($G$11-$E$11)*($F$11-$E$11)),$G$11-SQRT((1-U439)*($G$11-$E$11)*($G$11-$F$11))))</f>
        <v>0.106187272907733</v>
      </c>
      <c r="H439" s="39" t="n">
        <f aca="false">(('Business Case'!B11*$C439*'Business Case'!B12*$B439)-'Business Case'!B11*$C439*'Business Case'!B13*$D439-'Business Case'!B14*$E439)-MAX(0,(('Business Case'!B11*$C439*'Business Case'!B12*$B439)-'Business Case'!B11*$C439*'Business Case'!B13*$D439-'Business Case'!B14*$E439))*'Business Case'!$B$7-'Business Case'!$B$8*('Business Case'!B11*$C439*'Business Case'!B12*$B439)-'Business Case'!B15*$F439</f>
        <v>-1983527780.64463</v>
      </c>
      <c r="I439" s="39" t="n">
        <f aca="false">(('Business Case'!C11*$C439*'Business Case'!C12*$B439)-'Business Case'!C11*$C439*'Business Case'!C13*$D439-'Business Case'!C14*$E439)-MAX(0,(('Business Case'!C11*$C439*'Business Case'!C12*$B439)-'Business Case'!C11*$C439*'Business Case'!C13*$D439-'Business Case'!C14*$E439))*'Business Case'!$B$7-'Business Case'!$B$8*(('Business Case'!C11*$C439*'Business Case'!C12*$B439)-('Business Case'!B11*$C439*'Business Case'!B12*$B439))-'Business Case'!C15*$F439</f>
        <v>-13179802.413036</v>
      </c>
      <c r="J439" s="39" t="n">
        <f aca="false">(('Business Case'!D11*$C439*'Business Case'!D12*$B439)-'Business Case'!D11*$C439*'Business Case'!D13*$D439-'Business Case'!D14*$E439)-MAX(0,(('Business Case'!D11*$C439*'Business Case'!D12*$B439)-'Business Case'!D11*$C439*'Business Case'!D13*$D439-'Business Case'!D14*$E439))*'Business Case'!$B$7-'Business Case'!$B$8*(('Business Case'!D11*$C439*'Business Case'!D12*$B439)-('Business Case'!C11*$C439*'Business Case'!C12*$B439))-'Business Case'!D15*$F439</f>
        <v>259003790.961605</v>
      </c>
      <c r="K439" s="39" t="n">
        <f aca="false">(('Business Case'!E11*$C439*'Business Case'!E12*$B439)-'Business Case'!E11*$C439*'Business Case'!E13*$D439-'Business Case'!E14*$E439)-MAX(0,(('Business Case'!E11*$C439*'Business Case'!E12*$B439)-'Business Case'!E11*$C439*'Business Case'!E13*$D439-'Business Case'!E14*$E439))*'Business Case'!$B$7-'Business Case'!$B$8*(('Business Case'!E11*$C439*'Business Case'!E12*$B439)-('Business Case'!D11*$C439*'Business Case'!D12*$B439))-'Business Case'!E15*$F439</f>
        <v>580775578.852363</v>
      </c>
      <c r="L439" s="39" t="n">
        <f aca="false">(('Business Case'!F11*$C439*'Business Case'!F12*$B439)-'Business Case'!F11*$C439*'Business Case'!F13*$D439-'Business Case'!F14*$E439)-MAX(0,(('Business Case'!F11*$C439*'Business Case'!F12*$B439)-'Business Case'!F11*$C439*'Business Case'!F13*$D439-'Business Case'!F14*$E439))*'Business Case'!$B$7-'Business Case'!$B$8*(('Business Case'!F11*$C439*'Business Case'!F12*$B439)-('Business Case'!E11*$C439*'Business Case'!E12*$B439))-'Business Case'!F15*$F439</f>
        <v>702631148.637123</v>
      </c>
      <c r="M439" s="39" t="n">
        <f aca="false">(('Business Case'!G11*$C439*'Business Case'!G12*$B439)-'Business Case'!G11*$C439*'Business Case'!G13*$D439-'Business Case'!G14*$E439)-MAX(0,(('Business Case'!G11*$C439*'Business Case'!G12*$B439)-'Business Case'!G11*$C439*'Business Case'!G13*$D439-'Business Case'!G14*$E439))*'Business Case'!$B$7-'Business Case'!$B$8*(('Business Case'!G11*$C439*'Business Case'!G12*$B439)-('Business Case'!F11*$C439*'Business Case'!F12*$B439))-'Business Case'!G15*$F439+'Business Case'!$B$8*('Business Case'!G11*$C439*'Business Case'!G12*$B439)</f>
        <v>873833527.93313</v>
      </c>
      <c r="N439" s="39" t="n">
        <f aca="false">IF(COUNT('Business Case'!B11:G11)=0,"",H439+NPV(G439,I439:M439))</f>
        <v>-357877588.217666</v>
      </c>
      <c r="P439" s="40" t="n">
        <f aca="true">RAND()</f>
        <v>0.376096074704247</v>
      </c>
      <c r="Q439" s="40" t="n">
        <f aca="true">RAND()</f>
        <v>0.202249331740815</v>
      </c>
      <c r="R439" s="40" t="n">
        <f aca="true">RAND()</f>
        <v>0.240965894028997</v>
      </c>
      <c r="S439" s="40" t="n">
        <f aca="true">RAND()</f>
        <v>0.127973442755458</v>
      </c>
      <c r="T439" s="40" t="n">
        <f aca="true">RAND()</f>
        <v>0.139537802788341</v>
      </c>
      <c r="U439" s="40" t="n">
        <f aca="true">RAND()</f>
        <v>0.682014283790929</v>
      </c>
    </row>
    <row r="440" customFormat="false" ht="15" hidden="false" customHeight="false" outlineLevel="0" collapsed="false">
      <c r="A440" s="36" t="n">
        <v>360</v>
      </c>
      <c r="B440" s="37" t="n">
        <f aca="false">1+IF($G$6=$E$6,$F$6,IF(P440&lt;($F$6-$E$6)/($G$6-$E$6),$E$6+SQRT(P440*($G$6-$E$6)*($F$6-$E$6)),$G$6-SQRT((1-P440)*($G$6-$E$6)*($G$6-$F$6))))</f>
        <v>0.998747669457129</v>
      </c>
      <c r="C440" s="37" t="n">
        <f aca="false">1+IF($G$7=$E$7,$F$7,IF(Q440&lt;($F$7-$E$7)/($G$7-$E$7),$E$7+SQRT(Q440*($G$7-$E$7)*($F$7-$E$7)),$G$7-SQRT((1-Q440)*($G$7-$E$7)*($G$7-$F$7))))</f>
        <v>1.00368895780912</v>
      </c>
      <c r="D440" s="37" t="n">
        <f aca="false">1+IF($G$8=$E$8,$F$8,IF(R440&lt;($F$8-$E$8)/($G$8-$E$8),$E$8+SQRT(R440*($G$8-$E$8)*($F$8-$E$8)),$G$8-SQRT((1-R440)*($G$8-$E$8)*($G$8-$F$8))))</f>
        <v>1.02930189446557</v>
      </c>
      <c r="E440" s="37" t="n">
        <f aca="false">1+IF($G$9=$E$9,$F$9,IF(S440&lt;($F$9-$E$9)/($G$9-$E$9),$E$9+SQRT(S440*($G$9-$E$9)*($F$9-$E$9)),$G$9-SQRT((1-S440)*($G$9-$E$9)*($G$9-$F$9))))</f>
        <v>1.0280652169939</v>
      </c>
      <c r="F440" s="37" t="n">
        <f aca="false">1+IF($G$10=$E$10,$F$10,IF(T440&lt;($F$10-$E$10)/($G$10-$E$10),$E$10+SQRT(T440*($G$10-$E$10)*($F$10-$E$10)),$G$10-SQRT((1-T440)*($G$10-$E$10)*($G$10-$F$10))))</f>
        <v>1.1305099818475</v>
      </c>
      <c r="G440" s="38" t="n">
        <f aca="false">IF($G$11=$E$11,$F$11,IF(U440&lt;($F$11-$E$11)/($G$11-$E$11),$E$11+SQRT(U440*($G$11-$E$11)*($F$11-$E$11)),$G$11-SQRT((1-U440)*($G$11-$E$11)*($G$11-$F$11))))</f>
        <v>0.095788638054316</v>
      </c>
      <c r="H440" s="39" t="n">
        <f aca="false">(('Business Case'!B11*$C440*'Business Case'!B12*$B440)-'Business Case'!B11*$C440*'Business Case'!B13*$D440-'Business Case'!B14*$E440)-MAX(0,(('Business Case'!B11*$C440*'Business Case'!B12*$B440)-'Business Case'!B11*$C440*'Business Case'!B13*$D440-'Business Case'!B14*$E440))*'Business Case'!$B$7-'Business Case'!$B$8*('Business Case'!B11*$C440*'Business Case'!B12*$B440)-'Business Case'!B15*$F440</f>
        <v>-2261019963.695</v>
      </c>
      <c r="I440" s="39" t="n">
        <f aca="false">(('Business Case'!C11*$C440*'Business Case'!C12*$B440)-'Business Case'!C11*$C440*'Business Case'!C13*$D440-'Business Case'!C14*$E440)-MAX(0,(('Business Case'!C11*$C440*'Business Case'!C12*$B440)-'Business Case'!C11*$C440*'Business Case'!C13*$D440-'Business Case'!C14*$E440))*'Business Case'!$B$7-'Business Case'!$B$8*(('Business Case'!C11*$C440*'Business Case'!C12*$B440)-('Business Case'!B11*$C440*'Business Case'!B12*$B440))-'Business Case'!C15*$F440</f>
        <v>-19007970.3813635</v>
      </c>
      <c r="J440" s="39" t="n">
        <f aca="false">(('Business Case'!D11*$C440*'Business Case'!D12*$B440)-'Business Case'!D11*$C440*'Business Case'!D13*$D440-'Business Case'!D14*$E440)-MAX(0,(('Business Case'!D11*$C440*'Business Case'!D12*$B440)-'Business Case'!D11*$C440*'Business Case'!D13*$D440-'Business Case'!D14*$E440))*'Business Case'!$B$7-'Business Case'!$B$8*(('Business Case'!D11*$C440*'Business Case'!D12*$B440)-('Business Case'!C11*$C440*'Business Case'!C12*$B440))-'Business Case'!D15*$F440</f>
        <v>273192006.545889</v>
      </c>
      <c r="K440" s="39" t="n">
        <f aca="false">(('Business Case'!E11*$C440*'Business Case'!E12*$B440)-'Business Case'!E11*$C440*'Business Case'!E13*$D440-'Business Case'!E14*$E440)-MAX(0,(('Business Case'!E11*$C440*'Business Case'!E12*$B440)-'Business Case'!E11*$C440*'Business Case'!E13*$D440-'Business Case'!E14*$E440))*'Business Case'!$B$7-'Business Case'!$B$8*(('Business Case'!E11*$C440*'Business Case'!E12*$B440)-('Business Case'!D11*$C440*'Business Case'!D12*$B440))-'Business Case'!E15*$F440</f>
        <v>621917482.565516</v>
      </c>
      <c r="L440" s="39" t="n">
        <f aca="false">(('Business Case'!F11*$C440*'Business Case'!F12*$B440)-'Business Case'!F11*$C440*'Business Case'!F13*$D440-'Business Case'!F14*$E440)-MAX(0,(('Business Case'!F11*$C440*'Business Case'!F12*$B440)-'Business Case'!F11*$C440*'Business Case'!F13*$D440-'Business Case'!F14*$E440))*'Business Case'!$B$7-'Business Case'!$B$8*(('Business Case'!F11*$C440*'Business Case'!F12*$B440)-('Business Case'!E11*$C440*'Business Case'!E12*$B440))-'Business Case'!F15*$F440</f>
        <v>753961525.052823</v>
      </c>
      <c r="M440" s="39" t="n">
        <f aca="false">(('Business Case'!G11*$C440*'Business Case'!G12*$B440)-'Business Case'!G11*$C440*'Business Case'!G13*$D440-'Business Case'!G14*$E440)-MAX(0,(('Business Case'!G11*$C440*'Business Case'!G12*$B440)-'Business Case'!G11*$C440*'Business Case'!G13*$D440-'Business Case'!G14*$E440))*'Business Case'!$B$7-'Business Case'!$B$8*(('Business Case'!G11*$C440*'Business Case'!G12*$B440)-('Business Case'!F11*$C440*'Business Case'!F12*$B440))-'Business Case'!G15*$F440+'Business Case'!$B$8*('Business Case'!G11*$C440*'Business Case'!G12*$B440)</f>
        <v>944503801.033046</v>
      </c>
      <c r="N440" s="39" t="n">
        <f aca="false">IF(COUNT('Business Case'!B11:G11)=0,"",H440+NPV(G440,I440:M440))</f>
        <v>-457438030.031243</v>
      </c>
      <c r="P440" s="40" t="n">
        <f aca="true">RAND()</f>
        <v>0.645957858846793</v>
      </c>
      <c r="Q440" s="40" t="n">
        <f aca="true">RAND()</f>
        <v>0.592249122533683</v>
      </c>
      <c r="R440" s="40" t="n">
        <f aca="true">RAND()</f>
        <v>0.752855970694232</v>
      </c>
      <c r="S440" s="40" t="n">
        <f aca="true">RAND()</f>
        <v>0.655025799590989</v>
      </c>
      <c r="T440" s="40" t="n">
        <f aca="true">RAND()</f>
        <v>0.903422747543306</v>
      </c>
      <c r="U440" s="40" t="n">
        <f aca="true">RAND()</f>
        <v>0.111694435079586</v>
      </c>
    </row>
    <row r="441" customFormat="false" ht="15" hidden="false" customHeight="false" outlineLevel="0" collapsed="false">
      <c r="A441" s="36" t="n">
        <v>361</v>
      </c>
      <c r="B441" s="37" t="n">
        <f aca="false">1+IF($G$6=$E$6,$F$6,IF(P441&lt;($F$6-$E$6)/($G$6-$E$6),$E$6+SQRT(P441*($G$6-$E$6)*($F$6-$E$6)),$G$6-SQRT((1-P441)*($G$6-$E$6)*($G$6-$F$6))))</f>
        <v>1.00263912394866</v>
      </c>
      <c r="C441" s="37" t="n">
        <f aca="false">1+IF($G$7=$E$7,$F$7,IF(Q441&lt;($F$7-$E$7)/($G$7-$E$7),$E$7+SQRT(Q441*($G$7-$E$7)*($F$7-$E$7)),$G$7-SQRT((1-Q441)*($G$7-$E$7)*($G$7-$F$7))))</f>
        <v>0.826508281945352</v>
      </c>
      <c r="D441" s="37" t="n">
        <f aca="false">1+IF($G$8=$E$8,$F$8,IF(R441&lt;($F$8-$E$8)/($G$8-$E$8),$E$8+SQRT(R441*($G$8-$E$8)*($F$8-$E$8)),$G$8-SQRT((1-R441)*($G$8-$E$8)*($G$8-$F$8))))</f>
        <v>1.03575694169782</v>
      </c>
      <c r="E441" s="37" t="n">
        <f aca="false">1+IF($G$9=$E$9,$F$9,IF(S441&lt;($F$9-$E$9)/($G$9-$E$9),$E$9+SQRT(S441*($G$9-$E$9)*($F$9-$E$9)),$G$9-SQRT((1-S441)*($G$9-$E$9)*($G$9-$F$9))))</f>
        <v>1.06829482249233</v>
      </c>
      <c r="F441" s="37" t="n">
        <f aca="false">1+IF($G$10=$E$10,$F$10,IF(T441&lt;($F$10-$E$10)/($G$10-$E$10),$E$10+SQRT(T441*($G$10-$E$10)*($F$10-$E$10)),$G$10-SQRT((1-T441)*($G$10-$E$10)*($G$10-$F$10))))</f>
        <v>0.992935969933242</v>
      </c>
      <c r="G441" s="38" t="n">
        <f aca="false">IF($G$11=$E$11,$F$11,IF(U441&lt;($F$11-$E$11)/($G$11-$E$11),$E$11+SQRT(U441*($G$11-$E$11)*($F$11-$E$11)),$G$11-SQRT((1-U441)*($G$11-$E$11)*($G$11-$F$11))))</f>
        <v>0.104012834119261</v>
      </c>
      <c r="H441" s="39" t="n">
        <f aca="false">(('Business Case'!B11*$C441*'Business Case'!B12*$B441)-'Business Case'!B11*$C441*'Business Case'!B13*$D441-'Business Case'!B14*$E441)-MAX(0,(('Business Case'!B11*$C441*'Business Case'!B12*$B441)-'Business Case'!B11*$C441*'Business Case'!B13*$D441-'Business Case'!B14*$E441))*'Business Case'!$B$7-'Business Case'!$B$8*('Business Case'!B11*$C441*'Business Case'!B12*$B441)-'Business Case'!B15*$F441</f>
        <v>-1985871939.86648</v>
      </c>
      <c r="I441" s="39" t="n">
        <f aca="false">(('Business Case'!C11*$C441*'Business Case'!C12*$B441)-'Business Case'!C11*$C441*'Business Case'!C13*$D441-'Business Case'!C14*$E441)-MAX(0,(('Business Case'!C11*$C441*'Business Case'!C12*$B441)-'Business Case'!C11*$C441*'Business Case'!C13*$D441-'Business Case'!C14*$E441))*'Business Case'!$B$7-'Business Case'!$B$8*(('Business Case'!C11*$C441*'Business Case'!C12*$B441)-('Business Case'!B11*$C441*'Business Case'!B12*$B441))-'Business Case'!C15*$F441</f>
        <v>-53643088.3406649</v>
      </c>
      <c r="J441" s="39" t="n">
        <f aca="false">(('Business Case'!D11*$C441*'Business Case'!D12*$B441)-'Business Case'!D11*$C441*'Business Case'!D13*$D441-'Business Case'!D14*$E441)-MAX(0,(('Business Case'!D11*$C441*'Business Case'!D12*$B441)-'Business Case'!D11*$C441*'Business Case'!D13*$D441-'Business Case'!D14*$E441))*'Business Case'!$B$7-'Business Case'!$B$8*(('Business Case'!D11*$C441*'Business Case'!D12*$B441)-('Business Case'!C11*$C441*'Business Case'!C12*$B441))-'Business Case'!D15*$F441</f>
        <v>186878209.810837</v>
      </c>
      <c r="K441" s="39" t="n">
        <f aca="false">(('Business Case'!E11*$C441*'Business Case'!E12*$B441)-'Business Case'!E11*$C441*'Business Case'!E13*$D441-'Business Case'!E14*$E441)-MAX(0,(('Business Case'!E11*$C441*'Business Case'!E12*$B441)-'Business Case'!E11*$C441*'Business Case'!E13*$D441-'Business Case'!E14*$E441))*'Business Case'!$B$7-'Business Case'!$B$8*(('Business Case'!E11*$C441*'Business Case'!E12*$B441)-('Business Case'!D11*$C441*'Business Case'!D12*$B441))-'Business Case'!E15*$F441</f>
        <v>477046306.459001</v>
      </c>
      <c r="L441" s="39" t="n">
        <f aca="false">(('Business Case'!F11*$C441*'Business Case'!F12*$B441)-'Business Case'!F11*$C441*'Business Case'!F13*$D441-'Business Case'!F14*$E441)-MAX(0,(('Business Case'!F11*$C441*'Business Case'!F12*$B441)-'Business Case'!F11*$C441*'Business Case'!F13*$D441-'Business Case'!F14*$E441))*'Business Case'!$B$7-'Business Case'!$B$8*(('Business Case'!F11*$C441*'Business Case'!F12*$B441)-('Business Case'!E11*$C441*'Business Case'!E12*$B441))-'Business Case'!F15*$F441</f>
        <v>585859583.003123</v>
      </c>
      <c r="M441" s="39" t="n">
        <f aca="false">(('Business Case'!G11*$C441*'Business Case'!G12*$B441)-'Business Case'!G11*$C441*'Business Case'!G13*$D441-'Business Case'!G14*$E441)-MAX(0,(('Business Case'!G11*$C441*'Business Case'!G12*$B441)-'Business Case'!G11*$C441*'Business Case'!G13*$D441-'Business Case'!G14*$E441))*'Business Case'!$B$7-'Business Case'!$B$8*(('Business Case'!G11*$C441*'Business Case'!G12*$B441)-('Business Case'!F11*$C441*'Business Case'!F12*$B441))-'Business Case'!G15*$F441+'Business Case'!$B$8*('Business Case'!G11*$C441*'Business Case'!G12*$B441)</f>
        <v>743376890.718043</v>
      </c>
      <c r="N441" s="39" t="n">
        <f aca="false">IF(COUNT('Business Case'!B11:G11)=0,"",H441+NPV(G441,I441:M441))</f>
        <v>-679004660.352808</v>
      </c>
      <c r="P441" s="40" t="n">
        <f aca="true">RAND()</f>
        <v>0.709201029307598</v>
      </c>
      <c r="Q441" s="40" t="n">
        <f aca="true">RAND()</f>
        <v>0.0100384144527754</v>
      </c>
      <c r="R441" s="40" t="n">
        <f aca="true">RAND()</f>
        <v>0.811783826160559</v>
      </c>
      <c r="S441" s="40" t="n">
        <f aca="true">RAND()</f>
        <v>0.932985447947162</v>
      </c>
      <c r="T441" s="40" t="n">
        <f aca="true">RAND()</f>
        <v>0.147479801128658</v>
      </c>
      <c r="U441" s="40" t="n">
        <f aca="true">RAND()</f>
        <v>0.57401754516958</v>
      </c>
    </row>
    <row r="442" customFormat="false" ht="15" hidden="false" customHeight="false" outlineLevel="0" collapsed="false">
      <c r="A442" s="36" t="n">
        <v>362</v>
      </c>
      <c r="B442" s="37" t="n">
        <f aca="false">1+IF($G$6=$E$6,$F$6,IF(P442&lt;($F$6-$E$6)/($G$6-$E$6),$E$6+SQRT(P442*($G$6-$E$6)*($F$6-$E$6)),$G$6-SQRT((1-P442)*($G$6-$E$6)*($G$6-$F$6))))</f>
        <v>1.03089688218518</v>
      </c>
      <c r="C442" s="37" t="n">
        <f aca="false">1+IF($G$7=$E$7,$F$7,IF(Q442&lt;($F$7-$E$7)/($G$7-$E$7),$E$7+SQRT(Q442*($G$7-$E$7)*($F$7-$E$7)),$G$7-SQRT((1-Q442)*($G$7-$E$7)*($G$7-$F$7))))</f>
        <v>0.95126138949171</v>
      </c>
      <c r="D442" s="37" t="n">
        <f aca="false">1+IF($G$8=$E$8,$F$8,IF(R442&lt;($F$8-$E$8)/($G$8-$E$8),$E$8+SQRT(R442*($G$8-$E$8)*($F$8-$E$8)),$G$8-SQRT((1-R442)*($G$8-$E$8)*($G$8-$F$8))))</f>
        <v>1.03507607938218</v>
      </c>
      <c r="E442" s="37" t="n">
        <f aca="false">1+IF($G$9=$E$9,$F$9,IF(S442&lt;($F$9-$E$9)/($G$9-$E$9),$E$9+SQRT(S442*($G$9-$E$9)*($F$9-$E$9)),$G$9-SQRT((1-S442)*($G$9-$E$9)*($G$9-$F$9))))</f>
        <v>0.972495124418493</v>
      </c>
      <c r="F442" s="37" t="n">
        <f aca="false">1+IF($G$10=$E$10,$F$10,IF(T442&lt;($F$10-$E$10)/($G$10-$E$10),$E$10+SQRT(T442*($G$10-$E$10)*($F$10-$E$10)),$G$10-SQRT((1-T442)*($G$10-$E$10)*($G$10-$F$10))))</f>
        <v>1.14590786372012</v>
      </c>
      <c r="G442" s="38" t="n">
        <f aca="false">IF($G$11=$E$11,$F$11,IF(U442&lt;($F$11-$E$11)/($G$11-$E$11),$E$11+SQRT(U442*($G$11-$E$11)*($F$11-$E$11)),$G$11-SQRT((1-U442)*($G$11-$E$11)*($G$11-$F$11))))</f>
        <v>0.109273691033217</v>
      </c>
      <c r="H442" s="39" t="n">
        <f aca="false">(('Business Case'!B11*$C442*'Business Case'!B12*$B442)-'Business Case'!B11*$C442*'Business Case'!B13*$D442-'Business Case'!B14*$E442)-MAX(0,(('Business Case'!B11*$C442*'Business Case'!B12*$B442)-'Business Case'!B11*$C442*'Business Case'!B13*$D442-'Business Case'!B14*$E442))*'Business Case'!$B$7-'Business Case'!$B$8*('Business Case'!B11*$C442*'Business Case'!B12*$B442)-'Business Case'!B15*$F442</f>
        <v>-2291815727.44025</v>
      </c>
      <c r="I442" s="39" t="n">
        <f aca="false">(('Business Case'!C11*$C442*'Business Case'!C12*$B442)-'Business Case'!C11*$C442*'Business Case'!C13*$D442-'Business Case'!C14*$E442)-MAX(0,(('Business Case'!C11*$C442*'Business Case'!C12*$B442)-'Business Case'!C11*$C442*'Business Case'!C13*$D442-'Business Case'!C14*$E442))*'Business Case'!$B$7-'Business Case'!$B$8*(('Business Case'!C11*$C442*'Business Case'!C12*$B442)-('Business Case'!B11*$C442*'Business Case'!B12*$B442))-'Business Case'!C15*$F442</f>
        <v>-4542409.90272343</v>
      </c>
      <c r="J442" s="39" t="n">
        <f aca="false">(('Business Case'!D11*$C442*'Business Case'!D12*$B442)-'Business Case'!D11*$C442*'Business Case'!D13*$D442-'Business Case'!D14*$E442)-MAX(0,(('Business Case'!D11*$C442*'Business Case'!D12*$B442)-'Business Case'!D11*$C442*'Business Case'!D13*$D442-'Business Case'!D14*$E442))*'Business Case'!$B$7-'Business Case'!$B$8*(('Business Case'!D11*$C442*'Business Case'!D12*$B442)-('Business Case'!C11*$C442*'Business Case'!C12*$B442))-'Business Case'!D15*$F442</f>
        <v>294631793.704431</v>
      </c>
      <c r="K442" s="39" t="n">
        <f aca="false">(('Business Case'!E11*$C442*'Business Case'!E12*$B442)-'Business Case'!E11*$C442*'Business Case'!E13*$D442-'Business Case'!E14*$E442)-MAX(0,(('Business Case'!E11*$C442*'Business Case'!E12*$B442)-'Business Case'!E11*$C442*'Business Case'!E13*$D442-'Business Case'!E14*$E442))*'Business Case'!$B$7-'Business Case'!$B$8*(('Business Case'!E11*$C442*'Business Case'!E12*$B442)-('Business Case'!D11*$C442*'Business Case'!D12*$B442))-'Business Case'!E15*$F442</f>
        <v>651101390.497592</v>
      </c>
      <c r="L442" s="39" t="n">
        <f aca="false">(('Business Case'!F11*$C442*'Business Case'!F12*$B442)-'Business Case'!F11*$C442*'Business Case'!F13*$D442-'Business Case'!F14*$E442)-MAX(0,(('Business Case'!F11*$C442*'Business Case'!F12*$B442)-'Business Case'!F11*$C442*'Business Case'!F13*$D442-'Business Case'!F14*$E442))*'Business Case'!$B$7-'Business Case'!$B$8*(('Business Case'!F11*$C442*'Business Case'!F12*$B442)-('Business Case'!E11*$C442*'Business Case'!E12*$B442))-'Business Case'!F15*$F442</f>
        <v>784717471.997015</v>
      </c>
      <c r="M442" s="39" t="n">
        <f aca="false">(('Business Case'!G11*$C442*'Business Case'!G12*$B442)-'Business Case'!G11*$C442*'Business Case'!G13*$D442-'Business Case'!G14*$E442)-MAX(0,(('Business Case'!G11*$C442*'Business Case'!G12*$B442)-'Business Case'!G11*$C442*'Business Case'!G13*$D442-'Business Case'!G14*$E442))*'Business Case'!$B$7-'Business Case'!$B$8*(('Business Case'!G11*$C442*'Business Case'!G12*$B442)-('Business Case'!F11*$C442*'Business Case'!F12*$B442))-'Business Case'!G15*$F442+'Business Case'!$B$8*('Business Case'!G11*$C442*'Business Case'!G12*$B442)</f>
        <v>971119880.297388</v>
      </c>
      <c r="N442" s="39" t="n">
        <f aca="false">IF(COUNT('Business Case'!B11:G11)=0,"",H442+NPV(G442,I442:M442))</f>
        <v>-482977700.273132</v>
      </c>
      <c r="P442" s="40" t="n">
        <f aca="true">RAND()</f>
        <v>0.98273609292698</v>
      </c>
      <c r="Q442" s="40" t="n">
        <f aca="true">RAND()</f>
        <v>0.326857256442325</v>
      </c>
      <c r="R442" s="40" t="n">
        <f aca="true">RAND()</f>
        <v>0.805946284261926</v>
      </c>
      <c r="S442" s="40" t="n">
        <f aca="true">RAND()</f>
        <v>0.0674707496804631</v>
      </c>
      <c r="T442" s="40" t="n">
        <f aca="true">RAND()</f>
        <v>0.941480815853583</v>
      </c>
      <c r="U442" s="40" t="n">
        <f aca="true">RAND()</f>
        <v>0.808243826581856</v>
      </c>
    </row>
    <row r="443" customFormat="false" ht="15" hidden="false" customHeight="false" outlineLevel="0" collapsed="false">
      <c r="A443" s="36" t="n">
        <v>363</v>
      </c>
      <c r="B443" s="37" t="n">
        <f aca="false">1+IF($G$6=$E$6,$F$6,IF(P443&lt;($F$6-$E$6)/($G$6-$E$6),$E$6+SQRT(P443*($G$6-$E$6)*($F$6-$E$6)),$G$6-SQRT((1-P443)*($G$6-$E$6)*($G$6-$F$6))))</f>
        <v>1.01318625891557</v>
      </c>
      <c r="C443" s="37" t="n">
        <f aca="false">1+IF($G$7=$E$7,$F$7,IF(Q443&lt;($F$7-$E$7)/($G$7-$E$7),$E$7+SQRT(Q443*($G$7-$E$7)*($F$7-$E$7)),$G$7-SQRT((1-Q443)*($G$7-$E$7)*($G$7-$F$7))))</f>
        <v>1.05793780598091</v>
      </c>
      <c r="D443" s="37" t="n">
        <f aca="false">1+IF($G$8=$E$8,$F$8,IF(R443&lt;($F$8-$E$8)/($G$8-$E$8),$E$8+SQRT(R443*($G$8-$E$8)*($F$8-$E$8)),$G$8-SQRT((1-R443)*($G$8-$E$8)*($G$8-$F$8))))</f>
        <v>1.01557419942501</v>
      </c>
      <c r="E443" s="37" t="n">
        <f aca="false">1+IF($G$9=$E$9,$F$9,IF(S443&lt;($F$9-$E$9)/($G$9-$E$9),$E$9+SQRT(S443*($G$9-$E$9)*($F$9-$E$9)),$G$9-SQRT((1-S443)*($G$9-$E$9)*($G$9-$F$9))))</f>
        <v>1.08904060476077</v>
      </c>
      <c r="F443" s="37" t="n">
        <f aca="false">1+IF($G$10=$E$10,$F$10,IF(T443&lt;($F$10-$E$10)/($G$10-$E$10),$E$10+SQRT(T443*($G$10-$E$10)*($F$10-$E$10)),$G$10-SQRT((1-T443)*($G$10-$E$10)*($G$10-$F$10))))</f>
        <v>1.00671447879386</v>
      </c>
      <c r="G443" s="38" t="n">
        <f aca="false">IF($G$11=$E$11,$F$11,IF(U443&lt;($F$11-$E$11)/($G$11-$E$11),$E$11+SQRT(U443*($G$11-$E$11)*($F$11-$E$11)),$G$11-SQRT((1-U443)*($G$11-$E$11)*($G$11-$F$11))))</f>
        <v>0.104034134020957</v>
      </c>
      <c r="H443" s="39" t="n">
        <f aca="false">(('Business Case'!B11*$C443*'Business Case'!B12*$B443)-'Business Case'!B11*$C443*'Business Case'!B13*$D443-'Business Case'!B14*$E443)-MAX(0,(('Business Case'!B11*$C443*'Business Case'!B12*$B443)-'Business Case'!B11*$C443*'Business Case'!B13*$D443-'Business Case'!B14*$E443))*'Business Case'!$B$7-'Business Case'!$B$8*('Business Case'!B11*$C443*'Business Case'!B12*$B443)-'Business Case'!B15*$F443</f>
        <v>-2013428957.58772</v>
      </c>
      <c r="I443" s="39" t="n">
        <f aca="false">(('Business Case'!C11*$C443*'Business Case'!C12*$B443)-'Business Case'!C11*$C443*'Business Case'!C13*$D443-'Business Case'!C14*$E443)-MAX(0,(('Business Case'!C11*$C443*'Business Case'!C12*$B443)-'Business Case'!C11*$C443*'Business Case'!C13*$D443-'Business Case'!C14*$E443))*'Business Case'!$B$7-'Business Case'!$B$8*(('Business Case'!C11*$C443*'Business Case'!C12*$B443)-('Business Case'!B11*$C443*'Business Case'!B12*$B443))-'Business Case'!C15*$F443</f>
        <v>16839599.7065673</v>
      </c>
      <c r="J443" s="39" t="n">
        <f aca="false">(('Business Case'!D11*$C443*'Business Case'!D12*$B443)-'Business Case'!D11*$C443*'Business Case'!D13*$D443-'Business Case'!D14*$E443)-MAX(0,(('Business Case'!D11*$C443*'Business Case'!D12*$B443)-'Business Case'!D11*$C443*'Business Case'!D13*$D443-'Business Case'!D14*$E443))*'Business Case'!$B$7-'Business Case'!$B$8*(('Business Case'!D11*$C443*'Business Case'!D12*$B443)-('Business Case'!C11*$C443*'Business Case'!C12*$B443))-'Business Case'!D15*$F443</f>
        <v>344778897.687825</v>
      </c>
      <c r="K443" s="39" t="n">
        <f aca="false">(('Business Case'!E11*$C443*'Business Case'!E12*$B443)-'Business Case'!E11*$C443*'Business Case'!E13*$D443-'Business Case'!E14*$E443)-MAX(0,(('Business Case'!E11*$C443*'Business Case'!E12*$B443)-'Business Case'!E11*$C443*'Business Case'!E13*$D443-'Business Case'!E14*$E443))*'Business Case'!$B$7-'Business Case'!$B$8*(('Business Case'!E11*$C443*'Business Case'!E12*$B443)-('Business Case'!D11*$C443*'Business Case'!D12*$B443))-'Business Case'!E15*$F443</f>
        <v>723053919.608776</v>
      </c>
      <c r="L443" s="39" t="n">
        <f aca="false">(('Business Case'!F11*$C443*'Business Case'!F12*$B443)-'Business Case'!F11*$C443*'Business Case'!F13*$D443-'Business Case'!F14*$E443)-MAX(0,(('Business Case'!F11*$C443*'Business Case'!F12*$B443)-'Business Case'!F11*$C443*'Business Case'!F13*$D443-'Business Case'!F14*$E443))*'Business Case'!$B$7-'Business Case'!$B$8*(('Business Case'!F11*$C443*'Business Case'!F12*$B443)-('Business Case'!E11*$C443*'Business Case'!E12*$B443))-'Business Case'!F15*$F443</f>
        <v>869411469.868077</v>
      </c>
      <c r="M443" s="39" t="n">
        <f aca="false">(('Business Case'!G11*$C443*'Business Case'!G12*$B443)-'Business Case'!G11*$C443*'Business Case'!G13*$D443-'Business Case'!G14*$E443)-MAX(0,(('Business Case'!G11*$C443*'Business Case'!G12*$B443)-'Business Case'!G11*$C443*'Business Case'!G13*$D443-'Business Case'!G14*$E443))*'Business Case'!$B$7-'Business Case'!$B$8*(('Business Case'!G11*$C443*'Business Case'!G12*$B443)-('Business Case'!F11*$C443*'Business Case'!F12*$B443))-'Business Case'!G15*$F443+'Business Case'!$B$8*('Business Case'!G11*$C443*'Business Case'!G12*$B443)</f>
        <v>1073155949.99526</v>
      </c>
      <c r="N443" s="39" t="n">
        <f aca="false">IF(COUNT('Business Case'!B11:G11)=0,"",H443+NPV(G443,I443:M443))</f>
        <v>61442250.1829433</v>
      </c>
      <c r="P443" s="40" t="n">
        <f aca="true">RAND()</f>
        <v>0.850213185220211</v>
      </c>
      <c r="Q443" s="40" t="n">
        <f aca="true">RAND()</f>
        <v>0.838562903474117</v>
      </c>
      <c r="R443" s="40" t="n">
        <f aca="true">RAND()</f>
        <v>0.600895790410675</v>
      </c>
      <c r="S443" s="40" t="n">
        <f aca="true">RAND()</f>
        <v>0.99199277706603</v>
      </c>
      <c r="T443" s="40" t="n">
        <f aca="true">RAND()</f>
        <v>0.252814145841428</v>
      </c>
      <c r="U443" s="40" t="n">
        <f aca="true">RAND()</f>
        <v>0.575151872565418</v>
      </c>
    </row>
    <row r="444" customFormat="false" ht="15" hidden="false" customHeight="false" outlineLevel="0" collapsed="false">
      <c r="A444" s="36" t="n">
        <v>364</v>
      </c>
      <c r="B444" s="37" t="n">
        <f aca="false">1+IF($G$6=$E$6,$F$6,IF(P444&lt;($F$6-$E$6)/($G$6-$E$6),$E$6+SQRT(P444*($G$6-$E$6)*($F$6-$E$6)),$G$6-SQRT((1-P444)*($G$6-$E$6)*($G$6-$F$6))))</f>
        <v>1.02192896801818</v>
      </c>
      <c r="C444" s="37" t="n">
        <f aca="false">1+IF($G$7=$E$7,$F$7,IF(Q444&lt;($F$7-$E$7)/($G$7-$E$7),$E$7+SQRT(Q444*($G$7-$E$7)*($F$7-$E$7)),$G$7-SQRT((1-Q444)*($G$7-$E$7)*($G$7-$F$7))))</f>
        <v>1.0225883494452</v>
      </c>
      <c r="D444" s="37" t="n">
        <f aca="false">1+IF($G$8=$E$8,$F$8,IF(R444&lt;($F$8-$E$8)/($G$8-$E$8),$E$8+SQRT(R444*($G$8-$E$8)*($F$8-$E$8)),$G$8-SQRT((1-R444)*($G$8-$E$8)*($G$8-$F$8))))</f>
        <v>1.04045048006175</v>
      </c>
      <c r="E444" s="37" t="n">
        <f aca="false">1+IF($G$9=$E$9,$F$9,IF(S444&lt;($F$9-$E$9)/($G$9-$E$9),$E$9+SQRT(S444*($G$9-$E$9)*($F$9-$E$9)),$G$9-SQRT((1-S444)*($G$9-$E$9)*($G$9-$F$9))))</f>
        <v>1.08641205966737</v>
      </c>
      <c r="F444" s="37" t="n">
        <f aca="false">1+IF($G$10=$E$10,$F$10,IF(T444&lt;($F$10-$E$10)/($G$10-$E$10),$E$10+SQRT(T444*($G$10-$E$10)*($F$10-$E$10)),$G$10-SQRT((1-T444)*($G$10-$E$10)*($G$10-$F$10))))</f>
        <v>1.05422749516126</v>
      </c>
      <c r="G444" s="38" t="n">
        <f aca="false">IF($G$11=$E$11,$F$11,IF(U444&lt;($F$11-$E$11)/($G$11-$E$11),$E$11+SQRT(U444*($G$11-$E$11)*($F$11-$E$11)),$G$11-SQRT((1-U444)*($G$11-$E$11)*($G$11-$F$11))))</f>
        <v>0.0993610885087828</v>
      </c>
      <c r="H444" s="39" t="n">
        <f aca="false">(('Business Case'!B11*$C444*'Business Case'!B12*$B444)-'Business Case'!B11*$C444*'Business Case'!B13*$D444-'Business Case'!B14*$E444)-MAX(0,(('Business Case'!B11*$C444*'Business Case'!B12*$B444)-'Business Case'!B11*$C444*'Business Case'!B13*$D444-'Business Case'!B14*$E444))*'Business Case'!$B$7-'Business Case'!$B$8*('Business Case'!B11*$C444*'Business Case'!B12*$B444)-'Business Case'!B15*$F444</f>
        <v>-2108454990.32252</v>
      </c>
      <c r="I444" s="39" t="n">
        <f aca="false">(('Business Case'!C11*$C444*'Business Case'!C12*$B444)-'Business Case'!C11*$C444*'Business Case'!C13*$D444-'Business Case'!C14*$E444)-MAX(0,(('Business Case'!C11*$C444*'Business Case'!C12*$B444)-'Business Case'!C11*$C444*'Business Case'!C13*$D444-'Business Case'!C14*$E444))*'Business Case'!$B$7-'Business Case'!$B$8*(('Business Case'!C11*$C444*'Business Case'!C12*$B444)-('Business Case'!B11*$C444*'Business Case'!B12*$B444))-'Business Case'!C15*$F444</f>
        <v>-2801977.61817881</v>
      </c>
      <c r="J444" s="39" t="n">
        <f aca="false">(('Business Case'!D11*$C444*'Business Case'!D12*$B444)-'Business Case'!D11*$C444*'Business Case'!D13*$D444-'Business Case'!D14*$E444)-MAX(0,(('Business Case'!D11*$C444*'Business Case'!D12*$B444)-'Business Case'!D11*$C444*'Business Case'!D13*$D444-'Business Case'!D14*$E444))*'Business Case'!$B$7-'Business Case'!$B$8*(('Business Case'!D11*$C444*'Business Case'!D12*$B444)-('Business Case'!C11*$C444*'Business Case'!C12*$B444))-'Business Case'!D15*$F444</f>
        <v>308480045.285513</v>
      </c>
      <c r="K444" s="39" t="n">
        <f aca="false">(('Business Case'!E11*$C444*'Business Case'!E12*$B444)-'Business Case'!E11*$C444*'Business Case'!E13*$D444-'Business Case'!E14*$E444)-MAX(0,(('Business Case'!E11*$C444*'Business Case'!E12*$B444)-'Business Case'!E11*$C444*'Business Case'!E13*$D444-'Business Case'!E14*$E444))*'Business Case'!$B$7-'Business Case'!$B$8*(('Business Case'!E11*$C444*'Business Case'!E12*$B444)-('Business Case'!D11*$C444*'Business Case'!D12*$B444))-'Business Case'!E15*$F444</f>
        <v>672473442.947268</v>
      </c>
      <c r="L444" s="39" t="n">
        <f aca="false">(('Business Case'!F11*$C444*'Business Case'!F12*$B444)-'Business Case'!F11*$C444*'Business Case'!F13*$D444-'Business Case'!F14*$E444)-MAX(0,(('Business Case'!F11*$C444*'Business Case'!F12*$B444)-'Business Case'!F11*$C444*'Business Case'!F13*$D444-'Business Case'!F14*$E444))*'Business Case'!$B$7-'Business Case'!$B$8*(('Business Case'!F11*$C444*'Business Case'!F12*$B444)-('Business Case'!E11*$C444*'Business Case'!E12*$B444))-'Business Case'!F15*$F444</f>
        <v>812349754.662529</v>
      </c>
      <c r="M444" s="39" t="n">
        <f aca="false">(('Business Case'!G11*$C444*'Business Case'!G12*$B444)-'Business Case'!G11*$C444*'Business Case'!G13*$D444-'Business Case'!G14*$E444)-MAX(0,(('Business Case'!G11*$C444*'Business Case'!G12*$B444)-'Business Case'!G11*$C444*'Business Case'!G13*$D444-'Business Case'!G14*$E444))*'Business Case'!$B$7-'Business Case'!$B$8*(('Business Case'!G11*$C444*'Business Case'!G12*$B444)-('Business Case'!F11*$C444*'Business Case'!F12*$B444))-'Business Case'!G15*$F444+'Business Case'!$B$8*('Business Case'!G11*$C444*'Business Case'!G12*$B444)</f>
        <v>1010985760.43969</v>
      </c>
      <c r="N444" s="39" t="n">
        <f aca="false">IF(COUNT('Business Case'!B11:G11)=0,"",H444+NPV(G444,I444:M444))</f>
        <v>-163938856.806885</v>
      </c>
      <c r="P444" s="40" t="n">
        <f aca="true">RAND()</f>
        <v>0.931966208981684</v>
      </c>
      <c r="Q444" s="40" t="n">
        <f aca="true">RAND()</f>
        <v>0.690786120055252</v>
      </c>
      <c r="R444" s="40" t="n">
        <f aca="true">RAND()</f>
        <v>0.849599564678262</v>
      </c>
      <c r="S444" s="40" t="n">
        <f aca="true">RAND()</f>
        <v>0.987691191834465</v>
      </c>
      <c r="T444" s="40" t="n">
        <f aca="true">RAND()</f>
        <v>0.5750075366608</v>
      </c>
      <c r="U444" s="40" t="n">
        <f aca="true">RAND()</f>
        <v>0.292099926897553</v>
      </c>
    </row>
    <row r="445" customFormat="false" ht="15" hidden="false" customHeight="false" outlineLevel="0" collapsed="false">
      <c r="A445" s="36" t="n">
        <v>365</v>
      </c>
      <c r="B445" s="37" t="n">
        <f aca="false">1+IF($G$6=$E$6,$F$6,IF(P445&lt;($F$6-$E$6)/($G$6-$E$6),$E$6+SQRT(P445*($G$6-$E$6)*($F$6-$E$6)),$G$6-SQRT((1-P445)*($G$6-$E$6)*($G$6-$F$6))))</f>
        <v>1.02172317163252</v>
      </c>
      <c r="C445" s="37" t="n">
        <f aca="false">1+IF($G$7=$E$7,$F$7,IF(Q445&lt;($F$7-$E$7)/($G$7-$E$7),$E$7+SQRT(Q445*($G$7-$E$7)*($F$7-$E$7)),$G$7-SQRT((1-Q445)*($G$7-$E$7)*($G$7-$F$7))))</f>
        <v>0.915538714811624</v>
      </c>
      <c r="D445" s="37" t="n">
        <f aca="false">1+IF($G$8=$E$8,$F$8,IF(R445&lt;($F$8-$E$8)/($G$8-$E$8),$E$8+SQRT(R445*($G$8-$E$8)*($F$8-$E$8)),$G$8-SQRT((1-R445)*($G$8-$E$8)*($G$8-$F$8))))</f>
        <v>1.00812114882787</v>
      </c>
      <c r="E445" s="37" t="n">
        <f aca="false">1+IF($G$9=$E$9,$F$9,IF(S445&lt;($F$9-$E$9)/($G$9-$E$9),$E$9+SQRT(S445*($G$9-$E$9)*($F$9-$E$9)),$G$9-SQRT((1-S445)*($G$9-$E$9)*($G$9-$F$9))))</f>
        <v>1.08050449020665</v>
      </c>
      <c r="F445" s="37" t="n">
        <f aca="false">1+IF($G$10=$E$10,$F$10,IF(T445&lt;($F$10-$E$10)/($G$10-$E$10),$E$10+SQRT(T445*($G$10-$E$10)*($F$10-$E$10)),$G$10-SQRT((1-T445)*($G$10-$E$10)*($G$10-$F$10))))</f>
        <v>1.06858012717042</v>
      </c>
      <c r="G445" s="38" t="n">
        <f aca="false">IF($G$11=$E$11,$F$11,IF(U445&lt;($F$11-$E$11)/($G$11-$E$11),$E$11+SQRT(U445*($G$11-$E$11)*($F$11-$E$11)),$G$11-SQRT((1-U445)*($G$11-$E$11)*($G$11-$F$11))))</f>
        <v>0.0988857728209455</v>
      </c>
      <c r="H445" s="39" t="n">
        <f aca="false">(('Business Case'!B11*$C445*'Business Case'!B12*$B445)-'Business Case'!B11*$C445*'Business Case'!B13*$D445-'Business Case'!B14*$E445)-MAX(0,(('Business Case'!B11*$C445*'Business Case'!B12*$B445)-'Business Case'!B11*$C445*'Business Case'!B13*$D445-'Business Case'!B14*$E445))*'Business Case'!$B$7-'Business Case'!$B$8*('Business Case'!B11*$C445*'Business Case'!B12*$B445)-'Business Case'!B15*$F445</f>
        <v>-2137160254.34085</v>
      </c>
      <c r="I445" s="39" t="n">
        <f aca="false">(('Business Case'!C11*$C445*'Business Case'!C12*$B445)-'Business Case'!C11*$C445*'Business Case'!C13*$D445-'Business Case'!C14*$E445)-MAX(0,(('Business Case'!C11*$C445*'Business Case'!C12*$B445)-'Business Case'!C11*$C445*'Business Case'!C13*$D445-'Business Case'!C14*$E445))*'Business Case'!$B$7-'Business Case'!$B$8*(('Business Case'!C11*$C445*'Business Case'!C12*$B445)-('Business Case'!B11*$C445*'Business Case'!B12*$B445))-'Business Case'!C15*$F445</f>
        <v>-15304951.3773326</v>
      </c>
      <c r="J445" s="39" t="n">
        <f aca="false">(('Business Case'!D11*$C445*'Business Case'!D12*$B445)-'Business Case'!D11*$C445*'Business Case'!D13*$D445-'Business Case'!D14*$E445)-MAX(0,(('Business Case'!D11*$C445*'Business Case'!D12*$B445)-'Business Case'!D11*$C445*'Business Case'!D13*$D445-'Business Case'!D14*$E445))*'Business Case'!$B$7-'Business Case'!$B$8*(('Business Case'!D11*$C445*'Business Case'!D12*$B445)-('Business Case'!C11*$C445*'Business Case'!C12*$B445))-'Business Case'!D15*$F445</f>
        <v>278388390.342035</v>
      </c>
      <c r="K445" s="39" t="n">
        <f aca="false">(('Business Case'!E11*$C445*'Business Case'!E12*$B445)-'Business Case'!E11*$C445*'Business Case'!E13*$D445-'Business Case'!E14*$E445)-MAX(0,(('Business Case'!E11*$C445*'Business Case'!E12*$B445)-'Business Case'!E11*$C445*'Business Case'!E13*$D445-'Business Case'!E14*$E445))*'Business Case'!$B$7-'Business Case'!$B$8*(('Business Case'!E11*$C445*'Business Case'!E12*$B445)-('Business Case'!D11*$C445*'Business Case'!D12*$B445))-'Business Case'!E15*$F445</f>
        <v>625510738.419924</v>
      </c>
      <c r="L445" s="39" t="n">
        <f aca="false">(('Business Case'!F11*$C445*'Business Case'!F12*$B445)-'Business Case'!F11*$C445*'Business Case'!F13*$D445-'Business Case'!F14*$E445)-MAX(0,(('Business Case'!F11*$C445*'Business Case'!F12*$B445)-'Business Case'!F11*$C445*'Business Case'!F13*$D445-'Business Case'!F14*$E445))*'Business Case'!$B$7-'Business Case'!$B$8*(('Business Case'!F11*$C445*'Business Case'!F12*$B445)-('Business Case'!E11*$C445*'Business Case'!E12*$B445))-'Business Case'!F15*$F445</f>
        <v>755736880.241228</v>
      </c>
      <c r="M445" s="39" t="n">
        <f aca="false">(('Business Case'!G11*$C445*'Business Case'!G12*$B445)-'Business Case'!G11*$C445*'Business Case'!G13*$D445-'Business Case'!G14*$E445)-MAX(0,(('Business Case'!G11*$C445*'Business Case'!G12*$B445)-'Business Case'!G11*$C445*'Business Case'!G13*$D445-'Business Case'!G14*$E445))*'Business Case'!$B$7-'Business Case'!$B$8*(('Business Case'!G11*$C445*'Business Case'!G12*$B445)-('Business Case'!F11*$C445*'Business Case'!F12*$B445))-'Business Case'!G15*$F445+'Business Case'!$B$8*('Business Case'!G11*$C445*'Business Case'!G12*$B445)</f>
        <v>933542867.106225</v>
      </c>
      <c r="N445" s="39" t="n">
        <f aca="false">IF(COUNT('Business Case'!B11:G11)=0,"",H445+NPV(G445,I445:M445))</f>
        <v>-348285055.531599</v>
      </c>
      <c r="P445" s="40" t="n">
        <f aca="true">RAND()</f>
        <v>0.930407821838668</v>
      </c>
      <c r="Q445" s="40" t="n">
        <f aca="true">RAND()</f>
        <v>0.19070278029031</v>
      </c>
      <c r="R445" s="40" t="n">
        <f aca="true">RAND()</f>
        <v>0.503214495593664</v>
      </c>
      <c r="S445" s="40" t="n">
        <f aca="true">RAND()</f>
        <v>0.974661673193161</v>
      </c>
      <c r="T445" s="40" t="n">
        <f aca="true">RAND()</f>
        <v>0.654576340509162</v>
      </c>
      <c r="U445" s="40" t="n">
        <f aca="true">RAND()</f>
        <v>0.263189862084846</v>
      </c>
    </row>
    <row r="446" customFormat="false" ht="15" hidden="false" customHeight="false" outlineLevel="0" collapsed="false">
      <c r="A446" s="36" t="n">
        <v>366</v>
      </c>
      <c r="B446" s="37" t="n">
        <f aca="false">1+IF($G$6=$E$6,$F$6,IF(P446&lt;($F$6-$E$6)/($G$6-$E$6),$E$6+SQRT(P446*($G$6-$E$6)*($F$6-$E$6)),$G$6-SQRT((1-P446)*($G$6-$E$6)*($G$6-$F$6))))</f>
        <v>0.990140393832351</v>
      </c>
      <c r="C446" s="37" t="n">
        <f aca="false">1+IF($G$7=$E$7,$F$7,IF(Q446&lt;($F$7-$E$7)/($G$7-$E$7),$E$7+SQRT(Q446*($G$7-$E$7)*($F$7-$E$7)),$G$7-SQRT((1-Q446)*($G$7-$E$7)*($G$7-$F$7))))</f>
        <v>0.96216102412897</v>
      </c>
      <c r="D446" s="37" t="n">
        <f aca="false">1+IF($G$8=$E$8,$F$8,IF(R446&lt;($F$8-$E$8)/($G$8-$E$8),$E$8+SQRT(R446*($G$8-$E$8)*($F$8-$E$8)),$G$8-SQRT((1-R446)*($G$8-$E$8)*($G$8-$F$8))))</f>
        <v>1.01187579003426</v>
      </c>
      <c r="E446" s="37" t="n">
        <f aca="false">1+IF($G$9=$E$9,$F$9,IF(S446&lt;($F$9-$E$9)/($G$9-$E$9),$E$9+SQRT(S446*($G$9-$E$9)*($F$9-$E$9)),$G$9-SQRT((1-S446)*($G$9-$E$9)*($G$9-$F$9))))</f>
        <v>1.04177377459385</v>
      </c>
      <c r="F446" s="37" t="n">
        <f aca="false">1+IF($G$10=$E$10,$F$10,IF(T446&lt;($F$10-$E$10)/($G$10-$E$10),$E$10+SQRT(T446*($G$10-$E$10)*($F$10-$E$10)),$G$10-SQRT((1-T446)*($G$10-$E$10)*($G$10-$F$10))))</f>
        <v>0.961046826100017</v>
      </c>
      <c r="G446" s="38" t="n">
        <f aca="false">IF($G$11=$E$11,$F$11,IF(U446&lt;($F$11-$E$11)/($G$11-$E$11),$E$11+SQRT(U446*($G$11-$E$11)*($F$11-$E$11)),$G$11-SQRT((1-U446)*($G$11-$E$11)*($G$11-$F$11))))</f>
        <v>0.108882011264376</v>
      </c>
      <c r="H446" s="39" t="n">
        <f aca="false">(('Business Case'!B11*$C446*'Business Case'!B12*$B446)-'Business Case'!B11*$C446*'Business Case'!B13*$D446-'Business Case'!B14*$E446)-MAX(0,(('Business Case'!B11*$C446*'Business Case'!B12*$B446)-'Business Case'!B11*$C446*'Business Case'!B13*$D446-'Business Case'!B14*$E446))*'Business Case'!$B$7-'Business Case'!$B$8*('Business Case'!B11*$C446*'Business Case'!B12*$B446)-'Business Case'!B15*$F446</f>
        <v>-1922093652.20003</v>
      </c>
      <c r="I446" s="39" t="n">
        <f aca="false">(('Business Case'!C11*$C446*'Business Case'!C12*$B446)-'Business Case'!C11*$C446*'Business Case'!C13*$D446-'Business Case'!C14*$E446)-MAX(0,(('Business Case'!C11*$C446*'Business Case'!C12*$B446)-'Business Case'!C11*$C446*'Business Case'!C13*$D446-'Business Case'!C14*$E446))*'Business Case'!$B$7-'Business Case'!$B$8*(('Business Case'!C11*$C446*'Business Case'!C12*$B446)-('Business Case'!B11*$C446*'Business Case'!B12*$B446))-'Business Case'!C15*$F446</f>
        <v>-11721440.5090767</v>
      </c>
      <c r="J446" s="39" t="n">
        <f aca="false">(('Business Case'!D11*$C446*'Business Case'!D12*$B446)-'Business Case'!D11*$C446*'Business Case'!D13*$D446-'Business Case'!D14*$E446)-MAX(0,(('Business Case'!D11*$C446*'Business Case'!D12*$B446)-'Business Case'!D11*$C446*'Business Case'!D13*$D446-'Business Case'!D14*$E446))*'Business Case'!$B$7-'Business Case'!$B$8*(('Business Case'!D11*$C446*'Business Case'!D12*$B446)-('Business Case'!C11*$C446*'Business Case'!C12*$B446))-'Business Case'!D15*$F446</f>
        <v>270188678.178618</v>
      </c>
      <c r="K446" s="39" t="n">
        <f aca="false">(('Business Case'!E11*$C446*'Business Case'!E12*$B446)-'Business Case'!E11*$C446*'Business Case'!E13*$D446-'Business Case'!E14*$E446)-MAX(0,(('Business Case'!E11*$C446*'Business Case'!E12*$B446)-'Business Case'!E11*$C446*'Business Case'!E13*$D446-'Business Case'!E14*$E446))*'Business Case'!$B$7-'Business Case'!$B$8*(('Business Case'!E11*$C446*'Business Case'!E12*$B446)-('Business Case'!D11*$C446*'Business Case'!D12*$B446))-'Business Case'!E15*$F446</f>
        <v>600151138.171314</v>
      </c>
      <c r="L446" s="39" t="n">
        <f aca="false">(('Business Case'!F11*$C446*'Business Case'!F12*$B446)-'Business Case'!F11*$C446*'Business Case'!F13*$D446-'Business Case'!F14*$E446)-MAX(0,(('Business Case'!F11*$C446*'Business Case'!F12*$B446)-'Business Case'!F11*$C446*'Business Case'!F13*$D446-'Business Case'!F14*$E446))*'Business Case'!$B$7-'Business Case'!$B$8*(('Business Case'!F11*$C446*'Business Case'!F12*$B446)-('Business Case'!E11*$C446*'Business Case'!E12*$B446))-'Business Case'!F15*$F446</f>
        <v>727045608.293562</v>
      </c>
      <c r="M446" s="39" t="n">
        <f aca="false">(('Business Case'!G11*$C446*'Business Case'!G12*$B446)-'Business Case'!G11*$C446*'Business Case'!G13*$D446-'Business Case'!G14*$E446)-MAX(0,(('Business Case'!G11*$C446*'Business Case'!G12*$B446)-'Business Case'!G11*$C446*'Business Case'!G13*$D446-'Business Case'!G14*$E446))*'Business Case'!$B$7-'Business Case'!$B$8*(('Business Case'!G11*$C446*'Business Case'!G12*$B446)-('Business Case'!F11*$C446*'Business Case'!F12*$B446))-'Business Case'!G15*$F446+'Business Case'!$B$8*('Business Case'!G11*$C446*'Business Case'!G12*$B446)</f>
        <v>908129976.371818</v>
      </c>
      <c r="N446" s="39" t="n">
        <f aca="false">IF(COUNT('Business Case'!B11:G11)=0,"",H446+NPV(G446,I446:M446))</f>
        <v>-250261553.288266</v>
      </c>
      <c r="P446" s="40" t="n">
        <f aca="true">RAND()</f>
        <v>0.512466129891388</v>
      </c>
      <c r="Q446" s="40" t="n">
        <f aca="true">RAND()</f>
        <v>0.37565996780795</v>
      </c>
      <c r="R446" s="40" t="n">
        <f aca="true">RAND()</f>
        <v>0.553758847744605</v>
      </c>
      <c r="S446" s="40" t="n">
        <f aca="true">RAND()</f>
        <v>0.773980444996814</v>
      </c>
      <c r="T446" s="40" t="n">
        <f aca="true">RAND()</f>
        <v>0.00976258935072144</v>
      </c>
      <c r="U446" s="40" t="n">
        <f aca="true">RAND()</f>
        <v>0.79398387745757</v>
      </c>
    </row>
    <row r="447" customFormat="false" ht="15" hidden="false" customHeight="false" outlineLevel="0" collapsed="false">
      <c r="A447" s="36" t="n">
        <v>367</v>
      </c>
      <c r="B447" s="37" t="n">
        <f aca="false">1+IF($G$6=$E$6,$F$6,IF(P447&lt;($F$6-$E$6)/($G$6-$E$6),$E$6+SQRT(P447*($G$6-$E$6)*($F$6-$E$6)),$G$6-SQRT((1-P447)*($G$6-$E$6)*($G$6-$F$6))))</f>
        <v>0.999616886927776</v>
      </c>
      <c r="C447" s="37" t="n">
        <f aca="false">1+IF($G$7=$E$7,$F$7,IF(Q447&lt;($F$7-$E$7)/($G$7-$E$7),$E$7+SQRT(Q447*($G$7-$E$7)*($F$7-$E$7)),$G$7-SQRT((1-Q447)*($G$7-$E$7)*($G$7-$F$7))))</f>
        <v>1.09787752050886</v>
      </c>
      <c r="D447" s="37" t="n">
        <f aca="false">1+IF($G$8=$E$8,$F$8,IF(R447&lt;($F$8-$E$8)/($G$8-$E$8),$E$8+SQRT(R447*($G$8-$E$8)*($F$8-$E$8)),$G$8-SQRT((1-R447)*($G$8-$E$8)*($G$8-$F$8))))</f>
        <v>1.03880803416534</v>
      </c>
      <c r="E447" s="37" t="n">
        <f aca="false">1+IF($G$9=$E$9,$F$9,IF(S447&lt;($F$9-$E$9)/($G$9-$E$9),$E$9+SQRT(S447*($G$9-$E$9)*($F$9-$E$9)),$G$9-SQRT((1-S447)*($G$9-$E$9)*($G$9-$F$9))))</f>
        <v>1.06475760786138</v>
      </c>
      <c r="F447" s="37" t="n">
        <f aca="false">1+IF($G$10=$E$10,$F$10,IF(T447&lt;($F$10-$E$10)/($G$10-$E$10),$E$10+SQRT(T447*($G$10-$E$10)*($F$10-$E$10)),$G$10-SQRT((1-T447)*($G$10-$E$10)*($G$10-$F$10))))</f>
        <v>1.07850548789924</v>
      </c>
      <c r="G447" s="38" t="n">
        <f aca="false">IF($G$11=$E$11,$F$11,IF(U447&lt;($F$11-$E$11)/($G$11-$E$11),$E$11+SQRT(U447*($G$11-$E$11)*($F$11-$E$11)),$G$11-SQRT((1-U447)*($G$11-$E$11)*($G$11-$F$11))))</f>
        <v>0.0963585524299937</v>
      </c>
      <c r="H447" s="39" t="n">
        <f aca="false">(('Business Case'!B11*$C447*'Business Case'!B12*$B447)-'Business Case'!B11*$C447*'Business Case'!B13*$D447-'Business Case'!B14*$E447)-MAX(0,(('Business Case'!B11*$C447*'Business Case'!B12*$B447)-'Business Case'!B11*$C447*'Business Case'!B13*$D447-'Business Case'!B14*$E447))*'Business Case'!$B$7-'Business Case'!$B$8*('Business Case'!B11*$C447*'Business Case'!B12*$B447)-'Business Case'!B15*$F447</f>
        <v>-2157010975.79848</v>
      </c>
      <c r="I447" s="39" t="n">
        <f aca="false">(('Business Case'!C11*$C447*'Business Case'!C12*$B447)-'Business Case'!C11*$C447*'Business Case'!C13*$D447-'Business Case'!C14*$E447)-MAX(0,(('Business Case'!C11*$C447*'Business Case'!C12*$B447)-'Business Case'!C11*$C447*'Business Case'!C13*$D447-'Business Case'!C14*$E447))*'Business Case'!$B$7-'Business Case'!$B$8*(('Business Case'!C11*$C447*'Business Case'!C12*$B447)-('Business Case'!B11*$C447*'Business Case'!B12*$B447))-'Business Case'!C15*$F447</f>
        <v>-1091584.77179369</v>
      </c>
      <c r="J447" s="39" t="n">
        <f aca="false">(('Business Case'!D11*$C447*'Business Case'!D12*$B447)-'Business Case'!D11*$C447*'Business Case'!D13*$D447-'Business Case'!D14*$E447)-MAX(0,(('Business Case'!D11*$C447*'Business Case'!D12*$B447)-'Business Case'!D11*$C447*'Business Case'!D13*$D447-'Business Case'!D14*$E447))*'Business Case'!$B$7-'Business Case'!$B$8*(('Business Case'!D11*$C447*'Business Case'!D12*$B447)-('Business Case'!C11*$C447*'Business Case'!C12*$B447))-'Business Case'!D15*$F447</f>
        <v>313968077.261251</v>
      </c>
      <c r="K447" s="39" t="n">
        <f aca="false">(('Business Case'!E11*$C447*'Business Case'!E12*$B447)-'Business Case'!E11*$C447*'Business Case'!E13*$D447-'Business Case'!E14*$E447)-MAX(0,(('Business Case'!E11*$C447*'Business Case'!E12*$B447)-'Business Case'!E11*$C447*'Business Case'!E13*$D447-'Business Case'!E14*$E447))*'Business Case'!$B$7-'Business Case'!$B$8*(('Business Case'!E11*$C447*'Business Case'!E12*$B447)-('Business Case'!D11*$C447*'Business Case'!D12*$B447))-'Business Case'!E15*$F447</f>
        <v>682953013.689257</v>
      </c>
      <c r="L447" s="39" t="n">
        <f aca="false">(('Business Case'!F11*$C447*'Business Case'!F12*$B447)-'Business Case'!F11*$C447*'Business Case'!F13*$D447-'Business Case'!F14*$E447)-MAX(0,(('Business Case'!F11*$C447*'Business Case'!F12*$B447)-'Business Case'!F11*$C447*'Business Case'!F13*$D447-'Business Case'!F14*$E447))*'Business Case'!$B$7-'Business Case'!$B$8*(('Business Case'!F11*$C447*'Business Case'!F12*$B447)-('Business Case'!E11*$C447*'Business Case'!E12*$B447))-'Business Case'!F15*$F447</f>
        <v>825901011.818289</v>
      </c>
      <c r="M447" s="39" t="n">
        <f aca="false">(('Business Case'!G11*$C447*'Business Case'!G12*$B447)-'Business Case'!G11*$C447*'Business Case'!G13*$D447-'Business Case'!G14*$E447)-MAX(0,(('Business Case'!G11*$C447*'Business Case'!G12*$B447)-'Business Case'!G11*$C447*'Business Case'!G13*$D447-'Business Case'!G14*$E447))*'Business Case'!$B$7-'Business Case'!$B$8*(('Business Case'!G11*$C447*'Business Case'!G12*$B447)-('Business Case'!F11*$C447*'Business Case'!F12*$B447))-'Business Case'!G15*$F447+'Business Case'!$B$8*('Business Case'!G11*$C447*'Business Case'!G12*$B447)</f>
        <v>1034505621.13405</v>
      </c>
      <c r="N447" s="39" t="n">
        <f aca="false">IF(COUNT('Business Case'!B11:G11)=0,"",H447+NPV(G447,I447:M447))</f>
        <v>-153841371.289306</v>
      </c>
      <c r="P447" s="40" t="n">
        <f aca="true">RAND()</f>
        <v>0.660296737923985</v>
      </c>
      <c r="Q447" s="40" t="n">
        <f aca="true">RAND()</f>
        <v>0.948252326318017</v>
      </c>
      <c r="R447" s="40" t="n">
        <f aca="true">RAND()</f>
        <v>0.836848264488123</v>
      </c>
      <c r="S447" s="40" t="n">
        <f aca="true">RAND()</f>
        <v>0.91719825308984</v>
      </c>
      <c r="T447" s="40" t="n">
        <f aca="true">RAND()</f>
        <v>0.704781670587957</v>
      </c>
      <c r="U447" s="40" t="n">
        <f aca="true">RAND()</f>
        <v>0.134770630016594</v>
      </c>
    </row>
    <row r="448" customFormat="false" ht="15" hidden="false" customHeight="false" outlineLevel="0" collapsed="false">
      <c r="A448" s="36" t="n">
        <v>368</v>
      </c>
      <c r="B448" s="37" t="n">
        <f aca="false">1+IF($G$6=$E$6,$F$6,IF(P448&lt;($F$6-$E$6)/($G$6-$E$6),$E$6+SQRT(P448*($G$6-$E$6)*($F$6-$E$6)),$G$6-SQRT((1-P448)*($G$6-$E$6)*($G$6-$F$6))))</f>
        <v>1.01445829529974</v>
      </c>
      <c r="C448" s="37" t="n">
        <f aca="false">1+IF($G$7=$E$7,$F$7,IF(Q448&lt;($F$7-$E$7)/($G$7-$E$7),$E$7+SQRT(Q448*($G$7-$E$7)*($F$7-$E$7)),$G$7-SQRT((1-Q448)*($G$7-$E$7)*($G$7-$F$7))))</f>
        <v>0.840549993355946</v>
      </c>
      <c r="D448" s="37" t="n">
        <f aca="false">1+IF($G$8=$E$8,$F$8,IF(R448&lt;($F$8-$E$8)/($G$8-$E$8),$E$8+SQRT(R448*($G$8-$E$8)*($F$8-$E$8)),$G$8-SQRT((1-R448)*($G$8-$E$8)*($G$8-$F$8))))</f>
        <v>1.02192149847867</v>
      </c>
      <c r="E448" s="37" t="n">
        <f aca="false">1+IF($G$9=$E$9,$F$9,IF(S448&lt;($F$9-$E$9)/($G$9-$E$9),$E$9+SQRT(S448*($G$9-$E$9)*($F$9-$E$9)),$G$9-SQRT((1-S448)*($G$9-$E$9)*($G$9-$F$9))))</f>
        <v>1.04649976904248</v>
      </c>
      <c r="F448" s="37" t="n">
        <f aca="false">1+IF($G$10=$E$10,$F$10,IF(T448&lt;($F$10-$E$10)/($G$10-$E$10),$E$10+SQRT(T448*($G$10-$E$10)*($F$10-$E$10)),$G$10-SQRT((1-T448)*($G$10-$E$10)*($G$10-$F$10))))</f>
        <v>0.995522867211752</v>
      </c>
      <c r="G448" s="38" t="n">
        <f aca="false">IF($G$11=$E$11,$F$11,IF(U448&lt;($F$11-$E$11)/($G$11-$E$11),$E$11+SQRT(U448*($G$11-$E$11)*($F$11-$E$11)),$G$11-SQRT((1-U448)*($G$11-$E$11)*($G$11-$F$11))))</f>
        <v>0.100897025225877</v>
      </c>
      <c r="H448" s="39" t="n">
        <f aca="false">(('Business Case'!B11*$C448*'Business Case'!B12*$B448)-'Business Case'!B11*$C448*'Business Case'!B13*$D448-'Business Case'!B14*$E448)-MAX(0,(('Business Case'!B11*$C448*'Business Case'!B12*$B448)-'Business Case'!B11*$C448*'Business Case'!B13*$D448-'Business Case'!B14*$E448))*'Business Case'!$B$7-'Business Case'!$B$8*('Business Case'!B11*$C448*'Business Case'!B12*$B448)-'Business Case'!B15*$F448</f>
        <v>-1991045734.4235</v>
      </c>
      <c r="I448" s="39" t="n">
        <f aca="false">(('Business Case'!C11*$C448*'Business Case'!C12*$B448)-'Business Case'!C11*$C448*'Business Case'!C13*$D448-'Business Case'!C14*$E448)-MAX(0,(('Business Case'!C11*$C448*'Business Case'!C12*$B448)-'Business Case'!C11*$C448*'Business Case'!C13*$D448-'Business Case'!C14*$E448))*'Business Case'!$B$7-'Business Case'!$B$8*(('Business Case'!C11*$C448*'Business Case'!C12*$B448)-('Business Case'!B11*$C448*'Business Case'!B12*$B448))-'Business Case'!C15*$F448</f>
        <v>-33870641.8398432</v>
      </c>
      <c r="J448" s="39" t="n">
        <f aca="false">(('Business Case'!D11*$C448*'Business Case'!D12*$B448)-'Business Case'!D11*$C448*'Business Case'!D13*$D448-'Business Case'!D14*$E448)-MAX(0,(('Business Case'!D11*$C448*'Business Case'!D12*$B448)-'Business Case'!D11*$C448*'Business Case'!D13*$D448-'Business Case'!D14*$E448))*'Business Case'!$B$7-'Business Case'!$B$8*(('Business Case'!D11*$C448*'Business Case'!D12*$B448)-('Business Case'!C11*$C448*'Business Case'!C12*$B448))-'Business Case'!D15*$F448</f>
        <v>224827389.228642</v>
      </c>
      <c r="K448" s="39" t="n">
        <f aca="false">(('Business Case'!E11*$C448*'Business Case'!E12*$B448)-'Business Case'!E11*$C448*'Business Case'!E13*$D448-'Business Case'!E14*$E448)-MAX(0,(('Business Case'!E11*$C448*'Business Case'!E12*$B448)-'Business Case'!E11*$C448*'Business Case'!E13*$D448-'Business Case'!E14*$E448))*'Business Case'!$B$7-'Business Case'!$B$8*(('Business Case'!E11*$C448*'Business Case'!E12*$B448)-('Business Case'!D11*$C448*'Business Case'!D12*$B448))-'Business Case'!E15*$F448</f>
        <v>533301563.657715</v>
      </c>
      <c r="L448" s="39" t="n">
        <f aca="false">(('Business Case'!F11*$C448*'Business Case'!F12*$B448)-'Business Case'!F11*$C448*'Business Case'!F13*$D448-'Business Case'!F14*$E448)-MAX(0,(('Business Case'!F11*$C448*'Business Case'!F12*$B448)-'Business Case'!F11*$C448*'Business Case'!F13*$D448-'Business Case'!F14*$E448))*'Business Case'!$B$7-'Business Case'!$B$8*(('Business Case'!F11*$C448*'Business Case'!F12*$B448)-('Business Case'!E11*$C448*'Business Case'!E12*$B448))-'Business Case'!F15*$F448</f>
        <v>649003653.366752</v>
      </c>
      <c r="M448" s="39" t="n">
        <f aca="false">(('Business Case'!G11*$C448*'Business Case'!G12*$B448)-'Business Case'!G11*$C448*'Business Case'!G13*$D448-'Business Case'!G14*$E448)-MAX(0,(('Business Case'!G11*$C448*'Business Case'!G12*$B448)-'Business Case'!G11*$C448*'Business Case'!G13*$D448-'Business Case'!G14*$E448))*'Business Case'!$B$7-'Business Case'!$B$8*(('Business Case'!G11*$C448*'Business Case'!G12*$B448)-('Business Case'!F11*$C448*'Business Case'!F12*$B448))-'Business Case'!G15*$F448+'Business Case'!$B$8*('Business Case'!G11*$C448*'Business Case'!G12*$B448)</f>
        <v>811085423.140897</v>
      </c>
      <c r="N448" s="39" t="n">
        <f aca="false">IF(COUNT('Business Case'!B11:G11)=0,"",H448+NPV(G448,I448:M448))</f>
        <v>-493201296.673434</v>
      </c>
      <c r="P448" s="40" t="n">
        <f aca="true">RAND()</f>
        <v>0.864087775209317</v>
      </c>
      <c r="Q448" s="40" t="n">
        <f aca="true">RAND()</f>
        <v>0.023490028016675</v>
      </c>
      <c r="R448" s="40" t="n">
        <f aca="true">RAND()</f>
        <v>0.67566227509968</v>
      </c>
      <c r="S448" s="40" t="n">
        <f aca="true">RAND()</f>
        <v>0.809181685832823</v>
      </c>
      <c r="T448" s="40" t="n">
        <f aca="true">RAND()</f>
        <v>0.165786515134305</v>
      </c>
      <c r="U448" s="40" t="n">
        <f aca="true">RAND()</f>
        <v>0.391793924632054</v>
      </c>
    </row>
    <row r="449" customFormat="false" ht="15" hidden="false" customHeight="false" outlineLevel="0" collapsed="false">
      <c r="A449" s="36" t="n">
        <v>369</v>
      </c>
      <c r="B449" s="37" t="n">
        <f aca="false">1+IF($G$6=$E$6,$F$6,IF(P449&lt;($F$6-$E$6)/($G$6-$E$6),$E$6+SQRT(P449*($G$6-$E$6)*($F$6-$E$6)),$G$6-SQRT((1-P449)*($G$6-$E$6)*($G$6-$F$6))))</f>
        <v>1.01547657886514</v>
      </c>
      <c r="C449" s="37" t="n">
        <f aca="false">1+IF($G$7=$E$7,$F$7,IF(Q449&lt;($F$7-$E$7)/($G$7-$E$7),$E$7+SQRT(Q449*($G$7-$E$7)*($F$7-$E$7)),$G$7-SQRT((1-Q449)*($G$7-$E$7)*($G$7-$F$7))))</f>
        <v>0.975433734305016</v>
      </c>
      <c r="D449" s="37" t="n">
        <f aca="false">1+IF($G$8=$E$8,$F$8,IF(R449&lt;($F$8-$E$8)/($G$8-$E$8),$E$8+SQRT(R449*($G$8-$E$8)*($F$8-$E$8)),$G$8-SQRT((1-R449)*($G$8-$E$8)*($G$8-$F$8))))</f>
        <v>1.05633857248908</v>
      </c>
      <c r="E449" s="37" t="n">
        <f aca="false">1+IF($G$9=$E$9,$F$9,IF(S449&lt;($F$9-$E$9)/($G$9-$E$9),$E$9+SQRT(S449*($G$9-$E$9)*($F$9-$E$9)),$G$9-SQRT((1-S449)*($G$9-$E$9)*($G$9-$F$9))))</f>
        <v>1.07119959734996</v>
      </c>
      <c r="F449" s="37" t="n">
        <f aca="false">1+IF($G$10=$E$10,$F$10,IF(T449&lt;($F$10-$E$10)/($G$10-$E$10),$E$10+SQRT(T449*($G$10-$E$10)*($F$10-$E$10)),$G$10-SQRT((1-T449)*($G$10-$E$10)*($G$10-$F$10))))</f>
        <v>1.02984276242857</v>
      </c>
      <c r="G449" s="38" t="n">
        <f aca="false">IF($G$11=$E$11,$F$11,IF(U449&lt;($F$11-$E$11)/($G$11-$E$11),$E$11+SQRT(U449*($G$11-$E$11)*($F$11-$E$11)),$G$11-SQRT((1-U449)*($G$11-$E$11)*($G$11-$F$11))))</f>
        <v>0.102336426079148</v>
      </c>
      <c r="H449" s="39" t="n">
        <f aca="false">(('Business Case'!B11*$C449*'Business Case'!B12*$B449)-'Business Case'!B11*$C449*'Business Case'!B13*$D449-'Business Case'!B14*$E449)-MAX(0,(('Business Case'!B11*$C449*'Business Case'!B12*$B449)-'Business Case'!B11*$C449*'Business Case'!B13*$D449-'Business Case'!B14*$E449))*'Business Case'!$B$7-'Business Case'!$B$8*('Business Case'!B11*$C449*'Business Case'!B12*$B449)-'Business Case'!B15*$F449</f>
        <v>-2059685524.85713</v>
      </c>
      <c r="I449" s="39" t="n">
        <f aca="false">(('Business Case'!C11*$C449*'Business Case'!C12*$B449)-'Business Case'!C11*$C449*'Business Case'!C13*$D449-'Business Case'!C14*$E449)-MAX(0,(('Business Case'!C11*$C449*'Business Case'!C12*$B449)-'Business Case'!C11*$C449*'Business Case'!C13*$D449-'Business Case'!C14*$E449))*'Business Case'!$B$7-'Business Case'!$B$8*(('Business Case'!C11*$C449*'Business Case'!C12*$B449)-('Business Case'!B11*$C449*'Business Case'!B12*$B449))-'Business Case'!C15*$F449</f>
        <v>-22818828.0456119</v>
      </c>
      <c r="J449" s="39" t="n">
        <f aca="false">(('Business Case'!D11*$C449*'Business Case'!D12*$B449)-'Business Case'!D11*$C449*'Business Case'!D13*$D449-'Business Case'!D14*$E449)-MAX(0,(('Business Case'!D11*$C449*'Business Case'!D12*$B449)-'Business Case'!D11*$C449*'Business Case'!D13*$D449-'Business Case'!D14*$E449))*'Business Case'!$B$7-'Business Case'!$B$8*(('Business Case'!D11*$C449*'Business Case'!D12*$B449)-('Business Case'!C11*$C449*'Business Case'!C12*$B449))-'Business Case'!D15*$F449</f>
        <v>261020283.870899</v>
      </c>
      <c r="K449" s="39" t="n">
        <f aca="false">(('Business Case'!E11*$C449*'Business Case'!E12*$B449)-'Business Case'!E11*$C449*'Business Case'!E13*$D449-'Business Case'!E14*$E449)-MAX(0,(('Business Case'!E11*$C449*'Business Case'!E12*$B449)-'Business Case'!E11*$C449*'Business Case'!E13*$D449-'Business Case'!E14*$E449))*'Business Case'!$B$7-'Business Case'!$B$8*(('Business Case'!E11*$C449*'Business Case'!E12*$B449)-('Business Case'!D11*$C449*'Business Case'!D12*$B449))-'Business Case'!E15*$F449</f>
        <v>596351533.908838</v>
      </c>
      <c r="L449" s="39" t="n">
        <f aca="false">(('Business Case'!F11*$C449*'Business Case'!F12*$B449)-'Business Case'!F11*$C449*'Business Case'!F13*$D449-'Business Case'!F14*$E449)-MAX(0,(('Business Case'!F11*$C449*'Business Case'!F12*$B449)-'Business Case'!F11*$C449*'Business Case'!F13*$D449-'Business Case'!F14*$E449))*'Business Case'!$B$7-'Business Case'!$B$8*(('Business Case'!F11*$C449*'Business Case'!F12*$B449)-('Business Case'!E11*$C449*'Business Case'!E12*$B449))-'Business Case'!F15*$F449</f>
        <v>725197291.865076</v>
      </c>
      <c r="M449" s="39" t="n">
        <f aca="false">(('Business Case'!G11*$C449*'Business Case'!G12*$B449)-'Business Case'!G11*$C449*'Business Case'!G13*$D449-'Business Case'!G14*$E449)-MAX(0,(('Business Case'!G11*$C449*'Business Case'!G12*$B449)-'Business Case'!G11*$C449*'Business Case'!G13*$D449-'Business Case'!G14*$E449))*'Business Case'!$B$7-'Business Case'!$B$8*(('Business Case'!G11*$C449*'Business Case'!G12*$B449)-('Business Case'!F11*$C449*'Business Case'!F12*$B449))-'Business Case'!G15*$F449+'Business Case'!$B$8*('Business Case'!G11*$C449*'Business Case'!G12*$B449)</f>
        <v>913477255.444114</v>
      </c>
      <c r="N449" s="39" t="n">
        <f aca="false">IF(COUNT('Business Case'!B11:G11)=0,"",H449+NPV(G449,I449:M449))</f>
        <v>-368029876.230354</v>
      </c>
      <c r="P449" s="40" t="n">
        <f aca="true">RAND()</f>
        <v>0.874708711633862</v>
      </c>
      <c r="Q449" s="40" t="n">
        <f aca="true">RAND()</f>
        <v>0.439671359031473</v>
      </c>
      <c r="R449" s="40" t="n">
        <f aca="true">RAND()</f>
        <v>0.946167004629378</v>
      </c>
      <c r="S449" s="40" t="n">
        <f aca="true">RAND()</f>
        <v>0.944702453813041</v>
      </c>
      <c r="T449" s="40" t="n">
        <f aca="true">RAND()</f>
        <v>0.420930290041179</v>
      </c>
      <c r="U449" s="40" t="n">
        <f aca="true">RAND()</f>
        <v>0.479996927237649</v>
      </c>
    </row>
    <row r="450" customFormat="false" ht="15" hidden="false" customHeight="false" outlineLevel="0" collapsed="false">
      <c r="A450" s="36" t="n">
        <v>370</v>
      </c>
      <c r="B450" s="37" t="n">
        <f aca="false">1+IF($G$6=$E$6,$F$6,IF(P450&lt;($F$6-$E$6)/($G$6-$E$6),$E$6+SQRT(P450*($G$6-$E$6)*($F$6-$E$6)),$G$6-SQRT((1-P450)*($G$6-$E$6)*($G$6-$F$6))))</f>
        <v>0.958936973004824</v>
      </c>
      <c r="C450" s="37" t="n">
        <f aca="false">1+IF($G$7=$E$7,$F$7,IF(Q450&lt;($F$7-$E$7)/($G$7-$E$7),$E$7+SQRT(Q450*($G$7-$E$7)*($F$7-$E$7)),$G$7-SQRT((1-Q450)*($G$7-$E$7)*($G$7-$F$7))))</f>
        <v>1.11420305803324</v>
      </c>
      <c r="D450" s="37" t="n">
        <f aca="false">1+IF($G$8=$E$8,$F$8,IF(R450&lt;($F$8-$E$8)/($G$8-$E$8),$E$8+SQRT(R450*($G$8-$E$8)*($F$8-$E$8)),$G$8-SQRT((1-R450)*($G$8-$E$8)*($G$8-$F$8))))</f>
        <v>1.04480323449915</v>
      </c>
      <c r="E450" s="37" t="n">
        <f aca="false">1+IF($G$9=$E$9,$F$9,IF(S450&lt;($F$9-$E$9)/($G$9-$E$9),$E$9+SQRT(S450*($G$9-$E$9)*($F$9-$E$9)),$G$9-SQRT((1-S450)*($G$9-$E$9)*($G$9-$F$9))))</f>
        <v>1.04126086915532</v>
      </c>
      <c r="F450" s="37" t="n">
        <f aca="false">1+IF($G$10=$E$10,$F$10,IF(T450&lt;($F$10-$E$10)/($G$10-$E$10),$E$10+SQRT(T450*($G$10-$E$10)*($F$10-$E$10)),$G$10-SQRT((1-T450)*($G$10-$E$10)*($G$10-$F$10))))</f>
        <v>1.10716193937181</v>
      </c>
      <c r="G450" s="38" t="n">
        <f aca="false">IF($G$11=$E$11,$F$11,IF(U450&lt;($F$11-$E$11)/($G$11-$E$11),$E$11+SQRT(U450*($G$11-$E$11)*($F$11-$E$11)),$G$11-SQRT((1-U450)*($G$11-$E$11)*($G$11-$F$11))))</f>
        <v>0.0925272372790916</v>
      </c>
      <c r="H450" s="39" t="n">
        <f aca="false">(('Business Case'!B11*$C450*'Business Case'!B12*$B450)-'Business Case'!B11*$C450*'Business Case'!B13*$D450-'Business Case'!B14*$E450)-MAX(0,(('Business Case'!B11*$C450*'Business Case'!B12*$B450)-'Business Case'!B11*$C450*'Business Case'!B13*$D450-'Business Case'!B14*$E450))*'Business Case'!$B$7-'Business Case'!$B$8*('Business Case'!B11*$C450*'Business Case'!B12*$B450)-'Business Case'!B15*$F450</f>
        <v>-2214323878.74362</v>
      </c>
      <c r="I450" s="39" t="n">
        <f aca="false">(('Business Case'!C11*$C450*'Business Case'!C12*$B450)-'Business Case'!C11*$C450*'Business Case'!C13*$D450-'Business Case'!C14*$E450)-MAX(0,(('Business Case'!C11*$C450*'Business Case'!C12*$B450)-'Business Case'!C11*$C450*'Business Case'!C13*$D450-'Business Case'!C14*$E450))*'Business Case'!$B$7-'Business Case'!$B$8*(('Business Case'!C11*$C450*'Business Case'!C12*$B450)-('Business Case'!B11*$C450*'Business Case'!B12*$B450))-'Business Case'!C15*$F450</f>
        <v>-34971894.6749507</v>
      </c>
      <c r="J450" s="39" t="n">
        <f aca="false">(('Business Case'!D11*$C450*'Business Case'!D12*$B450)-'Business Case'!D11*$C450*'Business Case'!D13*$D450-'Business Case'!D14*$E450)-MAX(0,(('Business Case'!D11*$C450*'Business Case'!D12*$B450)-'Business Case'!D11*$C450*'Business Case'!D13*$D450-'Business Case'!D14*$E450))*'Business Case'!$B$7-'Business Case'!$B$8*(('Business Case'!D11*$C450*'Business Case'!D12*$B450)-('Business Case'!C11*$C450*'Business Case'!C12*$B450))-'Business Case'!D15*$F450</f>
        <v>244228174.504643</v>
      </c>
      <c r="K450" s="39" t="n">
        <f aca="false">(('Business Case'!E11*$C450*'Business Case'!E12*$B450)-'Business Case'!E11*$C450*'Business Case'!E13*$D450-'Business Case'!E14*$E450)-MAX(0,(('Business Case'!E11*$C450*'Business Case'!E12*$B450)-'Business Case'!E11*$C450*'Business Case'!E13*$D450-'Business Case'!E14*$E450))*'Business Case'!$B$7-'Business Case'!$B$8*(('Business Case'!E11*$C450*'Business Case'!E12*$B450)-('Business Case'!D11*$C450*'Business Case'!D12*$B450))-'Business Case'!E15*$F450</f>
        <v>578786340.652828</v>
      </c>
      <c r="L450" s="39" t="n">
        <f aca="false">(('Business Case'!F11*$C450*'Business Case'!F12*$B450)-'Business Case'!F11*$C450*'Business Case'!F13*$D450-'Business Case'!F14*$E450)-MAX(0,(('Business Case'!F11*$C450*'Business Case'!F12*$B450)-'Business Case'!F11*$C450*'Business Case'!F13*$D450-'Business Case'!F14*$E450))*'Business Case'!$B$7-'Business Case'!$B$8*(('Business Case'!F11*$C450*'Business Case'!F12*$B450)-('Business Case'!E11*$C450*'Business Case'!E12*$B450))-'Business Case'!F15*$F450</f>
        <v>708778679.928344</v>
      </c>
      <c r="M450" s="39" t="n">
        <f aca="false">(('Business Case'!G11*$C450*'Business Case'!G12*$B450)-'Business Case'!G11*$C450*'Business Case'!G13*$D450-'Business Case'!G14*$E450)-MAX(0,(('Business Case'!G11*$C450*'Business Case'!G12*$B450)-'Business Case'!G11*$C450*'Business Case'!G13*$D450-'Business Case'!G14*$E450))*'Business Case'!$B$7-'Business Case'!$B$8*(('Business Case'!G11*$C450*'Business Case'!G12*$B450)-('Business Case'!F11*$C450*'Business Case'!F12*$B450))-'Business Case'!G15*$F450+'Business Case'!$B$8*('Business Case'!G11*$C450*'Business Case'!G12*$B450)</f>
        <v>911869752.447758</v>
      </c>
      <c r="N450" s="39" t="n">
        <f aca="false">IF(COUNT('Business Case'!B11:G11)=0,"",H450+NPV(G450,I450:M450))</f>
        <v>-514570436.792001</v>
      </c>
      <c r="P450" s="40" t="n">
        <f aca="true">RAND()</f>
        <v>0.157925819456083</v>
      </c>
      <c r="Q450" s="40" t="n">
        <f aca="true">RAND()</f>
        <v>0.975591979920545</v>
      </c>
      <c r="R450" s="40" t="n">
        <f aca="true">RAND()</f>
        <v>0.880883432526752</v>
      </c>
      <c r="S450" s="40" t="n">
        <f aca="true">RAND()</f>
        <v>0.769980967174121</v>
      </c>
      <c r="T450" s="40" t="n">
        <f aca="true">RAND()</f>
        <v>0.827621889975938</v>
      </c>
      <c r="U450" s="40" t="n">
        <f aca="true">RAND()</f>
        <v>0.0212897608827671</v>
      </c>
    </row>
    <row r="451" customFormat="false" ht="15" hidden="false" customHeight="false" outlineLevel="0" collapsed="false">
      <c r="A451" s="36" t="n">
        <v>371</v>
      </c>
      <c r="B451" s="37" t="n">
        <f aca="false">1+IF($G$6=$E$6,$F$6,IF(P451&lt;($F$6-$E$6)/($G$6-$E$6),$E$6+SQRT(P451*($G$6-$E$6)*($F$6-$E$6)),$G$6-SQRT((1-P451)*($G$6-$E$6)*($G$6-$F$6))))</f>
        <v>0.956676496391025</v>
      </c>
      <c r="C451" s="37" t="n">
        <f aca="false">1+IF($G$7=$E$7,$F$7,IF(Q451&lt;($F$7-$E$7)/($G$7-$E$7),$E$7+SQRT(Q451*($G$7-$E$7)*($F$7-$E$7)),$G$7-SQRT((1-Q451)*($G$7-$E$7)*($G$7-$F$7))))</f>
        <v>0.992718289348162</v>
      </c>
      <c r="D451" s="37" t="n">
        <f aca="false">1+IF($G$8=$E$8,$F$8,IF(R451&lt;($F$8-$E$8)/($G$8-$E$8),$E$8+SQRT(R451*($G$8-$E$8)*($F$8-$E$8)),$G$8-SQRT((1-R451)*($G$8-$E$8)*($G$8-$F$8))))</f>
        <v>0.975844738787678</v>
      </c>
      <c r="E451" s="37" t="n">
        <f aca="false">1+IF($G$9=$E$9,$F$9,IF(S451&lt;($F$9-$E$9)/($G$9-$E$9),$E$9+SQRT(S451*($G$9-$E$9)*($F$9-$E$9)),$G$9-SQRT((1-S451)*($G$9-$E$9)*($G$9-$F$9))))</f>
        <v>1.00843115986835</v>
      </c>
      <c r="F451" s="37" t="n">
        <f aca="false">1+IF($G$10=$E$10,$F$10,IF(T451&lt;($F$10-$E$10)/($G$10-$E$10),$E$10+SQRT(T451*($G$10-$E$10)*($F$10-$E$10)),$G$10-SQRT((1-T451)*($G$10-$E$10)*($G$10-$F$10))))</f>
        <v>1.03836522971892</v>
      </c>
      <c r="G451" s="38" t="n">
        <f aca="false">IF($G$11=$E$11,$F$11,IF(U451&lt;($F$11-$E$11)/($G$11-$E$11),$E$11+SQRT(U451*($G$11-$E$11)*($F$11-$E$11)),$G$11-SQRT((1-U451)*($G$11-$E$11)*($G$11-$F$11))))</f>
        <v>0.111743567800509</v>
      </c>
      <c r="H451" s="39" t="n">
        <f aca="false">(('Business Case'!B11*$C451*'Business Case'!B12*$B451)-'Business Case'!B11*$C451*'Business Case'!B13*$D451-'Business Case'!B14*$E451)-MAX(0,(('Business Case'!B11*$C451*'Business Case'!B12*$B451)-'Business Case'!B11*$C451*'Business Case'!B13*$D451-'Business Case'!B14*$E451))*'Business Case'!$B$7-'Business Case'!$B$8*('Business Case'!B11*$C451*'Business Case'!B12*$B451)-'Business Case'!B15*$F451</f>
        <v>-2076730459.43784</v>
      </c>
      <c r="I451" s="39" t="n">
        <f aca="false">(('Business Case'!C11*$C451*'Business Case'!C12*$B451)-'Business Case'!C11*$C451*'Business Case'!C13*$D451-'Business Case'!C14*$E451)-MAX(0,(('Business Case'!C11*$C451*'Business Case'!C12*$B451)-'Business Case'!C11*$C451*'Business Case'!C13*$D451-'Business Case'!C14*$E451))*'Business Case'!$B$7-'Business Case'!$B$8*(('Business Case'!C11*$C451*'Business Case'!C12*$B451)-('Business Case'!B11*$C451*'Business Case'!B12*$B451))-'Business Case'!C15*$F451</f>
        <v>-14504163.3769631</v>
      </c>
      <c r="J451" s="39" t="n">
        <f aca="false">(('Business Case'!D11*$C451*'Business Case'!D12*$B451)-'Business Case'!D11*$C451*'Business Case'!D13*$D451-'Business Case'!D14*$E451)-MAX(0,(('Business Case'!D11*$C451*'Business Case'!D12*$B451)-'Business Case'!D11*$C451*'Business Case'!D13*$D451-'Business Case'!D14*$E451))*'Business Case'!$B$7-'Business Case'!$B$8*(('Business Case'!D11*$C451*'Business Case'!D12*$B451)-('Business Case'!C11*$C451*'Business Case'!C12*$B451))-'Business Case'!D15*$F451</f>
        <v>267460086.76821</v>
      </c>
      <c r="K451" s="39" t="n">
        <f aca="false">(('Business Case'!E11*$C451*'Business Case'!E12*$B451)-'Business Case'!E11*$C451*'Business Case'!E13*$D451-'Business Case'!E14*$E451)-MAX(0,(('Business Case'!E11*$C451*'Business Case'!E12*$B451)-'Business Case'!E11*$C451*'Business Case'!E13*$D451-'Business Case'!E14*$E451))*'Business Case'!$B$7-'Business Case'!$B$8*(('Business Case'!E11*$C451*'Business Case'!E12*$B451)-('Business Case'!D11*$C451*'Business Case'!D12*$B451))-'Business Case'!E15*$F451</f>
        <v>601342598.399329</v>
      </c>
      <c r="L451" s="39" t="n">
        <f aca="false">(('Business Case'!F11*$C451*'Business Case'!F12*$B451)-'Business Case'!F11*$C451*'Business Case'!F13*$D451-'Business Case'!F14*$E451)-MAX(0,(('Business Case'!F11*$C451*'Business Case'!F12*$B451)-'Business Case'!F11*$C451*'Business Case'!F13*$D451-'Business Case'!F14*$E451))*'Business Case'!$B$7-'Business Case'!$B$8*(('Business Case'!F11*$C451*'Business Case'!F12*$B451)-('Business Case'!E11*$C451*'Business Case'!E12*$B451))-'Business Case'!F15*$F451</f>
        <v>728152668.192363</v>
      </c>
      <c r="M451" s="39" t="n">
        <f aca="false">(('Business Case'!G11*$C451*'Business Case'!G12*$B451)-'Business Case'!G11*$C451*'Business Case'!G13*$D451-'Business Case'!G14*$E451)-MAX(0,(('Business Case'!G11*$C451*'Business Case'!G12*$B451)-'Business Case'!G11*$C451*'Business Case'!G13*$D451-'Business Case'!G14*$E451))*'Business Case'!$B$7-'Business Case'!$B$8*(('Business Case'!G11*$C451*'Business Case'!G12*$B451)-('Business Case'!F11*$C451*'Business Case'!F12*$B451))-'Business Case'!G15*$F451+'Business Case'!$B$8*('Business Case'!G11*$C451*'Business Case'!G12*$B451)</f>
        <v>908673593.454569</v>
      </c>
      <c r="N451" s="39" t="n">
        <f aca="false">IF(COUNT('Business Case'!B11:G11)=0,"",H451+NPV(G451,I451:M451))</f>
        <v>-424056557.320494</v>
      </c>
      <c r="P451" s="40" t="n">
        <f aca="true">RAND()</f>
        <v>0.14012139453342</v>
      </c>
      <c r="Q451" s="40" t="n">
        <f aca="true">RAND()</f>
        <v>0.530576272132597</v>
      </c>
      <c r="R451" s="40" t="n">
        <f aca="true">RAND()</f>
        <v>0.102761618923585</v>
      </c>
      <c r="S451" s="40" t="n">
        <f aca="true">RAND()</f>
        <v>0.441009834462912</v>
      </c>
      <c r="T451" s="40" t="n">
        <f aca="true">RAND()</f>
        <v>0.477484020723646</v>
      </c>
      <c r="U451" s="40" t="n">
        <f aca="true">RAND()</f>
        <v>0.886385545558676</v>
      </c>
    </row>
    <row r="452" customFormat="false" ht="15" hidden="false" customHeight="false" outlineLevel="0" collapsed="false">
      <c r="A452" s="36" t="n">
        <v>372</v>
      </c>
      <c r="B452" s="37" t="n">
        <f aca="false">1+IF($G$6=$E$6,$F$6,IF(P452&lt;($F$6-$E$6)/($G$6-$E$6),$E$6+SQRT(P452*($G$6-$E$6)*($F$6-$E$6)),$G$6-SQRT((1-P452)*($G$6-$E$6)*($G$6-$F$6))))</f>
        <v>0.969114075815091</v>
      </c>
      <c r="C452" s="37" t="n">
        <f aca="false">1+IF($G$7=$E$7,$F$7,IF(Q452&lt;($F$7-$E$7)/($G$7-$E$7),$E$7+SQRT(Q452*($G$7-$E$7)*($F$7-$E$7)),$G$7-SQRT((1-Q452)*($G$7-$E$7)*($G$7-$F$7))))</f>
        <v>1.0356869569523</v>
      </c>
      <c r="D452" s="37" t="n">
        <f aca="false">1+IF($G$8=$E$8,$F$8,IF(R452&lt;($F$8-$E$8)/($G$8-$E$8),$E$8+SQRT(R452*($G$8-$E$8)*($F$8-$E$8)),$G$8-SQRT((1-R452)*($G$8-$E$8)*($G$8-$F$8))))</f>
        <v>1.01034945444301</v>
      </c>
      <c r="E452" s="37" t="n">
        <f aca="false">1+IF($G$9=$E$9,$F$9,IF(S452&lt;($F$9-$E$9)/($G$9-$E$9),$E$9+SQRT(S452*($G$9-$E$9)*($F$9-$E$9)),$G$9-SQRT((1-S452)*($G$9-$E$9)*($G$9-$F$9))))</f>
        <v>0.994626682972826</v>
      </c>
      <c r="F452" s="37" t="n">
        <f aca="false">1+IF($G$10=$E$10,$F$10,IF(T452&lt;($F$10-$E$10)/($G$10-$E$10),$E$10+SQRT(T452*($G$10-$E$10)*($F$10-$E$10)),$G$10-SQRT((1-T452)*($G$10-$E$10)*($G$10-$F$10))))</f>
        <v>0.996528669404648</v>
      </c>
      <c r="G452" s="38" t="n">
        <f aca="false">IF($G$11=$E$11,$F$11,IF(U452&lt;($F$11-$E$11)/($G$11-$E$11),$E$11+SQRT(U452*($G$11-$E$11)*($F$11-$E$11)),$G$11-SQRT((1-U452)*($G$11-$E$11)*($G$11-$F$11))))</f>
        <v>0.107139007222765</v>
      </c>
      <c r="H452" s="39" t="n">
        <f aca="false">(('Business Case'!B11*$C452*'Business Case'!B12*$B452)-'Business Case'!B11*$C452*'Business Case'!B13*$D452-'Business Case'!B14*$E452)-MAX(0,(('Business Case'!B11*$C452*'Business Case'!B12*$B452)-'Business Case'!B11*$C452*'Business Case'!B13*$D452-'Business Case'!B14*$E452))*'Business Case'!$B$7-'Business Case'!$B$8*('Business Case'!B11*$C452*'Business Case'!B12*$B452)-'Business Case'!B15*$F452</f>
        <v>-1993057338.8093</v>
      </c>
      <c r="I452" s="39" t="n">
        <f aca="false">(('Business Case'!C11*$C452*'Business Case'!C12*$B452)-'Business Case'!C11*$C452*'Business Case'!C13*$D452-'Business Case'!C14*$E452)-MAX(0,(('Business Case'!C11*$C452*'Business Case'!C12*$B452)-'Business Case'!C11*$C452*'Business Case'!C13*$D452-'Business Case'!C14*$E452))*'Business Case'!$B$7-'Business Case'!$B$8*(('Business Case'!C11*$C452*'Business Case'!C12*$B452)-('Business Case'!B11*$C452*'Business Case'!B12*$B452))-'Business Case'!C15*$F452</f>
        <v>-6694969.83549738</v>
      </c>
      <c r="J452" s="39" t="n">
        <f aca="false">(('Business Case'!D11*$C452*'Business Case'!D12*$B452)-'Business Case'!D11*$C452*'Business Case'!D13*$D452-'Business Case'!D14*$E452)-MAX(0,(('Business Case'!D11*$C452*'Business Case'!D12*$B452)-'Business Case'!D11*$C452*'Business Case'!D13*$D452-'Business Case'!D14*$E452))*'Business Case'!$B$7-'Business Case'!$B$8*(('Business Case'!D11*$C452*'Business Case'!D12*$B452)-('Business Case'!C11*$C452*'Business Case'!C12*$B452))-'Business Case'!D15*$F452</f>
        <v>279730587.801176</v>
      </c>
      <c r="K452" s="39" t="n">
        <f aca="false">(('Business Case'!E11*$C452*'Business Case'!E12*$B452)-'Business Case'!E11*$C452*'Business Case'!E13*$D452-'Business Case'!E14*$E452)-MAX(0,(('Business Case'!E11*$C452*'Business Case'!E12*$B452)-'Business Case'!E11*$C452*'Business Case'!E13*$D452-'Business Case'!E14*$E452))*'Business Case'!$B$7-'Business Case'!$B$8*(('Business Case'!E11*$C452*'Business Case'!E12*$B452)-('Business Case'!D11*$C452*'Business Case'!D12*$B452))-'Business Case'!E15*$F452</f>
        <v>615982578.908083</v>
      </c>
      <c r="L452" s="39" t="n">
        <f aca="false">(('Business Case'!F11*$C452*'Business Case'!F12*$B452)-'Business Case'!F11*$C452*'Business Case'!F13*$D452-'Business Case'!F14*$E452)-MAX(0,(('Business Case'!F11*$C452*'Business Case'!F12*$B452)-'Business Case'!F11*$C452*'Business Case'!F13*$D452-'Business Case'!F14*$E452))*'Business Case'!$B$7-'Business Case'!$B$8*(('Business Case'!F11*$C452*'Business Case'!F12*$B452)-('Business Case'!E11*$C452*'Business Case'!E12*$B452))-'Business Case'!F15*$F452</f>
        <v>746145595.595621</v>
      </c>
      <c r="M452" s="39" t="n">
        <f aca="false">(('Business Case'!G11*$C452*'Business Case'!G12*$B452)-'Business Case'!G11*$C452*'Business Case'!G13*$D452-'Business Case'!G14*$E452)-MAX(0,(('Business Case'!G11*$C452*'Business Case'!G12*$B452)-'Business Case'!G11*$C452*'Business Case'!G13*$D452-'Business Case'!G14*$E452))*'Business Case'!$B$7-'Business Case'!$B$8*(('Business Case'!G11*$C452*'Business Case'!G12*$B452)-('Business Case'!F11*$C452*'Business Case'!F12*$B452))-'Business Case'!G15*$F452+'Business Case'!$B$8*('Business Case'!G11*$C452*'Business Case'!G12*$B452)</f>
        <v>936928665.04318</v>
      </c>
      <c r="N452" s="39" t="n">
        <f aca="false">IF(COUNT('Business Case'!B11:G11)=0,"",H452+NPV(G452,I452:M452))</f>
        <v>-257139652.083741</v>
      </c>
      <c r="P452" s="40" t="n">
        <f aca="true">RAND()</f>
        <v>0.251270046163596</v>
      </c>
      <c r="Q452" s="40" t="n">
        <f aca="true">RAND()</f>
        <v>0.751095775031902</v>
      </c>
      <c r="R452" s="40" t="n">
        <f aca="true">RAND()</f>
        <v>0.533538606116687</v>
      </c>
      <c r="S452" s="40" t="n">
        <f aca="true">RAND()</f>
        <v>0.265538777754281</v>
      </c>
      <c r="T452" s="40" t="n">
        <f aca="true">RAND()</f>
        <v>0.173193366125361</v>
      </c>
      <c r="U452" s="40" t="n">
        <f aca="true">RAND()</f>
        <v>0.724324774639834</v>
      </c>
    </row>
    <row r="453" customFormat="false" ht="15" hidden="false" customHeight="false" outlineLevel="0" collapsed="false">
      <c r="A453" s="36" t="n">
        <v>373</v>
      </c>
      <c r="B453" s="37" t="n">
        <f aca="false">1+IF($G$6=$E$6,$F$6,IF(P453&lt;($F$6-$E$6)/($G$6-$E$6),$E$6+SQRT(P453*($G$6-$E$6)*($F$6-$E$6)),$G$6-SQRT((1-P453)*($G$6-$E$6)*($G$6-$F$6))))</f>
        <v>1.0107606037235</v>
      </c>
      <c r="C453" s="37" t="n">
        <f aca="false">1+IF($G$7=$E$7,$F$7,IF(Q453&lt;($F$7-$E$7)/($G$7-$E$7),$E$7+SQRT(Q453*($G$7-$E$7)*($F$7-$E$7)),$G$7-SQRT((1-Q453)*($G$7-$E$7)*($G$7-$F$7))))</f>
        <v>1.05515133958773</v>
      </c>
      <c r="D453" s="37" t="n">
        <f aca="false">1+IF($G$8=$E$8,$F$8,IF(R453&lt;($F$8-$E$8)/($G$8-$E$8),$E$8+SQRT(R453*($G$8-$E$8)*($F$8-$E$8)),$G$8-SQRT((1-R453)*($G$8-$E$8)*($G$8-$F$8))))</f>
        <v>0.985066569004114</v>
      </c>
      <c r="E453" s="37" t="n">
        <f aca="false">1+IF($G$9=$E$9,$F$9,IF(S453&lt;($F$9-$E$9)/($G$9-$E$9),$E$9+SQRT(S453*($G$9-$E$9)*($F$9-$E$9)),$G$9-SQRT((1-S453)*($G$9-$E$9)*($G$9-$F$9))))</f>
        <v>1.07790455091478</v>
      </c>
      <c r="F453" s="37" t="n">
        <f aca="false">1+IF($G$10=$E$10,$F$10,IF(T453&lt;($F$10-$E$10)/($G$10-$E$10),$E$10+SQRT(T453*($G$10-$E$10)*($F$10-$E$10)),$G$10-SQRT((1-T453)*($G$10-$E$10)*($G$10-$F$10))))</f>
        <v>1.18182644982127</v>
      </c>
      <c r="G453" s="38" t="n">
        <f aca="false">IF($G$11=$E$11,$F$11,IF(U453&lt;($F$11-$E$11)/($G$11-$E$11),$E$11+SQRT(U453*($G$11-$E$11)*($F$11-$E$11)),$G$11-SQRT((1-U453)*($G$11-$E$11)*($G$11-$F$11))))</f>
        <v>0.101447949430721</v>
      </c>
      <c r="H453" s="39" t="n">
        <f aca="false">(('Business Case'!B11*$C453*'Business Case'!B12*$B453)-'Business Case'!B11*$C453*'Business Case'!B13*$D453-'Business Case'!B14*$E453)-MAX(0,(('Business Case'!B11*$C453*'Business Case'!B12*$B453)-'Business Case'!B11*$C453*'Business Case'!B13*$D453-'Business Case'!B14*$E453))*'Business Case'!$B$7-'Business Case'!$B$8*('Business Case'!B11*$C453*'Business Case'!B12*$B453)-'Business Case'!B15*$F453</f>
        <v>-2363652899.64254</v>
      </c>
      <c r="I453" s="39" t="n">
        <f aca="false">(('Business Case'!C11*$C453*'Business Case'!C12*$B453)-'Business Case'!C11*$C453*'Business Case'!C13*$D453-'Business Case'!C14*$E453)-MAX(0,(('Business Case'!C11*$C453*'Business Case'!C12*$B453)-'Business Case'!C11*$C453*'Business Case'!C13*$D453-'Business Case'!C14*$E453))*'Business Case'!$B$7-'Business Case'!$B$8*(('Business Case'!C11*$C453*'Business Case'!C12*$B453)-('Business Case'!B11*$C453*'Business Case'!B12*$B453))-'Business Case'!C15*$F453</f>
        <v>14709667.6756238</v>
      </c>
      <c r="J453" s="39" t="n">
        <f aca="false">(('Business Case'!D11*$C453*'Business Case'!D12*$B453)-'Business Case'!D11*$C453*'Business Case'!D13*$D453-'Business Case'!D14*$E453)-MAX(0,(('Business Case'!D11*$C453*'Business Case'!D12*$B453)-'Business Case'!D11*$C453*'Business Case'!D13*$D453-'Business Case'!D14*$E453))*'Business Case'!$B$7-'Business Case'!$B$8*(('Business Case'!D11*$C453*'Business Case'!D12*$B453)-('Business Case'!C11*$C453*'Business Case'!C12*$B453))-'Business Case'!D15*$F453</f>
        <v>356167647.669764</v>
      </c>
      <c r="K453" s="39" t="n">
        <f aca="false">(('Business Case'!E11*$C453*'Business Case'!E12*$B453)-'Business Case'!E11*$C453*'Business Case'!E13*$D453-'Business Case'!E14*$E453)-MAX(0,(('Business Case'!E11*$C453*'Business Case'!E12*$B453)-'Business Case'!E11*$C453*'Business Case'!E13*$D453-'Business Case'!E14*$E453))*'Business Case'!$B$7-'Business Case'!$B$8*(('Business Case'!E11*$C453*'Business Case'!E12*$B453)-('Business Case'!D11*$C453*'Business Case'!D12*$B453))-'Business Case'!E15*$F453</f>
        <v>756716950.154968</v>
      </c>
      <c r="L453" s="39" t="n">
        <f aca="false">(('Business Case'!F11*$C453*'Business Case'!F12*$B453)-'Business Case'!F11*$C453*'Business Case'!F13*$D453-'Business Case'!F14*$E453)-MAX(0,(('Business Case'!F11*$C453*'Business Case'!F12*$B453)-'Business Case'!F11*$C453*'Business Case'!F13*$D453-'Business Case'!F14*$E453))*'Business Case'!$B$7-'Business Case'!$B$8*(('Business Case'!F11*$C453*'Business Case'!F12*$B453)-('Business Case'!E11*$C453*'Business Case'!E12*$B453))-'Business Case'!F15*$F453</f>
        <v>907394703.617219</v>
      </c>
      <c r="M453" s="39" t="n">
        <f aca="false">(('Business Case'!G11*$C453*'Business Case'!G12*$B453)-'Business Case'!G11*$C453*'Business Case'!G13*$D453-'Business Case'!G14*$E453)-MAX(0,(('Business Case'!G11*$C453*'Business Case'!G12*$B453)-'Business Case'!G11*$C453*'Business Case'!G13*$D453-'Business Case'!G14*$E453))*'Business Case'!$B$7-'Business Case'!$B$8*(('Business Case'!G11*$C453*'Business Case'!G12*$B453)-('Business Case'!F11*$C453*'Business Case'!F12*$B453))-'Business Case'!G15*$F453+'Business Case'!$B$8*('Business Case'!G11*$C453*'Business Case'!G12*$B453)</f>
        <v>1110116051.00368</v>
      </c>
      <c r="N453" s="39" t="n">
        <f aca="false">IF(COUNT('Business Case'!B11:G11)=0,"",H453+NPV(G453,I453:M453))</f>
        <v>-189138373.455223</v>
      </c>
      <c r="P453" s="40" t="n">
        <f aca="true">RAND()</f>
        <v>0.821887021955412</v>
      </c>
      <c r="Q453" s="40" t="n">
        <f aca="true">RAND()</f>
        <v>0.828642507009494</v>
      </c>
      <c r="R453" s="40" t="n">
        <f aca="true">RAND()</f>
        <v>0.189179117187733</v>
      </c>
      <c r="S453" s="40" t="n">
        <f aca="true">RAND()</f>
        <v>0.967452741981498</v>
      </c>
      <c r="T453" s="40" t="n">
        <f aca="true">RAND()</f>
        <v>0.993394441478025</v>
      </c>
      <c r="U453" s="40" t="n">
        <f aca="true">RAND()</f>
        <v>0.426369032791507</v>
      </c>
    </row>
    <row r="454" customFormat="false" ht="15" hidden="false" customHeight="false" outlineLevel="0" collapsed="false">
      <c r="A454" s="36" t="n">
        <v>374</v>
      </c>
      <c r="B454" s="37" t="n">
        <f aca="false">1+IF($G$6=$E$6,$F$6,IF(P454&lt;($F$6-$E$6)/($G$6-$E$6),$E$6+SQRT(P454*($G$6-$E$6)*($F$6-$E$6)),$G$6-SQRT((1-P454)*($G$6-$E$6)*($G$6-$F$6))))</f>
        <v>0.994957115517526</v>
      </c>
      <c r="C454" s="37" t="n">
        <f aca="false">1+IF($G$7=$E$7,$F$7,IF(Q454&lt;($F$7-$E$7)/($G$7-$E$7),$E$7+SQRT(Q454*($G$7-$E$7)*($F$7-$E$7)),$G$7-SQRT((1-Q454)*($G$7-$E$7)*($G$7-$F$7))))</f>
        <v>1.01725180969291</v>
      </c>
      <c r="D454" s="37" t="n">
        <f aca="false">1+IF($G$8=$E$8,$F$8,IF(R454&lt;($F$8-$E$8)/($G$8-$E$8),$E$8+SQRT(R454*($G$8-$E$8)*($F$8-$E$8)),$G$8-SQRT((1-R454)*($G$8-$E$8)*($G$8-$F$8))))</f>
        <v>0.998582842121735</v>
      </c>
      <c r="E454" s="37" t="n">
        <f aca="false">1+IF($G$9=$E$9,$F$9,IF(S454&lt;($F$9-$E$9)/($G$9-$E$9),$E$9+SQRT(S454*($G$9-$E$9)*($F$9-$E$9)),$G$9-SQRT((1-S454)*($G$9-$E$9)*($G$9-$F$9))))</f>
        <v>1.03051876614874</v>
      </c>
      <c r="F454" s="37" t="n">
        <f aca="false">1+IF($G$10=$E$10,$F$10,IF(T454&lt;($F$10-$E$10)/($G$10-$E$10),$E$10+SQRT(T454*($G$10-$E$10)*($F$10-$E$10)),$G$10-SQRT((1-T454)*($G$10-$E$10)*($G$10-$F$10))))</f>
        <v>1.02464555071185</v>
      </c>
      <c r="G454" s="38" t="n">
        <f aca="false">IF($G$11=$E$11,$F$11,IF(U454&lt;($F$11-$E$11)/($G$11-$E$11),$E$11+SQRT(U454*($G$11-$E$11)*($F$11-$E$11)),$G$11-SQRT((1-U454)*($G$11-$E$11)*($G$11-$F$11))))</f>
        <v>0.106667675291967</v>
      </c>
      <c r="H454" s="39" t="n">
        <f aca="false">(('Business Case'!B11*$C454*'Business Case'!B12*$B454)-'Business Case'!B11*$C454*'Business Case'!B13*$D454-'Business Case'!B14*$E454)-MAX(0,(('Business Case'!B11*$C454*'Business Case'!B12*$B454)-'Business Case'!B11*$C454*'Business Case'!B13*$D454-'Business Case'!B14*$E454))*'Business Case'!$B$7-'Business Case'!$B$8*('Business Case'!B11*$C454*'Business Case'!B12*$B454)-'Business Case'!B15*$F454</f>
        <v>-2049291101.42371</v>
      </c>
      <c r="I454" s="39" t="n">
        <f aca="false">(('Business Case'!C11*$C454*'Business Case'!C12*$B454)-'Business Case'!C11*$C454*'Business Case'!C13*$D454-'Business Case'!C14*$E454)-MAX(0,(('Business Case'!C11*$C454*'Business Case'!C12*$B454)-'Business Case'!C11*$C454*'Business Case'!C13*$D454-'Business Case'!C14*$E454))*'Business Case'!$B$7-'Business Case'!$B$8*(('Business Case'!C11*$C454*'Business Case'!C12*$B454)-('Business Case'!B11*$C454*'Business Case'!B12*$B454))-'Business Case'!C15*$F454</f>
        <v>7514446.90084253</v>
      </c>
      <c r="J454" s="39" t="n">
        <f aca="false">(('Business Case'!D11*$C454*'Business Case'!D12*$B454)-'Business Case'!D11*$C454*'Business Case'!D13*$D454-'Business Case'!D14*$E454)-MAX(0,(('Business Case'!D11*$C454*'Business Case'!D12*$B454)-'Business Case'!D11*$C454*'Business Case'!D13*$D454-'Business Case'!D14*$E454))*'Business Case'!$B$7-'Business Case'!$B$8*(('Business Case'!D11*$C454*'Business Case'!D12*$B454)-('Business Case'!C11*$C454*'Business Case'!C12*$B454))-'Business Case'!D15*$F454</f>
        <v>316501618.080015</v>
      </c>
      <c r="K454" s="39" t="n">
        <f aca="false">(('Business Case'!E11*$C454*'Business Case'!E12*$B454)-'Business Case'!E11*$C454*'Business Case'!E13*$D454-'Business Case'!E14*$E454)-MAX(0,(('Business Case'!E11*$C454*'Business Case'!E12*$B454)-'Business Case'!E11*$C454*'Business Case'!E13*$D454-'Business Case'!E14*$E454))*'Business Case'!$B$7-'Business Case'!$B$8*(('Business Case'!E11*$C454*'Business Case'!E12*$B454)-('Business Case'!D11*$C454*'Business Case'!D12*$B454))-'Business Case'!E15*$F454</f>
        <v>676721066.79478</v>
      </c>
      <c r="L454" s="39" t="n">
        <f aca="false">(('Business Case'!F11*$C454*'Business Case'!F12*$B454)-'Business Case'!F11*$C454*'Business Case'!F13*$D454-'Business Case'!F14*$E454)-MAX(0,(('Business Case'!F11*$C454*'Business Case'!F12*$B454)-'Business Case'!F11*$C454*'Business Case'!F13*$D454-'Business Case'!F14*$E454))*'Business Case'!$B$7-'Business Case'!$B$8*(('Business Case'!F11*$C454*'Business Case'!F12*$B454)-('Business Case'!E11*$C454*'Business Case'!E12*$B454))-'Business Case'!F15*$F454</f>
        <v>814695724.295033</v>
      </c>
      <c r="M454" s="39" t="n">
        <f aca="false">(('Business Case'!G11*$C454*'Business Case'!G12*$B454)-'Business Case'!G11*$C454*'Business Case'!G13*$D454-'Business Case'!G14*$E454)-MAX(0,(('Business Case'!G11*$C454*'Business Case'!G12*$B454)-'Business Case'!G11*$C454*'Business Case'!G13*$D454-'Business Case'!G14*$E454))*'Business Case'!$B$7-'Business Case'!$B$8*(('Business Case'!G11*$C454*'Business Case'!G12*$B454)-('Business Case'!F11*$C454*'Business Case'!F12*$B454))-'Business Case'!G15*$F454+'Business Case'!$B$8*('Business Case'!G11*$C454*'Business Case'!G12*$B454)</f>
        <v>1007079860.05128</v>
      </c>
      <c r="N454" s="39" t="n">
        <f aca="false">IF(COUNT('Business Case'!B11:G11)=0,"",H454+NPV(G454,I454:M454))</f>
        <v>-134912133.331393</v>
      </c>
      <c r="P454" s="40" t="n">
        <f aca="true">RAND()</f>
        <v>0.585267621532059</v>
      </c>
      <c r="Q454" s="40" t="n">
        <f aca="true">RAND()</f>
        <v>0.66434129467032</v>
      </c>
      <c r="R454" s="40" t="n">
        <f aca="true">RAND()</f>
        <v>0.363121930557752</v>
      </c>
      <c r="S454" s="40" t="n">
        <f aca="true">RAND()</f>
        <v>0.678157209500404</v>
      </c>
      <c r="T454" s="40" t="n">
        <f aca="true">RAND()</f>
        <v>0.385016342297026</v>
      </c>
      <c r="U454" s="40" t="n">
        <f aca="true">RAND()</f>
        <v>0.703748529799267</v>
      </c>
    </row>
    <row r="455" customFormat="false" ht="15" hidden="false" customHeight="false" outlineLevel="0" collapsed="false">
      <c r="A455" s="36" t="n">
        <v>375</v>
      </c>
      <c r="B455" s="37" t="n">
        <f aca="false">1+IF($G$6=$E$6,$F$6,IF(P455&lt;($F$6-$E$6)/($G$6-$E$6),$E$6+SQRT(P455*($G$6-$E$6)*($F$6-$E$6)),$G$6-SQRT((1-P455)*($G$6-$E$6)*($G$6-$F$6))))</f>
        <v>0.989145313711825</v>
      </c>
      <c r="C455" s="37" t="n">
        <f aca="false">1+IF($G$7=$E$7,$F$7,IF(Q455&lt;($F$7-$E$7)/($G$7-$E$7),$E$7+SQRT(Q455*($G$7-$E$7)*($F$7-$E$7)),$G$7-SQRT((1-Q455)*($G$7-$E$7)*($G$7-$F$7))))</f>
        <v>0.936697753276761</v>
      </c>
      <c r="D455" s="37" t="n">
        <f aca="false">1+IF($G$8=$E$8,$F$8,IF(R455&lt;($F$8-$E$8)/($G$8-$E$8),$E$8+SQRT(R455*($G$8-$E$8)*($F$8-$E$8)),$G$8-SQRT((1-R455)*($G$8-$E$8)*($G$8-$F$8))))</f>
        <v>1.00723339409202</v>
      </c>
      <c r="E455" s="37" t="n">
        <f aca="false">1+IF($G$9=$E$9,$F$9,IF(S455&lt;($F$9-$E$9)/($G$9-$E$9),$E$9+SQRT(S455*($G$9-$E$9)*($F$9-$E$9)),$G$9-SQRT((1-S455)*($G$9-$E$9)*($G$9-$F$9))))</f>
        <v>0.986105793987911</v>
      </c>
      <c r="F455" s="37" t="n">
        <f aca="false">1+IF($G$10=$E$10,$F$10,IF(T455&lt;($F$10-$E$10)/($G$10-$E$10),$E$10+SQRT(T455*($G$10-$E$10)*($F$10-$E$10)),$G$10-SQRT((1-T455)*($G$10-$E$10)*($G$10-$F$10))))</f>
        <v>1.02371185937713</v>
      </c>
      <c r="G455" s="38" t="n">
        <f aca="false">IF($G$11=$E$11,$F$11,IF(U455&lt;($F$11-$E$11)/($G$11-$E$11),$E$11+SQRT(U455*($G$11-$E$11)*($F$11-$E$11)),$G$11-SQRT((1-U455)*($G$11-$E$11)*($G$11-$F$11))))</f>
        <v>0.107706795740334</v>
      </c>
      <c r="H455" s="39" t="n">
        <f aca="false">(('Business Case'!B11*$C455*'Business Case'!B12*$B455)-'Business Case'!B11*$C455*'Business Case'!B13*$D455-'Business Case'!B14*$E455)-MAX(0,(('Business Case'!B11*$C455*'Business Case'!B12*$B455)-'Business Case'!B11*$C455*'Business Case'!B13*$D455-'Business Case'!B14*$E455))*'Business Case'!$B$7-'Business Case'!$B$8*('Business Case'!B11*$C455*'Business Case'!B12*$B455)-'Business Case'!B15*$F455</f>
        <v>-2047423718.75425</v>
      </c>
      <c r="I455" s="39" t="n">
        <f aca="false">(('Business Case'!C11*$C455*'Business Case'!C12*$B455)-'Business Case'!C11*$C455*'Business Case'!C13*$D455-'Business Case'!C14*$E455)-MAX(0,(('Business Case'!C11*$C455*'Business Case'!C12*$B455)-'Business Case'!C11*$C455*'Business Case'!C13*$D455-'Business Case'!C14*$E455))*'Business Case'!$B$7-'Business Case'!$B$8*(('Business Case'!C11*$C455*'Business Case'!C12*$B455)-('Business Case'!B11*$C455*'Business Case'!B12*$B455))-'Business Case'!C15*$F455</f>
        <v>-14714646.6554632</v>
      </c>
      <c r="J455" s="39" t="n">
        <f aca="false">(('Business Case'!D11*$C455*'Business Case'!D12*$B455)-'Business Case'!D11*$C455*'Business Case'!D13*$D455-'Business Case'!D14*$E455)-MAX(0,(('Business Case'!D11*$C455*'Business Case'!D12*$B455)-'Business Case'!D11*$C455*'Business Case'!D13*$D455-'Business Case'!D14*$E455))*'Business Case'!$B$7-'Business Case'!$B$8*(('Business Case'!D11*$C455*'Business Case'!D12*$B455)-('Business Case'!C11*$C455*'Business Case'!C12*$B455))-'Business Case'!D15*$F455</f>
        <v>261197461.737926</v>
      </c>
      <c r="K455" s="39" t="n">
        <f aca="false">(('Business Case'!E11*$C455*'Business Case'!E12*$B455)-'Business Case'!E11*$C455*'Business Case'!E13*$D455-'Business Case'!E14*$E455)-MAX(0,(('Business Case'!E11*$C455*'Business Case'!E12*$B455)-'Business Case'!E11*$C455*'Business Case'!E13*$D455-'Business Case'!E14*$E455))*'Business Case'!$B$7-'Business Case'!$B$8*(('Business Case'!E11*$C455*'Business Case'!E12*$B455)-('Business Case'!D11*$C455*'Business Case'!D12*$B455))-'Business Case'!E15*$F455</f>
        <v>588295163.100171</v>
      </c>
      <c r="L455" s="39" t="n">
        <f aca="false">(('Business Case'!F11*$C455*'Business Case'!F12*$B455)-'Business Case'!F11*$C455*'Business Case'!F13*$D455-'Business Case'!F14*$E455)-MAX(0,(('Business Case'!F11*$C455*'Business Case'!F12*$B455)-'Business Case'!F11*$C455*'Business Case'!F13*$D455-'Business Case'!F14*$E455))*'Business Case'!$B$7-'Business Case'!$B$8*(('Business Case'!F11*$C455*'Business Case'!F12*$B455)-('Business Case'!E11*$C455*'Business Case'!E12*$B455))-'Business Case'!F15*$F455</f>
        <v>712286749.368673</v>
      </c>
      <c r="M455" s="39" t="n">
        <f aca="false">(('Business Case'!G11*$C455*'Business Case'!G12*$B455)-'Business Case'!G11*$C455*'Business Case'!G13*$D455-'Business Case'!G14*$E455)-MAX(0,(('Business Case'!G11*$C455*'Business Case'!G12*$B455)-'Business Case'!G11*$C455*'Business Case'!G13*$D455-'Business Case'!G14*$E455))*'Business Case'!$B$7-'Business Case'!$B$8*(('Business Case'!G11*$C455*'Business Case'!G12*$B455)-('Business Case'!F11*$C455*'Business Case'!F12*$B455))-'Business Case'!G15*$F455+'Business Case'!$B$8*('Business Case'!G11*$C455*'Business Case'!G12*$B455)</f>
        <v>888401608.457554</v>
      </c>
      <c r="N455" s="39" t="n">
        <f aca="false">IF(COUNT('Business Case'!B11:G11)=0,"",H455+NPV(G455,I455:M455))</f>
        <v>-409195785.181974</v>
      </c>
      <c r="P455" s="40" t="n">
        <f aca="true">RAND()</f>
        <v>0.498028584198617</v>
      </c>
      <c r="Q455" s="40" t="n">
        <f aca="true">RAND()</f>
        <v>0.266946796441633</v>
      </c>
      <c r="R455" s="40" t="n">
        <f aca="true">RAND()</f>
        <v>0.490867410060851</v>
      </c>
      <c r="S455" s="40" t="n">
        <f aca="true">RAND()</f>
        <v>0.173817114599663</v>
      </c>
      <c r="T455" s="40" t="n">
        <f aca="true">RAND()</f>
        <v>0.378449829514602</v>
      </c>
      <c r="U455" s="40" t="n">
        <f aca="true">RAND()</f>
        <v>0.748128548383554</v>
      </c>
    </row>
    <row r="456" customFormat="false" ht="15" hidden="false" customHeight="false" outlineLevel="0" collapsed="false">
      <c r="A456" s="36" t="n">
        <v>376</v>
      </c>
      <c r="B456" s="37" t="n">
        <f aca="false">1+IF($G$6=$E$6,$F$6,IF(P456&lt;($F$6-$E$6)/($G$6-$E$6),$E$6+SQRT(P456*($G$6-$E$6)*($F$6-$E$6)),$G$6-SQRT((1-P456)*($G$6-$E$6)*($G$6-$F$6))))</f>
        <v>1.00758472929667</v>
      </c>
      <c r="C456" s="37" t="n">
        <f aca="false">1+IF($G$7=$E$7,$F$7,IF(Q456&lt;($F$7-$E$7)/($G$7-$E$7),$E$7+SQRT(Q456*($G$7-$E$7)*($F$7-$E$7)),$G$7-SQRT((1-Q456)*($G$7-$E$7)*($G$7-$F$7))))</f>
        <v>1.04023753085282</v>
      </c>
      <c r="D456" s="37" t="n">
        <f aca="false">1+IF($G$8=$E$8,$F$8,IF(R456&lt;($F$8-$E$8)/($G$8-$E$8),$E$8+SQRT(R456*($G$8-$E$8)*($F$8-$E$8)),$G$8-SQRT((1-R456)*($G$8-$E$8)*($G$8-$F$8))))</f>
        <v>0.998952447322648</v>
      </c>
      <c r="E456" s="37" t="n">
        <f aca="false">1+IF($G$9=$E$9,$F$9,IF(S456&lt;($F$9-$E$9)/($G$9-$E$9),$E$9+SQRT(S456*($G$9-$E$9)*($F$9-$E$9)),$G$9-SQRT((1-S456)*($G$9-$E$9)*($G$9-$F$9))))</f>
        <v>1.04292954513615</v>
      </c>
      <c r="F456" s="37" t="n">
        <f aca="false">1+IF($G$10=$E$10,$F$10,IF(T456&lt;($F$10-$E$10)/($G$10-$E$10),$E$10+SQRT(T456*($G$10-$E$10)*($F$10-$E$10)),$G$10-SQRT((1-T456)*($G$10-$E$10)*($G$10-$F$10))))</f>
        <v>1.08610223405982</v>
      </c>
      <c r="G456" s="38" t="n">
        <f aca="false">IF($G$11=$E$11,$F$11,IF(U456&lt;($F$11-$E$11)/($G$11-$E$11),$E$11+SQRT(U456*($G$11-$E$11)*($F$11-$E$11)),$G$11-SQRT((1-U456)*($G$11-$E$11)*($G$11-$F$11))))</f>
        <v>0.102754160490518</v>
      </c>
      <c r="H456" s="39" t="n">
        <f aca="false">(('Business Case'!B11*$C456*'Business Case'!B12*$B456)-'Business Case'!B11*$C456*'Business Case'!B13*$D456-'Business Case'!B14*$E456)-MAX(0,(('Business Case'!B11*$C456*'Business Case'!B12*$B456)-'Business Case'!B11*$C456*'Business Case'!B13*$D456-'Business Case'!B14*$E456))*'Business Case'!$B$7-'Business Case'!$B$8*('Business Case'!B11*$C456*'Business Case'!B12*$B456)-'Business Case'!B15*$F456</f>
        <v>-2172204468.11965</v>
      </c>
      <c r="I456" s="39" t="n">
        <f aca="false">(('Business Case'!C11*$C456*'Business Case'!C12*$B456)-'Business Case'!C11*$C456*'Business Case'!C13*$D456-'Business Case'!C14*$E456)-MAX(0,(('Business Case'!C11*$C456*'Business Case'!C12*$B456)-'Business Case'!C11*$C456*'Business Case'!C13*$D456-'Business Case'!C14*$E456))*'Business Case'!$B$7-'Business Case'!$B$8*(('Business Case'!C11*$C456*'Business Case'!C12*$B456)-('Business Case'!B11*$C456*'Business Case'!B12*$B456))-'Business Case'!C15*$F456</f>
        <v>15281559.9846184</v>
      </c>
      <c r="J456" s="39" t="n">
        <f aca="false">(('Business Case'!D11*$C456*'Business Case'!D12*$B456)-'Business Case'!D11*$C456*'Business Case'!D13*$D456-'Business Case'!D14*$E456)-MAX(0,(('Business Case'!D11*$C456*'Business Case'!D12*$B456)-'Business Case'!D11*$C456*'Business Case'!D13*$D456-'Business Case'!D14*$E456))*'Business Case'!$B$7-'Business Case'!$B$8*(('Business Case'!D11*$C456*'Business Case'!D12*$B456)-('Business Case'!C11*$C456*'Business Case'!C12*$B456))-'Business Case'!D15*$F456</f>
        <v>341812851.749717</v>
      </c>
      <c r="K456" s="39" t="n">
        <f aca="false">(('Business Case'!E11*$C456*'Business Case'!E12*$B456)-'Business Case'!E11*$C456*'Business Case'!E13*$D456-'Business Case'!E14*$E456)-MAX(0,(('Business Case'!E11*$C456*'Business Case'!E12*$B456)-'Business Case'!E11*$C456*'Business Case'!E13*$D456-'Business Case'!E14*$E456))*'Business Case'!$B$7-'Business Case'!$B$8*(('Business Case'!E11*$C456*'Business Case'!E12*$B456)-('Business Case'!D11*$C456*'Business Case'!D12*$B456))-'Business Case'!E15*$F456</f>
        <v>722649255.217807</v>
      </c>
      <c r="L456" s="39" t="n">
        <f aca="false">(('Business Case'!F11*$C456*'Business Case'!F12*$B456)-'Business Case'!F11*$C456*'Business Case'!F13*$D456-'Business Case'!F14*$E456)-MAX(0,(('Business Case'!F11*$C456*'Business Case'!F12*$B456)-'Business Case'!F11*$C456*'Business Case'!F13*$D456-'Business Case'!F14*$E456))*'Business Case'!$B$7-'Business Case'!$B$8*(('Business Case'!F11*$C456*'Business Case'!F12*$B456)-('Business Case'!E11*$C456*'Business Case'!E12*$B456))-'Business Case'!F15*$F456</f>
        <v>867716303.843597</v>
      </c>
      <c r="M456" s="39" t="n">
        <f aca="false">(('Business Case'!G11*$C456*'Business Case'!G12*$B456)-'Business Case'!G11*$C456*'Business Case'!G13*$D456-'Business Case'!G14*$E456)-MAX(0,(('Business Case'!G11*$C456*'Business Case'!G12*$B456)-'Business Case'!G11*$C456*'Business Case'!G13*$D456-'Business Case'!G14*$E456))*'Business Case'!$B$7-'Business Case'!$B$8*(('Business Case'!G11*$C456*'Business Case'!G12*$B456)-('Business Case'!F11*$C456*'Business Case'!F12*$B456))-'Business Case'!G15*$F456+'Business Case'!$B$8*('Business Case'!G11*$C456*'Business Case'!G12*$B456)</f>
        <v>1066944369.7161</v>
      </c>
      <c r="N456" s="39" t="n">
        <f aca="false">IF(COUNT('Business Case'!B11:G11)=0,"",H456+NPV(G456,I456:M456))</f>
        <v>-97366836.646625</v>
      </c>
      <c r="P456" s="40" t="n">
        <f aca="true">RAND()</f>
        <v>0.781093796922941</v>
      </c>
      <c r="Q456" s="40" t="n">
        <f aca="true">RAND()</f>
        <v>0.770518102223124</v>
      </c>
      <c r="R456" s="40" t="n">
        <f aca="true">RAND()</f>
        <v>0.368668015211786</v>
      </c>
      <c r="S456" s="40" t="n">
        <f aca="true">RAND()</f>
        <v>0.782864212108852</v>
      </c>
      <c r="T456" s="40" t="n">
        <f aca="true">RAND()</f>
        <v>0.740545978276739</v>
      </c>
      <c r="U456" s="40" t="n">
        <f aca="true">RAND()</f>
        <v>0.504301699355296</v>
      </c>
    </row>
    <row r="457" customFormat="false" ht="15" hidden="false" customHeight="false" outlineLevel="0" collapsed="false">
      <c r="A457" s="36" t="n">
        <v>377</v>
      </c>
      <c r="B457" s="37" t="n">
        <f aca="false">1+IF($G$6=$E$6,$F$6,IF(P457&lt;($F$6-$E$6)/($G$6-$E$6),$E$6+SQRT(P457*($G$6-$E$6)*($F$6-$E$6)),$G$6-SQRT((1-P457)*($G$6-$E$6)*($G$6-$F$6))))</f>
        <v>0.958083211577139</v>
      </c>
      <c r="C457" s="37" t="n">
        <f aca="false">1+IF($G$7=$E$7,$F$7,IF(Q457&lt;($F$7-$E$7)/($G$7-$E$7),$E$7+SQRT(Q457*($G$7-$E$7)*($F$7-$E$7)),$G$7-SQRT((1-Q457)*($G$7-$E$7)*($G$7-$F$7))))</f>
        <v>0.992306162399342</v>
      </c>
      <c r="D457" s="37" t="n">
        <f aca="false">1+IF($G$8=$E$8,$F$8,IF(R457&lt;($F$8-$E$8)/($G$8-$E$8),$E$8+SQRT(R457*($G$8-$E$8)*($F$8-$E$8)),$G$8-SQRT((1-R457)*($G$8-$E$8)*($G$8-$F$8))))</f>
        <v>1.00904705034906</v>
      </c>
      <c r="E457" s="37" t="n">
        <f aca="false">1+IF($G$9=$E$9,$F$9,IF(S457&lt;($F$9-$E$9)/($G$9-$E$9),$E$9+SQRT(S457*($G$9-$E$9)*($F$9-$E$9)),$G$9-SQRT((1-S457)*($G$9-$E$9)*($G$9-$F$9))))</f>
        <v>1.00900885594797</v>
      </c>
      <c r="F457" s="37" t="n">
        <f aca="false">1+IF($G$10=$E$10,$F$10,IF(T457&lt;($F$10-$E$10)/($G$10-$E$10),$E$10+SQRT(T457*($G$10-$E$10)*($F$10-$E$10)),$G$10-SQRT((1-T457)*($G$10-$E$10)*($G$10-$F$10))))</f>
        <v>1.04245360450449</v>
      </c>
      <c r="G457" s="38" t="n">
        <f aca="false">IF($G$11=$E$11,$F$11,IF(U457&lt;($F$11-$E$11)/($G$11-$E$11),$E$11+SQRT(U457*($G$11-$E$11)*($F$11-$E$11)),$G$11-SQRT((1-U457)*($G$11-$E$11)*($G$11-$F$11))))</f>
        <v>0.100736992178923</v>
      </c>
      <c r="H457" s="39" t="n">
        <f aca="false">(('Business Case'!B11*$C457*'Business Case'!B12*$B457)-'Business Case'!B11*$C457*'Business Case'!B13*$D457-'Business Case'!B14*$E457)-MAX(0,(('Business Case'!B11*$C457*'Business Case'!B12*$B457)-'Business Case'!B11*$C457*'Business Case'!B13*$D457-'Business Case'!B14*$E457))*'Business Case'!$B$7-'Business Case'!$B$8*('Business Case'!B11*$C457*'Business Case'!B12*$B457)-'Business Case'!B15*$F457</f>
        <v>-2084907209.00897</v>
      </c>
      <c r="I457" s="39" t="n">
        <f aca="false">(('Business Case'!C11*$C457*'Business Case'!C12*$B457)-'Business Case'!C11*$C457*'Business Case'!C13*$D457-'Business Case'!C14*$E457)-MAX(0,(('Business Case'!C11*$C457*'Business Case'!C12*$B457)-'Business Case'!C11*$C457*'Business Case'!C13*$D457-'Business Case'!C14*$E457))*'Business Case'!$B$7-'Business Case'!$B$8*(('Business Case'!C11*$C457*'Business Case'!C12*$B457)-('Business Case'!B11*$C457*'Business Case'!B12*$B457))-'Business Case'!C15*$F457</f>
        <v>-30886950.2249621</v>
      </c>
      <c r="J457" s="39" t="n">
        <f aca="false">(('Business Case'!D11*$C457*'Business Case'!D12*$B457)-'Business Case'!D11*$C457*'Business Case'!D13*$D457-'Business Case'!D14*$E457)-MAX(0,(('Business Case'!D11*$C457*'Business Case'!D12*$B457)-'Business Case'!D11*$C457*'Business Case'!D13*$D457-'Business Case'!D14*$E457))*'Business Case'!$B$7-'Business Case'!$B$8*(('Business Case'!D11*$C457*'Business Case'!D12*$B457)-('Business Case'!C11*$C457*'Business Case'!C12*$B457))-'Business Case'!D15*$F457</f>
        <v>235237422.913182</v>
      </c>
      <c r="K457" s="39" t="n">
        <f aca="false">(('Business Case'!E11*$C457*'Business Case'!E12*$B457)-'Business Case'!E11*$C457*'Business Case'!E13*$D457-'Business Case'!E14*$E457)-MAX(0,(('Business Case'!E11*$C457*'Business Case'!E12*$B457)-'Business Case'!E11*$C457*'Business Case'!E13*$D457-'Business Case'!E14*$E457))*'Business Case'!$B$7-'Business Case'!$B$8*(('Business Case'!E11*$C457*'Business Case'!E12*$B457)-('Business Case'!D11*$C457*'Business Case'!D12*$B457))-'Business Case'!E15*$F457</f>
        <v>553484476.27655</v>
      </c>
      <c r="L457" s="39" t="n">
        <f aca="false">(('Business Case'!F11*$C457*'Business Case'!F12*$B457)-'Business Case'!F11*$C457*'Business Case'!F13*$D457-'Business Case'!F14*$E457)-MAX(0,(('Business Case'!F11*$C457*'Business Case'!F12*$B457)-'Business Case'!F11*$C457*'Business Case'!F13*$D457-'Business Case'!F14*$E457))*'Business Case'!$B$7-'Business Case'!$B$8*(('Business Case'!F11*$C457*'Business Case'!F12*$B457)-('Business Case'!E11*$C457*'Business Case'!E12*$B457))-'Business Case'!F15*$F457</f>
        <v>675049203.053835</v>
      </c>
      <c r="M457" s="39" t="n">
        <f aca="false">(('Business Case'!G11*$C457*'Business Case'!G12*$B457)-'Business Case'!G11*$C457*'Business Case'!G13*$D457-'Business Case'!G14*$E457)-MAX(0,(('Business Case'!G11*$C457*'Business Case'!G12*$B457)-'Business Case'!G11*$C457*'Business Case'!G13*$D457-'Business Case'!G14*$E457))*'Business Case'!$B$7-'Business Case'!$B$8*(('Business Case'!G11*$C457*'Business Case'!G12*$B457)-('Business Case'!F11*$C457*'Business Case'!F12*$B457))-'Business Case'!G15*$F457+'Business Case'!$B$8*('Business Case'!G11*$C457*'Business Case'!G12*$B457)</f>
        <v>855760516.242306</v>
      </c>
      <c r="N457" s="39" t="n">
        <f aca="false">IF(COUNT('Business Case'!B11:G11)=0,"",H457+NPV(G457,I457:M457))</f>
        <v>-514392646.949094</v>
      </c>
      <c r="P457" s="40" t="n">
        <f aca="true">RAND()</f>
        <v>0.151076146253037</v>
      </c>
      <c r="Q457" s="40" t="n">
        <f aca="true">RAND()</f>
        <v>0.528309429953743</v>
      </c>
      <c r="R457" s="40" t="n">
        <f aca="true">RAND()</f>
        <v>0.515930666906895</v>
      </c>
      <c r="S457" s="40" t="n">
        <f aca="true">RAND()</f>
        <v>0.448040780273529</v>
      </c>
      <c r="T457" s="40" t="n">
        <f aca="true">RAND()</f>
        <v>0.503582665327418</v>
      </c>
      <c r="U457" s="40" t="n">
        <f aca="true">RAND()</f>
        <v>0.381560882808539</v>
      </c>
    </row>
    <row r="458" customFormat="false" ht="15" hidden="false" customHeight="false" outlineLevel="0" collapsed="false">
      <c r="A458" s="36" t="n">
        <v>378</v>
      </c>
      <c r="B458" s="37" t="n">
        <f aca="false">1+IF($G$6=$E$6,$F$6,IF(P458&lt;($F$6-$E$6)/($G$6-$E$6),$E$6+SQRT(P458*($G$6-$E$6)*($F$6-$E$6)),$G$6-SQRT((1-P458)*($G$6-$E$6)*($G$6-$F$6))))</f>
        <v>1.01388751749703</v>
      </c>
      <c r="C458" s="37" t="n">
        <f aca="false">1+IF($G$7=$E$7,$F$7,IF(Q458&lt;($F$7-$E$7)/($G$7-$E$7),$E$7+SQRT(Q458*($G$7-$E$7)*($F$7-$E$7)),$G$7-SQRT((1-Q458)*($G$7-$E$7)*($G$7-$F$7))))</f>
        <v>1.01991610915889</v>
      </c>
      <c r="D458" s="37" t="n">
        <f aca="false">1+IF($G$8=$E$8,$F$8,IF(R458&lt;($F$8-$E$8)/($G$8-$E$8),$E$8+SQRT(R458*($G$8-$E$8)*($F$8-$E$8)),$G$8-SQRT((1-R458)*($G$8-$E$8)*($G$8-$F$8))))</f>
        <v>1.01700675261224</v>
      </c>
      <c r="E458" s="37" t="n">
        <f aca="false">1+IF($G$9=$E$9,$F$9,IF(S458&lt;($F$9-$E$9)/($G$9-$E$9),$E$9+SQRT(S458*($G$9-$E$9)*($F$9-$E$9)),$G$9-SQRT((1-S458)*($G$9-$E$9)*($G$9-$F$9))))</f>
        <v>1.04290901153657</v>
      </c>
      <c r="F458" s="37" t="n">
        <f aca="false">1+IF($G$10=$E$10,$F$10,IF(T458&lt;($F$10-$E$10)/($G$10-$E$10),$E$10+SQRT(T458*($G$10-$E$10)*($F$10-$E$10)),$G$10-SQRT((1-T458)*($G$10-$E$10)*($G$10-$F$10))))</f>
        <v>1.05348956001132</v>
      </c>
      <c r="G458" s="38" t="n">
        <f aca="false">IF($G$11=$E$11,$F$11,IF(U458&lt;($F$11-$E$11)/($G$11-$E$11),$E$11+SQRT(U458*($G$11-$E$11)*($F$11-$E$11)),$G$11-SQRT((1-U458)*($G$11-$E$11)*($G$11-$F$11))))</f>
        <v>0.0966614396190075</v>
      </c>
      <c r="H458" s="39" t="n">
        <f aca="false">(('Business Case'!B11*$C458*'Business Case'!B12*$B458)-'Business Case'!B11*$C458*'Business Case'!B13*$D458-'Business Case'!B14*$E458)-MAX(0,(('Business Case'!B11*$C458*'Business Case'!B12*$B458)-'Business Case'!B11*$C458*'Business Case'!B13*$D458-'Business Case'!B14*$E458))*'Business Case'!$B$7-'Business Case'!$B$8*('Business Case'!B11*$C458*'Business Case'!B12*$B458)-'Business Case'!B15*$F458</f>
        <v>-2106979120.02263</v>
      </c>
      <c r="I458" s="39" t="n">
        <f aca="false">(('Business Case'!C11*$C458*'Business Case'!C12*$B458)-'Business Case'!C11*$C458*'Business Case'!C13*$D458-'Business Case'!C14*$E458)-MAX(0,(('Business Case'!C11*$C458*'Business Case'!C12*$B458)-'Business Case'!C11*$C458*'Business Case'!C13*$D458-'Business Case'!C14*$E458))*'Business Case'!$B$7-'Business Case'!$B$8*(('Business Case'!C11*$C458*'Business Case'!C12*$B458)-('Business Case'!B11*$C458*'Business Case'!B12*$B458))-'Business Case'!C15*$F458</f>
        <v>8733868.77675912</v>
      </c>
      <c r="J458" s="39" t="n">
        <f aca="false">(('Business Case'!D11*$C458*'Business Case'!D12*$B458)-'Business Case'!D11*$C458*'Business Case'!D13*$D458-'Business Case'!D14*$E458)-MAX(0,(('Business Case'!D11*$C458*'Business Case'!D12*$B458)-'Business Case'!D11*$C458*'Business Case'!D13*$D458-'Business Case'!D14*$E458))*'Business Case'!$B$7-'Business Case'!$B$8*(('Business Case'!D11*$C458*'Business Case'!D12*$B458)-('Business Case'!C11*$C458*'Business Case'!C12*$B458))-'Business Case'!D15*$F458</f>
        <v>324725073.183693</v>
      </c>
      <c r="K458" s="39" t="n">
        <f aca="false">(('Business Case'!E11*$C458*'Business Case'!E12*$B458)-'Business Case'!E11*$C458*'Business Case'!E13*$D458-'Business Case'!E14*$E458)-MAX(0,(('Business Case'!E11*$C458*'Business Case'!E12*$B458)-'Business Case'!E11*$C458*'Business Case'!E13*$D458-'Business Case'!E14*$E458))*'Business Case'!$B$7-'Business Case'!$B$8*(('Business Case'!E11*$C458*'Business Case'!E12*$B458)-('Business Case'!D11*$C458*'Business Case'!D12*$B458))-'Business Case'!E15*$F458</f>
        <v>693390755.591192</v>
      </c>
      <c r="L458" s="39" t="n">
        <f aca="false">(('Business Case'!F11*$C458*'Business Case'!F12*$B458)-'Business Case'!F11*$C458*'Business Case'!F13*$D458-'Business Case'!F14*$E458)-MAX(0,(('Business Case'!F11*$C458*'Business Case'!F12*$B458)-'Business Case'!F11*$C458*'Business Case'!F13*$D458-'Business Case'!F14*$E458))*'Business Case'!$B$7-'Business Case'!$B$8*(('Business Case'!F11*$C458*'Business Case'!F12*$B458)-('Business Case'!E11*$C458*'Business Case'!E12*$B458))-'Business Case'!F15*$F458</f>
        <v>834458969.185865</v>
      </c>
      <c r="M458" s="39" t="n">
        <f aca="false">(('Business Case'!G11*$C458*'Business Case'!G12*$B458)-'Business Case'!G11*$C458*'Business Case'!G13*$D458-'Business Case'!G14*$E458)-MAX(0,(('Business Case'!G11*$C458*'Business Case'!G12*$B458)-'Business Case'!G11*$C458*'Business Case'!G13*$D458-'Business Case'!G14*$E458))*'Business Case'!$B$7-'Business Case'!$B$8*(('Business Case'!G11*$C458*'Business Case'!G12*$B458)-('Business Case'!F11*$C458*'Business Case'!F12*$B458))-'Business Case'!G15*$F458+'Business Case'!$B$8*('Business Case'!G11*$C458*'Business Case'!G12*$B458)</f>
        <v>1031016935.87719</v>
      </c>
      <c r="N458" s="39" t="n">
        <f aca="false">IF(COUNT('Business Case'!B11:G11)=0,"",H458+NPV(G458,I458:M458))</f>
        <v>-76380512.317476</v>
      </c>
      <c r="P458" s="40" t="n">
        <f aca="true">RAND()</f>
        <v>0.857945470319231</v>
      </c>
      <c r="Q458" s="40" t="n">
        <f aca="true">RAND()</f>
        <v>0.677679644640719</v>
      </c>
      <c r="R458" s="40" t="n">
        <f aca="true">RAND()</f>
        <v>0.618447190725393</v>
      </c>
      <c r="S458" s="40" t="n">
        <f aca="true">RAND()</f>
        <v>0.78270793575124</v>
      </c>
      <c r="T458" s="40" t="n">
        <f aca="true">RAND()</f>
        <v>0.570693819486444</v>
      </c>
      <c r="U458" s="40" t="n">
        <f aca="true">RAND()</f>
        <v>0.147915925992275</v>
      </c>
    </row>
    <row r="459" customFormat="false" ht="15" hidden="false" customHeight="false" outlineLevel="0" collapsed="false">
      <c r="A459" s="36" t="n">
        <v>379</v>
      </c>
      <c r="B459" s="37" t="n">
        <f aca="false">1+IF($G$6=$E$6,$F$6,IF(P459&lt;($F$6-$E$6)/($G$6-$E$6),$E$6+SQRT(P459*($G$6-$E$6)*($F$6-$E$6)),$G$6-SQRT((1-P459)*($G$6-$E$6)*($G$6-$F$6))))</f>
        <v>0.990014921995736</v>
      </c>
      <c r="C459" s="37" t="n">
        <f aca="false">1+IF($G$7=$E$7,$F$7,IF(Q459&lt;($F$7-$E$7)/($G$7-$E$7),$E$7+SQRT(Q459*($G$7-$E$7)*($F$7-$E$7)),$G$7-SQRT((1-Q459)*($G$7-$E$7)*($G$7-$F$7))))</f>
        <v>0.969219329036228</v>
      </c>
      <c r="D459" s="37" t="n">
        <f aca="false">1+IF($G$8=$E$8,$F$8,IF(R459&lt;($F$8-$E$8)/($G$8-$E$8),$E$8+SQRT(R459*($G$8-$E$8)*($F$8-$E$8)),$G$8-SQRT((1-R459)*($G$8-$E$8)*($G$8-$F$8))))</f>
        <v>1.01773545865874</v>
      </c>
      <c r="E459" s="37" t="n">
        <f aca="false">1+IF($G$9=$E$9,$F$9,IF(S459&lt;($F$9-$E$9)/($G$9-$E$9),$E$9+SQRT(S459*($G$9-$E$9)*($F$9-$E$9)),$G$9-SQRT((1-S459)*($G$9-$E$9)*($G$9-$F$9))))</f>
        <v>0.965270795903897</v>
      </c>
      <c r="F459" s="37" t="n">
        <f aca="false">1+IF($G$10=$E$10,$F$10,IF(T459&lt;($F$10-$E$10)/($G$10-$E$10),$E$10+SQRT(T459*($G$10-$E$10)*($F$10-$E$10)),$G$10-SQRT((1-T459)*($G$10-$E$10)*($G$10-$F$10))))</f>
        <v>1.07499374816106</v>
      </c>
      <c r="G459" s="38" t="n">
        <f aca="false">IF($G$11=$E$11,$F$11,IF(U459&lt;($F$11-$E$11)/($G$11-$E$11),$E$11+SQRT(U459*($G$11-$E$11)*($F$11-$E$11)),$G$11-SQRT((1-U459)*($G$11-$E$11)*($G$11-$F$11))))</f>
        <v>0.103803556371181</v>
      </c>
      <c r="H459" s="39" t="n">
        <f aca="false">(('Business Case'!B11*$C459*'Business Case'!B12*$B459)-'Business Case'!B11*$C459*'Business Case'!B13*$D459-'Business Case'!B14*$E459)-MAX(0,(('Business Case'!B11*$C459*'Business Case'!B12*$B459)-'Business Case'!B11*$C459*'Business Case'!B13*$D459-'Business Case'!B14*$E459))*'Business Case'!$B$7-'Business Case'!$B$8*('Business Case'!B11*$C459*'Business Case'!B12*$B459)-'Business Case'!B15*$F459</f>
        <v>-2149987496.32213</v>
      </c>
      <c r="I459" s="39" t="n">
        <f aca="false">(('Business Case'!C11*$C459*'Business Case'!C12*$B459)-'Business Case'!C11*$C459*'Business Case'!C13*$D459-'Business Case'!C14*$E459)-MAX(0,(('Business Case'!C11*$C459*'Business Case'!C12*$B459)-'Business Case'!C11*$C459*'Business Case'!C13*$D459-'Business Case'!C14*$E459))*'Business Case'!$B$7-'Business Case'!$B$8*(('Business Case'!C11*$C459*'Business Case'!C12*$B459)-('Business Case'!B11*$C459*'Business Case'!B12*$B459))-'Business Case'!C15*$F459</f>
        <v>-13532295.3640922</v>
      </c>
      <c r="J459" s="39" t="n">
        <f aca="false">(('Business Case'!D11*$C459*'Business Case'!D12*$B459)-'Business Case'!D11*$C459*'Business Case'!D13*$D459-'Business Case'!D14*$E459)-MAX(0,(('Business Case'!D11*$C459*'Business Case'!D12*$B459)-'Business Case'!D11*$C459*'Business Case'!D13*$D459-'Business Case'!D14*$E459))*'Business Case'!$B$7-'Business Case'!$B$8*(('Business Case'!D11*$C459*'Business Case'!D12*$B459)-('Business Case'!C11*$C459*'Business Case'!C12*$B459))-'Business Case'!D15*$F459</f>
        <v>267438927.7282</v>
      </c>
      <c r="K459" s="39" t="n">
        <f aca="false">(('Business Case'!E11*$C459*'Business Case'!E12*$B459)-'Business Case'!E11*$C459*'Business Case'!E13*$D459-'Business Case'!E14*$E459)-MAX(0,(('Business Case'!E11*$C459*'Business Case'!E12*$B459)-'Business Case'!E11*$C459*'Business Case'!E13*$D459-'Business Case'!E14*$E459))*'Business Case'!$B$7-'Business Case'!$B$8*(('Business Case'!E11*$C459*'Business Case'!E12*$B459)-('Business Case'!D11*$C459*'Business Case'!D12*$B459))-'Business Case'!E15*$F459</f>
        <v>602159838.228545</v>
      </c>
      <c r="L459" s="39" t="n">
        <f aca="false">(('Business Case'!F11*$C459*'Business Case'!F12*$B459)-'Business Case'!F11*$C459*'Business Case'!F13*$D459-'Business Case'!F14*$E459)-MAX(0,(('Business Case'!F11*$C459*'Business Case'!F12*$B459)-'Business Case'!F11*$C459*'Business Case'!F13*$D459-'Business Case'!F14*$E459))*'Business Case'!$B$7-'Business Case'!$B$8*(('Business Case'!F11*$C459*'Business Case'!F12*$B459)-('Business Case'!E11*$C459*'Business Case'!E12*$B459))-'Business Case'!F15*$F459</f>
        <v>728978670.234473</v>
      </c>
      <c r="M459" s="39" t="n">
        <f aca="false">(('Business Case'!G11*$C459*'Business Case'!G12*$B459)-'Business Case'!G11*$C459*'Business Case'!G13*$D459-'Business Case'!G14*$E459)-MAX(0,(('Business Case'!G11*$C459*'Business Case'!G12*$B459)-'Business Case'!G11*$C459*'Business Case'!G13*$D459-'Business Case'!G14*$E459))*'Business Case'!$B$7-'Business Case'!$B$8*(('Business Case'!G11*$C459*'Business Case'!G12*$B459)-('Business Case'!F11*$C459*'Business Case'!F12*$B459))-'Business Case'!G15*$F459+'Business Case'!$B$8*('Business Case'!G11*$C459*'Business Case'!G12*$B459)</f>
        <v>911368337.264534</v>
      </c>
      <c r="N459" s="39" t="n">
        <f aca="false">IF(COUNT('Business Case'!B11:G11)=0,"",H459+NPV(G459,I459:M459))</f>
        <v>-447713095.715746</v>
      </c>
      <c r="P459" s="40" t="n">
        <f aca="true">RAND()</f>
        <v>0.510634302298859</v>
      </c>
      <c r="Q459" s="40" t="n">
        <f aca="true">RAND()</f>
        <v>0.409074018849587</v>
      </c>
      <c r="R459" s="40" t="n">
        <f aca="true">RAND()</f>
        <v>0.627223739573332</v>
      </c>
      <c r="S459" s="40" t="n">
        <f aca="true">RAND()</f>
        <v>0.0310929610051284</v>
      </c>
      <c r="T459" s="40" t="n">
        <f aca="true">RAND()</f>
        <v>0.68746874002361</v>
      </c>
      <c r="U459" s="40" t="n">
        <f aca="true">RAND()</f>
        <v>0.562792022964171</v>
      </c>
    </row>
    <row r="460" customFormat="false" ht="15" hidden="false" customHeight="false" outlineLevel="0" collapsed="false">
      <c r="A460" s="36" t="n">
        <v>380</v>
      </c>
      <c r="B460" s="37" t="n">
        <f aca="false">1+IF($G$6=$E$6,$F$6,IF(P460&lt;($F$6-$E$6)/($G$6-$E$6),$E$6+SQRT(P460*($G$6-$E$6)*($F$6-$E$6)),$G$6-SQRT((1-P460)*($G$6-$E$6)*($G$6-$F$6))))</f>
        <v>0.92775890169651</v>
      </c>
      <c r="C460" s="37" t="n">
        <f aca="false">1+IF($G$7=$E$7,$F$7,IF(Q460&lt;($F$7-$E$7)/($G$7-$E$7),$E$7+SQRT(Q460*($G$7-$E$7)*($F$7-$E$7)),$G$7-SQRT((1-Q460)*($G$7-$E$7)*($G$7-$F$7))))</f>
        <v>0.889347722331936</v>
      </c>
      <c r="D460" s="37" t="n">
        <f aca="false">1+IF($G$8=$E$8,$F$8,IF(R460&lt;($F$8-$E$8)/($G$8-$E$8),$E$8+SQRT(R460*($G$8-$E$8)*($F$8-$E$8)),$G$8-SQRT((1-R460)*($G$8-$E$8)*($G$8-$F$8))))</f>
        <v>1.01458229463221</v>
      </c>
      <c r="E460" s="37" t="n">
        <f aca="false">1+IF($G$9=$E$9,$F$9,IF(S460&lt;($F$9-$E$9)/($G$9-$E$9),$E$9+SQRT(S460*($G$9-$E$9)*($F$9-$E$9)),$G$9-SQRT((1-S460)*($G$9-$E$9)*($G$9-$F$9))))</f>
        <v>0.970760211766117</v>
      </c>
      <c r="F460" s="37" t="n">
        <f aca="false">1+IF($G$10=$E$10,$F$10,IF(T460&lt;($F$10-$E$10)/($G$10-$E$10),$E$10+SQRT(T460*($G$10-$E$10)*($F$10-$E$10)),$G$10-SQRT((1-T460)*($G$10-$E$10)*($G$10-$F$10))))</f>
        <v>0.99111970199609</v>
      </c>
      <c r="G460" s="38" t="n">
        <f aca="false">IF($G$11=$E$11,$F$11,IF(U460&lt;($F$11-$E$11)/($G$11-$E$11),$E$11+SQRT(U460*($G$11-$E$11)*($F$11-$E$11)),$G$11-SQRT((1-U460)*($G$11-$E$11)*($G$11-$F$11))))</f>
        <v>0.104960211849037</v>
      </c>
      <c r="H460" s="39" t="n">
        <f aca="false">(('Business Case'!B11*$C460*'Business Case'!B12*$B460)-'Business Case'!B11*$C460*'Business Case'!B13*$D460-'Business Case'!B14*$E460)-MAX(0,(('Business Case'!B11*$C460*'Business Case'!B12*$B460)-'Business Case'!B11*$C460*'Business Case'!B13*$D460-'Business Case'!B14*$E460))*'Business Case'!$B$7-'Business Case'!$B$8*('Business Case'!B11*$C460*'Business Case'!B12*$B460)-'Business Case'!B15*$F460</f>
        <v>-1982239403.99218</v>
      </c>
      <c r="I460" s="39" t="n">
        <f aca="false">(('Business Case'!C11*$C460*'Business Case'!C12*$B460)-'Business Case'!C11*$C460*'Business Case'!C13*$D460-'Business Case'!C14*$E460)-MAX(0,(('Business Case'!C11*$C460*'Business Case'!C12*$B460)-'Business Case'!C11*$C460*'Business Case'!C13*$D460-'Business Case'!C14*$E460))*'Business Case'!$B$7-'Business Case'!$B$8*(('Business Case'!C11*$C460*'Business Case'!C12*$B460)-('Business Case'!B11*$C460*'Business Case'!B12*$B460))-'Business Case'!C15*$F460</f>
        <v>-66024583.4973398</v>
      </c>
      <c r="J460" s="39" t="n">
        <f aca="false">(('Business Case'!D11*$C460*'Business Case'!D12*$B460)-'Business Case'!D11*$C460*'Business Case'!D13*$D460-'Business Case'!D14*$E460)-MAX(0,(('Business Case'!D11*$C460*'Business Case'!D12*$B460)-'Business Case'!D11*$C460*'Business Case'!D13*$D460-'Business Case'!D14*$E460))*'Business Case'!$B$7-'Business Case'!$B$8*(('Business Case'!D11*$C460*'Business Case'!D12*$B460)-('Business Case'!C11*$C460*'Business Case'!C12*$B460))-'Business Case'!D15*$F460</f>
        <v>147878103.112538</v>
      </c>
      <c r="K460" s="39" t="n">
        <f aca="false">(('Business Case'!E11*$C460*'Business Case'!E12*$B460)-'Business Case'!E11*$C460*'Business Case'!E13*$D460-'Business Case'!E14*$E460)-MAX(0,(('Business Case'!E11*$C460*'Business Case'!E12*$B460)-'Business Case'!E11*$C460*'Business Case'!E13*$D460-'Business Case'!E14*$E460))*'Business Case'!$B$7-'Business Case'!$B$8*(('Business Case'!E11*$C460*'Business Case'!E12*$B460)-('Business Case'!D11*$C460*'Business Case'!D12*$B460))-'Business Case'!E15*$F460</f>
        <v>411336774.82222</v>
      </c>
      <c r="L460" s="39" t="n">
        <f aca="false">(('Business Case'!F11*$C460*'Business Case'!F12*$B460)-'Business Case'!F11*$C460*'Business Case'!F13*$D460-'Business Case'!F14*$E460)-MAX(0,(('Business Case'!F11*$C460*'Business Case'!F12*$B460)-'Business Case'!F11*$C460*'Business Case'!F13*$D460-'Business Case'!F14*$E460))*'Business Case'!$B$7-'Business Case'!$B$8*(('Business Case'!F11*$C460*'Business Case'!F12*$B460)-('Business Case'!E11*$C460*'Business Case'!E12*$B460))-'Business Case'!F15*$F460</f>
        <v>511153135.555158</v>
      </c>
      <c r="M460" s="39" t="n">
        <f aca="false">(('Business Case'!G11*$C460*'Business Case'!G12*$B460)-'Business Case'!G11*$C460*'Business Case'!G13*$D460-'Business Case'!G14*$E460)-MAX(0,(('Business Case'!G11*$C460*'Business Case'!G12*$B460)-'Business Case'!G11*$C460*'Business Case'!G13*$D460-'Business Case'!G14*$E460))*'Business Case'!$B$7-'Business Case'!$B$8*(('Business Case'!G11*$C460*'Business Case'!G12*$B460)-('Business Case'!F11*$C460*'Business Case'!F12*$B460))-'Business Case'!G15*$F460+'Business Case'!$B$8*('Business Case'!G11*$C460*'Business Case'!G12*$B460)</f>
        <v>667988194.13487</v>
      </c>
      <c r="N460" s="39" t="n">
        <f aca="false">IF(COUNT('Business Case'!B11:G11)=0,"",H460+NPV(G460,I460:M460))</f>
        <v>-867534259.099983</v>
      </c>
      <c r="P460" s="40" t="n">
        <f aca="true">RAND()</f>
        <v>0.00627089120167798</v>
      </c>
      <c r="Q460" s="40" t="n">
        <f aca="true">RAND()</f>
        <v>0.114043078370068</v>
      </c>
      <c r="R460" s="40" t="n">
        <f aca="true">RAND()</f>
        <v>0.588511906193593</v>
      </c>
      <c r="S460" s="40" t="n">
        <f aca="true">RAND()</f>
        <v>0.0574648523432024</v>
      </c>
      <c r="T460" s="40" t="n">
        <f aca="true">RAND()</f>
        <v>0.135266391379777</v>
      </c>
      <c r="U460" s="40" t="n">
        <f aca="true">RAND()</f>
        <v>0.623007953956903</v>
      </c>
    </row>
    <row r="461" customFormat="false" ht="15" hidden="false" customHeight="false" outlineLevel="0" collapsed="false">
      <c r="A461" s="36" t="n">
        <v>381</v>
      </c>
      <c r="B461" s="37" t="n">
        <f aca="false">1+IF($G$6=$E$6,$F$6,IF(P461&lt;($F$6-$E$6)/($G$6-$E$6),$E$6+SQRT(P461*($G$6-$E$6)*($F$6-$E$6)),$G$6-SQRT((1-P461)*($G$6-$E$6)*($G$6-$F$6))))</f>
        <v>0.975912292803098</v>
      </c>
      <c r="C461" s="37" t="n">
        <f aca="false">1+IF($G$7=$E$7,$F$7,IF(Q461&lt;($F$7-$E$7)/($G$7-$E$7),$E$7+SQRT(Q461*($G$7-$E$7)*($F$7-$E$7)),$G$7-SQRT((1-Q461)*($G$7-$E$7)*($G$7-$F$7))))</f>
        <v>1.06943341523046</v>
      </c>
      <c r="D461" s="37" t="n">
        <f aca="false">1+IF($G$8=$E$8,$F$8,IF(R461&lt;($F$8-$E$8)/($G$8-$E$8),$E$8+SQRT(R461*($G$8-$E$8)*($F$8-$E$8)),$G$8-SQRT((1-R461)*($G$8-$E$8)*($G$8-$F$8))))</f>
        <v>0.989305510945052</v>
      </c>
      <c r="E461" s="37" t="n">
        <f aca="false">1+IF($G$9=$E$9,$F$9,IF(S461&lt;($F$9-$E$9)/($G$9-$E$9),$E$9+SQRT(S461*($G$9-$E$9)*($F$9-$E$9)),$G$9-SQRT((1-S461)*($G$9-$E$9)*($G$9-$F$9))))</f>
        <v>1.03751901433435</v>
      </c>
      <c r="F461" s="37" t="n">
        <f aca="false">1+IF($G$10=$E$10,$F$10,IF(T461&lt;($F$10-$E$10)/($G$10-$E$10),$E$10+SQRT(T461*($G$10-$E$10)*($F$10-$E$10)),$G$10-SQRT((1-T461)*($G$10-$E$10)*($G$10-$F$10))))</f>
        <v>0.998768769349423</v>
      </c>
      <c r="G461" s="38" t="n">
        <f aca="false">IF($G$11=$E$11,$F$11,IF(U461&lt;($F$11-$E$11)/($G$11-$E$11),$E$11+SQRT(U461*($G$11-$E$11)*($F$11-$E$11)),$G$11-SQRT((1-U461)*($G$11-$E$11)*($G$11-$F$11))))</f>
        <v>0.0973868771150966</v>
      </c>
      <c r="H461" s="39" t="n">
        <f aca="false">(('Business Case'!B11*$C461*'Business Case'!B12*$B461)-'Business Case'!B11*$C461*'Business Case'!B13*$D461-'Business Case'!B14*$E461)-MAX(0,(('Business Case'!B11*$C461*'Business Case'!B12*$B461)-'Business Case'!B11*$C461*'Business Case'!B13*$D461-'Business Case'!B14*$E461))*'Business Case'!$B$7-'Business Case'!$B$8*('Business Case'!B11*$C461*'Business Case'!B12*$B461)-'Business Case'!B15*$F461</f>
        <v>-1997537538.69885</v>
      </c>
      <c r="I461" s="39" t="n">
        <f aca="false">(('Business Case'!C11*$C461*'Business Case'!C12*$B461)-'Business Case'!C11*$C461*'Business Case'!C13*$D461-'Business Case'!C14*$E461)-MAX(0,(('Business Case'!C11*$C461*'Business Case'!C12*$B461)-'Business Case'!C11*$C461*'Business Case'!C13*$D461-'Business Case'!C14*$E461))*'Business Case'!$B$7-'Business Case'!$B$8*(('Business Case'!C11*$C461*'Business Case'!C12*$B461)-('Business Case'!B11*$C461*'Business Case'!B12*$B461))-'Business Case'!C15*$F461</f>
        <v>11717905.8988679</v>
      </c>
      <c r="J461" s="39" t="n">
        <f aca="false">(('Business Case'!D11*$C461*'Business Case'!D12*$B461)-'Business Case'!D11*$C461*'Business Case'!D13*$D461-'Business Case'!D14*$E461)-MAX(0,(('Business Case'!D11*$C461*'Business Case'!D12*$B461)-'Business Case'!D11*$C461*'Business Case'!D13*$D461-'Business Case'!D14*$E461))*'Business Case'!$B$7-'Business Case'!$B$8*(('Business Case'!D11*$C461*'Business Case'!D12*$B461)-('Business Case'!C11*$C461*'Business Case'!C12*$B461))-'Business Case'!D15*$F461</f>
        <v>324951912.101828</v>
      </c>
      <c r="K461" s="39" t="n">
        <f aca="false">(('Business Case'!E11*$C461*'Business Case'!E12*$B461)-'Business Case'!E11*$C461*'Business Case'!E13*$D461-'Business Case'!E14*$E461)-MAX(0,(('Business Case'!E11*$C461*'Business Case'!E12*$B461)-'Business Case'!E11*$C461*'Business Case'!E13*$D461-'Business Case'!E14*$E461))*'Business Case'!$B$7-'Business Case'!$B$8*(('Business Case'!E11*$C461*'Business Case'!E12*$B461)-('Business Case'!D11*$C461*'Business Case'!D12*$B461))-'Business Case'!E15*$F461</f>
        <v>688124356.772258</v>
      </c>
      <c r="L461" s="39" t="n">
        <f aca="false">(('Business Case'!F11*$C461*'Business Case'!F12*$B461)-'Business Case'!F11*$C461*'Business Case'!F13*$D461-'Business Case'!F14*$E461)-MAX(0,(('Business Case'!F11*$C461*'Business Case'!F12*$B461)-'Business Case'!F11*$C461*'Business Case'!F13*$D461-'Business Case'!F14*$E461))*'Business Case'!$B$7-'Business Case'!$B$8*(('Business Case'!F11*$C461*'Business Case'!F12*$B461)-('Business Case'!E11*$C461*'Business Case'!E12*$B461))-'Business Case'!F15*$F461</f>
        <v>828605038.527115</v>
      </c>
      <c r="M461" s="39" t="n">
        <f aca="false">(('Business Case'!G11*$C461*'Business Case'!G12*$B461)-'Business Case'!G11*$C461*'Business Case'!G13*$D461-'Business Case'!G14*$E461)-MAX(0,(('Business Case'!G11*$C461*'Business Case'!G12*$B461)-'Business Case'!G11*$C461*'Business Case'!G13*$D461-'Business Case'!G14*$E461))*'Business Case'!$B$7-'Business Case'!$B$8*(('Business Case'!G11*$C461*'Business Case'!G12*$B461)-('Business Case'!F11*$C461*'Business Case'!F12*$B461))-'Business Case'!G15*$F461+'Business Case'!$B$8*('Business Case'!G11*$C461*'Business Case'!G12*$B461)</f>
        <v>1026986443.4734</v>
      </c>
      <c r="N461" s="39" t="n">
        <f aca="false">IF(COUNT('Business Case'!B11:G11)=0,"",H461+NPV(G461,I461:M461))</f>
        <v>20340912.7201843</v>
      </c>
      <c r="P461" s="40" t="n">
        <f aca="true">RAND()</f>
        <v>0.325644217343685</v>
      </c>
      <c r="Q461" s="40" t="n">
        <f aca="true">RAND()</f>
        <v>0.876362388925193</v>
      </c>
      <c r="R461" s="40" t="n">
        <f aca="true">RAND()</f>
        <v>0.237680490869474</v>
      </c>
      <c r="S461" s="40" t="n">
        <f aca="true">RAND()</f>
        <v>0.739741762016606</v>
      </c>
      <c r="T461" s="40" t="n">
        <f aca="true">RAND()</f>
        <v>0.190271429108579</v>
      </c>
      <c r="U461" s="40" t="n">
        <f aca="true">RAND()</f>
        <v>0.181886511711791</v>
      </c>
    </row>
    <row r="462" customFormat="false" ht="15" hidden="false" customHeight="false" outlineLevel="0" collapsed="false">
      <c r="A462" s="36" t="n">
        <v>382</v>
      </c>
      <c r="B462" s="37" t="n">
        <f aca="false">1+IF($G$6=$E$6,$F$6,IF(P462&lt;($F$6-$E$6)/($G$6-$E$6),$E$6+SQRT(P462*($G$6-$E$6)*($F$6-$E$6)),$G$6-SQRT((1-P462)*($G$6-$E$6)*($G$6-$F$6))))</f>
        <v>0.959246345192818</v>
      </c>
      <c r="C462" s="37" t="n">
        <f aca="false">1+IF($G$7=$E$7,$F$7,IF(Q462&lt;($F$7-$E$7)/($G$7-$E$7),$E$7+SQRT(Q462*($G$7-$E$7)*($F$7-$E$7)),$G$7-SQRT((1-Q462)*($G$7-$E$7)*($G$7-$F$7))))</f>
        <v>0.920686383005268</v>
      </c>
      <c r="D462" s="37" t="n">
        <f aca="false">1+IF($G$8=$E$8,$F$8,IF(R462&lt;($F$8-$E$8)/($G$8-$E$8),$E$8+SQRT(R462*($G$8-$E$8)*($F$8-$E$8)),$G$8-SQRT((1-R462)*($G$8-$E$8)*($G$8-$F$8))))</f>
        <v>1.02576383979925</v>
      </c>
      <c r="E462" s="37" t="n">
        <f aca="false">1+IF($G$9=$E$9,$F$9,IF(S462&lt;($F$9-$E$9)/($G$9-$E$9),$E$9+SQRT(S462*($G$9-$E$9)*($F$9-$E$9)),$G$9-SQRT((1-S462)*($G$9-$E$9)*($G$9-$F$9))))</f>
        <v>1.01103047236644</v>
      </c>
      <c r="F462" s="37" t="n">
        <f aca="false">1+IF($G$10=$E$10,$F$10,IF(T462&lt;($F$10-$E$10)/($G$10-$E$10),$E$10+SQRT(T462*($G$10-$E$10)*($F$10-$E$10)),$G$10-SQRT((1-T462)*($G$10-$E$10)*($G$10-$F$10))))</f>
        <v>0.979420470542308</v>
      </c>
      <c r="G462" s="38" t="n">
        <f aca="false">IF($G$11=$E$11,$F$11,IF(U462&lt;($F$11-$E$11)/($G$11-$E$11),$E$11+SQRT(U462*($G$11-$E$11)*($F$11-$E$11)),$G$11-SQRT((1-U462)*($G$11-$E$11)*($G$11-$F$11))))</f>
        <v>0.100532978131787</v>
      </c>
      <c r="H462" s="39" t="n">
        <f aca="false">(('Business Case'!B11*$C462*'Business Case'!B12*$B462)-'Business Case'!B11*$C462*'Business Case'!B13*$D462-'Business Case'!B14*$E462)-MAX(0,(('Business Case'!B11*$C462*'Business Case'!B12*$B462)-'Business Case'!B11*$C462*'Business Case'!B13*$D462-'Business Case'!B14*$E462))*'Business Case'!$B$7-'Business Case'!$B$8*('Business Case'!B11*$C462*'Business Case'!B12*$B462)-'Business Case'!B15*$F462</f>
        <v>-1958840941.08462</v>
      </c>
      <c r="I462" s="39" t="n">
        <f aca="false">(('Business Case'!C11*$C462*'Business Case'!C12*$B462)-'Business Case'!C11*$C462*'Business Case'!C13*$D462-'Business Case'!C14*$E462)-MAX(0,(('Business Case'!C11*$C462*'Business Case'!C12*$B462)-'Business Case'!C11*$C462*'Business Case'!C13*$D462-'Business Case'!C14*$E462))*'Business Case'!$B$7-'Business Case'!$B$8*(('Business Case'!C11*$C462*'Business Case'!C12*$B462)-('Business Case'!B11*$C462*'Business Case'!B12*$B462))-'Business Case'!C15*$F462</f>
        <v>-47578822.9342434</v>
      </c>
      <c r="J462" s="39" t="n">
        <f aca="false">(('Business Case'!D11*$C462*'Business Case'!D12*$B462)-'Business Case'!D11*$C462*'Business Case'!D13*$D462-'Business Case'!D14*$E462)-MAX(0,(('Business Case'!D11*$C462*'Business Case'!D12*$B462)-'Business Case'!D11*$C462*'Business Case'!D13*$D462-'Business Case'!D14*$E462))*'Business Case'!$B$7-'Business Case'!$B$8*(('Business Case'!D11*$C462*'Business Case'!D12*$B462)-('Business Case'!C11*$C462*'Business Case'!C12*$B462))-'Business Case'!D15*$F462</f>
        <v>192336210.44284</v>
      </c>
      <c r="K462" s="39" t="n">
        <f aca="false">(('Business Case'!E11*$C462*'Business Case'!E12*$B462)-'Business Case'!E11*$C462*'Business Case'!E13*$D462-'Business Case'!E14*$E462)-MAX(0,(('Business Case'!E11*$C462*'Business Case'!E12*$B462)-'Business Case'!E11*$C462*'Business Case'!E13*$D462-'Business Case'!E14*$E462))*'Business Case'!$B$7-'Business Case'!$B$8*(('Business Case'!E11*$C462*'Business Case'!E12*$B462)-('Business Case'!D11*$C462*'Business Case'!D12*$B462))-'Business Case'!E15*$F462</f>
        <v>481222267.347038</v>
      </c>
      <c r="L462" s="39" t="n">
        <f aca="false">(('Business Case'!F11*$C462*'Business Case'!F12*$B462)-'Business Case'!F11*$C462*'Business Case'!F13*$D462-'Business Case'!F14*$E462)-MAX(0,(('Business Case'!F11*$C462*'Business Case'!F12*$B462)-'Business Case'!F11*$C462*'Business Case'!F13*$D462-'Business Case'!F14*$E462))*'Business Case'!$B$7-'Business Case'!$B$8*(('Business Case'!F11*$C462*'Business Case'!F12*$B462)-('Business Case'!E11*$C462*'Business Case'!E12*$B462))-'Business Case'!F15*$F462</f>
        <v>591716129.197125</v>
      </c>
      <c r="M462" s="39" t="n">
        <f aca="false">(('Business Case'!G11*$C462*'Business Case'!G12*$B462)-'Business Case'!G11*$C462*'Business Case'!G13*$D462-'Business Case'!G14*$E462)-MAX(0,(('Business Case'!G11*$C462*'Business Case'!G12*$B462)-'Business Case'!G11*$C462*'Business Case'!G13*$D462-'Business Case'!G14*$E462))*'Business Case'!$B$7-'Business Case'!$B$8*(('Business Case'!G11*$C462*'Business Case'!G12*$B462)-('Business Case'!F11*$C462*'Business Case'!F12*$B462))-'Business Case'!G15*$F462+'Business Case'!$B$8*('Business Case'!G11*$C462*'Business Case'!G12*$B462)</f>
        <v>759588141.514616</v>
      </c>
      <c r="N462" s="39" t="n">
        <f aca="false">IF(COUNT('Business Case'!B11:G11)=0,"",H462+NPV(G462,I462:M462))</f>
        <v>-608376211.074583</v>
      </c>
      <c r="P462" s="40" t="n">
        <f aca="true">RAND()</f>
        <v>0.160445376145189</v>
      </c>
      <c r="Q462" s="40" t="n">
        <f aca="true">RAND()</f>
        <v>0.208074329184202</v>
      </c>
      <c r="R462" s="40" t="n">
        <f aca="true">RAND()</f>
        <v>0.717157589103732</v>
      </c>
      <c r="S462" s="40" t="n">
        <f aca="true">RAND()</f>
        <v>0.472294876844051</v>
      </c>
      <c r="T462" s="40" t="n">
        <f aca="true">RAND()</f>
        <v>0.0692451269544643</v>
      </c>
      <c r="U462" s="40" t="n">
        <f aca="true">RAND()</f>
        <v>0.368391765970845</v>
      </c>
    </row>
    <row r="463" customFormat="false" ht="15" hidden="false" customHeight="false" outlineLevel="0" collapsed="false">
      <c r="A463" s="36" t="n">
        <v>383</v>
      </c>
      <c r="B463" s="37" t="n">
        <f aca="false">1+IF($G$6=$E$6,$F$6,IF(P463&lt;($F$6-$E$6)/($G$6-$E$6),$E$6+SQRT(P463*($G$6-$E$6)*($F$6-$E$6)),$G$6-SQRT((1-P463)*($G$6-$E$6)*($G$6-$F$6))))</f>
        <v>1.01599463592211</v>
      </c>
      <c r="C463" s="37" t="n">
        <f aca="false">1+IF($G$7=$E$7,$F$7,IF(Q463&lt;($F$7-$E$7)/($G$7-$E$7),$E$7+SQRT(Q463*($G$7-$E$7)*($F$7-$E$7)),$G$7-SQRT((1-Q463)*($G$7-$E$7)*($G$7-$F$7))))</f>
        <v>0.940235807904574</v>
      </c>
      <c r="D463" s="37" t="n">
        <f aca="false">1+IF($G$8=$E$8,$F$8,IF(R463&lt;($F$8-$E$8)/($G$8-$E$8),$E$8+SQRT(R463*($G$8-$E$8)*($F$8-$E$8)),$G$8-SQRT((1-R463)*($G$8-$E$8)*($G$8-$F$8))))</f>
        <v>0.984259352892701</v>
      </c>
      <c r="E463" s="37" t="n">
        <f aca="false">1+IF($G$9=$E$9,$F$9,IF(S463&lt;($F$9-$E$9)/($G$9-$E$9),$E$9+SQRT(S463*($G$9-$E$9)*($F$9-$E$9)),$G$9-SQRT((1-S463)*($G$9-$E$9)*($G$9-$F$9))))</f>
        <v>1.07964156902279</v>
      </c>
      <c r="F463" s="37" t="n">
        <f aca="false">1+IF($G$10=$E$10,$F$10,IF(T463&lt;($F$10-$E$10)/($G$10-$E$10),$E$10+SQRT(T463*($G$10-$E$10)*($F$10-$E$10)),$G$10-SQRT((1-T463)*($G$10-$E$10)*($G$10-$F$10))))</f>
        <v>1.07364778451123</v>
      </c>
      <c r="G463" s="38" t="n">
        <f aca="false">IF($G$11=$E$11,$F$11,IF(U463&lt;($F$11-$E$11)/($G$11-$E$11),$E$11+SQRT(U463*($G$11-$E$11)*($F$11-$E$11)),$G$11-SQRT((1-U463)*($G$11-$E$11)*($G$11-$F$11))))</f>
        <v>0.0997118296148824</v>
      </c>
      <c r="H463" s="39" t="n">
        <f aca="false">(('Business Case'!B11*$C463*'Business Case'!B12*$B463)-'Business Case'!B11*$C463*'Business Case'!B13*$D463-'Business Case'!B14*$E463)-MAX(0,(('Business Case'!B11*$C463*'Business Case'!B12*$B463)-'Business Case'!B11*$C463*'Business Case'!B13*$D463-'Business Case'!B14*$E463))*'Business Case'!$B$7-'Business Case'!$B$8*('Business Case'!B11*$C463*'Business Case'!B12*$B463)-'Business Case'!B15*$F463</f>
        <v>-2147295569.02247</v>
      </c>
      <c r="I463" s="39" t="n">
        <f aca="false">(('Business Case'!C11*$C463*'Business Case'!C12*$B463)-'Business Case'!C11*$C463*'Business Case'!C13*$D463-'Business Case'!C14*$E463)-MAX(0,(('Business Case'!C11*$C463*'Business Case'!C12*$B463)-'Business Case'!C11*$C463*'Business Case'!C13*$D463-'Business Case'!C14*$E463))*'Business Case'!$B$7-'Business Case'!$B$8*(('Business Case'!C11*$C463*'Business Case'!C12*$B463)-('Business Case'!B11*$C463*'Business Case'!B12*$B463))-'Business Case'!C15*$F463</f>
        <v>-1721755.44971871</v>
      </c>
      <c r="J463" s="39" t="n">
        <f aca="false">(('Business Case'!D11*$C463*'Business Case'!D12*$B463)-'Business Case'!D11*$C463*'Business Case'!D13*$D463-'Business Case'!D14*$E463)-MAX(0,(('Business Case'!D11*$C463*'Business Case'!D12*$B463)-'Business Case'!D11*$C463*'Business Case'!D13*$D463-'Business Case'!D14*$E463))*'Business Case'!$B$7-'Business Case'!$B$8*(('Business Case'!D11*$C463*'Business Case'!D12*$B463)-('Business Case'!C11*$C463*'Business Case'!C12*$B463))-'Business Case'!D15*$F463</f>
        <v>306967730.682066</v>
      </c>
      <c r="K463" s="39" t="n">
        <f aca="false">(('Business Case'!E11*$C463*'Business Case'!E12*$B463)-'Business Case'!E11*$C463*'Business Case'!E13*$D463-'Business Case'!E14*$E463)-MAX(0,(('Business Case'!E11*$C463*'Business Case'!E12*$B463)-'Business Case'!E11*$C463*'Business Case'!E13*$D463-'Business Case'!E14*$E463))*'Business Case'!$B$7-'Business Case'!$B$8*(('Business Case'!E11*$C463*'Business Case'!E12*$B463)-('Business Case'!D11*$C463*'Business Case'!D12*$B463))-'Business Case'!E15*$F463</f>
        <v>669339606.039414</v>
      </c>
      <c r="L463" s="39" t="n">
        <f aca="false">(('Business Case'!F11*$C463*'Business Case'!F12*$B463)-'Business Case'!F11*$C463*'Business Case'!F13*$D463-'Business Case'!F14*$E463)-MAX(0,(('Business Case'!F11*$C463*'Business Case'!F12*$B463)-'Business Case'!F11*$C463*'Business Case'!F13*$D463-'Business Case'!F14*$E463))*'Business Case'!$B$7-'Business Case'!$B$8*(('Business Case'!F11*$C463*'Business Case'!F12*$B463)-('Business Case'!E11*$C463*'Business Case'!E12*$B463))-'Business Case'!F15*$F463</f>
        <v>805250389.426901</v>
      </c>
      <c r="M463" s="39" t="n">
        <f aca="false">(('Business Case'!G11*$C463*'Business Case'!G12*$B463)-'Business Case'!G11*$C463*'Business Case'!G13*$D463-'Business Case'!G14*$E463)-MAX(0,(('Business Case'!G11*$C463*'Business Case'!G12*$B463)-'Business Case'!G11*$C463*'Business Case'!G13*$D463-'Business Case'!G14*$E463))*'Business Case'!$B$7-'Business Case'!$B$8*(('Business Case'!G11*$C463*'Business Case'!G12*$B463)-('Business Case'!F11*$C463*'Business Case'!F12*$B463))-'Business Case'!G15*$F463+'Business Case'!$B$8*('Business Case'!G11*$C463*'Business Case'!G12*$B463)</f>
        <v>986828973.483146</v>
      </c>
      <c r="N463" s="39" t="n">
        <f aca="false">IF(COUNT('Business Case'!B11:G11)=0,"",H463+NPV(G463,I463:M463))</f>
        <v>-227635751.694342</v>
      </c>
      <c r="P463" s="40" t="n">
        <f aca="true">RAND()</f>
        <v>0.879946353226648</v>
      </c>
      <c r="Q463" s="40" t="n">
        <f aca="true">RAND()</f>
        <v>0.280944025980695</v>
      </c>
      <c r="R463" s="40" t="n">
        <f aca="true">RAND()</f>
        <v>0.180569732404097</v>
      </c>
      <c r="S463" s="40" t="n">
        <f aca="true">RAND()</f>
        <v>0.972368952543084</v>
      </c>
      <c r="T463" s="40" t="n">
        <f aca="true">RAND()</f>
        <v>0.680702352821602</v>
      </c>
      <c r="U463" s="40" t="n">
        <f aca="true">RAND()</f>
        <v>0.314398781561687</v>
      </c>
    </row>
    <row r="464" customFormat="false" ht="15" hidden="false" customHeight="false" outlineLevel="0" collapsed="false">
      <c r="A464" s="36" t="n">
        <v>384</v>
      </c>
      <c r="B464" s="37" t="n">
        <f aca="false">1+IF($G$6=$E$6,$F$6,IF(P464&lt;($F$6-$E$6)/($G$6-$E$6),$E$6+SQRT(P464*($G$6-$E$6)*($F$6-$E$6)),$G$6-SQRT((1-P464)*($G$6-$E$6)*($G$6-$F$6))))</f>
        <v>0.951855090122763</v>
      </c>
      <c r="C464" s="37" t="n">
        <f aca="false">1+IF($G$7=$E$7,$F$7,IF(Q464&lt;($F$7-$E$7)/($G$7-$E$7),$E$7+SQRT(Q464*($G$7-$E$7)*($F$7-$E$7)),$G$7-SQRT((1-Q464)*($G$7-$E$7)*($G$7-$F$7))))</f>
        <v>0.82066641040962</v>
      </c>
      <c r="D464" s="37" t="n">
        <f aca="false">1+IF($G$8=$E$8,$F$8,IF(R464&lt;($F$8-$E$8)/($G$8-$E$8),$E$8+SQRT(R464*($G$8-$E$8)*($F$8-$E$8)),$G$8-SQRT((1-R464)*($G$8-$E$8)*($G$8-$F$8))))</f>
        <v>0.999888115975969</v>
      </c>
      <c r="E464" s="37" t="n">
        <f aca="false">1+IF($G$9=$E$9,$F$9,IF(S464&lt;($F$9-$E$9)/($G$9-$E$9),$E$9+SQRT(S464*($G$9-$E$9)*($F$9-$E$9)),$G$9-SQRT((1-S464)*($G$9-$E$9)*($G$9-$F$9))))</f>
        <v>1.07220536071611</v>
      </c>
      <c r="F464" s="37" t="n">
        <f aca="false">1+IF($G$10=$E$10,$F$10,IF(T464&lt;($F$10-$E$10)/($G$10-$E$10),$E$10+SQRT(T464*($G$10-$E$10)*($F$10-$E$10)),$G$10-SQRT((1-T464)*($G$10-$E$10)*($G$10-$F$10))))</f>
        <v>1.03441857673514</v>
      </c>
      <c r="G464" s="38" t="n">
        <f aca="false">IF($G$11=$E$11,$F$11,IF(U464&lt;($F$11-$E$11)/($G$11-$E$11),$E$11+SQRT(U464*($G$11-$E$11)*($F$11-$E$11)),$G$11-SQRT((1-U464)*($G$11-$E$11)*($G$11-$F$11))))</f>
        <v>0.0988522402940188</v>
      </c>
      <c r="H464" s="39" t="n">
        <f aca="false">(('Business Case'!B11*$C464*'Business Case'!B12*$B464)-'Business Case'!B11*$C464*'Business Case'!B13*$D464-'Business Case'!B14*$E464)-MAX(0,(('Business Case'!B11*$C464*'Business Case'!B12*$B464)-'Business Case'!B11*$C464*'Business Case'!B13*$D464-'Business Case'!B14*$E464))*'Business Case'!$B$7-'Business Case'!$B$8*('Business Case'!B11*$C464*'Business Case'!B12*$B464)-'Business Case'!B15*$F464</f>
        <v>-2068837153.47028</v>
      </c>
      <c r="I464" s="39" t="n">
        <f aca="false">(('Business Case'!C11*$C464*'Business Case'!C12*$B464)-'Business Case'!C11*$C464*'Business Case'!C13*$D464-'Business Case'!C14*$E464)-MAX(0,(('Business Case'!C11*$C464*'Business Case'!C12*$B464)-'Business Case'!C11*$C464*'Business Case'!C13*$D464-'Business Case'!C14*$E464))*'Business Case'!$B$7-'Business Case'!$B$8*(('Business Case'!C11*$C464*'Business Case'!C12*$B464)-('Business Case'!B11*$C464*'Business Case'!B12*$B464))-'Business Case'!C15*$F464</f>
        <v>-76650507.9584876</v>
      </c>
      <c r="J464" s="39" t="n">
        <f aca="false">(('Business Case'!D11*$C464*'Business Case'!D12*$B464)-'Business Case'!D11*$C464*'Business Case'!D13*$D464-'Business Case'!D14*$E464)-MAX(0,(('Business Case'!D11*$C464*'Business Case'!D12*$B464)-'Business Case'!D11*$C464*'Business Case'!D13*$D464-'Business Case'!D14*$E464))*'Business Case'!$B$7-'Business Case'!$B$8*(('Business Case'!D11*$C464*'Business Case'!D12*$B464)-('Business Case'!C11*$C464*'Business Case'!C12*$B464))-'Business Case'!D15*$F464</f>
        <v>143103545.172503</v>
      </c>
      <c r="K464" s="39" t="n">
        <f aca="false">(('Business Case'!E11*$C464*'Business Case'!E12*$B464)-'Business Case'!E11*$C464*'Business Case'!E13*$D464-'Business Case'!E14*$E464)-MAX(0,(('Business Case'!E11*$C464*'Business Case'!E12*$B464)-'Business Case'!E11*$C464*'Business Case'!E13*$D464-'Business Case'!E14*$E464))*'Business Case'!$B$7-'Business Case'!$B$8*(('Business Case'!E11*$C464*'Business Case'!E12*$B464)-('Business Case'!D11*$C464*'Business Case'!D12*$B464))-'Business Case'!E15*$F464</f>
        <v>414578527.140251</v>
      </c>
      <c r="L464" s="39" t="n">
        <f aca="false">(('Business Case'!F11*$C464*'Business Case'!F12*$B464)-'Business Case'!F11*$C464*'Business Case'!F13*$D464-'Business Case'!F14*$E464)-MAX(0,(('Business Case'!F11*$C464*'Business Case'!F12*$B464)-'Business Case'!F11*$C464*'Business Case'!F13*$D464-'Business Case'!F14*$E464))*'Business Case'!$B$7-'Business Case'!$B$8*(('Business Case'!F11*$C464*'Business Case'!F12*$B464)-('Business Case'!E11*$C464*'Business Case'!E12*$B464))-'Business Case'!F15*$F464</f>
        <v>514826612.265337</v>
      </c>
      <c r="M464" s="39" t="n">
        <f aca="false">(('Business Case'!G11*$C464*'Business Case'!G12*$B464)-'Business Case'!G11*$C464*'Business Case'!G13*$D464-'Business Case'!G14*$E464)-MAX(0,(('Business Case'!G11*$C464*'Business Case'!G12*$B464)-'Business Case'!G11*$C464*'Business Case'!G13*$D464-'Business Case'!G14*$E464))*'Business Case'!$B$7-'Business Case'!$B$8*(('Business Case'!G11*$C464*'Business Case'!G12*$B464)-('Business Case'!F11*$C464*'Business Case'!F12*$B464))-'Business Case'!G15*$F464+'Business Case'!$B$8*('Business Case'!G11*$C464*'Business Case'!G12*$B464)</f>
        <v>663308649.713164</v>
      </c>
      <c r="N464" s="39" t="n">
        <f aca="false">IF(COUNT('Business Case'!B11:G11)=0,"",H464+NPV(G464,I464:M464))</f>
        <v>-940498710.138899</v>
      </c>
      <c r="P464" s="40" t="n">
        <f aca="true">RAND()</f>
        <v>0.105702788200977</v>
      </c>
      <c r="Q464" s="40" t="n">
        <f aca="true">RAND()</f>
        <v>0.00610143598884044</v>
      </c>
      <c r="R464" s="40" t="n">
        <f aca="true">RAND()</f>
        <v>0.382896017789502</v>
      </c>
      <c r="S464" s="40" t="n">
        <f aca="true">RAND()</f>
        <v>0.948497201805215</v>
      </c>
      <c r="T464" s="40" t="n">
        <f aca="true">RAND()</f>
        <v>0.451655845391652</v>
      </c>
      <c r="U464" s="40" t="n">
        <f aca="true">RAND()</f>
        <v>0.261207194076832</v>
      </c>
    </row>
    <row r="465" customFormat="false" ht="15" hidden="false" customHeight="false" outlineLevel="0" collapsed="false">
      <c r="A465" s="36" t="n">
        <v>385</v>
      </c>
      <c r="B465" s="37" t="n">
        <f aca="false">1+IF($G$6=$E$6,$F$6,IF(P465&lt;($F$6-$E$6)/($G$6-$E$6),$E$6+SQRT(P465*($G$6-$E$6)*($F$6-$E$6)),$G$6-SQRT((1-P465)*($G$6-$E$6)*($G$6-$F$6))))</f>
        <v>0.998011643280133</v>
      </c>
      <c r="C465" s="37" t="n">
        <f aca="false">1+IF($G$7=$E$7,$F$7,IF(Q465&lt;($F$7-$E$7)/($G$7-$E$7),$E$7+SQRT(Q465*($G$7-$E$7)*($F$7-$E$7)),$G$7-SQRT((1-Q465)*($G$7-$E$7)*($G$7-$F$7))))</f>
        <v>1.12434214505142</v>
      </c>
      <c r="D465" s="37" t="n">
        <f aca="false">1+IF($G$8=$E$8,$F$8,IF(R465&lt;($F$8-$E$8)/($G$8-$E$8),$E$8+SQRT(R465*($G$8-$E$8)*($F$8-$E$8)),$G$8-SQRT((1-R465)*($G$8-$E$8)*($G$8-$F$8))))</f>
        <v>1.02835858696557</v>
      </c>
      <c r="E465" s="37" t="n">
        <f aca="false">1+IF($G$9=$E$9,$F$9,IF(S465&lt;($F$9-$E$9)/($G$9-$E$9),$E$9+SQRT(S465*($G$9-$E$9)*($F$9-$E$9)),$G$9-SQRT((1-S465)*($G$9-$E$9)*($G$9-$F$9))))</f>
        <v>0.961005525567606</v>
      </c>
      <c r="F465" s="37" t="n">
        <f aca="false">1+IF($G$10=$E$10,$F$10,IF(T465&lt;($F$10-$E$10)/($G$10-$E$10),$E$10+SQRT(T465*($G$10-$E$10)*($F$10-$E$10)),$G$10-SQRT((1-T465)*($G$10-$E$10)*($G$10-$F$10))))</f>
        <v>1.0386105973704</v>
      </c>
      <c r="G465" s="38" t="n">
        <f aca="false">IF($G$11=$E$11,$F$11,IF(U465&lt;($F$11-$E$11)/($G$11-$E$11),$E$11+SQRT(U465*($G$11-$E$11)*($F$11-$E$11)),$G$11-SQRT((1-U465)*($G$11-$E$11)*($G$11-$F$11))))</f>
        <v>0.107397361948649</v>
      </c>
      <c r="H465" s="39" t="n">
        <f aca="false">(('Business Case'!B11*$C465*'Business Case'!B12*$B465)-'Business Case'!B11*$C465*'Business Case'!B13*$D465-'Business Case'!B14*$E465)-MAX(0,(('Business Case'!B11*$C465*'Business Case'!B12*$B465)-'Business Case'!B11*$C465*'Business Case'!B13*$D465-'Business Case'!B14*$E465))*'Business Case'!$B$7-'Business Case'!$B$8*('Business Case'!B11*$C465*'Business Case'!B12*$B465)-'Business Case'!B15*$F465</f>
        <v>-2077221194.74079</v>
      </c>
      <c r="I465" s="39" t="n">
        <f aca="false">(('Business Case'!C11*$C465*'Business Case'!C12*$B465)-'Business Case'!C11*$C465*'Business Case'!C13*$D465-'Business Case'!C14*$E465)-MAX(0,(('Business Case'!C11*$C465*'Business Case'!C12*$B465)-'Business Case'!C11*$C465*'Business Case'!C13*$D465-'Business Case'!C14*$E465))*'Business Case'!$B$7-'Business Case'!$B$8*(('Business Case'!C11*$C465*'Business Case'!C12*$B465)-('Business Case'!B11*$C465*'Business Case'!B12*$B465))-'Business Case'!C15*$F465</f>
        <v>28504334.0535261</v>
      </c>
      <c r="J465" s="39" t="n">
        <f aca="false">(('Business Case'!D11*$C465*'Business Case'!D12*$B465)-'Business Case'!D11*$C465*'Business Case'!D13*$D465-'Business Case'!D14*$E465)-MAX(0,(('Business Case'!D11*$C465*'Business Case'!D12*$B465)-'Business Case'!D11*$C465*'Business Case'!D13*$D465-'Business Case'!D14*$E465))*'Business Case'!$B$7-'Business Case'!$B$8*(('Business Case'!D11*$C465*'Business Case'!D12*$B465)-('Business Case'!C11*$C465*'Business Case'!C12*$B465))-'Business Case'!D15*$F465</f>
        <v>355694717.224696</v>
      </c>
      <c r="K465" s="39" t="n">
        <f aca="false">(('Business Case'!E11*$C465*'Business Case'!E12*$B465)-'Business Case'!E11*$C465*'Business Case'!E13*$D465-'Business Case'!E14*$E465)-MAX(0,(('Business Case'!E11*$C465*'Business Case'!E12*$B465)-'Business Case'!E11*$C465*'Business Case'!E13*$D465-'Business Case'!E14*$E465))*'Business Case'!$B$7-'Business Case'!$B$8*(('Business Case'!E11*$C465*'Business Case'!E12*$B465)-('Business Case'!D11*$C465*'Business Case'!D12*$B465))-'Business Case'!E15*$F465</f>
        <v>734815630.264386</v>
      </c>
      <c r="L465" s="39" t="n">
        <f aca="false">(('Business Case'!F11*$C465*'Business Case'!F12*$B465)-'Business Case'!F11*$C465*'Business Case'!F13*$D465-'Business Case'!F14*$E465)-MAX(0,(('Business Case'!F11*$C465*'Business Case'!F12*$B465)-'Business Case'!F11*$C465*'Business Case'!F13*$D465-'Business Case'!F14*$E465))*'Business Case'!$B$7-'Business Case'!$B$8*(('Business Case'!F11*$C465*'Business Case'!F12*$B465)-('Business Case'!E11*$C465*'Business Case'!E12*$B465))-'Business Case'!F15*$F465</f>
        <v>882659093.75137</v>
      </c>
      <c r="M465" s="39" t="n">
        <f aca="false">(('Business Case'!G11*$C465*'Business Case'!G12*$B465)-'Business Case'!G11*$C465*'Business Case'!G13*$D465-'Business Case'!G14*$E465)-MAX(0,(('Business Case'!G11*$C465*'Business Case'!G12*$B465)-'Business Case'!G11*$C465*'Business Case'!G13*$D465-'Business Case'!G14*$E465))*'Business Case'!$B$7-'Business Case'!$B$8*(('Business Case'!G11*$C465*'Business Case'!G12*$B465)-('Business Case'!F11*$C465*'Business Case'!F12*$B465))-'Business Case'!G15*$F465+'Business Case'!$B$8*('Business Case'!G11*$C465*'Business Case'!G12*$B465)</f>
        <v>1095949107.11597</v>
      </c>
      <c r="N465" s="39" t="n">
        <f aca="false">IF(COUNT('Business Case'!B11:G11)=0,"",H465+NPV(G465,I465:M465))</f>
        <v>24646683.0460522</v>
      </c>
      <c r="P465" s="40" t="n">
        <f aca="true">RAND()</f>
        <v>0.633939217423612</v>
      </c>
      <c r="Q465" s="40" t="n">
        <f aca="true">RAND()</f>
        <v>0.987460466274999</v>
      </c>
      <c r="R465" s="40" t="n">
        <f aca="true">RAND()</f>
        <v>0.743573505750716</v>
      </c>
      <c r="S465" s="40" t="n">
        <f aca="true">RAND()</f>
        <v>0.016149545735896</v>
      </c>
      <c r="T465" s="40" t="n">
        <f aca="true">RAND()</f>
        <v>0.479069214377194</v>
      </c>
      <c r="U465" s="40" t="n">
        <f aca="true">RAND()</f>
        <v>0.735289190244404</v>
      </c>
    </row>
    <row r="466" customFormat="false" ht="15" hidden="false" customHeight="false" outlineLevel="0" collapsed="false">
      <c r="A466" s="36" t="n">
        <v>386</v>
      </c>
      <c r="B466" s="37" t="n">
        <f aca="false">1+IF($G$6=$E$6,$F$6,IF(P466&lt;($F$6-$E$6)/($G$6-$E$6),$E$6+SQRT(P466*($G$6-$E$6)*($F$6-$E$6)),$G$6-SQRT((1-P466)*($G$6-$E$6)*($G$6-$F$6))))</f>
        <v>0.939146596344306</v>
      </c>
      <c r="C466" s="37" t="n">
        <f aca="false">1+IF($G$7=$E$7,$F$7,IF(Q466&lt;($F$7-$E$7)/($G$7-$E$7),$E$7+SQRT(Q466*($G$7-$E$7)*($F$7-$E$7)),$G$7-SQRT((1-Q466)*($G$7-$E$7)*($G$7-$F$7))))</f>
        <v>0.869471555178227</v>
      </c>
      <c r="D466" s="37" t="n">
        <f aca="false">1+IF($G$8=$E$8,$F$8,IF(R466&lt;($F$8-$E$8)/($G$8-$E$8),$E$8+SQRT(R466*($G$8-$E$8)*($F$8-$E$8)),$G$8-SQRT((1-R466)*($G$8-$E$8)*($G$8-$F$8))))</f>
        <v>0.998394215848935</v>
      </c>
      <c r="E466" s="37" t="n">
        <f aca="false">1+IF($G$9=$E$9,$F$9,IF(S466&lt;($F$9-$E$9)/($G$9-$E$9),$E$9+SQRT(S466*($G$9-$E$9)*($F$9-$E$9)),$G$9-SQRT((1-S466)*($G$9-$E$9)*($G$9-$F$9))))</f>
        <v>1.06001086861146</v>
      </c>
      <c r="F466" s="37" t="n">
        <f aca="false">1+IF($G$10=$E$10,$F$10,IF(T466&lt;($F$10-$E$10)/($G$10-$E$10),$E$10+SQRT(T466*($G$10-$E$10)*($F$10-$E$10)),$G$10-SQRT((1-T466)*($G$10-$E$10)*($G$10-$F$10))))</f>
        <v>1.05337367424892</v>
      </c>
      <c r="G466" s="38" t="n">
        <f aca="false">IF($G$11=$E$11,$F$11,IF(U466&lt;($F$11-$E$11)/($G$11-$E$11),$E$11+SQRT(U466*($G$11-$E$11)*($F$11-$E$11)),$G$11-SQRT((1-U466)*($G$11-$E$11)*($G$11-$F$11))))</f>
        <v>0.0917578572390406</v>
      </c>
      <c r="H466" s="39" t="n">
        <f aca="false">(('Business Case'!B11*$C466*'Business Case'!B12*$B466)-'Business Case'!B11*$C466*'Business Case'!B13*$D466-'Business Case'!B14*$E466)-MAX(0,(('Business Case'!B11*$C466*'Business Case'!B12*$B466)-'Business Case'!B11*$C466*'Business Case'!B13*$D466-'Business Case'!B14*$E466))*'Business Case'!$B$7-'Business Case'!$B$8*('Business Case'!B11*$C466*'Business Case'!B12*$B466)-'Business Case'!B15*$F466</f>
        <v>-2106747348.49783</v>
      </c>
      <c r="I466" s="39" t="n">
        <f aca="false">(('Business Case'!C11*$C466*'Business Case'!C12*$B466)-'Business Case'!C11*$C466*'Business Case'!C13*$D466-'Business Case'!C14*$E466)-MAX(0,(('Business Case'!C11*$C466*'Business Case'!C12*$B466)-'Business Case'!C11*$C466*'Business Case'!C13*$D466-'Business Case'!C14*$E466))*'Business Case'!$B$7-'Business Case'!$B$8*(('Business Case'!C11*$C466*'Business Case'!C12*$B466)-('Business Case'!B11*$C466*'Business Case'!B12*$B466))-'Business Case'!C15*$F466</f>
        <v>-73964134.9011624</v>
      </c>
      <c r="J466" s="39" t="n">
        <f aca="false">(('Business Case'!D11*$C466*'Business Case'!D12*$B466)-'Business Case'!D11*$C466*'Business Case'!D13*$D466-'Business Case'!D14*$E466)-MAX(0,(('Business Case'!D11*$C466*'Business Case'!D12*$B466)-'Business Case'!D11*$C466*'Business Case'!D13*$D466-'Business Case'!D14*$E466))*'Business Case'!$B$7-'Business Case'!$B$8*(('Business Case'!D11*$C466*'Business Case'!D12*$B466)-('Business Case'!C11*$C466*'Business Case'!C12*$B466))-'Business Case'!D15*$F466</f>
        <v>150473178.42537</v>
      </c>
      <c r="K466" s="39" t="n">
        <f aca="false">(('Business Case'!E11*$C466*'Business Case'!E12*$B466)-'Business Case'!E11*$C466*'Business Case'!E13*$D466-'Business Case'!E14*$E466)-MAX(0,(('Business Case'!E11*$C466*'Business Case'!E12*$B466)-'Business Case'!E11*$C466*'Business Case'!E13*$D466-'Business Case'!E14*$E466))*'Business Case'!$B$7-'Business Case'!$B$8*(('Business Case'!E11*$C466*'Business Case'!E12*$B466)-('Business Case'!D11*$C466*'Business Case'!D12*$B466))-'Business Case'!E15*$F466</f>
        <v>427579175.464348</v>
      </c>
      <c r="L466" s="39" t="n">
        <f aca="false">(('Business Case'!F11*$C466*'Business Case'!F12*$B466)-'Business Case'!F11*$C466*'Business Case'!F13*$D466-'Business Case'!F14*$E466)-MAX(0,(('Business Case'!F11*$C466*'Business Case'!F12*$B466)-'Business Case'!F11*$C466*'Business Case'!F13*$D466-'Business Case'!F14*$E466))*'Business Case'!$B$7-'Business Case'!$B$8*(('Business Case'!F11*$C466*'Business Case'!F12*$B466)-('Business Case'!E11*$C466*'Business Case'!E12*$B466))-'Business Case'!F15*$F466</f>
        <v>530611970.09736</v>
      </c>
      <c r="M466" s="39" t="n">
        <f aca="false">(('Business Case'!G11*$C466*'Business Case'!G12*$B466)-'Business Case'!G11*$C466*'Business Case'!G13*$D466-'Business Case'!G14*$E466)-MAX(0,(('Business Case'!G11*$C466*'Business Case'!G12*$B466)-'Business Case'!G11*$C466*'Business Case'!G13*$D466-'Business Case'!G14*$E466))*'Business Case'!$B$7-'Business Case'!$B$8*(('Business Case'!G11*$C466*'Business Case'!G12*$B466)-('Business Case'!F11*$C466*'Business Case'!F12*$B466))-'Business Case'!G15*$F466+'Business Case'!$B$8*('Business Case'!G11*$C466*'Business Case'!G12*$B466)</f>
        <v>685823932.81362</v>
      </c>
      <c r="N466" s="39" t="n">
        <f aca="false">IF(COUNT('Business Case'!B11:G11)=0,"",H466+NPV(G466,I466:M466))</f>
        <v>-904029682.781541</v>
      </c>
      <c r="P466" s="40" t="n">
        <f aca="true">RAND()</f>
        <v>0.0381866824553965</v>
      </c>
      <c r="Q466" s="40" t="n">
        <f aca="true">RAND()</f>
        <v>0.0689470996983069</v>
      </c>
      <c r="R466" s="40" t="n">
        <f aca="true">RAND()</f>
        <v>0.360307711943584</v>
      </c>
      <c r="S466" s="40" t="n">
        <f aca="true">RAND()</f>
        <v>0.893391291386032</v>
      </c>
      <c r="T466" s="40" t="n">
        <f aca="true">RAND()</f>
        <v>0.570014411934745</v>
      </c>
      <c r="U466" s="40" t="n">
        <f aca="true">RAND()</f>
        <v>0.0103002069094918</v>
      </c>
    </row>
    <row r="467" customFormat="false" ht="15" hidden="false" customHeight="false" outlineLevel="0" collapsed="false">
      <c r="A467" s="36" t="n">
        <v>387</v>
      </c>
      <c r="B467" s="37" t="n">
        <f aca="false">1+IF($G$6=$E$6,$F$6,IF(P467&lt;($F$6-$E$6)/($G$6-$E$6),$E$6+SQRT(P467*($G$6-$E$6)*($F$6-$E$6)),$G$6-SQRT((1-P467)*($G$6-$E$6)*($G$6-$F$6))))</f>
        <v>1.01738280572734</v>
      </c>
      <c r="C467" s="37" t="n">
        <f aca="false">1+IF($G$7=$E$7,$F$7,IF(Q467&lt;($F$7-$E$7)/($G$7-$E$7),$E$7+SQRT(Q467*($G$7-$E$7)*($F$7-$E$7)),$G$7-SQRT((1-Q467)*($G$7-$E$7)*($G$7-$F$7))))</f>
        <v>1.01605583352487</v>
      </c>
      <c r="D467" s="37" t="n">
        <f aca="false">1+IF($G$8=$E$8,$F$8,IF(R467&lt;($F$8-$E$8)/($G$8-$E$8),$E$8+SQRT(R467*($G$8-$E$8)*($F$8-$E$8)),$G$8-SQRT((1-R467)*($G$8-$E$8)*($G$8-$F$8))))</f>
        <v>0.981031974569386</v>
      </c>
      <c r="E467" s="37" t="n">
        <f aca="false">1+IF($G$9=$E$9,$F$9,IF(S467&lt;($F$9-$E$9)/($G$9-$E$9),$E$9+SQRT(S467*($G$9-$E$9)*($F$9-$E$9)),$G$9-SQRT((1-S467)*($G$9-$E$9)*($G$9-$F$9))))</f>
        <v>0.991622903290996</v>
      </c>
      <c r="F467" s="37" t="n">
        <f aca="false">1+IF($G$10=$E$10,$F$10,IF(T467&lt;($F$10-$E$10)/($G$10-$E$10),$E$10+SQRT(T467*($G$10-$E$10)*($F$10-$E$10)),$G$10-SQRT((1-T467)*($G$10-$E$10)*($G$10-$F$10))))</f>
        <v>1.145641016335</v>
      </c>
      <c r="G467" s="38" t="n">
        <f aca="false">IF($G$11=$E$11,$F$11,IF(U467&lt;($F$11-$E$11)/($G$11-$E$11),$E$11+SQRT(U467*($G$11-$E$11)*($F$11-$E$11)),$G$11-SQRT((1-U467)*($G$11-$E$11)*($G$11-$F$11))))</f>
        <v>0.09934471950566</v>
      </c>
      <c r="H467" s="39" t="n">
        <f aca="false">(('Business Case'!B11*$C467*'Business Case'!B12*$B467)-'Business Case'!B11*$C467*'Business Case'!B13*$D467-'Business Case'!B14*$E467)-MAX(0,(('Business Case'!B11*$C467*'Business Case'!B12*$B467)-'Business Case'!B11*$C467*'Business Case'!B13*$D467-'Business Case'!B14*$E467))*'Business Case'!$B$7-'Business Case'!$B$8*('Business Case'!B11*$C467*'Business Case'!B12*$B467)-'Business Case'!B15*$F467</f>
        <v>-2291282032.66999</v>
      </c>
      <c r="I467" s="39" t="n">
        <f aca="false">(('Business Case'!C11*$C467*'Business Case'!C12*$B467)-'Business Case'!C11*$C467*'Business Case'!C13*$D467-'Business Case'!C14*$E467)-MAX(0,(('Business Case'!C11*$C467*'Business Case'!C12*$B467)-'Business Case'!C11*$C467*'Business Case'!C13*$D467-'Business Case'!C14*$E467))*'Business Case'!$B$7-'Business Case'!$B$8*(('Business Case'!C11*$C467*'Business Case'!C12*$B467)-('Business Case'!B11*$C467*'Business Case'!B12*$B467))-'Business Case'!C15*$F467</f>
        <v>27255159.75342</v>
      </c>
      <c r="J467" s="39" t="n">
        <f aca="false">(('Business Case'!D11*$C467*'Business Case'!D12*$B467)-'Business Case'!D11*$C467*'Business Case'!D13*$D467-'Business Case'!D14*$E467)-MAX(0,(('Business Case'!D11*$C467*'Business Case'!D12*$B467)-'Business Case'!D11*$C467*'Business Case'!D13*$D467-'Business Case'!D14*$E467))*'Business Case'!$B$7-'Business Case'!$B$8*(('Business Case'!D11*$C467*'Business Case'!D12*$B467)-('Business Case'!C11*$C467*'Business Case'!C12*$B467))-'Business Case'!D15*$F467</f>
        <v>363671125.354502</v>
      </c>
      <c r="K467" s="39" t="n">
        <f aca="false">(('Business Case'!E11*$C467*'Business Case'!E12*$B467)-'Business Case'!E11*$C467*'Business Case'!E13*$D467-'Business Case'!E14*$E467)-MAX(0,(('Business Case'!E11*$C467*'Business Case'!E12*$B467)-'Business Case'!E11*$C467*'Business Case'!E13*$D467-'Business Case'!E14*$E467))*'Business Case'!$B$7-'Business Case'!$B$8*(('Business Case'!E11*$C467*'Business Case'!E12*$B467)-('Business Case'!D11*$C467*'Business Case'!D12*$B467))-'Business Case'!E15*$F467</f>
        <v>757369141.772333</v>
      </c>
      <c r="L467" s="39" t="n">
        <f aca="false">(('Business Case'!F11*$C467*'Business Case'!F12*$B467)-'Business Case'!F11*$C467*'Business Case'!F13*$D467-'Business Case'!F14*$E467)-MAX(0,(('Business Case'!F11*$C467*'Business Case'!F12*$B467)-'Business Case'!F11*$C467*'Business Case'!F13*$D467-'Business Case'!F14*$E467))*'Business Case'!$B$7-'Business Case'!$B$8*(('Business Case'!F11*$C467*'Business Case'!F12*$B467)-('Business Case'!E11*$C467*'Business Case'!E12*$B467))-'Business Case'!F15*$F467</f>
        <v>905233081.883482</v>
      </c>
      <c r="M467" s="39" t="n">
        <f aca="false">(('Business Case'!G11*$C467*'Business Case'!G12*$B467)-'Business Case'!G11*$C467*'Business Case'!G13*$D467-'Business Case'!G14*$E467)-MAX(0,(('Business Case'!G11*$C467*'Business Case'!G12*$B467)-'Business Case'!G11*$C467*'Business Case'!G13*$D467-'Business Case'!G14*$E467))*'Business Case'!$B$7-'Business Case'!$B$8*(('Business Case'!G11*$C467*'Business Case'!G12*$B467)-('Business Case'!F11*$C467*'Business Case'!F12*$B467))-'Business Case'!G15*$F467+'Business Case'!$B$8*('Business Case'!G11*$C467*'Business Case'!G12*$B467)</f>
        <v>1101722148.89282</v>
      </c>
      <c r="N467" s="39" t="n">
        <f aca="false">IF(COUNT('Business Case'!B11:G11)=0,"",H467+NPV(G467,I467:M467))</f>
        <v>-89650172.3030143</v>
      </c>
      <c r="P467" s="40" t="n">
        <f aca="true">RAND()</f>
        <v>0.893429692340144</v>
      </c>
      <c r="Q467" s="40" t="n">
        <f aca="true">RAND()</f>
        <v>0.65826590985298</v>
      </c>
      <c r="R467" s="40" t="n">
        <f aca="true">RAND()</f>
        <v>0.148151299334617</v>
      </c>
      <c r="S467" s="40" t="n">
        <f aca="true">RAND()</f>
        <v>0.230995477116217</v>
      </c>
      <c r="T467" s="40" t="n">
        <f aca="true">RAND()</f>
        <v>0.940902017898158</v>
      </c>
      <c r="U467" s="40" t="n">
        <f aca="true">RAND()</f>
        <v>0.291079275464874</v>
      </c>
    </row>
    <row r="468" customFormat="false" ht="15" hidden="false" customHeight="false" outlineLevel="0" collapsed="false">
      <c r="A468" s="36" t="n">
        <v>388</v>
      </c>
      <c r="B468" s="37" t="n">
        <f aca="false">1+IF($G$6=$E$6,$F$6,IF(P468&lt;($F$6-$E$6)/($G$6-$E$6),$E$6+SQRT(P468*($G$6-$E$6)*($F$6-$E$6)),$G$6-SQRT((1-P468)*($G$6-$E$6)*($G$6-$F$6))))</f>
        <v>0.94482491514927</v>
      </c>
      <c r="C468" s="37" t="n">
        <f aca="false">1+IF($G$7=$E$7,$F$7,IF(Q468&lt;($F$7-$E$7)/($G$7-$E$7),$E$7+SQRT(Q468*($G$7-$E$7)*($F$7-$E$7)),$G$7-SQRT((1-Q468)*($G$7-$E$7)*($G$7-$F$7))))</f>
        <v>1.08916928944038</v>
      </c>
      <c r="D468" s="37" t="n">
        <f aca="false">1+IF($G$8=$E$8,$F$8,IF(R468&lt;($F$8-$E$8)/($G$8-$E$8),$E$8+SQRT(R468*($G$8-$E$8)*($F$8-$E$8)),$G$8-SQRT((1-R468)*($G$8-$E$8)*($G$8-$F$8))))</f>
        <v>1.00615660215755</v>
      </c>
      <c r="E468" s="37" t="n">
        <f aca="false">1+IF($G$9=$E$9,$F$9,IF(S468&lt;($F$9-$E$9)/($G$9-$E$9),$E$9+SQRT(S468*($G$9-$E$9)*($F$9-$E$9)),$G$9-SQRT((1-S468)*($G$9-$E$9)*($G$9-$F$9))))</f>
        <v>1.03579124834943</v>
      </c>
      <c r="F468" s="37" t="n">
        <f aca="false">1+IF($G$10=$E$10,$F$10,IF(T468&lt;($F$10-$E$10)/($G$10-$E$10),$E$10+SQRT(T468*($G$10-$E$10)*($F$10-$E$10)),$G$10-SQRT((1-T468)*($G$10-$E$10)*($G$10-$F$10))))</f>
        <v>1.07850152522255</v>
      </c>
      <c r="G468" s="38" t="n">
        <f aca="false">IF($G$11=$E$11,$F$11,IF(U468&lt;($F$11-$E$11)/($G$11-$E$11),$E$11+SQRT(U468*($G$11-$E$11)*($F$11-$E$11)),$G$11-SQRT((1-U468)*($G$11-$E$11)*($G$11-$F$11))))</f>
        <v>0.106465736002496</v>
      </c>
      <c r="H468" s="39" t="n">
        <f aca="false">(('Business Case'!B11*$C468*'Business Case'!B12*$B468)-'Business Case'!B11*$C468*'Business Case'!B13*$D468-'Business Case'!B14*$E468)-MAX(0,(('Business Case'!B11*$C468*'Business Case'!B12*$B468)-'Business Case'!B11*$C468*'Business Case'!B13*$D468-'Business Case'!B14*$E468))*'Business Case'!$B$7-'Business Case'!$B$8*('Business Case'!B11*$C468*'Business Case'!B12*$B468)-'Business Case'!B15*$F468</f>
        <v>-2157003050.44509</v>
      </c>
      <c r="I468" s="39" t="n">
        <f aca="false">(('Business Case'!C11*$C468*'Business Case'!C12*$B468)-'Business Case'!C11*$C468*'Business Case'!C13*$D468-'Business Case'!C14*$E468)-MAX(0,(('Business Case'!C11*$C468*'Business Case'!C12*$B468)-'Business Case'!C11*$C468*'Business Case'!C13*$D468-'Business Case'!C14*$E468))*'Business Case'!$B$7-'Business Case'!$B$8*(('Business Case'!C11*$C468*'Business Case'!C12*$B468)-('Business Case'!B11*$C468*'Business Case'!B12*$B468))-'Business Case'!C15*$F468</f>
        <v>-26601213.0964588</v>
      </c>
      <c r="J468" s="39" t="n">
        <f aca="false">(('Business Case'!D11*$C468*'Business Case'!D12*$B468)-'Business Case'!D11*$C468*'Business Case'!D13*$D468-'Business Case'!D14*$E468)-MAX(0,(('Business Case'!D11*$C468*'Business Case'!D12*$B468)-'Business Case'!D11*$C468*'Business Case'!D13*$D468-'Business Case'!D14*$E468))*'Business Case'!$B$7-'Business Case'!$B$8*(('Business Case'!D11*$C468*'Business Case'!D12*$B468)-('Business Case'!C11*$C468*'Business Case'!C12*$B468))-'Business Case'!D15*$F468</f>
        <v>255284452.596481</v>
      </c>
      <c r="K468" s="39" t="n">
        <f aca="false">(('Business Case'!E11*$C468*'Business Case'!E12*$B468)-'Business Case'!E11*$C468*'Business Case'!E13*$D468-'Business Case'!E14*$E468)-MAX(0,(('Business Case'!E11*$C468*'Business Case'!E12*$B468)-'Business Case'!E11*$C468*'Business Case'!E13*$D468-'Business Case'!E14*$E468))*'Business Case'!$B$7-'Business Case'!$B$8*(('Business Case'!E11*$C468*'Business Case'!E12*$B468)-('Business Case'!D11*$C468*'Business Case'!D12*$B468))-'Business Case'!E15*$F468</f>
        <v>591095194.550548</v>
      </c>
      <c r="L468" s="39" t="n">
        <f aca="false">(('Business Case'!F11*$C468*'Business Case'!F12*$B468)-'Business Case'!F11*$C468*'Business Case'!F13*$D468-'Business Case'!F14*$E468)-MAX(0,(('Business Case'!F11*$C468*'Business Case'!F12*$B468)-'Business Case'!F11*$C468*'Business Case'!F13*$D468-'Business Case'!F14*$E468))*'Business Case'!$B$7-'Business Case'!$B$8*(('Business Case'!F11*$C468*'Business Case'!F12*$B468)-('Business Case'!E11*$C468*'Business Case'!E12*$B468))-'Business Case'!F15*$F468</f>
        <v>720621890.282765</v>
      </c>
      <c r="M468" s="39" t="n">
        <f aca="false">(('Business Case'!G11*$C468*'Business Case'!G12*$B468)-'Business Case'!G11*$C468*'Business Case'!G13*$D468-'Business Case'!G14*$E468)-MAX(0,(('Business Case'!G11*$C468*'Business Case'!G12*$B468)-'Business Case'!G11*$C468*'Business Case'!G13*$D468-'Business Case'!G14*$E468))*'Business Case'!$B$7-'Business Case'!$B$8*(('Business Case'!G11*$C468*'Business Case'!G12*$B468)-('Business Case'!F11*$C468*'Business Case'!F12*$B468))-'Business Case'!G15*$F468+'Business Case'!$B$8*('Business Case'!G11*$C468*'Business Case'!G12*$B468)</f>
        <v>916228329.706235</v>
      </c>
      <c r="N468" s="39" t="n">
        <f aca="false">IF(COUNT('Business Case'!B11:G11)=0,"",H468+NPV(G468,I468:M468))</f>
        <v>-502898999.948353</v>
      </c>
      <c r="P468" s="40" t="n">
        <f aca="true">RAND()</f>
        <v>0.0641954596008812</v>
      </c>
      <c r="Q468" s="40" t="n">
        <f aca="true">RAND()</f>
        <v>0.929516660053549</v>
      </c>
      <c r="R468" s="40" t="n">
        <f aca="true">RAND()</f>
        <v>0.475687749527062</v>
      </c>
      <c r="S468" s="40" t="n">
        <f aca="true">RAND()</f>
        <v>0.725149080764995</v>
      </c>
      <c r="T468" s="40" t="n">
        <f aca="true">RAND()</f>
        <v>0.70476241253505</v>
      </c>
      <c r="U468" s="40" t="n">
        <f aca="true">RAND()</f>
        <v>0.694706163409768</v>
      </c>
    </row>
    <row r="469" customFormat="false" ht="15" hidden="false" customHeight="false" outlineLevel="0" collapsed="false">
      <c r="A469" s="36" t="n">
        <v>389</v>
      </c>
      <c r="B469" s="37" t="n">
        <f aca="false">1+IF($G$6=$E$6,$F$6,IF(P469&lt;($F$6-$E$6)/($G$6-$E$6),$E$6+SQRT(P469*($G$6-$E$6)*($F$6-$E$6)),$G$6-SQRT((1-P469)*($G$6-$E$6)*($G$6-$F$6))))</f>
        <v>1.0222791030951</v>
      </c>
      <c r="C469" s="37" t="n">
        <f aca="false">1+IF($G$7=$E$7,$F$7,IF(Q469&lt;($F$7-$E$7)/($G$7-$E$7),$E$7+SQRT(Q469*($G$7-$E$7)*($F$7-$E$7)),$G$7-SQRT((1-Q469)*($G$7-$E$7)*($G$7-$F$7))))</f>
        <v>1.10480737665487</v>
      </c>
      <c r="D469" s="37" t="n">
        <f aca="false">1+IF($G$8=$E$8,$F$8,IF(R469&lt;($F$8-$E$8)/($G$8-$E$8),$E$8+SQRT(R469*($G$8-$E$8)*($F$8-$E$8)),$G$8-SQRT((1-R469)*($G$8-$E$8)*($G$8-$F$8))))</f>
        <v>1.00901676654276</v>
      </c>
      <c r="E469" s="37" t="n">
        <f aca="false">1+IF($G$9=$E$9,$F$9,IF(S469&lt;($F$9-$E$9)/($G$9-$E$9),$E$9+SQRT(S469*($G$9-$E$9)*($F$9-$E$9)),$G$9-SQRT((1-S469)*($G$9-$E$9)*($G$9-$F$9))))</f>
        <v>1.02596854917598</v>
      </c>
      <c r="F469" s="37" t="n">
        <f aca="false">1+IF($G$10=$E$10,$F$10,IF(T469&lt;($F$10-$E$10)/($G$10-$E$10),$E$10+SQRT(T469*($G$10-$E$10)*($F$10-$E$10)),$G$10-SQRT((1-T469)*($G$10-$E$10)*($G$10-$F$10))))</f>
        <v>0.969706757366248</v>
      </c>
      <c r="G469" s="38" t="n">
        <f aca="false">IF($G$11=$E$11,$F$11,IF(U469&lt;($F$11-$E$11)/($G$11-$E$11),$E$11+SQRT(U469*($G$11-$E$11)*($F$11-$E$11)),$G$11-SQRT((1-U469)*($G$11-$E$11)*($G$11-$F$11))))</f>
        <v>0.100519507202788</v>
      </c>
      <c r="H469" s="39" t="n">
        <f aca="false">(('Business Case'!B11*$C469*'Business Case'!B12*$B469)-'Business Case'!B11*$C469*'Business Case'!B13*$D469-'Business Case'!B14*$E469)-MAX(0,(('Business Case'!B11*$C469*'Business Case'!B12*$B469)-'Business Case'!B11*$C469*'Business Case'!B13*$D469-'Business Case'!B14*$E469))*'Business Case'!$B$7-'Business Case'!$B$8*('Business Case'!B11*$C469*'Business Case'!B12*$B469)-'Business Case'!B15*$F469</f>
        <v>-1939413514.7325</v>
      </c>
      <c r="I469" s="39" t="n">
        <f aca="false">(('Business Case'!C11*$C469*'Business Case'!C12*$B469)-'Business Case'!C11*$C469*'Business Case'!C13*$D469-'Business Case'!C14*$E469)-MAX(0,(('Business Case'!C11*$C469*'Business Case'!C12*$B469)-'Business Case'!C11*$C469*'Business Case'!C13*$D469-'Business Case'!C14*$E469))*'Business Case'!$B$7-'Business Case'!$B$8*(('Business Case'!C11*$C469*'Business Case'!C12*$B469)-('Business Case'!B11*$C469*'Business Case'!B12*$B469))-'Business Case'!C15*$F469</f>
        <v>52992276.4403362</v>
      </c>
      <c r="J469" s="39" t="n">
        <f aca="false">(('Business Case'!D11*$C469*'Business Case'!D12*$B469)-'Business Case'!D11*$C469*'Business Case'!D13*$D469-'Business Case'!D14*$E469)-MAX(0,(('Business Case'!D11*$C469*'Business Case'!D12*$B469)-'Business Case'!D11*$C469*'Business Case'!D13*$D469-'Business Case'!D14*$E469))*'Business Case'!$B$7-'Business Case'!$B$8*(('Business Case'!D11*$C469*'Business Case'!D12*$B469)-('Business Case'!C11*$C469*'Business Case'!C12*$B469))-'Business Case'!D15*$F469</f>
        <v>407397166.564244</v>
      </c>
      <c r="K469" s="39" t="n">
        <f aca="false">(('Business Case'!E11*$C469*'Business Case'!E12*$B469)-'Business Case'!E11*$C469*'Business Case'!E13*$D469-'Business Case'!E14*$E469)-MAX(0,(('Business Case'!E11*$C469*'Business Case'!E12*$B469)-'Business Case'!E11*$C469*'Business Case'!E13*$D469-'Business Case'!E14*$E469))*'Business Case'!$B$7-'Business Case'!$B$8*(('Business Case'!E11*$C469*'Business Case'!E12*$B469)-('Business Case'!D11*$C469*'Business Case'!D12*$B469))-'Business Case'!E15*$F469</f>
        <v>810287394.556465</v>
      </c>
      <c r="L469" s="39" t="n">
        <f aca="false">(('Business Case'!F11*$C469*'Business Case'!F12*$B469)-'Business Case'!F11*$C469*'Business Case'!F13*$D469-'Business Case'!F14*$E469)-MAX(0,(('Business Case'!F11*$C469*'Business Case'!F12*$B469)-'Business Case'!F11*$C469*'Business Case'!F13*$D469-'Business Case'!F14*$E469))*'Business Case'!$B$7-'Business Case'!$B$8*(('Business Case'!F11*$C469*'Business Case'!F12*$B469)-('Business Case'!E11*$C469*'Business Case'!E12*$B469))-'Business Case'!F15*$F469</f>
        <v>967455164.767182</v>
      </c>
      <c r="M469" s="39" t="n">
        <f aca="false">(('Business Case'!G11*$C469*'Business Case'!G12*$B469)-'Business Case'!G11*$C469*'Business Case'!G13*$D469-'Business Case'!G14*$E469)-MAX(0,(('Business Case'!G11*$C469*'Business Case'!G12*$B469)-'Business Case'!G11*$C469*'Business Case'!G13*$D469-'Business Case'!G14*$E469))*'Business Case'!$B$7-'Business Case'!$B$8*(('Business Case'!G11*$C469*'Business Case'!G12*$B469)-('Business Case'!F11*$C469*'Business Case'!F12*$B469))-'Business Case'!G15*$F469+'Business Case'!$B$8*('Business Case'!G11*$C469*'Business Case'!G12*$B469)</f>
        <v>1182135602.36563</v>
      </c>
      <c r="N469" s="39" t="n">
        <f aca="false">IF(COUNT('Business Case'!B11:G11)=0,"",H469+NPV(G469,I469:M469))</f>
        <v>444852223.408572</v>
      </c>
      <c r="P469" s="40" t="n">
        <f aca="true">RAND()</f>
        <v>0.934577044351243</v>
      </c>
      <c r="Q469" s="40" t="n">
        <f aca="true">RAND()</f>
        <v>0.961097653241623</v>
      </c>
      <c r="R469" s="40" t="n">
        <f aca="true">RAND()</f>
        <v>0.515517362303347</v>
      </c>
      <c r="S469" s="40" t="n">
        <f aca="true">RAND()</f>
        <v>0.634622952592705</v>
      </c>
      <c r="T469" s="40" t="n">
        <f aca="true">RAND()</f>
        <v>0.0310685028713731</v>
      </c>
      <c r="U469" s="40" t="n">
        <f aca="true">RAND()</f>
        <v>0.367517333962946</v>
      </c>
    </row>
    <row r="470" customFormat="false" ht="15" hidden="false" customHeight="false" outlineLevel="0" collapsed="false">
      <c r="A470" s="36" t="n">
        <v>390</v>
      </c>
      <c r="B470" s="37" t="n">
        <f aca="false">1+IF($G$6=$E$6,$F$6,IF(P470&lt;($F$6-$E$6)/($G$6-$E$6),$E$6+SQRT(P470*($G$6-$E$6)*($F$6-$E$6)),$G$6-SQRT((1-P470)*($G$6-$E$6)*($G$6-$F$6))))</f>
        <v>0.998389093253778</v>
      </c>
      <c r="C470" s="37" t="n">
        <f aca="false">1+IF($G$7=$E$7,$F$7,IF(Q470&lt;($F$7-$E$7)/($G$7-$E$7),$E$7+SQRT(Q470*($G$7-$E$7)*($F$7-$E$7)),$G$7-SQRT((1-Q470)*($G$7-$E$7)*($G$7-$F$7))))</f>
        <v>0.8640749790988</v>
      </c>
      <c r="D470" s="37" t="n">
        <f aca="false">1+IF($G$8=$E$8,$F$8,IF(R470&lt;($F$8-$E$8)/($G$8-$E$8),$E$8+SQRT(R470*($G$8-$E$8)*($F$8-$E$8)),$G$8-SQRT((1-R470)*($G$8-$E$8)*($G$8-$F$8))))</f>
        <v>0.983956222878065</v>
      </c>
      <c r="E470" s="37" t="n">
        <f aca="false">1+IF($G$9=$E$9,$F$9,IF(S470&lt;($F$9-$E$9)/($G$9-$E$9),$E$9+SQRT(S470*($G$9-$E$9)*($F$9-$E$9)),$G$9-SQRT((1-S470)*($G$9-$E$9)*($G$9-$F$9))))</f>
        <v>1.00529776222832</v>
      </c>
      <c r="F470" s="37" t="n">
        <f aca="false">1+IF($G$10=$E$10,$F$10,IF(T470&lt;($F$10-$E$10)/($G$10-$E$10),$E$10+SQRT(T470*($G$10-$E$10)*($F$10-$E$10)),$G$10-SQRT((1-T470)*($G$10-$E$10)*($G$10-$F$10))))</f>
        <v>1.00369185548728</v>
      </c>
      <c r="G470" s="38" t="n">
        <f aca="false">IF($G$11=$E$11,$F$11,IF(U470&lt;($F$11-$E$11)/($G$11-$E$11),$E$11+SQRT(U470*($G$11-$E$11)*($F$11-$E$11)),$G$11-SQRT((1-U470)*($G$11-$E$11)*($G$11-$F$11))))</f>
        <v>0.117411560755872</v>
      </c>
      <c r="H470" s="39" t="n">
        <f aca="false">(('Business Case'!B11*$C470*'Business Case'!B12*$B470)-'Business Case'!B11*$C470*'Business Case'!B13*$D470-'Business Case'!B14*$E470)-MAX(0,(('Business Case'!B11*$C470*'Business Case'!B12*$B470)-'Business Case'!B11*$C470*'Business Case'!B13*$D470-'Business Case'!B14*$E470))*'Business Case'!$B$7-'Business Case'!$B$8*('Business Case'!B11*$C470*'Business Case'!B12*$B470)-'Business Case'!B15*$F470</f>
        <v>-2007383710.97456</v>
      </c>
      <c r="I470" s="39" t="n">
        <f aca="false">(('Business Case'!C11*$C470*'Business Case'!C12*$B470)-'Business Case'!C11*$C470*'Business Case'!C13*$D470-'Business Case'!C14*$E470)-MAX(0,(('Business Case'!C11*$C470*'Business Case'!C12*$B470)-'Business Case'!C11*$C470*'Business Case'!C13*$D470-'Business Case'!C14*$E470))*'Business Case'!$B$7-'Business Case'!$B$8*(('Business Case'!C11*$C470*'Business Case'!C12*$B470)-('Business Case'!B11*$C470*'Business Case'!B12*$B470))-'Business Case'!C15*$F470</f>
        <v>-16684999.951291</v>
      </c>
      <c r="J470" s="39" t="n">
        <f aca="false">(('Business Case'!D11*$C470*'Business Case'!D12*$B470)-'Business Case'!D11*$C470*'Business Case'!D13*$D470-'Business Case'!D14*$E470)-MAX(0,(('Business Case'!D11*$C470*'Business Case'!D12*$B470)-'Business Case'!D11*$C470*'Business Case'!D13*$D470-'Business Case'!D14*$E470))*'Business Case'!$B$7-'Business Case'!$B$8*(('Business Case'!D11*$C470*'Business Case'!D12*$B470)-('Business Case'!C11*$C470*'Business Case'!C12*$B470))-'Business Case'!D15*$F470</f>
        <v>254674015.96349</v>
      </c>
      <c r="K470" s="39" t="n">
        <f aca="false">(('Business Case'!E11*$C470*'Business Case'!E12*$B470)-'Business Case'!E11*$C470*'Business Case'!E13*$D470-'Business Case'!E14*$E470)-MAX(0,(('Business Case'!E11*$C470*'Business Case'!E12*$B470)-'Business Case'!E11*$C470*'Business Case'!E13*$D470-'Business Case'!E14*$E470))*'Business Case'!$B$7-'Business Case'!$B$8*(('Business Case'!E11*$C470*'Business Case'!E12*$B470)-('Business Case'!D11*$C470*'Business Case'!D12*$B470))-'Business Case'!E15*$F470</f>
        <v>576217624.652634</v>
      </c>
      <c r="L470" s="39" t="n">
        <f aca="false">(('Business Case'!F11*$C470*'Business Case'!F12*$B470)-'Business Case'!F11*$C470*'Business Case'!F13*$D470-'Business Case'!F14*$E470)-MAX(0,(('Business Case'!F11*$C470*'Business Case'!F12*$B470)-'Business Case'!F11*$C470*'Business Case'!F13*$D470-'Business Case'!F14*$E470))*'Business Case'!$B$7-'Business Case'!$B$8*(('Business Case'!F11*$C470*'Business Case'!F12*$B470)-('Business Case'!E11*$C470*'Business Case'!E12*$B470))-'Business Case'!F15*$F470</f>
        <v>696484955.643212</v>
      </c>
      <c r="M470" s="39" t="n">
        <f aca="false">(('Business Case'!G11*$C470*'Business Case'!G12*$B470)-'Business Case'!G11*$C470*'Business Case'!G13*$D470-'Business Case'!G14*$E470)-MAX(0,(('Business Case'!G11*$C470*'Business Case'!G12*$B470)-'Business Case'!G11*$C470*'Business Case'!G13*$D470-'Business Case'!G14*$E470))*'Business Case'!$B$7-'Business Case'!$B$8*(('Business Case'!G11*$C470*'Business Case'!G12*$B470)-('Business Case'!F11*$C470*'Business Case'!F12*$B470))-'Business Case'!G15*$F470+'Business Case'!$B$8*('Business Case'!G11*$C470*'Business Case'!G12*$B470)</f>
        <v>860463746.914291</v>
      </c>
      <c r="N470" s="39" t="n">
        <f aca="false">IF(COUNT('Business Case'!B11:G11)=0,"",H470+NPV(G470,I470:M470))</f>
        <v>-464676196.358681</v>
      </c>
      <c r="P470" s="40" t="n">
        <f aca="true">RAND()</f>
        <v>0.6400885355364</v>
      </c>
      <c r="Q470" s="40" t="n">
        <f aca="true">RAND()</f>
        <v>0.0586514706644515</v>
      </c>
      <c r="R470" s="40" t="n">
        <f aca="true">RAND()</f>
        <v>0.177388472637669</v>
      </c>
      <c r="S470" s="40" t="n">
        <f aca="true">RAND()</f>
        <v>0.402099077402455</v>
      </c>
      <c r="T470" s="40" t="n">
        <f aca="true">RAND()</f>
        <v>0.229262247959471</v>
      </c>
      <c r="U470" s="40" t="n">
        <f aca="true">RAND()</f>
        <v>0.988833303799095</v>
      </c>
    </row>
    <row r="471" customFormat="false" ht="15" hidden="false" customHeight="false" outlineLevel="0" collapsed="false">
      <c r="A471" s="36" t="n">
        <v>391</v>
      </c>
      <c r="B471" s="37" t="n">
        <f aca="false">1+IF($G$6=$E$6,$F$6,IF(P471&lt;($F$6-$E$6)/($G$6-$E$6),$E$6+SQRT(P471*($G$6-$E$6)*($F$6-$E$6)),$G$6-SQRT((1-P471)*($G$6-$E$6)*($G$6-$F$6))))</f>
        <v>1.01213802902582</v>
      </c>
      <c r="C471" s="37" t="n">
        <f aca="false">1+IF($G$7=$E$7,$F$7,IF(Q471&lt;($F$7-$E$7)/($G$7-$E$7),$E$7+SQRT(Q471*($G$7-$E$7)*($F$7-$E$7)),$G$7-SQRT((1-Q471)*($G$7-$E$7)*($G$7-$F$7))))</f>
        <v>0.817229211853254</v>
      </c>
      <c r="D471" s="37" t="n">
        <f aca="false">1+IF($G$8=$E$8,$F$8,IF(R471&lt;($F$8-$E$8)/($G$8-$E$8),$E$8+SQRT(R471*($G$8-$E$8)*($F$8-$E$8)),$G$8-SQRT((1-R471)*($G$8-$E$8)*($G$8-$F$8))))</f>
        <v>1.07363343698492</v>
      </c>
      <c r="E471" s="37" t="n">
        <f aca="false">1+IF($G$9=$E$9,$F$9,IF(S471&lt;($F$9-$E$9)/($G$9-$E$9),$E$9+SQRT(S471*($G$9-$E$9)*($F$9-$E$9)),$G$9-SQRT((1-S471)*($G$9-$E$9)*($G$9-$F$9))))</f>
        <v>1.04472029104985</v>
      </c>
      <c r="F471" s="37" t="n">
        <f aca="false">1+IF($G$10=$E$10,$F$10,IF(T471&lt;($F$10-$E$10)/($G$10-$E$10),$E$10+SQRT(T471*($G$10-$E$10)*($F$10-$E$10)),$G$10-SQRT((1-T471)*($G$10-$E$10)*($G$10-$F$10))))</f>
        <v>0.989552816716017</v>
      </c>
      <c r="G471" s="38" t="n">
        <f aca="false">IF($G$11=$E$11,$F$11,IF(U471&lt;($F$11-$E$11)/($G$11-$E$11),$E$11+SQRT(U471*($G$11-$E$11)*($F$11-$E$11)),$G$11-SQRT((1-U471)*($G$11-$E$11)*($G$11-$F$11))))</f>
        <v>0.105357442811722</v>
      </c>
      <c r="H471" s="39" t="n">
        <f aca="false">(('Business Case'!B11*$C471*'Business Case'!B12*$B471)-'Business Case'!B11*$C471*'Business Case'!B13*$D471-'Business Case'!B14*$E471)-MAX(0,(('Business Case'!B11*$C471*'Business Case'!B12*$B471)-'Business Case'!B11*$C471*'Business Case'!B13*$D471-'Business Case'!B14*$E471))*'Business Case'!$B$7-'Business Case'!$B$8*('Business Case'!B11*$C471*'Business Case'!B12*$B471)-'Business Case'!B15*$F471</f>
        <v>-1979105633.43203</v>
      </c>
      <c r="I471" s="39" t="n">
        <f aca="false">(('Business Case'!C11*$C471*'Business Case'!C12*$B471)-'Business Case'!C11*$C471*'Business Case'!C13*$D471-'Business Case'!C14*$E471)-MAX(0,(('Business Case'!C11*$C471*'Business Case'!C12*$B471)-'Business Case'!C11*$C471*'Business Case'!C13*$D471-'Business Case'!C14*$E471))*'Business Case'!$B$7-'Business Case'!$B$8*(('Business Case'!C11*$C471*'Business Case'!C12*$B471)-('Business Case'!B11*$C471*'Business Case'!B12*$B471))-'Business Case'!C15*$F471</f>
        <v>-62060473.4363424</v>
      </c>
      <c r="J471" s="39" t="n">
        <f aca="false">(('Business Case'!D11*$C471*'Business Case'!D12*$B471)-'Business Case'!D11*$C471*'Business Case'!D13*$D471-'Business Case'!D14*$E471)-MAX(0,(('Business Case'!D11*$C471*'Business Case'!D12*$B471)-'Business Case'!D11*$C471*'Business Case'!D13*$D471-'Business Case'!D14*$E471))*'Business Case'!$B$7-'Business Case'!$B$8*(('Business Case'!D11*$C471*'Business Case'!D12*$B471)-('Business Case'!C11*$C471*'Business Case'!C12*$B471))-'Business Case'!D15*$F471</f>
        <v>166272952.098875</v>
      </c>
      <c r="K471" s="39" t="n">
        <f aca="false">(('Business Case'!E11*$C471*'Business Case'!E12*$B471)-'Business Case'!E11*$C471*'Business Case'!E13*$D471-'Business Case'!E14*$E471)-MAX(0,(('Business Case'!E11*$C471*'Business Case'!E12*$B471)-'Business Case'!E11*$C471*'Business Case'!E13*$D471-'Business Case'!E14*$E471))*'Business Case'!$B$7-'Business Case'!$B$8*(('Business Case'!E11*$C471*'Business Case'!E12*$B471)-('Business Case'!D11*$C471*'Business Case'!D12*$B471))-'Business Case'!E15*$F471</f>
        <v>444084018.469893</v>
      </c>
      <c r="L471" s="39" t="n">
        <f aca="false">(('Business Case'!F11*$C471*'Business Case'!F12*$B471)-'Business Case'!F11*$C471*'Business Case'!F13*$D471-'Business Case'!F14*$E471)-MAX(0,(('Business Case'!F11*$C471*'Business Case'!F12*$B471)-'Business Case'!F11*$C471*'Business Case'!F13*$D471-'Business Case'!F14*$E471))*'Business Case'!$B$7-'Business Case'!$B$8*(('Business Case'!F11*$C471*'Business Case'!F12*$B471)-('Business Case'!E11*$C471*'Business Case'!E12*$B471))-'Business Case'!F15*$F471</f>
        <v>548781421.590078</v>
      </c>
      <c r="M471" s="39" t="n">
        <f aca="false">(('Business Case'!G11*$C471*'Business Case'!G12*$B471)-'Business Case'!G11*$C471*'Business Case'!G13*$D471-'Business Case'!G14*$E471)-MAX(0,(('Business Case'!G11*$C471*'Business Case'!G12*$B471)-'Business Case'!G11*$C471*'Business Case'!G13*$D471-'Business Case'!G14*$E471))*'Business Case'!$B$7-'Business Case'!$B$8*(('Business Case'!G11*$C471*'Business Case'!G12*$B471)-('Business Case'!F11*$C471*'Business Case'!F12*$B471))-'Business Case'!G15*$F471+'Business Case'!$B$8*('Business Case'!G11*$C471*'Business Case'!G12*$B471)</f>
        <v>706005858.603199</v>
      </c>
      <c r="N471" s="39" t="n">
        <f aca="false">IF(COUNT('Business Case'!B11:G11)=0,"",H471+NPV(G471,I471:M471))</f>
        <v>-774880966.046552</v>
      </c>
      <c r="P471" s="40" t="n">
        <f aca="true">RAND()</f>
        <v>0.838273036132098</v>
      </c>
      <c r="Q471" s="40" t="n">
        <f aca="true">RAND()</f>
        <v>0.00424065344406168</v>
      </c>
      <c r="R471" s="40" t="n">
        <f aca="true">RAND()</f>
        <v>0.996102584170671</v>
      </c>
      <c r="S471" s="40" t="n">
        <f aca="true">RAND()</f>
        <v>0.796276918559102</v>
      </c>
      <c r="T471" s="40" t="n">
        <f aca="true">RAND()</f>
        <v>0.125154024813664</v>
      </c>
      <c r="U471" s="40" t="n">
        <f aca="true">RAND()</f>
        <v>0.642659198313337</v>
      </c>
    </row>
    <row r="472" customFormat="false" ht="15" hidden="false" customHeight="false" outlineLevel="0" collapsed="false">
      <c r="A472" s="36" t="n">
        <v>392</v>
      </c>
      <c r="B472" s="37" t="n">
        <f aca="false">1+IF($G$6=$E$6,$F$6,IF(P472&lt;($F$6-$E$6)/($G$6-$E$6),$E$6+SQRT(P472*($G$6-$E$6)*($F$6-$E$6)),$G$6-SQRT((1-P472)*($G$6-$E$6)*($G$6-$F$6))))</f>
        <v>0.978303919176498</v>
      </c>
      <c r="C472" s="37" t="n">
        <f aca="false">1+IF($G$7=$E$7,$F$7,IF(Q472&lt;($F$7-$E$7)/($G$7-$E$7),$E$7+SQRT(Q472*($G$7-$E$7)*($F$7-$E$7)),$G$7-SQRT((1-Q472)*($G$7-$E$7)*($G$7-$F$7))))</f>
        <v>1.12957855712572</v>
      </c>
      <c r="D472" s="37" t="n">
        <f aca="false">1+IF($G$8=$E$8,$F$8,IF(R472&lt;($F$8-$E$8)/($G$8-$E$8),$E$8+SQRT(R472*($G$8-$E$8)*($F$8-$E$8)),$G$8-SQRT((1-R472)*($G$8-$E$8)*($G$8-$F$8))))</f>
        <v>0.983742693647186</v>
      </c>
      <c r="E472" s="37" t="n">
        <f aca="false">1+IF($G$9=$E$9,$F$9,IF(S472&lt;($F$9-$E$9)/($G$9-$E$9),$E$9+SQRT(S472*($G$9-$E$9)*($F$9-$E$9)),$G$9-SQRT((1-S472)*($G$9-$E$9)*($G$9-$F$9))))</f>
        <v>0.997626463194321</v>
      </c>
      <c r="F472" s="37" t="n">
        <f aca="false">1+IF($G$10=$E$10,$F$10,IF(T472&lt;($F$10-$E$10)/($G$10-$E$10),$E$10+SQRT(T472*($G$10-$E$10)*($F$10-$E$10)),$G$10-SQRT((1-T472)*($G$10-$E$10)*($G$10-$F$10))))</f>
        <v>1.04374783160583</v>
      </c>
      <c r="G472" s="38" t="n">
        <f aca="false">IF($G$11=$E$11,$F$11,IF(U472&lt;($F$11-$E$11)/($G$11-$E$11),$E$11+SQRT(U472*($G$11-$E$11)*($F$11-$E$11)),$G$11-SQRT((1-U472)*($G$11-$E$11)*($G$11-$F$11))))</f>
        <v>0.108055623893681</v>
      </c>
      <c r="H472" s="39" t="n">
        <f aca="false">(('Business Case'!B11*$C472*'Business Case'!B12*$B472)-'Business Case'!B11*$C472*'Business Case'!B13*$D472-'Business Case'!B14*$E472)-MAX(0,(('Business Case'!B11*$C472*'Business Case'!B12*$B472)-'Business Case'!B11*$C472*'Business Case'!B13*$D472-'Business Case'!B14*$E472))*'Business Case'!$B$7-'Business Case'!$B$8*('Business Case'!B11*$C472*'Business Case'!B12*$B472)-'Business Case'!B15*$F472</f>
        <v>-2087495663.21166</v>
      </c>
      <c r="I472" s="39" t="n">
        <f aca="false">(('Business Case'!C11*$C472*'Business Case'!C12*$B472)-'Business Case'!C11*$C472*'Business Case'!C13*$D472-'Business Case'!C14*$E472)-MAX(0,(('Business Case'!C11*$C472*'Business Case'!C12*$B472)-'Business Case'!C11*$C472*'Business Case'!C13*$D472-'Business Case'!C14*$E472))*'Business Case'!$B$7-'Business Case'!$B$8*(('Business Case'!C11*$C472*'Business Case'!C12*$B472)-('Business Case'!B11*$C472*'Business Case'!B12*$B472))-'Business Case'!C15*$F472</f>
        <v>32755661.6723439</v>
      </c>
      <c r="J472" s="39" t="n">
        <f aca="false">(('Business Case'!D11*$C472*'Business Case'!D12*$B472)-'Business Case'!D11*$C472*'Business Case'!D13*$D472-'Business Case'!D14*$E472)-MAX(0,(('Business Case'!D11*$C472*'Business Case'!D12*$B472)-'Business Case'!D11*$C472*'Business Case'!D13*$D472-'Business Case'!D14*$E472))*'Business Case'!$B$7-'Business Case'!$B$8*(('Business Case'!D11*$C472*'Business Case'!D12*$B472)-('Business Case'!C11*$C472*'Business Case'!C12*$B472))-'Business Case'!D15*$F472</f>
        <v>369035476.92239</v>
      </c>
      <c r="K472" s="39" t="n">
        <f aca="false">(('Business Case'!E11*$C472*'Business Case'!E12*$B472)-'Business Case'!E11*$C472*'Business Case'!E13*$D472-'Business Case'!E14*$E472)-MAX(0,(('Business Case'!E11*$C472*'Business Case'!E12*$B472)-'Business Case'!E11*$C472*'Business Case'!E13*$D472-'Business Case'!E14*$E472))*'Business Case'!$B$7-'Business Case'!$B$8*(('Business Case'!E11*$C472*'Business Case'!E12*$B472)-('Business Case'!D11*$C472*'Business Case'!D12*$B472))-'Business Case'!E15*$F472</f>
        <v>757502683.752727</v>
      </c>
      <c r="L472" s="39" t="n">
        <f aca="false">(('Business Case'!F11*$C472*'Business Case'!F12*$B472)-'Business Case'!F11*$C472*'Business Case'!F13*$D472-'Business Case'!F14*$E472)-MAX(0,(('Business Case'!F11*$C472*'Business Case'!F12*$B472)-'Business Case'!F11*$C472*'Business Case'!F13*$D472-'Business Case'!F14*$E472))*'Business Case'!$B$7-'Business Case'!$B$8*(('Business Case'!F11*$C472*'Business Case'!F12*$B472)-('Business Case'!E11*$C472*'Business Case'!E12*$B472))-'Business Case'!F15*$F472</f>
        <v>907787213.736666</v>
      </c>
      <c r="M472" s="39" t="n">
        <f aca="false">(('Business Case'!G11*$C472*'Business Case'!G12*$B472)-'Business Case'!G11*$C472*'Business Case'!G13*$D472-'Business Case'!G14*$E472)-MAX(0,(('Business Case'!G11*$C472*'Business Case'!G12*$B472)-'Business Case'!G11*$C472*'Business Case'!G13*$D472-'Business Case'!G14*$E472))*'Business Case'!$B$7-'Business Case'!$B$8*(('Business Case'!G11*$C472*'Business Case'!G12*$B472)-('Business Case'!F11*$C472*'Business Case'!F12*$B472))-'Business Case'!G15*$F472+'Business Case'!$B$8*('Business Case'!G11*$C472*'Business Case'!G12*$B472)</f>
        <v>1117839134.02325</v>
      </c>
      <c r="N472" s="39" t="n">
        <f aca="false">IF(COUNT('Business Case'!B11:G11)=0,"",H472+NPV(G472,I472:M472))</f>
        <v>70855529.4903801</v>
      </c>
      <c r="P472" s="40" t="n">
        <f aca="true">RAND()</f>
        <v>0.354098644931203</v>
      </c>
      <c r="Q472" s="40" t="n">
        <f aca="true">RAND()</f>
        <v>0.992056469922521</v>
      </c>
      <c r="R472" s="40" t="n">
        <f aca="true">RAND()</f>
        <v>0.175164519164284</v>
      </c>
      <c r="S472" s="40" t="n">
        <f aca="true">RAND()</f>
        <v>0.302437332853339</v>
      </c>
      <c r="T472" s="40" t="n">
        <f aca="true">RAND()</f>
        <v>0.511705197442411</v>
      </c>
      <c r="U472" s="40" t="n">
        <f aca="true">RAND()</f>
        <v>0.762219799051324</v>
      </c>
    </row>
    <row r="473" customFormat="false" ht="15" hidden="false" customHeight="false" outlineLevel="0" collapsed="false">
      <c r="A473" s="36" t="n">
        <v>393</v>
      </c>
      <c r="B473" s="37" t="n">
        <f aca="false">1+IF($G$6=$E$6,$F$6,IF(P473&lt;($F$6-$E$6)/($G$6-$E$6),$E$6+SQRT(P473*($G$6-$E$6)*($F$6-$E$6)),$G$6-SQRT((1-P473)*($G$6-$E$6)*($G$6-$F$6))))</f>
        <v>0.997979153680608</v>
      </c>
      <c r="C473" s="37" t="n">
        <f aca="false">1+IF($G$7=$E$7,$F$7,IF(Q473&lt;($F$7-$E$7)/($G$7-$E$7),$E$7+SQRT(Q473*($G$7-$E$7)*($F$7-$E$7)),$G$7-SQRT((1-Q473)*($G$7-$E$7)*($G$7-$F$7))))</f>
        <v>0.851679849099687</v>
      </c>
      <c r="D473" s="37" t="n">
        <f aca="false">1+IF($G$8=$E$8,$F$8,IF(R473&lt;($F$8-$E$8)/($G$8-$E$8),$E$8+SQRT(R473*($G$8-$E$8)*($F$8-$E$8)),$G$8-SQRT((1-R473)*($G$8-$E$8)*($G$8-$F$8))))</f>
        <v>0.984270467738768</v>
      </c>
      <c r="E473" s="37" t="n">
        <f aca="false">1+IF($G$9=$E$9,$F$9,IF(S473&lt;($F$9-$E$9)/($G$9-$E$9),$E$9+SQRT(S473*($G$9-$E$9)*($F$9-$E$9)),$G$9-SQRT((1-S473)*($G$9-$E$9)*($G$9-$F$9))))</f>
        <v>0.985703573144982</v>
      </c>
      <c r="F473" s="37" t="n">
        <f aca="false">1+IF($G$10=$E$10,$F$10,IF(T473&lt;($F$10-$E$10)/($G$10-$E$10),$E$10+SQRT(T473*($G$10-$E$10)*($F$10-$E$10)),$G$10-SQRT((1-T473)*($G$10-$E$10)*($G$10-$F$10))))</f>
        <v>0.997534109555701</v>
      </c>
      <c r="G473" s="38" t="n">
        <f aca="false">IF($G$11=$E$11,$F$11,IF(U473&lt;($F$11-$E$11)/($G$11-$E$11),$E$11+SQRT(U473*($G$11-$E$11)*($F$11-$E$11)),$G$11-SQRT((1-U473)*($G$11-$E$11)*($G$11-$F$11))))</f>
        <v>0.113002905604854</v>
      </c>
      <c r="H473" s="39" t="n">
        <f aca="false">(('Business Case'!B11*$C473*'Business Case'!B12*$B473)-'Business Case'!B11*$C473*'Business Case'!B13*$D473-'Business Case'!B14*$E473)-MAX(0,(('Business Case'!B11*$C473*'Business Case'!B12*$B473)-'Business Case'!B11*$C473*'Business Case'!B13*$D473-'Business Case'!B14*$E473))*'Business Case'!$B$7-'Business Case'!$B$8*('Business Case'!B11*$C473*'Business Case'!B12*$B473)-'Business Case'!B15*$F473</f>
        <v>-1995068219.1114</v>
      </c>
      <c r="I473" s="39" t="n">
        <f aca="false">(('Business Case'!C11*$C473*'Business Case'!C12*$B473)-'Business Case'!C11*$C473*'Business Case'!C13*$D473-'Business Case'!C14*$E473)-MAX(0,(('Business Case'!C11*$C473*'Business Case'!C12*$B473)-'Business Case'!C11*$C473*'Business Case'!C13*$D473-'Business Case'!C14*$E473))*'Business Case'!$B$7-'Business Case'!$B$8*(('Business Case'!C11*$C473*'Business Case'!C12*$B473)-('Business Case'!B11*$C473*'Business Case'!B12*$B473))-'Business Case'!C15*$F473</f>
        <v>-16938917.8104571</v>
      </c>
      <c r="J473" s="39" t="n">
        <f aca="false">(('Business Case'!D11*$C473*'Business Case'!D12*$B473)-'Business Case'!D11*$C473*'Business Case'!D13*$D473-'Business Case'!D14*$E473)-MAX(0,(('Business Case'!D11*$C473*'Business Case'!D12*$B473)-'Business Case'!D11*$C473*'Business Case'!D13*$D473-'Business Case'!D14*$E473))*'Business Case'!$B$7-'Business Case'!$B$8*(('Business Case'!D11*$C473*'Business Case'!D12*$B473)-('Business Case'!C11*$C473*'Business Case'!C12*$B473))-'Business Case'!D15*$F473</f>
        <v>250104484.25886</v>
      </c>
      <c r="K473" s="39" t="n">
        <f aca="false">(('Business Case'!E11*$C473*'Business Case'!E12*$B473)-'Business Case'!E11*$C473*'Business Case'!E13*$D473-'Business Case'!E14*$E473)-MAX(0,(('Business Case'!E11*$C473*'Business Case'!E12*$B473)-'Business Case'!E11*$C473*'Business Case'!E13*$D473-'Business Case'!E14*$E473))*'Business Case'!$B$7-'Business Case'!$B$8*(('Business Case'!E11*$C473*'Business Case'!E12*$B473)-('Business Case'!D11*$C473*'Business Case'!D12*$B473))-'Business Case'!E15*$F473</f>
        <v>567024591.805962</v>
      </c>
      <c r="L473" s="39" t="n">
        <f aca="false">(('Business Case'!F11*$C473*'Business Case'!F12*$B473)-'Business Case'!F11*$C473*'Business Case'!F13*$D473-'Business Case'!F14*$E473)-MAX(0,(('Business Case'!F11*$C473*'Business Case'!F12*$B473)-'Business Case'!F11*$C473*'Business Case'!F13*$D473-'Business Case'!F14*$E473))*'Business Case'!$B$7-'Business Case'!$B$8*(('Business Case'!F11*$C473*'Business Case'!F12*$B473)-('Business Case'!E11*$C473*'Business Case'!E12*$B473))-'Business Case'!F15*$F473</f>
        <v>685413633.044393</v>
      </c>
      <c r="M473" s="39" t="n">
        <f aca="false">(('Business Case'!G11*$C473*'Business Case'!G12*$B473)-'Business Case'!G11*$C473*'Business Case'!G13*$D473-'Business Case'!G14*$E473)-MAX(0,(('Business Case'!G11*$C473*'Business Case'!G12*$B473)-'Business Case'!G11*$C473*'Business Case'!G13*$D473-'Business Case'!G14*$E473))*'Business Case'!$B$7-'Business Case'!$B$8*(('Business Case'!G11*$C473*'Business Case'!G12*$B473)-('Business Case'!F11*$C473*'Business Case'!F12*$B473))-'Business Case'!G15*$F473+'Business Case'!$B$8*('Business Case'!G11*$C473*'Business Case'!G12*$B473)</f>
        <v>846973789.395347</v>
      </c>
      <c r="N473" s="39" t="n">
        <f aca="false">IF(COUNT('Business Case'!B11:G11)=0,"",H473+NPV(G473,I473:M473))</f>
        <v>-454590289.611811</v>
      </c>
      <c r="P473" s="40" t="n">
        <f aca="true">RAND()</f>
        <v>0.63341129257748</v>
      </c>
      <c r="Q473" s="40" t="n">
        <f aca="true">RAND()</f>
        <v>0.0381543828995202</v>
      </c>
      <c r="R473" s="40" t="n">
        <f aca="true">RAND()</f>
        <v>0.180686916774454</v>
      </c>
      <c r="S473" s="40" t="n">
        <f aca="true">RAND()</f>
        <v>0.169966018042547</v>
      </c>
      <c r="T473" s="40" t="n">
        <f aca="true">RAND()</f>
        <v>0.180759325700274</v>
      </c>
      <c r="U473" s="40" t="n">
        <f aca="true">RAND()</f>
        <v>0.918401116709021</v>
      </c>
    </row>
    <row r="474" customFormat="false" ht="15" hidden="false" customHeight="false" outlineLevel="0" collapsed="false">
      <c r="A474" s="36" t="n">
        <v>394</v>
      </c>
      <c r="B474" s="37" t="n">
        <f aca="false">1+IF($G$6=$E$6,$F$6,IF(P474&lt;($F$6-$E$6)/($G$6-$E$6),$E$6+SQRT(P474*($G$6-$E$6)*($F$6-$E$6)),$G$6-SQRT((1-P474)*($G$6-$E$6)*($G$6-$F$6))))</f>
        <v>0.971497119096976</v>
      </c>
      <c r="C474" s="37" t="n">
        <f aca="false">1+IF($G$7=$E$7,$F$7,IF(Q474&lt;($F$7-$E$7)/($G$7-$E$7),$E$7+SQRT(Q474*($G$7-$E$7)*($F$7-$E$7)),$G$7-SQRT((1-Q474)*($G$7-$E$7)*($G$7-$F$7))))</f>
        <v>0.886520007640218</v>
      </c>
      <c r="D474" s="37" t="n">
        <f aca="false">1+IF($G$8=$E$8,$F$8,IF(R474&lt;($F$8-$E$8)/($G$8-$E$8),$E$8+SQRT(R474*($G$8-$E$8)*($F$8-$E$8)),$G$8-SQRT((1-R474)*($G$8-$E$8)*($G$8-$F$8))))</f>
        <v>1.0240617915723</v>
      </c>
      <c r="E474" s="37" t="n">
        <f aca="false">1+IF($G$9=$E$9,$F$9,IF(S474&lt;($F$9-$E$9)/($G$9-$E$9),$E$9+SQRT(S474*($G$9-$E$9)*($F$9-$E$9)),$G$9-SQRT((1-S474)*($G$9-$E$9)*($G$9-$F$9))))</f>
        <v>0.969724075723799</v>
      </c>
      <c r="F474" s="37" t="n">
        <f aca="false">1+IF($G$10=$E$10,$F$10,IF(T474&lt;($F$10-$E$10)/($G$10-$E$10),$E$10+SQRT(T474*($G$10-$E$10)*($F$10-$E$10)),$G$10-SQRT((1-T474)*($G$10-$E$10)*($G$10-$F$10))))</f>
        <v>1.0384078227928</v>
      </c>
      <c r="G474" s="38" t="n">
        <f aca="false">IF($G$11=$E$11,$F$11,IF(U474&lt;($F$11-$E$11)/($G$11-$E$11),$E$11+SQRT(U474*($G$11-$E$11)*($F$11-$E$11)),$G$11-SQRT((1-U474)*($G$11-$E$11)*($G$11-$F$11))))</f>
        <v>0.0999422756496355</v>
      </c>
      <c r="H474" s="39" t="n">
        <f aca="false">(('Business Case'!B11*$C474*'Business Case'!B12*$B474)-'Business Case'!B11*$C474*'Business Case'!B13*$D474-'Business Case'!B14*$E474)-MAX(0,(('Business Case'!B11*$C474*'Business Case'!B12*$B474)-'Business Case'!B11*$C474*'Business Case'!B13*$D474-'Business Case'!B14*$E474))*'Business Case'!$B$7-'Business Case'!$B$8*('Business Case'!B11*$C474*'Business Case'!B12*$B474)-'Business Case'!B15*$F474</f>
        <v>-2076815645.58561</v>
      </c>
      <c r="I474" s="39" t="n">
        <f aca="false">(('Business Case'!C11*$C474*'Business Case'!C12*$B474)-'Business Case'!C11*$C474*'Business Case'!C13*$D474-'Business Case'!C14*$E474)-MAX(0,(('Business Case'!C11*$C474*'Business Case'!C12*$B474)-'Business Case'!C11*$C474*'Business Case'!C13*$D474-'Business Case'!C14*$E474))*'Business Case'!$B$7-'Business Case'!$B$8*(('Business Case'!C11*$C474*'Business Case'!C12*$B474)-('Business Case'!B11*$C474*'Business Case'!B12*$B474))-'Business Case'!C15*$F474</f>
        <v>-45702953.3669149</v>
      </c>
      <c r="J474" s="39" t="n">
        <f aca="false">(('Business Case'!D11*$C474*'Business Case'!D12*$B474)-'Business Case'!D11*$C474*'Business Case'!D13*$D474-'Business Case'!D14*$E474)-MAX(0,(('Business Case'!D11*$C474*'Business Case'!D12*$B474)-'Business Case'!D11*$C474*'Business Case'!D13*$D474-'Business Case'!D14*$E474))*'Business Case'!$B$7-'Business Case'!$B$8*(('Business Case'!D11*$C474*'Business Case'!D12*$B474)-('Business Case'!C11*$C474*'Business Case'!C12*$B474))-'Business Case'!D15*$F474</f>
        <v>194976923.791127</v>
      </c>
      <c r="K474" s="39" t="n">
        <f aca="false">(('Business Case'!E11*$C474*'Business Case'!E12*$B474)-'Business Case'!E11*$C474*'Business Case'!E13*$D474-'Business Case'!E14*$E474)-MAX(0,(('Business Case'!E11*$C474*'Business Case'!E12*$B474)-'Business Case'!E11*$C474*'Business Case'!E13*$D474-'Business Case'!E14*$E474))*'Business Case'!$B$7-'Business Case'!$B$8*(('Business Case'!E11*$C474*'Business Case'!E12*$B474)-('Business Case'!D11*$C474*'Business Case'!D12*$B474))-'Business Case'!E15*$F474</f>
        <v>487577192.088809</v>
      </c>
      <c r="L474" s="39" t="n">
        <f aca="false">(('Business Case'!F11*$C474*'Business Case'!F12*$B474)-'Business Case'!F11*$C474*'Business Case'!F13*$D474-'Business Case'!F14*$E474)-MAX(0,(('Business Case'!F11*$C474*'Business Case'!F12*$B474)-'Business Case'!F11*$C474*'Business Case'!F13*$D474-'Business Case'!F14*$E474))*'Business Case'!$B$7-'Business Case'!$B$8*(('Business Case'!F11*$C474*'Business Case'!F12*$B474)-('Business Case'!E11*$C474*'Business Case'!E12*$B474))-'Business Case'!F15*$F474</f>
        <v>597568674.259992</v>
      </c>
      <c r="M474" s="39" t="n">
        <f aca="false">(('Business Case'!G11*$C474*'Business Case'!G12*$B474)-'Business Case'!G11*$C474*'Business Case'!G13*$D474-'Business Case'!G14*$E474)-MAX(0,(('Business Case'!G11*$C474*'Business Case'!G12*$B474)-'Business Case'!G11*$C474*'Business Case'!G13*$D474-'Business Case'!G14*$E474))*'Business Case'!$B$7-'Business Case'!$B$8*(('Business Case'!G11*$C474*'Business Case'!G12*$B474)-('Business Case'!F11*$C474*'Business Case'!F12*$B474))-'Business Case'!G15*$F474+'Business Case'!$B$8*('Business Case'!G11*$C474*'Business Case'!G12*$B474)</f>
        <v>761275384.745085</v>
      </c>
      <c r="N474" s="39" t="n">
        <f aca="false">IF(COUNT('Business Case'!B11:G11)=0,"",H474+NPV(G474,I474:M474))</f>
        <v>-709780166.768578</v>
      </c>
      <c r="P474" s="40" t="n">
        <f aca="true">RAND()</f>
        <v>0.276245132842512</v>
      </c>
      <c r="Q474" s="40" t="n">
        <f aca="true">RAND()</f>
        <v>0.106938738886619</v>
      </c>
      <c r="R474" s="40" t="n">
        <f aca="true">RAND()</f>
        <v>0.699126619028794</v>
      </c>
      <c r="S474" s="40" t="n">
        <f aca="true">RAND()</f>
        <v>0.0518718884210878</v>
      </c>
      <c r="T474" s="40" t="n">
        <f aca="true">RAND()</f>
        <v>0.477759365308756</v>
      </c>
      <c r="U474" s="40" t="n">
        <f aca="true">RAND()</f>
        <v>0.329496150311115</v>
      </c>
    </row>
    <row r="475" customFormat="false" ht="15" hidden="false" customHeight="false" outlineLevel="0" collapsed="false">
      <c r="A475" s="36" t="n">
        <v>395</v>
      </c>
      <c r="B475" s="37" t="n">
        <f aca="false">1+IF($G$6=$E$6,$F$6,IF(P475&lt;($F$6-$E$6)/($G$6-$E$6),$E$6+SQRT(P475*($G$6-$E$6)*($F$6-$E$6)),$G$6-SQRT((1-P475)*($G$6-$E$6)*($G$6-$F$6))))</f>
        <v>0.999744993301892</v>
      </c>
      <c r="C475" s="37" t="n">
        <f aca="false">1+IF($G$7=$E$7,$F$7,IF(Q475&lt;($F$7-$E$7)/($G$7-$E$7),$E$7+SQRT(Q475*($G$7-$E$7)*($F$7-$E$7)),$G$7-SQRT((1-Q475)*($G$7-$E$7)*($G$7-$F$7))))</f>
        <v>0.945069635579584</v>
      </c>
      <c r="D475" s="37" t="n">
        <f aca="false">1+IF($G$8=$E$8,$F$8,IF(R475&lt;($F$8-$E$8)/($G$8-$E$8),$E$8+SQRT(R475*($G$8-$E$8)*($F$8-$E$8)),$G$8-SQRT((1-R475)*($G$8-$E$8)*($G$8-$F$8))))</f>
        <v>1.04460559749297</v>
      </c>
      <c r="E475" s="37" t="n">
        <f aca="false">1+IF($G$9=$E$9,$F$9,IF(S475&lt;($F$9-$E$9)/($G$9-$E$9),$E$9+SQRT(S475*($G$9-$E$9)*($F$9-$E$9)),$G$9-SQRT((1-S475)*($G$9-$E$9)*($G$9-$F$9))))</f>
        <v>0.951711627611855</v>
      </c>
      <c r="F475" s="37" t="n">
        <f aca="false">1+IF($G$10=$E$10,$F$10,IF(T475&lt;($F$10-$E$10)/($G$10-$E$10),$E$10+SQRT(T475*($G$10-$E$10)*($F$10-$E$10)),$G$10-SQRT((1-T475)*($G$10-$E$10)*($G$10-$F$10))))</f>
        <v>1.04058281264356</v>
      </c>
      <c r="G475" s="38" t="n">
        <f aca="false">IF($G$11=$E$11,$F$11,IF(U475&lt;($F$11-$E$11)/($G$11-$E$11),$E$11+SQRT(U475*($G$11-$E$11)*($F$11-$E$11)),$G$11-SQRT((1-U475)*($G$11-$E$11)*($G$11-$F$11))))</f>
        <v>0.0980882518710242</v>
      </c>
      <c r="H475" s="39" t="n">
        <f aca="false">(('Business Case'!B11*$C475*'Business Case'!B12*$B475)-'Business Case'!B11*$C475*'Business Case'!B13*$D475-'Business Case'!B14*$E475)-MAX(0,(('Business Case'!B11*$C475*'Business Case'!B12*$B475)-'Business Case'!B11*$C475*'Business Case'!B13*$D475-'Business Case'!B14*$E475))*'Business Case'!$B$7-'Business Case'!$B$8*('Business Case'!B11*$C475*'Business Case'!B12*$B475)-'Business Case'!B15*$F475</f>
        <v>-2081165625.28711</v>
      </c>
      <c r="I475" s="39" t="n">
        <f aca="false">(('Business Case'!C11*$C475*'Business Case'!C12*$B475)-'Business Case'!C11*$C475*'Business Case'!C13*$D475-'Business Case'!C14*$E475)-MAX(0,(('Business Case'!C11*$C475*'Business Case'!C12*$B475)-'Business Case'!C11*$C475*'Business Case'!C13*$D475-'Business Case'!C14*$E475))*'Business Case'!$B$7-'Business Case'!$B$8*(('Business Case'!C11*$C475*'Business Case'!C12*$B475)-('Business Case'!B11*$C475*'Business Case'!B12*$B475))-'Business Case'!C15*$F475</f>
        <v>-19869148.3246728</v>
      </c>
      <c r="J475" s="39" t="n">
        <f aca="false">(('Business Case'!D11*$C475*'Business Case'!D12*$B475)-'Business Case'!D11*$C475*'Business Case'!D13*$D475-'Business Case'!D14*$E475)-MAX(0,(('Business Case'!D11*$C475*'Business Case'!D12*$B475)-'Business Case'!D11*$C475*'Business Case'!D13*$D475-'Business Case'!D14*$E475))*'Business Case'!$B$7-'Business Case'!$B$8*(('Business Case'!D11*$C475*'Business Case'!D12*$B475)-('Business Case'!C11*$C475*'Business Case'!C12*$B475))-'Business Case'!D15*$F475</f>
        <v>248633294.577178</v>
      </c>
      <c r="K475" s="39" t="n">
        <f aca="false">(('Business Case'!E11*$C475*'Business Case'!E12*$B475)-'Business Case'!E11*$C475*'Business Case'!E13*$D475-'Business Case'!E14*$E475)-MAX(0,(('Business Case'!E11*$C475*'Business Case'!E12*$B475)-'Business Case'!E11*$C475*'Business Case'!E13*$D475-'Business Case'!E14*$E475))*'Business Case'!$B$7-'Business Case'!$B$8*(('Business Case'!E11*$C475*'Business Case'!E12*$B475)-('Business Case'!D11*$C475*'Business Case'!D12*$B475))-'Business Case'!E15*$F475</f>
        <v>569164878.111207</v>
      </c>
      <c r="L475" s="39" t="n">
        <f aca="false">(('Business Case'!F11*$C475*'Business Case'!F12*$B475)-'Business Case'!F11*$C475*'Business Case'!F13*$D475-'Business Case'!F14*$E475)-MAX(0,(('Business Case'!F11*$C475*'Business Case'!F12*$B475)-'Business Case'!F11*$C475*'Business Case'!F13*$D475-'Business Case'!F14*$E475))*'Business Case'!$B$7-'Business Case'!$B$8*(('Business Case'!F11*$C475*'Business Case'!F12*$B475)-('Business Case'!E11*$C475*'Business Case'!E12*$B475))-'Business Case'!F15*$F475</f>
        <v>691318970.088999</v>
      </c>
      <c r="M475" s="39" t="n">
        <f aca="false">(('Business Case'!G11*$C475*'Business Case'!G12*$B475)-'Business Case'!G11*$C475*'Business Case'!G13*$D475-'Business Case'!G14*$E475)-MAX(0,(('Business Case'!G11*$C475*'Business Case'!G12*$B475)-'Business Case'!G11*$C475*'Business Case'!G13*$D475-'Business Case'!G14*$E475))*'Business Case'!$B$7-'Business Case'!$B$8*(('Business Case'!G11*$C475*'Business Case'!G12*$B475)-('Business Case'!F11*$C475*'Business Case'!F12*$B475))-'Business Case'!G15*$F475+'Business Case'!$B$8*('Business Case'!G11*$C475*'Business Case'!G12*$B475)</f>
        <v>870911997.313462</v>
      </c>
      <c r="N475" s="39" t="n">
        <f aca="false">IF(COUNT('Business Case'!B11:G11)=0,"",H475+NPV(G475,I475:M475))</f>
        <v>-442233887.63341</v>
      </c>
      <c r="P475" s="40" t="n">
        <f aca="true">RAND()</f>
        <v>0.662423328824866</v>
      </c>
      <c r="Q475" s="40" t="n">
        <f aca="true">RAND()</f>
        <v>0.300645702388475</v>
      </c>
      <c r="R475" s="40" t="n">
        <f aca="true">RAND()</f>
        <v>0.879541949151023</v>
      </c>
      <c r="S475" s="40" t="n">
        <f aca="true">RAND()</f>
        <v>0.000390622544221727</v>
      </c>
      <c r="T475" s="40" t="n">
        <f aca="true">RAND()</f>
        <v>0.491723207507216</v>
      </c>
      <c r="U475" s="40" t="n">
        <f aca="true">RAND()</f>
        <v>0.218066061097087</v>
      </c>
    </row>
    <row r="476" customFormat="false" ht="15" hidden="false" customHeight="false" outlineLevel="0" collapsed="false">
      <c r="A476" s="36" t="n">
        <v>396</v>
      </c>
      <c r="B476" s="37" t="n">
        <f aca="false">1+IF($G$6=$E$6,$F$6,IF(P476&lt;($F$6-$E$6)/($G$6-$E$6),$E$6+SQRT(P476*($G$6-$E$6)*($F$6-$E$6)),$G$6-SQRT((1-P476)*($G$6-$E$6)*($G$6-$F$6))))</f>
        <v>1.01388577533061</v>
      </c>
      <c r="C476" s="37" t="n">
        <f aca="false">1+IF($G$7=$E$7,$F$7,IF(Q476&lt;($F$7-$E$7)/($G$7-$E$7),$E$7+SQRT(Q476*($G$7-$E$7)*($F$7-$E$7)),$G$7-SQRT((1-Q476)*($G$7-$E$7)*($G$7-$F$7))))</f>
        <v>0.92054645275529</v>
      </c>
      <c r="D476" s="37" t="n">
        <f aca="false">1+IF($G$8=$E$8,$F$8,IF(R476&lt;($F$8-$E$8)/($G$8-$E$8),$E$8+SQRT(R476*($G$8-$E$8)*($F$8-$E$8)),$G$8-SQRT((1-R476)*($G$8-$E$8)*($G$8-$F$8))))</f>
        <v>1.00077908516414</v>
      </c>
      <c r="E476" s="37" t="n">
        <f aca="false">1+IF($G$9=$E$9,$F$9,IF(S476&lt;($F$9-$E$9)/($G$9-$E$9),$E$9+SQRT(S476*($G$9-$E$9)*($F$9-$E$9)),$G$9-SQRT((1-S476)*($G$9-$E$9)*($G$9-$F$9))))</f>
        <v>0.984790174433343</v>
      </c>
      <c r="F476" s="37" t="n">
        <f aca="false">1+IF($G$10=$E$10,$F$10,IF(T476&lt;($F$10-$E$10)/($G$10-$E$10),$E$10+SQRT(T476*($G$10-$E$10)*($F$10-$E$10)),$G$10-SQRT((1-T476)*($G$10-$E$10)*($G$10-$F$10))))</f>
        <v>1.06598907070429</v>
      </c>
      <c r="G476" s="38" t="n">
        <f aca="false">IF($G$11=$E$11,$F$11,IF(U476&lt;($F$11-$E$11)/($G$11-$E$11),$E$11+SQRT(U476*($G$11-$E$11)*($F$11-$E$11)),$G$11-SQRT((1-U476)*($G$11-$E$11)*($G$11-$F$11))))</f>
        <v>0.114063935480822</v>
      </c>
      <c r="H476" s="39" t="n">
        <f aca="false">(('Business Case'!B11*$C476*'Business Case'!B12*$B476)-'Business Case'!B11*$C476*'Business Case'!B13*$D476-'Business Case'!B14*$E476)-MAX(0,(('Business Case'!B11*$C476*'Business Case'!B12*$B476)-'Business Case'!B11*$C476*'Business Case'!B13*$D476-'Business Case'!B14*$E476))*'Business Case'!$B$7-'Business Case'!$B$8*('Business Case'!B11*$C476*'Business Case'!B12*$B476)-'Business Case'!B15*$F476</f>
        <v>-2131978141.40857</v>
      </c>
      <c r="I476" s="39" t="n">
        <f aca="false">(('Business Case'!C11*$C476*'Business Case'!C12*$B476)-'Business Case'!C11*$C476*'Business Case'!C13*$D476-'Business Case'!C14*$E476)-MAX(0,(('Business Case'!C11*$C476*'Business Case'!C12*$B476)-'Business Case'!C11*$C476*'Business Case'!C13*$D476-'Business Case'!C14*$E476))*'Business Case'!$B$7-'Business Case'!$B$8*(('Business Case'!C11*$C476*'Business Case'!C12*$B476)-('Business Case'!B11*$C476*'Business Case'!B12*$B476))-'Business Case'!C15*$F476</f>
        <v>-2169510.82603273</v>
      </c>
      <c r="J476" s="39" t="n">
        <f aca="false">(('Business Case'!D11*$C476*'Business Case'!D12*$B476)-'Business Case'!D11*$C476*'Business Case'!D13*$D476-'Business Case'!D14*$E476)-MAX(0,(('Business Case'!D11*$C476*'Business Case'!D12*$B476)-'Business Case'!D11*$C476*'Business Case'!D13*$D476-'Business Case'!D14*$E476))*'Business Case'!$B$7-'Business Case'!$B$8*(('Business Case'!D11*$C476*'Business Case'!D12*$B476)-('Business Case'!C11*$C476*'Business Case'!C12*$B476))-'Business Case'!D15*$F476</f>
        <v>290680821.197089</v>
      </c>
      <c r="K476" s="39" t="n">
        <f aca="false">(('Business Case'!E11*$C476*'Business Case'!E12*$B476)-'Business Case'!E11*$C476*'Business Case'!E13*$D476-'Business Case'!E14*$E476)-MAX(0,(('Business Case'!E11*$C476*'Business Case'!E12*$B476)-'Business Case'!E11*$C476*'Business Case'!E13*$D476-'Business Case'!E14*$E476))*'Business Case'!$B$7-'Business Case'!$B$8*(('Business Case'!E11*$C476*'Business Case'!E12*$B476)-('Business Case'!D11*$C476*'Business Case'!D12*$B476))-'Business Case'!E15*$F476</f>
        <v>636830606.755425</v>
      </c>
      <c r="L476" s="39" t="n">
        <f aca="false">(('Business Case'!F11*$C476*'Business Case'!F12*$B476)-'Business Case'!F11*$C476*'Business Case'!F13*$D476-'Business Case'!F14*$E476)-MAX(0,(('Business Case'!F11*$C476*'Business Case'!F12*$B476)-'Business Case'!F11*$C476*'Business Case'!F13*$D476-'Business Case'!F14*$E476))*'Business Case'!$B$7-'Business Case'!$B$8*(('Business Case'!F11*$C476*'Business Case'!F12*$B476)-('Business Case'!E11*$C476*'Business Case'!E12*$B476))-'Business Case'!F15*$F476</f>
        <v>766703232.746002</v>
      </c>
      <c r="M476" s="39" t="n">
        <f aca="false">(('Business Case'!G11*$C476*'Business Case'!G12*$B476)-'Business Case'!G11*$C476*'Business Case'!G13*$D476-'Business Case'!G14*$E476)-MAX(0,(('Business Case'!G11*$C476*'Business Case'!G12*$B476)-'Business Case'!G11*$C476*'Business Case'!G13*$D476-'Business Case'!G14*$E476))*'Business Case'!$B$7-'Business Case'!$B$8*(('Business Case'!G11*$C476*'Business Case'!G12*$B476)-('Business Case'!F11*$C476*'Business Case'!F12*$B476))-'Business Case'!G15*$F476+'Business Case'!$B$8*('Business Case'!G11*$C476*'Business Case'!G12*$B476)</f>
        <v>944110400.318453</v>
      </c>
      <c r="N476" s="39" t="n">
        <f aca="false">IF(COUNT('Business Case'!B11:G11)=0,"",H476+NPV(G476,I476:M476))</f>
        <v>-391292019.419377</v>
      </c>
      <c r="P476" s="40" t="n">
        <f aca="true">RAND()</f>
        <v>0.857926514566005</v>
      </c>
      <c r="Q476" s="40" t="n">
        <f aca="true">RAND()</f>
        <v>0.207592103884047</v>
      </c>
      <c r="R476" s="40" t="n">
        <f aca="true">RAND()</f>
        <v>0.396542947362401</v>
      </c>
      <c r="S476" s="40" t="n">
        <f aca="true">RAND()</f>
        <v>0.161380831613659</v>
      </c>
      <c r="T476" s="40" t="n">
        <f aca="true">RAND()</f>
        <v>0.640821416585978</v>
      </c>
      <c r="U476" s="40" t="n">
        <f aca="true">RAND()</f>
        <v>0.941271896706922</v>
      </c>
    </row>
    <row r="477" customFormat="false" ht="15" hidden="false" customHeight="false" outlineLevel="0" collapsed="false">
      <c r="A477" s="36" t="n">
        <v>397</v>
      </c>
      <c r="B477" s="37" t="n">
        <f aca="false">1+IF($G$6=$E$6,$F$6,IF(P477&lt;($F$6-$E$6)/($G$6-$E$6),$E$6+SQRT(P477*($G$6-$E$6)*($F$6-$E$6)),$G$6-SQRT((1-P477)*($G$6-$E$6)*($G$6-$F$6))))</f>
        <v>0.957362370827612</v>
      </c>
      <c r="C477" s="37" t="n">
        <f aca="false">1+IF($G$7=$E$7,$F$7,IF(Q477&lt;($F$7-$E$7)/($G$7-$E$7),$E$7+SQRT(Q477*($G$7-$E$7)*($F$7-$E$7)),$G$7-SQRT((1-Q477)*($G$7-$E$7)*($G$7-$F$7))))</f>
        <v>1.07746438450885</v>
      </c>
      <c r="D477" s="37" t="n">
        <f aca="false">1+IF($G$8=$E$8,$F$8,IF(R477&lt;($F$8-$E$8)/($G$8-$E$8),$E$8+SQRT(R477*($G$8-$E$8)*($F$8-$E$8)),$G$8-SQRT((1-R477)*($G$8-$E$8)*($G$8-$F$8))))</f>
        <v>1.01120560190677</v>
      </c>
      <c r="E477" s="37" t="n">
        <f aca="false">1+IF($G$9=$E$9,$F$9,IF(S477&lt;($F$9-$E$9)/($G$9-$E$9),$E$9+SQRT(S477*($G$9-$E$9)*($F$9-$E$9)),$G$9-SQRT((1-S477)*($G$9-$E$9)*($G$9-$F$9))))</f>
        <v>1.01687134482818</v>
      </c>
      <c r="F477" s="37" t="n">
        <f aca="false">1+IF($G$10=$E$10,$F$10,IF(T477&lt;($F$10-$E$10)/($G$10-$E$10),$E$10+SQRT(T477*($G$10-$E$10)*($F$10-$E$10)),$G$10-SQRT((1-T477)*($G$10-$E$10)*($G$10-$F$10))))</f>
        <v>1.05234643776529</v>
      </c>
      <c r="G477" s="38" t="n">
        <f aca="false">IF($G$11=$E$11,$F$11,IF(U477&lt;($F$11-$E$11)/($G$11-$E$11),$E$11+SQRT(U477*($G$11-$E$11)*($F$11-$E$11)),$G$11-SQRT((1-U477)*($G$11-$E$11)*($G$11-$F$11))))</f>
        <v>0.118621186318733</v>
      </c>
      <c r="H477" s="39" t="n">
        <f aca="false">(('Business Case'!B11*$C477*'Business Case'!B12*$B477)-'Business Case'!B11*$C477*'Business Case'!B13*$D477-'Business Case'!B14*$E477)-MAX(0,(('Business Case'!B11*$C477*'Business Case'!B12*$B477)-'Business Case'!B11*$C477*'Business Case'!B13*$D477-'Business Case'!B14*$E477))*'Business Case'!$B$7-'Business Case'!$B$8*('Business Case'!B11*$C477*'Business Case'!B12*$B477)-'Business Case'!B15*$F477</f>
        <v>-2104692875.53058</v>
      </c>
      <c r="I477" s="39" t="n">
        <f aca="false">(('Business Case'!C11*$C477*'Business Case'!C12*$B477)-'Business Case'!C11*$C477*'Business Case'!C13*$D477-'Business Case'!C14*$E477)-MAX(0,(('Business Case'!C11*$C477*'Business Case'!C12*$B477)-'Business Case'!C11*$C477*'Business Case'!C13*$D477-'Business Case'!C14*$E477))*'Business Case'!$B$7-'Business Case'!$B$8*(('Business Case'!C11*$C477*'Business Case'!C12*$B477)-('Business Case'!B11*$C477*'Business Case'!B12*$B477))-'Business Case'!C15*$F477</f>
        <v>-16171940.6206527</v>
      </c>
      <c r="J477" s="39" t="n">
        <f aca="false">(('Business Case'!D11*$C477*'Business Case'!D12*$B477)-'Business Case'!D11*$C477*'Business Case'!D13*$D477-'Business Case'!D14*$E477)-MAX(0,(('Business Case'!D11*$C477*'Business Case'!D12*$B477)-'Business Case'!D11*$C477*'Business Case'!D13*$D477-'Business Case'!D14*$E477))*'Business Case'!$B$7-'Business Case'!$B$8*(('Business Case'!D11*$C477*'Business Case'!D12*$B477)-('Business Case'!C11*$C477*'Business Case'!C12*$B477))-'Business Case'!D15*$F477</f>
        <v>270964064.549626</v>
      </c>
      <c r="K477" s="39" t="n">
        <f aca="false">(('Business Case'!E11*$C477*'Business Case'!E12*$B477)-'Business Case'!E11*$C477*'Business Case'!E13*$D477-'Business Case'!E14*$E477)-MAX(0,(('Business Case'!E11*$C477*'Business Case'!E12*$B477)-'Business Case'!E11*$C477*'Business Case'!E13*$D477-'Business Case'!E14*$E477))*'Business Case'!$B$7-'Business Case'!$B$8*(('Business Case'!E11*$C477*'Business Case'!E12*$B477)-('Business Case'!D11*$C477*'Business Case'!D12*$B477))-'Business Case'!E15*$F477</f>
        <v>610717391.608168</v>
      </c>
      <c r="L477" s="39" t="n">
        <f aca="false">(('Business Case'!F11*$C477*'Business Case'!F12*$B477)-'Business Case'!F11*$C477*'Business Case'!F13*$D477-'Business Case'!F14*$E477)-MAX(0,(('Business Case'!F11*$C477*'Business Case'!F12*$B477)-'Business Case'!F11*$C477*'Business Case'!F13*$D477-'Business Case'!F14*$E477))*'Business Case'!$B$7-'Business Case'!$B$8*(('Business Case'!F11*$C477*'Business Case'!F12*$B477)-('Business Case'!E11*$C477*'Business Case'!E12*$B477))-'Business Case'!F15*$F477</f>
        <v>742078857.851484</v>
      </c>
      <c r="M477" s="39" t="n">
        <f aca="false">(('Business Case'!G11*$C477*'Business Case'!G12*$B477)-'Business Case'!G11*$C477*'Business Case'!G13*$D477-'Business Case'!G14*$E477)-MAX(0,(('Business Case'!G11*$C477*'Business Case'!G12*$B477)-'Business Case'!G11*$C477*'Business Case'!G13*$D477-'Business Case'!G14*$E477))*'Business Case'!$B$7-'Business Case'!$B$8*(('Business Case'!G11*$C477*'Business Case'!G12*$B477)-('Business Case'!F11*$C477*'Business Case'!F12*$B477))-'Business Case'!G15*$F477+'Business Case'!$B$8*('Business Case'!G11*$C477*'Business Case'!G12*$B477)</f>
        <v>938150912.710879</v>
      </c>
      <c r="N477" s="39" t="n">
        <f aca="false">IF(COUNT('Business Case'!B11:G11)=0,"",H477+NPV(G477,I477:M477))</f>
        <v>-456745274.346663</v>
      </c>
      <c r="P477" s="40" t="n">
        <f aca="true">RAND()</f>
        <v>0.145411120193745</v>
      </c>
      <c r="Q477" s="40" t="n">
        <f aca="true">RAND()</f>
        <v>0.899782561625152</v>
      </c>
      <c r="R477" s="40" t="n">
        <f aca="true">RAND()</f>
        <v>0.544935652979801</v>
      </c>
      <c r="S477" s="40" t="n">
        <f aca="true">RAND()</f>
        <v>0.539308445954935</v>
      </c>
      <c r="T477" s="40" t="n">
        <f aca="true">RAND()</f>
        <v>0.56396851118802</v>
      </c>
      <c r="U477" s="40" t="n">
        <f aca="true">RAND()</f>
        <v>0.996831454720586</v>
      </c>
    </row>
    <row r="478" customFormat="false" ht="15" hidden="false" customHeight="false" outlineLevel="0" collapsed="false">
      <c r="A478" s="36" t="n">
        <v>398</v>
      </c>
      <c r="B478" s="37" t="n">
        <f aca="false">1+IF($G$6=$E$6,$F$6,IF(P478&lt;($F$6-$E$6)/($G$6-$E$6),$E$6+SQRT(P478*($G$6-$E$6)*($F$6-$E$6)),$G$6-SQRT((1-P478)*($G$6-$E$6)*($G$6-$F$6))))</f>
        <v>0.993516618692038</v>
      </c>
      <c r="C478" s="37" t="n">
        <f aca="false">1+IF($G$7=$E$7,$F$7,IF(Q478&lt;($F$7-$E$7)/($G$7-$E$7),$E$7+SQRT(Q478*($G$7-$E$7)*($F$7-$E$7)),$G$7-SQRT((1-Q478)*($G$7-$E$7)*($G$7-$F$7))))</f>
        <v>0.999810328873457</v>
      </c>
      <c r="D478" s="37" t="n">
        <f aca="false">1+IF($G$8=$E$8,$F$8,IF(R478&lt;($F$8-$E$8)/($G$8-$E$8),$E$8+SQRT(R478*($G$8-$E$8)*($F$8-$E$8)),$G$8-SQRT((1-R478)*($G$8-$E$8)*($G$8-$F$8))))</f>
        <v>1.0197316328129</v>
      </c>
      <c r="E478" s="37" t="n">
        <f aca="false">1+IF($G$9=$E$9,$F$9,IF(S478&lt;($F$9-$E$9)/($G$9-$E$9),$E$9+SQRT(S478*($G$9-$E$9)*($F$9-$E$9)),$G$9-SQRT((1-S478)*($G$9-$E$9)*($G$9-$F$9))))</f>
        <v>1.03107601307031</v>
      </c>
      <c r="F478" s="37" t="n">
        <f aca="false">1+IF($G$10=$E$10,$F$10,IF(T478&lt;($F$10-$E$10)/($G$10-$E$10),$E$10+SQRT(T478*($G$10-$E$10)*($F$10-$E$10)),$G$10-SQRT((1-T478)*($G$10-$E$10)*($G$10-$F$10))))</f>
        <v>1.12653074181665</v>
      </c>
      <c r="G478" s="38" t="n">
        <f aca="false">IF($G$11=$E$11,$F$11,IF(U478&lt;($F$11-$E$11)/($G$11-$E$11),$E$11+SQRT(U478*($G$11-$E$11)*($F$11-$E$11)),$G$11-SQRT((1-U478)*($G$11-$E$11)*($G$11-$F$11))))</f>
        <v>0.0974294338504329</v>
      </c>
      <c r="H478" s="39" t="n">
        <f aca="false">(('Business Case'!B11*$C478*'Business Case'!B12*$B478)-'Business Case'!B11*$C478*'Business Case'!B13*$D478-'Business Case'!B14*$E478)-MAX(0,(('Business Case'!B11*$C478*'Business Case'!B12*$B478)-'Business Case'!B11*$C478*'Business Case'!B13*$D478-'Business Case'!B14*$E478))*'Business Case'!$B$7-'Business Case'!$B$8*('Business Case'!B11*$C478*'Business Case'!B12*$B478)-'Business Case'!B15*$F478</f>
        <v>-2253061483.63331</v>
      </c>
      <c r="I478" s="39" t="n">
        <f aca="false">(('Business Case'!C11*$C478*'Business Case'!C12*$B478)-'Business Case'!C11*$C478*'Business Case'!C13*$D478-'Business Case'!C14*$E478)-MAX(0,(('Business Case'!C11*$C478*'Business Case'!C12*$B478)-'Business Case'!C11*$C478*'Business Case'!C13*$D478-'Business Case'!C14*$E478))*'Business Case'!$B$7-'Business Case'!$B$8*(('Business Case'!C11*$C478*'Business Case'!C12*$B478)-('Business Case'!B11*$C478*'Business Case'!B12*$B478))-'Business Case'!C15*$F478</f>
        <v>-19080924.2877658</v>
      </c>
      <c r="J478" s="39" t="n">
        <f aca="false">(('Business Case'!D11*$C478*'Business Case'!D12*$B478)-'Business Case'!D11*$C478*'Business Case'!D13*$D478-'Business Case'!D14*$E478)-MAX(0,(('Business Case'!D11*$C478*'Business Case'!D12*$B478)-'Business Case'!D11*$C478*'Business Case'!D13*$D478-'Business Case'!D14*$E478))*'Business Case'!$B$7-'Business Case'!$B$8*(('Business Case'!D11*$C478*'Business Case'!D12*$B478)-('Business Case'!C11*$C478*'Business Case'!C12*$B478))-'Business Case'!D15*$F478</f>
        <v>272604367.374706</v>
      </c>
      <c r="K478" s="39" t="n">
        <f aca="false">(('Business Case'!E11*$C478*'Business Case'!E12*$B478)-'Business Case'!E11*$C478*'Business Case'!E13*$D478-'Business Case'!E14*$E478)-MAX(0,(('Business Case'!E11*$C478*'Business Case'!E12*$B478)-'Business Case'!E11*$C478*'Business Case'!E13*$D478-'Business Case'!E14*$E478))*'Business Case'!$B$7-'Business Case'!$B$8*(('Business Case'!E11*$C478*'Business Case'!E12*$B478)-('Business Case'!D11*$C478*'Business Case'!D12*$B478))-'Business Case'!E15*$F478</f>
        <v>620616196.12801</v>
      </c>
      <c r="L478" s="39" t="n">
        <f aca="false">(('Business Case'!F11*$C478*'Business Case'!F12*$B478)-'Business Case'!F11*$C478*'Business Case'!F13*$D478-'Business Case'!F14*$E478)-MAX(0,(('Business Case'!F11*$C478*'Business Case'!F12*$B478)-'Business Case'!F11*$C478*'Business Case'!F13*$D478-'Business Case'!F14*$E478))*'Business Case'!$B$7-'Business Case'!$B$8*(('Business Case'!F11*$C478*'Business Case'!F12*$B478)-('Business Case'!E11*$C478*'Business Case'!E12*$B478))-'Business Case'!F15*$F478</f>
        <v>752174048.488816</v>
      </c>
      <c r="M478" s="39" t="n">
        <f aca="false">(('Business Case'!G11*$C478*'Business Case'!G12*$B478)-'Business Case'!G11*$C478*'Business Case'!G13*$D478-'Business Case'!G14*$E478)-MAX(0,(('Business Case'!G11*$C478*'Business Case'!G12*$B478)-'Business Case'!G11*$C478*'Business Case'!G13*$D478-'Business Case'!G14*$E478))*'Business Case'!$B$7-'Business Case'!$B$8*(('Business Case'!G11*$C478*'Business Case'!G12*$B478)-('Business Case'!F11*$C478*'Business Case'!F12*$B478))-'Business Case'!G15*$F478+'Business Case'!$B$8*('Business Case'!G11*$C478*'Business Case'!G12*$B478)</f>
        <v>940985868.425388</v>
      </c>
      <c r="N478" s="39" t="n">
        <f aca="false">IF(COUNT('Business Case'!B11:G11)=0,"",H478+NPV(G478,I478:M478))</f>
        <v>-464807829.776107</v>
      </c>
      <c r="P478" s="40" t="n">
        <f aca="true">RAND()</f>
        <v>0.562988877490684</v>
      </c>
      <c r="Q478" s="40" t="n">
        <f aca="true">RAND()</f>
        <v>0.570345250350273</v>
      </c>
      <c r="R478" s="40" t="n">
        <f aca="true">RAND()</f>
        <v>0.650742684288539</v>
      </c>
      <c r="S478" s="40" t="n">
        <f aca="true">RAND()</f>
        <v>0.683298935047729</v>
      </c>
      <c r="T478" s="40" t="n">
        <f aca="true">RAND()</f>
        <v>0.892045362039773</v>
      </c>
      <c r="U478" s="40" t="n">
        <f aca="true">RAND()</f>
        <v>0.18398829112653</v>
      </c>
    </row>
    <row r="479" customFormat="false" ht="15" hidden="false" customHeight="false" outlineLevel="0" collapsed="false">
      <c r="A479" s="36" t="n">
        <v>399</v>
      </c>
      <c r="B479" s="37" t="n">
        <f aca="false">1+IF($G$6=$E$6,$F$6,IF(P479&lt;($F$6-$E$6)/($G$6-$E$6),$E$6+SQRT(P479*($G$6-$E$6)*($F$6-$E$6)),$G$6-SQRT((1-P479)*($G$6-$E$6)*($G$6-$F$6))))</f>
        <v>1.0078722734201</v>
      </c>
      <c r="C479" s="37" t="n">
        <f aca="false">1+IF($G$7=$E$7,$F$7,IF(Q479&lt;($F$7-$E$7)/($G$7-$E$7),$E$7+SQRT(Q479*($G$7-$E$7)*($F$7-$E$7)),$G$7-SQRT((1-Q479)*($G$7-$E$7)*($G$7-$F$7))))</f>
        <v>0.960673464945788</v>
      </c>
      <c r="D479" s="37" t="n">
        <f aca="false">1+IF($G$8=$E$8,$F$8,IF(R479&lt;($F$8-$E$8)/($G$8-$E$8),$E$8+SQRT(R479*($G$8-$E$8)*($F$8-$E$8)),$G$8-SQRT((1-R479)*($G$8-$E$8)*($G$8-$F$8))))</f>
        <v>1.02303747074197</v>
      </c>
      <c r="E479" s="37" t="n">
        <f aca="false">1+IF($G$9=$E$9,$F$9,IF(S479&lt;($F$9-$E$9)/($G$9-$E$9),$E$9+SQRT(S479*($G$9-$E$9)*($F$9-$E$9)),$G$9-SQRT((1-S479)*($G$9-$E$9)*($G$9-$F$9))))</f>
        <v>1.00999925054376</v>
      </c>
      <c r="F479" s="37" t="n">
        <f aca="false">1+IF($G$10=$E$10,$F$10,IF(T479&lt;($F$10-$E$10)/($G$10-$E$10),$E$10+SQRT(T479*($G$10-$E$10)*($F$10-$E$10)),$G$10-SQRT((1-T479)*($G$10-$E$10)*($G$10-$F$10))))</f>
        <v>0.964265782552324</v>
      </c>
      <c r="G479" s="38" t="n">
        <f aca="false">IF($G$11=$E$11,$F$11,IF(U479&lt;($F$11-$E$11)/($G$11-$E$11),$E$11+SQRT(U479*($G$11-$E$11)*($F$11-$E$11)),$G$11-SQRT((1-U479)*($G$11-$E$11)*($G$11-$F$11))))</f>
        <v>0.0949708305434428</v>
      </c>
      <c r="H479" s="39" t="n">
        <f aca="false">(('Business Case'!B11*$C479*'Business Case'!B12*$B479)-'Business Case'!B11*$C479*'Business Case'!B13*$D479-'Business Case'!B14*$E479)-MAX(0,(('Business Case'!B11*$C479*'Business Case'!B12*$B479)-'Business Case'!B11*$C479*'Business Case'!B13*$D479-'Business Case'!B14*$E479))*'Business Case'!$B$7-'Business Case'!$B$8*('Business Case'!B11*$C479*'Business Case'!B12*$B479)-'Business Case'!B15*$F479</f>
        <v>-1928531565.10465</v>
      </c>
      <c r="I479" s="39" t="n">
        <f aca="false">(('Business Case'!C11*$C479*'Business Case'!C12*$B479)-'Business Case'!C11*$C479*'Business Case'!C13*$D479-'Business Case'!C14*$E479)-MAX(0,(('Business Case'!C11*$C479*'Business Case'!C12*$B479)-'Business Case'!C11*$C479*'Business Case'!C13*$D479-'Business Case'!C14*$E479))*'Business Case'!$B$7-'Business Case'!$B$8*(('Business Case'!C11*$C479*'Business Case'!C12*$B479)-('Business Case'!B11*$C479*'Business Case'!B12*$B479))-'Business Case'!C15*$F479</f>
        <v>-304225.432639897</v>
      </c>
      <c r="J479" s="39" t="n">
        <f aca="false">(('Business Case'!D11*$C479*'Business Case'!D12*$B479)-'Business Case'!D11*$C479*'Business Case'!D13*$D479-'Business Case'!D14*$E479)-MAX(0,(('Business Case'!D11*$C479*'Business Case'!D12*$B479)-'Business Case'!D11*$C479*'Business Case'!D13*$D479-'Business Case'!D14*$E479))*'Business Case'!$B$7-'Business Case'!$B$8*(('Business Case'!D11*$C479*'Business Case'!D12*$B479)-('Business Case'!C11*$C479*'Business Case'!C12*$B479))-'Business Case'!D15*$F479</f>
        <v>289633382.788137</v>
      </c>
      <c r="K479" s="39" t="n">
        <f aca="false">(('Business Case'!E11*$C479*'Business Case'!E12*$B479)-'Business Case'!E11*$C479*'Business Case'!E13*$D479-'Business Case'!E14*$E479)-MAX(0,(('Business Case'!E11*$C479*'Business Case'!E12*$B479)-'Business Case'!E11*$C479*'Business Case'!E13*$D479-'Business Case'!E14*$E479))*'Business Case'!$B$7-'Business Case'!$B$8*(('Business Case'!E11*$C479*'Business Case'!E12*$B479)-('Business Case'!D11*$C479*'Business Case'!D12*$B479))-'Business Case'!E15*$F479</f>
        <v>627784280.13653</v>
      </c>
      <c r="L479" s="39" t="n">
        <f aca="false">(('Business Case'!F11*$C479*'Business Case'!F12*$B479)-'Business Case'!F11*$C479*'Business Case'!F13*$D479-'Business Case'!F14*$E479)-MAX(0,(('Business Case'!F11*$C479*'Business Case'!F12*$B479)-'Business Case'!F11*$C479*'Business Case'!F13*$D479-'Business Case'!F14*$E479))*'Business Case'!$B$7-'Business Case'!$B$8*(('Business Case'!F11*$C479*'Business Case'!F12*$B479)-('Business Case'!E11*$C479*'Business Case'!E12*$B479))-'Business Case'!F15*$F479</f>
        <v>757892390.857364</v>
      </c>
      <c r="M479" s="39" t="n">
        <f aca="false">(('Business Case'!G11*$C479*'Business Case'!G12*$B479)-'Business Case'!G11*$C479*'Business Case'!G13*$D479-'Business Case'!G14*$E479)-MAX(0,(('Business Case'!G11*$C479*'Business Case'!G12*$B479)-'Business Case'!G11*$C479*'Business Case'!G13*$D479-'Business Case'!G14*$E479))*'Business Case'!$B$7-'Business Case'!$B$8*(('Business Case'!G11*$C479*'Business Case'!G12*$B479)-('Business Case'!F11*$C479*'Business Case'!F12*$B479))-'Business Case'!G15*$F479+'Business Case'!$B$8*('Business Case'!G11*$C479*'Business Case'!G12*$B479)</f>
        <v>941934718.083856</v>
      </c>
      <c r="N479" s="39" t="n">
        <f aca="false">IF(COUNT('Business Case'!B11:G11)=0,"",H479+NPV(G479,I479:M479))</f>
        <v>-83397252.4165285</v>
      </c>
      <c r="P479" s="40" t="n">
        <f aca="true">RAND()</f>
        <v>0.784960246834778</v>
      </c>
      <c r="Q479" s="40" t="n">
        <f aca="true">RAND()</f>
        <v>0.368799461966936</v>
      </c>
      <c r="R479" s="40" t="n">
        <f aca="true">RAND()</f>
        <v>0.688006755820026</v>
      </c>
      <c r="S479" s="40" t="n">
        <f aca="true">RAND()</f>
        <v>0.459991006487702</v>
      </c>
      <c r="T479" s="40" t="n">
        <f aca="true">RAND()</f>
        <v>0.0162810041464157</v>
      </c>
      <c r="U479" s="40" t="n">
        <f aca="true">RAND()</f>
        <v>0.082363854305413</v>
      </c>
    </row>
    <row r="480" customFormat="false" ht="15" hidden="false" customHeight="false" outlineLevel="0" collapsed="false">
      <c r="A480" s="36" t="n">
        <v>400</v>
      </c>
      <c r="B480" s="37" t="n">
        <f aca="false">1+IF($G$6=$E$6,$F$6,IF(P480&lt;($F$6-$E$6)/($G$6-$E$6),$E$6+SQRT(P480*($G$6-$E$6)*($F$6-$E$6)),$G$6-SQRT((1-P480)*($G$6-$E$6)*($G$6-$F$6))))</f>
        <v>0.984141568708563</v>
      </c>
      <c r="C480" s="37" t="n">
        <f aca="false">1+IF($G$7=$E$7,$F$7,IF(Q480&lt;($F$7-$E$7)/($G$7-$E$7),$E$7+SQRT(Q480*($G$7-$E$7)*($F$7-$E$7)),$G$7-SQRT((1-Q480)*($G$7-$E$7)*($G$7-$F$7))))</f>
        <v>1.07353493346055</v>
      </c>
      <c r="D480" s="37" t="n">
        <f aca="false">1+IF($G$8=$E$8,$F$8,IF(R480&lt;($F$8-$E$8)/($G$8-$E$8),$E$8+SQRT(R480*($G$8-$E$8)*($F$8-$E$8)),$G$8-SQRT((1-R480)*($G$8-$E$8)*($G$8-$F$8))))</f>
        <v>1.00663384625794</v>
      </c>
      <c r="E480" s="37" t="n">
        <f aca="false">1+IF($G$9=$E$9,$F$9,IF(S480&lt;($F$9-$E$9)/($G$9-$E$9),$E$9+SQRT(S480*($G$9-$E$9)*($F$9-$E$9)),$G$9-SQRT((1-S480)*($G$9-$E$9)*($G$9-$F$9))))</f>
        <v>1.08069606321722</v>
      </c>
      <c r="F480" s="37" t="n">
        <f aca="false">1+IF($G$10=$E$10,$F$10,IF(T480&lt;($F$10-$E$10)/($G$10-$E$10),$E$10+SQRT(T480*($G$10-$E$10)*($F$10-$E$10)),$G$10-SQRT((1-T480)*($G$10-$E$10)*($G$10-$F$10))))</f>
        <v>1.01220016604085</v>
      </c>
      <c r="G480" s="38" t="n">
        <f aca="false">IF($G$11=$E$11,$F$11,IF(U480&lt;($F$11-$E$11)/($G$11-$E$11),$E$11+SQRT(U480*($G$11-$E$11)*($F$11-$E$11)),$G$11-SQRT((1-U480)*($G$11-$E$11)*($G$11-$F$11))))</f>
        <v>0.106475455142497</v>
      </c>
      <c r="H480" s="39" t="n">
        <f aca="false">(('Business Case'!B11*$C480*'Business Case'!B12*$B480)-'Business Case'!B11*$C480*'Business Case'!B13*$D480-'Business Case'!B14*$E480)-MAX(0,(('Business Case'!B11*$C480*'Business Case'!B12*$B480)-'Business Case'!B11*$C480*'Business Case'!B13*$D480-'Business Case'!B14*$E480))*'Business Case'!$B$7-'Business Case'!$B$8*('Business Case'!B11*$C480*'Business Case'!B12*$B480)-'Business Case'!B15*$F480</f>
        <v>-2024400332.08169</v>
      </c>
      <c r="I480" s="39" t="n">
        <f aca="false">(('Business Case'!C11*$C480*'Business Case'!C12*$B480)-'Business Case'!C11*$C480*'Business Case'!C13*$D480-'Business Case'!C14*$E480)-MAX(0,(('Business Case'!C11*$C480*'Business Case'!C12*$B480)-'Business Case'!C11*$C480*'Business Case'!C13*$D480-'Business Case'!C14*$E480))*'Business Case'!$B$7-'Business Case'!$B$8*(('Business Case'!C11*$C480*'Business Case'!C12*$B480)-('Business Case'!B11*$C480*'Business Case'!B12*$B480))-'Business Case'!C15*$F480</f>
        <v>2483828.48423082</v>
      </c>
      <c r="J480" s="39" t="n">
        <f aca="false">(('Business Case'!D11*$C480*'Business Case'!D12*$B480)-'Business Case'!D11*$C480*'Business Case'!D13*$D480-'Business Case'!D14*$E480)-MAX(0,(('Business Case'!D11*$C480*'Business Case'!D12*$B480)-'Business Case'!D11*$C480*'Business Case'!D13*$D480-'Business Case'!D14*$E480))*'Business Case'!$B$7-'Business Case'!$B$8*(('Business Case'!D11*$C480*'Business Case'!D12*$B480)-('Business Case'!C11*$C480*'Business Case'!C12*$B480))-'Business Case'!D15*$F480</f>
        <v>314632150.486403</v>
      </c>
      <c r="K480" s="39" t="n">
        <f aca="false">(('Business Case'!E11*$C480*'Business Case'!E12*$B480)-'Business Case'!E11*$C480*'Business Case'!E13*$D480-'Business Case'!E14*$E480)-MAX(0,(('Business Case'!E11*$C480*'Business Case'!E12*$B480)-'Business Case'!E11*$C480*'Business Case'!E13*$D480-'Business Case'!E14*$E480))*'Business Case'!$B$7-'Business Case'!$B$8*(('Business Case'!E11*$C480*'Business Case'!E12*$B480)-('Business Case'!D11*$C480*'Business Case'!D12*$B480))-'Business Case'!E15*$F480</f>
        <v>677390480.790617</v>
      </c>
      <c r="L480" s="39" t="n">
        <f aca="false">(('Business Case'!F11*$C480*'Business Case'!F12*$B480)-'Business Case'!F11*$C480*'Business Case'!F13*$D480-'Business Case'!F14*$E480)-MAX(0,(('Business Case'!F11*$C480*'Business Case'!F12*$B480)-'Business Case'!F11*$C480*'Business Case'!F13*$D480-'Business Case'!F14*$E480))*'Business Case'!$B$7-'Business Case'!$B$8*(('Business Case'!F11*$C480*'Business Case'!F12*$B480)-('Business Case'!E11*$C480*'Business Case'!E12*$B480))-'Business Case'!F15*$F480</f>
        <v>817952919.274253</v>
      </c>
      <c r="M480" s="39" t="n">
        <f aca="false">(('Business Case'!G11*$C480*'Business Case'!G12*$B480)-'Business Case'!G11*$C480*'Business Case'!G13*$D480-'Business Case'!G14*$E480)-MAX(0,(('Business Case'!G11*$C480*'Business Case'!G12*$B480)-'Business Case'!G11*$C480*'Business Case'!G13*$D480-'Business Case'!G14*$E480))*'Business Case'!$B$7-'Business Case'!$B$8*(('Business Case'!G11*$C480*'Business Case'!G12*$B480)-('Business Case'!F11*$C480*'Business Case'!F12*$B480))-'Business Case'!G15*$F480+'Business Case'!$B$8*('Business Case'!G11*$C480*'Business Case'!G12*$B480)</f>
        <v>1018774407.2636</v>
      </c>
      <c r="N480" s="39" t="n">
        <f aca="false">IF(COUNT('Business Case'!B11:G11)=0,"",H480+NPV(G480,I480:M480))</f>
        <v>-105120288.986119</v>
      </c>
      <c r="P480" s="40" t="n">
        <f aca="true">RAND()</f>
        <v>0.428556337124507</v>
      </c>
      <c r="Q480" s="40" t="n">
        <f aca="true">RAND()</f>
        <v>0.888630354268918</v>
      </c>
      <c r="R480" s="40" t="n">
        <f aca="true">RAND()</f>
        <v>0.482443027413087</v>
      </c>
      <c r="S480" s="40" t="n">
        <f aca="true">RAND()</f>
        <v>0.975157201645766</v>
      </c>
      <c r="T480" s="40" t="n">
        <f aca="true">RAND()</f>
        <v>0.294624447298289</v>
      </c>
      <c r="U480" s="40" t="n">
        <f aca="true">RAND()</f>
        <v>0.69514447732898</v>
      </c>
    </row>
    <row r="481" customFormat="false" ht="15" hidden="false" customHeight="false" outlineLevel="0" collapsed="false">
      <c r="A481" s="36" t="n">
        <v>401</v>
      </c>
      <c r="B481" s="37" t="n">
        <f aca="false">1+IF($G$6=$E$6,$F$6,IF(P481&lt;($F$6-$E$6)/($G$6-$E$6),$E$6+SQRT(P481*($G$6-$E$6)*($F$6-$E$6)),$G$6-SQRT((1-P481)*($G$6-$E$6)*($G$6-$F$6))))</f>
        <v>1.01824819342351</v>
      </c>
      <c r="C481" s="37" t="n">
        <f aca="false">1+IF($G$7=$E$7,$F$7,IF(Q481&lt;($F$7-$E$7)/($G$7-$E$7),$E$7+SQRT(Q481*($G$7-$E$7)*($F$7-$E$7)),$G$7-SQRT((1-Q481)*($G$7-$E$7)*($G$7-$F$7))))</f>
        <v>1.05255007551926</v>
      </c>
      <c r="D481" s="37" t="n">
        <f aca="false">1+IF($G$8=$E$8,$F$8,IF(R481&lt;($F$8-$E$8)/($G$8-$E$8),$E$8+SQRT(R481*($G$8-$E$8)*($F$8-$E$8)),$G$8-SQRT((1-R481)*($G$8-$E$8)*($G$8-$F$8))))</f>
        <v>1.00988351349874</v>
      </c>
      <c r="E481" s="37" t="n">
        <f aca="false">1+IF($G$9=$E$9,$F$9,IF(S481&lt;($F$9-$E$9)/($G$9-$E$9),$E$9+SQRT(S481*($G$9-$E$9)*($F$9-$E$9)),$G$9-SQRT((1-S481)*($G$9-$E$9)*($G$9-$F$9))))</f>
        <v>1.0120031180635</v>
      </c>
      <c r="F481" s="37" t="n">
        <f aca="false">1+IF($G$10=$E$10,$F$10,IF(T481&lt;($F$10-$E$10)/($G$10-$E$10),$E$10+SQRT(T481*($G$10-$E$10)*($F$10-$E$10)),$G$10-SQRT((1-T481)*($G$10-$E$10)*($G$10-$F$10))))</f>
        <v>0.967308171349093</v>
      </c>
      <c r="G481" s="38" t="n">
        <f aca="false">IF($G$11=$E$11,$F$11,IF(U481&lt;($F$11-$E$11)/($G$11-$E$11),$E$11+SQRT(U481*($G$11-$E$11)*($F$11-$E$11)),$G$11-SQRT((1-U481)*($G$11-$E$11)*($G$11-$F$11))))</f>
        <v>0.113014427832486</v>
      </c>
      <c r="H481" s="39" t="n">
        <f aca="false">(('Business Case'!B11*$C481*'Business Case'!B12*$B481)-'Business Case'!B11*$C481*'Business Case'!B13*$D481-'Business Case'!B14*$E481)-MAX(0,(('Business Case'!B11*$C481*'Business Case'!B12*$B481)-'Business Case'!B11*$C481*'Business Case'!B13*$D481-'Business Case'!B14*$E481))*'Business Case'!$B$7-'Business Case'!$B$8*('Business Case'!B11*$C481*'Business Case'!B12*$B481)-'Business Case'!B15*$F481</f>
        <v>-1934616342.69819</v>
      </c>
      <c r="I481" s="39" t="n">
        <f aca="false">(('Business Case'!C11*$C481*'Business Case'!C12*$B481)-'Business Case'!C11*$C481*'Business Case'!C13*$D481-'Business Case'!C14*$E481)-MAX(0,(('Business Case'!C11*$C481*'Business Case'!C12*$B481)-'Business Case'!C11*$C481*'Business Case'!C13*$D481-'Business Case'!C14*$E481))*'Business Case'!$B$7-'Business Case'!$B$8*(('Business Case'!C11*$C481*'Business Case'!C12*$B481)-('Business Case'!B11*$C481*'Business Case'!B12*$B481))-'Business Case'!C15*$F481</f>
        <v>37501885.8501606</v>
      </c>
      <c r="J481" s="39" t="n">
        <f aca="false">(('Business Case'!D11*$C481*'Business Case'!D12*$B481)-'Business Case'!D11*$C481*'Business Case'!D13*$D481-'Business Case'!D14*$E481)-MAX(0,(('Business Case'!D11*$C481*'Business Case'!D12*$B481)-'Business Case'!D11*$C481*'Business Case'!D13*$D481-'Business Case'!D14*$E481))*'Business Case'!$B$7-'Business Case'!$B$8*(('Business Case'!D11*$C481*'Business Case'!D12*$B481)-('Business Case'!C11*$C481*'Business Case'!C12*$B481))-'Business Case'!D15*$F481</f>
        <v>371201326.139832</v>
      </c>
      <c r="K481" s="39" t="n">
        <f aca="false">(('Business Case'!E11*$C481*'Business Case'!E12*$B481)-'Business Case'!E11*$C481*'Business Case'!E13*$D481-'Business Case'!E14*$E481)-MAX(0,(('Business Case'!E11*$C481*'Business Case'!E12*$B481)-'Business Case'!E11*$C481*'Business Case'!E13*$D481-'Business Case'!E14*$E481))*'Business Case'!$B$7-'Business Case'!$B$8*(('Business Case'!E11*$C481*'Business Case'!E12*$B481)-('Business Case'!D11*$C481*'Business Case'!D12*$B481))-'Business Case'!E15*$F481</f>
        <v>753266174.996958</v>
      </c>
      <c r="L481" s="39" t="n">
        <f aca="false">(('Business Case'!F11*$C481*'Business Case'!F12*$B481)-'Business Case'!F11*$C481*'Business Case'!F13*$D481-'Business Case'!F14*$E481)-MAX(0,(('Business Case'!F11*$C481*'Business Case'!F12*$B481)-'Business Case'!F11*$C481*'Business Case'!F13*$D481-'Business Case'!F14*$E481))*'Business Case'!$B$7-'Business Case'!$B$8*(('Business Case'!F11*$C481*'Business Case'!F12*$B481)-('Business Case'!E11*$C481*'Business Case'!E12*$B481))-'Business Case'!F15*$F481</f>
        <v>901539251.037497</v>
      </c>
      <c r="M481" s="39" t="n">
        <f aca="false">(('Business Case'!G11*$C481*'Business Case'!G12*$B481)-'Business Case'!G11*$C481*'Business Case'!G13*$D481-'Business Case'!G14*$E481)-MAX(0,(('Business Case'!G11*$C481*'Business Case'!G12*$B481)-'Business Case'!G11*$C481*'Business Case'!G13*$D481-'Business Case'!G14*$E481))*'Business Case'!$B$7-'Business Case'!$B$8*(('Business Case'!G11*$C481*'Business Case'!G12*$B481)-('Business Case'!F11*$C481*'Business Case'!F12*$B481))-'Business Case'!G15*$F481+'Business Case'!$B$8*('Business Case'!G11*$C481*'Business Case'!G12*$B481)</f>
        <v>1105258862.06273</v>
      </c>
      <c r="N481" s="39" t="n">
        <f aca="false">IF(COUNT('Business Case'!B11:G11)=0,"",H481+NPV(G481,I481:M481))</f>
        <v>179589322.653553</v>
      </c>
      <c r="P481" s="40" t="n">
        <f aca="true">RAND()</f>
        <v>0.9014289397206</v>
      </c>
      <c r="Q481" s="40" t="n">
        <f aca="true">RAND()</f>
        <v>0.8191145184514</v>
      </c>
      <c r="R481" s="40" t="n">
        <f aca="true">RAND()</f>
        <v>0.527276761607491</v>
      </c>
      <c r="S481" s="40" t="n">
        <f aca="true">RAND()</f>
        <v>0.48376991796355</v>
      </c>
      <c r="T481" s="40" t="n">
        <f aca="true">RAND()</f>
        <v>0.0239658236359648</v>
      </c>
      <c r="U481" s="40" t="n">
        <f aca="true">RAND()</f>
        <v>0.918669635820758</v>
      </c>
    </row>
    <row r="482" customFormat="false" ht="15" hidden="false" customHeight="false" outlineLevel="0" collapsed="false">
      <c r="A482" s="36" t="n">
        <v>402</v>
      </c>
      <c r="B482" s="37" t="n">
        <f aca="false">1+IF($G$6=$E$6,$F$6,IF(P482&lt;($F$6-$E$6)/($G$6-$E$6),$E$6+SQRT(P482*($G$6-$E$6)*($F$6-$E$6)),$G$6-SQRT((1-P482)*($G$6-$E$6)*($G$6-$F$6))))</f>
        <v>1.00970135379682</v>
      </c>
      <c r="C482" s="37" t="n">
        <f aca="false">1+IF($G$7=$E$7,$F$7,IF(Q482&lt;($F$7-$E$7)/($G$7-$E$7),$E$7+SQRT(Q482*($G$7-$E$7)*($F$7-$E$7)),$G$7-SQRT((1-Q482)*($G$7-$E$7)*($G$7-$F$7))))</f>
        <v>0.988735462413317</v>
      </c>
      <c r="D482" s="37" t="n">
        <f aca="false">1+IF($G$8=$E$8,$F$8,IF(R482&lt;($F$8-$E$8)/($G$8-$E$8),$E$8+SQRT(R482*($G$8-$E$8)*($F$8-$E$8)),$G$8-SQRT((1-R482)*($G$8-$E$8)*($G$8-$F$8))))</f>
        <v>1.05610293567839</v>
      </c>
      <c r="E482" s="37" t="n">
        <f aca="false">1+IF($G$9=$E$9,$F$9,IF(S482&lt;($F$9-$E$9)/($G$9-$E$9),$E$9+SQRT(S482*($G$9-$E$9)*($F$9-$E$9)),$G$9-SQRT((1-S482)*($G$9-$E$9)*($G$9-$F$9))))</f>
        <v>1.01806148831085</v>
      </c>
      <c r="F482" s="37" t="n">
        <f aca="false">1+IF($G$10=$E$10,$F$10,IF(T482&lt;($F$10-$E$10)/($G$10-$E$10),$E$10+SQRT(T482*($G$10-$E$10)*($F$10-$E$10)),$G$10-SQRT((1-T482)*($G$10-$E$10)*($G$10-$F$10))))</f>
        <v>1.1520647966097</v>
      </c>
      <c r="G482" s="38" t="n">
        <f aca="false">IF($G$11=$E$11,$F$11,IF(U482&lt;($F$11-$E$11)/($G$11-$E$11),$E$11+SQRT(U482*($G$11-$E$11)*($F$11-$E$11)),$G$11-SQRT((1-U482)*($G$11-$E$11)*($G$11-$F$11))))</f>
        <v>0.100935759940158</v>
      </c>
      <c r="H482" s="39" t="n">
        <f aca="false">(('Business Case'!B11*$C482*'Business Case'!B12*$B482)-'Business Case'!B11*$C482*'Business Case'!B13*$D482-'Business Case'!B14*$E482)-MAX(0,(('Business Case'!B11*$C482*'Business Case'!B12*$B482)-'Business Case'!B11*$C482*'Business Case'!B13*$D482-'Business Case'!B14*$E482))*'Business Case'!$B$7-'Business Case'!$B$8*('Business Case'!B11*$C482*'Business Case'!B12*$B482)-'Business Case'!B15*$F482</f>
        <v>-2304129593.21941</v>
      </c>
      <c r="I482" s="39" t="n">
        <f aca="false">(('Business Case'!C11*$C482*'Business Case'!C12*$B482)-'Business Case'!C11*$C482*'Business Case'!C13*$D482-'Business Case'!C14*$E482)-MAX(0,(('Business Case'!C11*$C482*'Business Case'!C12*$B482)-'Business Case'!C11*$C482*'Business Case'!C13*$D482-'Business Case'!C14*$E482))*'Business Case'!$B$7-'Business Case'!$B$8*(('Business Case'!C11*$C482*'Business Case'!C12*$B482)-('Business Case'!B11*$C482*'Business Case'!B12*$B482))-'Business Case'!C15*$F482</f>
        <v>-28576144.8189785</v>
      </c>
      <c r="J482" s="39" t="n">
        <f aca="false">(('Business Case'!D11*$C482*'Business Case'!D12*$B482)-'Business Case'!D11*$C482*'Business Case'!D13*$D482-'Business Case'!D14*$E482)-MAX(0,(('Business Case'!D11*$C482*'Business Case'!D12*$B482)-'Business Case'!D11*$C482*'Business Case'!D13*$D482-'Business Case'!D14*$E482))*'Business Case'!$B$7-'Business Case'!$B$8*(('Business Case'!D11*$C482*'Business Case'!D12*$B482)-('Business Case'!C11*$C482*'Business Case'!C12*$B482))-'Business Case'!D15*$F482</f>
        <v>254575833.072399</v>
      </c>
      <c r="K482" s="39" t="n">
        <f aca="false">(('Business Case'!E11*$C482*'Business Case'!E12*$B482)-'Business Case'!E11*$C482*'Business Case'!E13*$D482-'Business Case'!E14*$E482)-MAX(0,(('Business Case'!E11*$C482*'Business Case'!E12*$B482)-'Business Case'!E11*$C482*'Business Case'!E13*$D482-'Business Case'!E14*$E482))*'Business Case'!$B$7-'Business Case'!$B$8*(('Business Case'!E11*$C482*'Business Case'!E12*$B482)-('Business Case'!D11*$C482*'Business Case'!D12*$B482))-'Business Case'!E15*$F482</f>
        <v>595331050.794262</v>
      </c>
      <c r="L482" s="39" t="n">
        <f aca="false">(('Business Case'!F11*$C482*'Business Case'!F12*$B482)-'Business Case'!F11*$C482*'Business Case'!F13*$D482-'Business Case'!F14*$E482)-MAX(0,(('Business Case'!F11*$C482*'Business Case'!F12*$B482)-'Business Case'!F11*$C482*'Business Case'!F13*$D482-'Business Case'!F14*$E482))*'Business Case'!$B$7-'Business Case'!$B$8*(('Business Case'!F11*$C482*'Business Case'!F12*$B482)-('Business Case'!E11*$C482*'Business Case'!E12*$B482))-'Business Case'!F15*$F482</f>
        <v>724217243.032442</v>
      </c>
      <c r="M482" s="39" t="n">
        <f aca="false">(('Business Case'!G11*$C482*'Business Case'!G12*$B482)-'Business Case'!G11*$C482*'Business Case'!G13*$D482-'Business Case'!G14*$E482)-MAX(0,(('Business Case'!G11*$C482*'Business Case'!G12*$B482)-'Business Case'!G11*$C482*'Business Case'!G13*$D482-'Business Case'!G14*$E482))*'Business Case'!$B$7-'Business Case'!$B$8*(('Business Case'!G11*$C482*'Business Case'!G12*$B482)-('Business Case'!F11*$C482*'Business Case'!F12*$B482))-'Business Case'!G15*$F482+'Business Case'!$B$8*('Business Case'!G11*$C482*'Business Case'!G12*$B482)</f>
        <v>913979340.874912</v>
      </c>
      <c r="N482" s="39" t="n">
        <f aca="false">IF(COUNT('Business Case'!B11:G11)=0,"",H482+NPV(G482,I482:M482))</f>
        <v>-615836549.941194</v>
      </c>
      <c r="P482" s="40" t="n">
        <f aca="true">RAND()</f>
        <v>0.808748341303045</v>
      </c>
      <c r="Q482" s="40" t="n">
        <f aca="true">RAND()</f>
        <v>0.508872496748123</v>
      </c>
      <c r="R482" s="40" t="n">
        <f aca="true">RAND()</f>
        <v>0.945089453539307</v>
      </c>
      <c r="S482" s="40" t="n">
        <f aca="true">RAND()</f>
        <v>0.552405353477806</v>
      </c>
      <c r="T482" s="40" t="n">
        <f aca="true">RAND()</f>
        <v>0.95404432551862</v>
      </c>
      <c r="U482" s="40" t="n">
        <f aca="true">RAND()</f>
        <v>0.394257918234498</v>
      </c>
    </row>
    <row r="483" customFormat="false" ht="15" hidden="false" customHeight="false" outlineLevel="0" collapsed="false">
      <c r="A483" s="36" t="n">
        <v>403</v>
      </c>
      <c r="B483" s="37" t="n">
        <f aca="false">1+IF($G$6=$E$6,$F$6,IF(P483&lt;($F$6-$E$6)/($G$6-$E$6),$E$6+SQRT(P483*($G$6-$E$6)*($F$6-$E$6)),$G$6-SQRT((1-P483)*($G$6-$E$6)*($G$6-$F$6))))</f>
        <v>0.999641469909842</v>
      </c>
      <c r="C483" s="37" t="n">
        <f aca="false">1+IF($G$7=$E$7,$F$7,IF(Q483&lt;($F$7-$E$7)/($G$7-$E$7),$E$7+SQRT(Q483*($G$7-$E$7)*($F$7-$E$7)),$G$7-SQRT((1-Q483)*($G$7-$E$7)*($G$7-$F$7))))</f>
        <v>1.01186926431972</v>
      </c>
      <c r="D483" s="37" t="n">
        <f aca="false">1+IF($G$8=$E$8,$F$8,IF(R483&lt;($F$8-$E$8)/($G$8-$E$8),$E$8+SQRT(R483*($G$8-$E$8)*($F$8-$E$8)),$G$8-SQRT((1-R483)*($G$8-$E$8)*($G$8-$F$8))))</f>
        <v>1.06128974598945</v>
      </c>
      <c r="E483" s="37" t="n">
        <f aca="false">1+IF($G$9=$E$9,$F$9,IF(S483&lt;($F$9-$E$9)/($G$9-$E$9),$E$9+SQRT(S483*($G$9-$E$9)*($F$9-$E$9)),$G$9-SQRT((1-S483)*($G$9-$E$9)*($G$9-$F$9))))</f>
        <v>1.00961405925623</v>
      </c>
      <c r="F483" s="37" t="n">
        <f aca="false">1+IF($G$10=$E$10,$F$10,IF(T483&lt;($F$10-$E$10)/($G$10-$E$10),$E$10+SQRT(T483*($G$10-$E$10)*($F$10-$E$10)),$G$10-SQRT((1-T483)*($G$10-$E$10)*($G$10-$F$10))))</f>
        <v>1.06279671449615</v>
      </c>
      <c r="G483" s="38" t="n">
        <f aca="false">IF($G$11=$E$11,$F$11,IF(U483&lt;($F$11-$E$11)/($G$11-$E$11),$E$11+SQRT(U483*($G$11-$E$11)*($F$11-$E$11)),$G$11-SQRT((1-U483)*($G$11-$E$11)*($G$11-$F$11))))</f>
        <v>0.109322156247907</v>
      </c>
      <c r="H483" s="39" t="n">
        <f aca="false">(('Business Case'!B11*$C483*'Business Case'!B12*$B483)-'Business Case'!B11*$C483*'Business Case'!B13*$D483-'Business Case'!B14*$E483)-MAX(0,(('Business Case'!B11*$C483*'Business Case'!B12*$B483)-'Business Case'!B11*$C483*'Business Case'!B13*$D483-'Business Case'!B14*$E483))*'Business Case'!$B$7-'Business Case'!$B$8*('Business Case'!B11*$C483*'Business Case'!B12*$B483)-'Business Case'!B15*$F483</f>
        <v>-2125593428.99229</v>
      </c>
      <c r="I483" s="39" t="n">
        <f aca="false">(('Business Case'!C11*$C483*'Business Case'!C12*$B483)-'Business Case'!C11*$C483*'Business Case'!C13*$D483-'Business Case'!C14*$E483)-MAX(0,(('Business Case'!C11*$C483*'Business Case'!C12*$B483)-'Business Case'!C11*$C483*'Business Case'!C13*$D483-'Business Case'!C14*$E483))*'Business Case'!$B$7-'Business Case'!$B$8*(('Business Case'!C11*$C483*'Business Case'!C12*$B483)-('Business Case'!B11*$C483*'Business Case'!B12*$B483))-'Business Case'!C15*$F483</f>
        <v>-23530616.0066136</v>
      </c>
      <c r="J483" s="39" t="n">
        <f aca="false">(('Business Case'!D11*$C483*'Business Case'!D12*$B483)-'Business Case'!D11*$C483*'Business Case'!D13*$D483-'Business Case'!D14*$E483)-MAX(0,(('Business Case'!D11*$C483*'Business Case'!D12*$B483)-'Business Case'!D11*$C483*'Business Case'!D13*$D483-'Business Case'!D14*$E483))*'Business Case'!$B$7-'Business Case'!$B$8*(('Business Case'!D11*$C483*'Business Case'!D12*$B483)-('Business Case'!C11*$C483*'Business Case'!C12*$B483))-'Business Case'!D15*$F483</f>
        <v>255222054.520564</v>
      </c>
      <c r="K483" s="39" t="n">
        <f aca="false">(('Business Case'!E11*$C483*'Business Case'!E12*$B483)-'Business Case'!E11*$C483*'Business Case'!E13*$D483-'Business Case'!E14*$E483)-MAX(0,(('Business Case'!E11*$C483*'Business Case'!E12*$B483)-'Business Case'!E11*$C483*'Business Case'!E13*$D483-'Business Case'!E14*$E483))*'Business Case'!$B$7-'Business Case'!$B$8*(('Business Case'!E11*$C483*'Business Case'!E12*$B483)-('Business Case'!D11*$C483*'Business Case'!D12*$B483))-'Business Case'!E15*$F483</f>
        <v>587114560.772549</v>
      </c>
      <c r="L483" s="39" t="n">
        <f aca="false">(('Business Case'!F11*$C483*'Business Case'!F12*$B483)-'Business Case'!F11*$C483*'Business Case'!F13*$D483-'Business Case'!F14*$E483)-MAX(0,(('Business Case'!F11*$C483*'Business Case'!F12*$B483)-'Business Case'!F11*$C483*'Business Case'!F13*$D483-'Business Case'!F14*$E483))*'Business Case'!$B$7-'Business Case'!$B$8*(('Business Case'!F11*$C483*'Business Case'!F12*$B483)-('Business Case'!E11*$C483*'Business Case'!E12*$B483))-'Business Case'!F15*$F483</f>
        <v>714989781.520236</v>
      </c>
      <c r="M483" s="39" t="n">
        <f aca="false">(('Business Case'!G11*$C483*'Business Case'!G12*$B483)-'Business Case'!G11*$C483*'Business Case'!G13*$D483-'Business Case'!G14*$E483)-MAX(0,(('Business Case'!G11*$C483*'Business Case'!G12*$B483)-'Business Case'!G11*$C483*'Business Case'!G13*$D483-'Business Case'!G14*$E483))*'Business Case'!$B$7-'Business Case'!$B$8*(('Business Case'!G11*$C483*'Business Case'!G12*$B483)-('Business Case'!F11*$C483*'Business Case'!F12*$B483))-'Business Case'!G15*$F483+'Business Case'!$B$8*('Business Case'!G11*$C483*'Business Case'!G12*$B483)</f>
        <v>907256932.999355</v>
      </c>
      <c r="N483" s="39" t="n">
        <f aca="false">IF(COUNT('Business Case'!B11:G11)=0,"",H483+NPV(G483,I483:M483))</f>
        <v>-497129475.372354</v>
      </c>
      <c r="P483" s="40" t="n">
        <f aca="true">RAND()</f>
        <v>0.660704555145862</v>
      </c>
      <c r="Q483" s="40" t="n">
        <f aca="true">RAND()</f>
        <v>0.636569521150954</v>
      </c>
      <c r="R483" s="40" t="n">
        <f aca="true">RAND()</f>
        <v>0.966339076428928</v>
      </c>
      <c r="S483" s="40" t="n">
        <f aca="true">RAND()</f>
        <v>0.455358781057537</v>
      </c>
      <c r="T483" s="40" t="n">
        <f aca="true">RAND()</f>
        <v>0.623505168938956</v>
      </c>
      <c r="U483" s="40" t="n">
        <f aca="true">RAND()</f>
        <v>0.809972754676474</v>
      </c>
    </row>
    <row r="484" customFormat="false" ht="15" hidden="false" customHeight="false" outlineLevel="0" collapsed="false">
      <c r="A484" s="36" t="n">
        <v>404</v>
      </c>
      <c r="B484" s="37" t="n">
        <f aca="false">1+IF($G$6=$E$6,$F$6,IF(P484&lt;($F$6-$E$6)/($G$6-$E$6),$E$6+SQRT(P484*($G$6-$E$6)*($F$6-$E$6)),$G$6-SQRT((1-P484)*($G$6-$E$6)*($G$6-$F$6))))</f>
        <v>0.937608727938423</v>
      </c>
      <c r="C484" s="37" t="n">
        <f aca="false">1+IF($G$7=$E$7,$F$7,IF(Q484&lt;($F$7-$E$7)/($G$7-$E$7),$E$7+SQRT(Q484*($G$7-$E$7)*($F$7-$E$7)),$G$7-SQRT((1-Q484)*($G$7-$E$7)*($G$7-$F$7))))</f>
        <v>0.924578956750593</v>
      </c>
      <c r="D484" s="37" t="n">
        <f aca="false">1+IF($G$8=$E$8,$F$8,IF(R484&lt;($F$8-$E$8)/($G$8-$E$8),$E$8+SQRT(R484*($G$8-$E$8)*($F$8-$E$8)),$G$8-SQRT((1-R484)*($G$8-$E$8)*($G$8-$F$8))))</f>
        <v>1.00350160674702</v>
      </c>
      <c r="E484" s="37" t="n">
        <f aca="false">1+IF($G$9=$E$9,$F$9,IF(S484&lt;($F$9-$E$9)/($G$9-$E$9),$E$9+SQRT(S484*($G$9-$E$9)*($F$9-$E$9)),$G$9-SQRT((1-S484)*($G$9-$E$9)*($G$9-$F$9))))</f>
        <v>1.00221542194114</v>
      </c>
      <c r="F484" s="37" t="n">
        <f aca="false">1+IF($G$10=$E$10,$F$10,IF(T484&lt;($F$10-$E$10)/($G$10-$E$10),$E$10+SQRT(T484*($G$10-$E$10)*($F$10-$E$10)),$G$10-SQRT((1-T484)*($G$10-$E$10)*($G$10-$F$10))))</f>
        <v>1.03867642916511</v>
      </c>
      <c r="G484" s="38" t="n">
        <f aca="false">IF($G$11=$E$11,$F$11,IF(U484&lt;($F$11-$E$11)/($G$11-$E$11),$E$11+SQRT(U484*($G$11-$E$11)*($F$11-$E$11)),$G$11-SQRT((1-U484)*($G$11-$E$11)*($G$11-$F$11))))</f>
        <v>0.0963639239000761</v>
      </c>
      <c r="H484" s="39" t="n">
        <f aca="false">(('Business Case'!B11*$C484*'Business Case'!B12*$B484)-'Business Case'!B11*$C484*'Business Case'!B13*$D484-'Business Case'!B14*$E484)-MAX(0,(('Business Case'!B11*$C484*'Business Case'!B12*$B484)-'Business Case'!B11*$C484*'Business Case'!B13*$D484-'Business Case'!B14*$E484))*'Business Case'!$B$7-'Business Case'!$B$8*('Business Case'!B11*$C484*'Business Case'!B12*$B484)-'Business Case'!B15*$F484</f>
        <v>-2077352858.33022</v>
      </c>
      <c r="I484" s="39" t="n">
        <f aca="false">(('Business Case'!C11*$C484*'Business Case'!C12*$B484)-'Business Case'!C11*$C484*'Business Case'!C13*$D484-'Business Case'!C14*$E484)-MAX(0,(('Business Case'!C11*$C484*'Business Case'!C12*$B484)-'Business Case'!C11*$C484*'Business Case'!C13*$D484-'Business Case'!C14*$E484))*'Business Case'!$B$7-'Business Case'!$B$8*(('Business Case'!C11*$C484*'Business Case'!C12*$B484)-('Business Case'!B11*$C484*'Business Case'!B12*$B484))-'Business Case'!C15*$F484</f>
        <v>-56242202.5794081</v>
      </c>
      <c r="J484" s="39" t="n">
        <f aca="false">(('Business Case'!D11*$C484*'Business Case'!D12*$B484)-'Business Case'!D11*$C484*'Business Case'!D13*$D484-'Business Case'!D14*$E484)-MAX(0,(('Business Case'!D11*$C484*'Business Case'!D12*$B484)-'Business Case'!D11*$C484*'Business Case'!D13*$D484-'Business Case'!D14*$E484))*'Business Case'!$B$7-'Business Case'!$B$8*(('Business Case'!D11*$C484*'Business Case'!D12*$B484)-('Business Case'!C11*$C484*'Business Case'!C12*$B484))-'Business Case'!D15*$F484</f>
        <v>178838019.404715</v>
      </c>
      <c r="K484" s="39" t="n">
        <f aca="false">(('Business Case'!E11*$C484*'Business Case'!E12*$B484)-'Business Case'!E11*$C484*'Business Case'!E13*$D484-'Business Case'!E14*$E484)-MAX(0,(('Business Case'!E11*$C484*'Business Case'!E12*$B484)-'Business Case'!E11*$C484*'Business Case'!E13*$D484-'Business Case'!E14*$E484))*'Business Case'!$B$7-'Business Case'!$B$8*(('Business Case'!E11*$C484*'Business Case'!E12*$B484)-('Business Case'!D11*$C484*'Business Case'!D12*$B484))-'Business Case'!E15*$F484</f>
        <v>465852062.847093</v>
      </c>
      <c r="L484" s="39" t="n">
        <f aca="false">(('Business Case'!F11*$C484*'Business Case'!F12*$B484)-'Business Case'!F11*$C484*'Business Case'!F13*$D484-'Business Case'!F14*$E484)-MAX(0,(('Business Case'!F11*$C484*'Business Case'!F12*$B484)-'Business Case'!F11*$C484*'Business Case'!F13*$D484-'Business Case'!F14*$E484))*'Business Case'!$B$7-'Business Case'!$B$8*(('Business Case'!F11*$C484*'Business Case'!F12*$B484)-('Business Case'!E11*$C484*'Business Case'!E12*$B484))-'Business Case'!F15*$F484</f>
        <v>574171969.273127</v>
      </c>
      <c r="M484" s="39" t="n">
        <f aca="false">(('Business Case'!G11*$C484*'Business Case'!G12*$B484)-'Business Case'!G11*$C484*'Business Case'!G13*$D484-'Business Case'!G14*$E484)-MAX(0,(('Business Case'!G11*$C484*'Business Case'!G12*$B484)-'Business Case'!G11*$C484*'Business Case'!G13*$D484-'Business Case'!G14*$E484))*'Business Case'!$B$7-'Business Case'!$B$8*(('Business Case'!G11*$C484*'Business Case'!G12*$B484)-('Business Case'!F11*$C484*'Business Case'!F12*$B484))-'Business Case'!G15*$F484+'Business Case'!$B$8*('Business Case'!G11*$C484*'Business Case'!G12*$B484)</f>
        <v>738951047.645424</v>
      </c>
      <c r="N484" s="39" t="n">
        <f aca="false">IF(COUNT('Business Case'!B11:G11)=0,"",H484+NPV(G484,I484:M484))</f>
        <v>-762489060.402427</v>
      </c>
      <c r="P484" s="40" t="n">
        <f aca="true">RAND()</f>
        <v>0.0322986770426454</v>
      </c>
      <c r="Q484" s="40" t="n">
        <f aca="true">RAND()</f>
        <v>0.221713092358087</v>
      </c>
      <c r="R484" s="40" t="n">
        <f aca="true">RAND()</f>
        <v>0.437307291318475</v>
      </c>
      <c r="S484" s="40" t="n">
        <f aca="true">RAND()</f>
        <v>0.362545086256676</v>
      </c>
      <c r="T484" s="40" t="n">
        <f aca="true">RAND()</f>
        <v>0.479494109861593</v>
      </c>
      <c r="U484" s="40" t="n">
        <f aca="true">RAND()</f>
        <v>0.134998424686531</v>
      </c>
    </row>
    <row r="485" customFormat="false" ht="15" hidden="false" customHeight="false" outlineLevel="0" collapsed="false">
      <c r="A485" s="36" t="n">
        <v>405</v>
      </c>
      <c r="B485" s="37" t="n">
        <f aca="false">1+IF($G$6=$E$6,$F$6,IF(P485&lt;($F$6-$E$6)/($G$6-$E$6),$E$6+SQRT(P485*($G$6-$E$6)*($F$6-$E$6)),$G$6-SQRT((1-P485)*($G$6-$E$6)*($G$6-$F$6))))</f>
        <v>0.930101569774347</v>
      </c>
      <c r="C485" s="37" t="n">
        <f aca="false">1+IF($G$7=$E$7,$F$7,IF(Q485&lt;($F$7-$E$7)/($G$7-$E$7),$E$7+SQRT(Q485*($G$7-$E$7)*($F$7-$E$7)),$G$7-SQRT((1-Q485)*($G$7-$E$7)*($G$7-$F$7))))</f>
        <v>0.954463486125049</v>
      </c>
      <c r="D485" s="37" t="n">
        <f aca="false">1+IF($G$8=$E$8,$F$8,IF(R485&lt;($F$8-$E$8)/($G$8-$E$8),$E$8+SQRT(R485*($G$8-$E$8)*($F$8-$E$8)),$G$8-SQRT((1-R485)*($G$8-$E$8)*($G$8-$F$8))))</f>
        <v>0.983180298930878</v>
      </c>
      <c r="E485" s="37" t="n">
        <f aca="false">1+IF($G$9=$E$9,$F$9,IF(S485&lt;($F$9-$E$9)/($G$9-$E$9),$E$9+SQRT(S485*($G$9-$E$9)*($F$9-$E$9)),$G$9-SQRT((1-S485)*($G$9-$E$9)*($G$9-$F$9))))</f>
        <v>1.035767409131</v>
      </c>
      <c r="F485" s="37" t="n">
        <f aca="false">1+IF($G$10=$E$10,$F$10,IF(T485&lt;($F$10-$E$10)/($G$10-$E$10),$E$10+SQRT(T485*($G$10-$E$10)*($F$10-$E$10)),$G$10-SQRT((1-T485)*($G$10-$E$10)*($G$10-$F$10))))</f>
        <v>1.0134143672324</v>
      </c>
      <c r="G485" s="38" t="n">
        <f aca="false">IF($G$11=$E$11,$F$11,IF(U485&lt;($F$11-$E$11)/($G$11-$E$11),$E$11+SQRT(U485*($G$11-$E$11)*($F$11-$E$11)),$G$11-SQRT((1-U485)*($G$11-$E$11)*($G$11-$F$11))))</f>
        <v>0.0944388671201361</v>
      </c>
      <c r="H485" s="39" t="n">
        <f aca="false">(('Business Case'!B11*$C485*'Business Case'!B12*$B485)-'Business Case'!B11*$C485*'Business Case'!B13*$D485-'Business Case'!B14*$E485)-MAX(0,(('Business Case'!B11*$C485*'Business Case'!B12*$B485)-'Business Case'!B11*$C485*'Business Case'!B13*$D485-'Business Case'!B14*$E485))*'Business Case'!$B$7-'Business Case'!$B$8*('Business Case'!B11*$C485*'Business Case'!B12*$B485)-'Business Case'!B15*$F485</f>
        <v>-2026828734.4648</v>
      </c>
      <c r="I485" s="39" t="n">
        <f aca="false">(('Business Case'!C11*$C485*'Business Case'!C12*$B485)-'Business Case'!C11*$C485*'Business Case'!C13*$D485-'Business Case'!C14*$E485)-MAX(0,(('Business Case'!C11*$C485*'Business Case'!C12*$B485)-'Business Case'!C11*$C485*'Business Case'!C13*$D485-'Business Case'!C14*$E485))*'Business Case'!$B$7-'Business Case'!$B$8*(('Business Case'!C11*$C485*'Business Case'!C12*$B485)-('Business Case'!B11*$C485*'Business Case'!B12*$B485))-'Business Case'!C15*$F485</f>
        <v>-47909590.3164619</v>
      </c>
      <c r="J485" s="39" t="n">
        <f aca="false">(('Business Case'!D11*$C485*'Business Case'!D12*$B485)-'Business Case'!D11*$C485*'Business Case'!D13*$D485-'Business Case'!D14*$E485)-MAX(0,(('Business Case'!D11*$C485*'Business Case'!D12*$B485)-'Business Case'!D11*$C485*'Business Case'!D13*$D485-'Business Case'!D14*$E485))*'Business Case'!$B$7-'Business Case'!$B$8*(('Business Case'!D11*$C485*'Business Case'!D12*$B485)-('Business Case'!C11*$C485*'Business Case'!C12*$B485))-'Business Case'!D15*$F485</f>
        <v>198829237.3012</v>
      </c>
      <c r="K485" s="39" t="n">
        <f aca="false">(('Business Case'!E11*$C485*'Business Case'!E12*$B485)-'Business Case'!E11*$C485*'Business Case'!E13*$D485-'Business Case'!E14*$E485)-MAX(0,(('Business Case'!E11*$C485*'Business Case'!E12*$B485)-'Business Case'!E11*$C485*'Business Case'!E13*$D485-'Business Case'!E14*$E485))*'Business Case'!$B$7-'Business Case'!$B$8*(('Business Case'!E11*$C485*'Business Case'!E12*$B485)-('Business Case'!D11*$C485*'Business Case'!D12*$B485))-'Business Case'!E15*$F485</f>
        <v>496238783.280483</v>
      </c>
      <c r="L485" s="39" t="n">
        <f aca="false">(('Business Case'!F11*$C485*'Business Case'!F12*$B485)-'Business Case'!F11*$C485*'Business Case'!F13*$D485-'Business Case'!F14*$E485)-MAX(0,(('Business Case'!F11*$C485*'Business Case'!F12*$B485)-'Business Case'!F11*$C485*'Business Case'!F13*$D485-'Business Case'!F14*$E485))*'Business Case'!$B$7-'Business Case'!$B$8*(('Business Case'!F11*$C485*'Business Case'!F12*$B485)-('Business Case'!E11*$C485*'Business Case'!E12*$B485))-'Business Case'!F15*$F485</f>
        <v>609165629.574675</v>
      </c>
      <c r="M485" s="39" t="n">
        <f aca="false">(('Business Case'!G11*$C485*'Business Case'!G12*$B485)-'Business Case'!G11*$C485*'Business Case'!G13*$D485-'Business Case'!G14*$E485)-MAX(0,(('Business Case'!G11*$C485*'Business Case'!G12*$B485)-'Business Case'!G11*$C485*'Business Case'!G13*$D485-'Business Case'!G14*$E485))*'Business Case'!$B$7-'Business Case'!$B$8*(('Business Case'!G11*$C485*'Business Case'!G12*$B485)-('Business Case'!F11*$C485*'Business Case'!F12*$B485))-'Business Case'!G15*$F485+'Business Case'!$B$8*('Business Case'!G11*$C485*'Business Case'!G12*$B485)</f>
        <v>777908766.893682</v>
      </c>
      <c r="N485" s="39" t="n">
        <f aca="false">IF(COUNT('Business Case'!B11:G11)=0,"",H485+NPV(G485,I485:M485))</f>
        <v>-606057670.570348</v>
      </c>
      <c r="P485" s="40" t="n">
        <f aca="true">RAND()</f>
        <v>0.0106293449902089</v>
      </c>
      <c r="Q485" s="40" t="n">
        <f aca="true">RAND()</f>
        <v>0.340842407798618</v>
      </c>
      <c r="R485" s="40" t="n">
        <f aca="true">RAND()</f>
        <v>0.169374190329606</v>
      </c>
      <c r="S485" s="40" t="n">
        <f aca="true">RAND()</f>
        <v>0.72494495135034</v>
      </c>
      <c r="T485" s="40" t="n">
        <f aca="true">RAND()</f>
        <v>0.303716032894292</v>
      </c>
      <c r="U485" s="40" t="n">
        <f aca="true">RAND()</f>
        <v>0.0656784710340849</v>
      </c>
    </row>
    <row r="486" customFormat="false" ht="15" hidden="false" customHeight="false" outlineLevel="0" collapsed="false">
      <c r="A486" s="36" t="n">
        <v>406</v>
      </c>
      <c r="B486" s="37" t="n">
        <f aca="false">1+IF($G$6=$E$6,$F$6,IF(P486&lt;($F$6-$E$6)/($G$6-$E$6),$E$6+SQRT(P486*($G$6-$E$6)*($F$6-$E$6)),$G$6-SQRT((1-P486)*($G$6-$E$6)*($G$6-$F$6))))</f>
        <v>0.950798293773539</v>
      </c>
      <c r="C486" s="37" t="n">
        <f aca="false">1+IF($G$7=$E$7,$F$7,IF(Q486&lt;($F$7-$E$7)/($G$7-$E$7),$E$7+SQRT(Q486*($G$7-$E$7)*($F$7-$E$7)),$G$7-SQRT((1-Q486)*($G$7-$E$7)*($G$7-$F$7))))</f>
        <v>1.11127227787006</v>
      </c>
      <c r="D486" s="37" t="n">
        <f aca="false">1+IF($G$8=$E$8,$F$8,IF(R486&lt;($F$8-$E$8)/($G$8-$E$8),$E$8+SQRT(R486*($G$8-$E$8)*($F$8-$E$8)),$G$8-SQRT((1-R486)*($G$8-$E$8)*($G$8-$F$8))))</f>
        <v>0.991777392057876</v>
      </c>
      <c r="E486" s="37" t="n">
        <f aca="false">1+IF($G$9=$E$9,$F$9,IF(S486&lt;($F$9-$E$9)/($G$9-$E$9),$E$9+SQRT(S486*($G$9-$E$9)*($F$9-$E$9)),$G$9-SQRT((1-S486)*($G$9-$E$9)*($G$9-$F$9))))</f>
        <v>0.989251606878465</v>
      </c>
      <c r="F486" s="37" t="n">
        <f aca="false">1+IF($G$10=$E$10,$F$10,IF(T486&lt;($F$10-$E$10)/($G$10-$E$10),$E$10+SQRT(T486*($G$10-$E$10)*($F$10-$E$10)),$G$10-SQRT((1-T486)*($G$10-$E$10)*($G$10-$F$10))))</f>
        <v>1.05632245806763</v>
      </c>
      <c r="G486" s="38" t="n">
        <f aca="false">IF($G$11=$E$11,$F$11,IF(U486&lt;($F$11-$E$11)/($G$11-$E$11),$E$11+SQRT(U486*($G$11-$E$11)*($F$11-$E$11)),$G$11-SQRT((1-U486)*($G$11-$E$11)*($G$11-$F$11))))</f>
        <v>0.0983548041759795</v>
      </c>
      <c r="H486" s="39" t="n">
        <f aca="false">(('Business Case'!B11*$C486*'Business Case'!B12*$B486)-'Business Case'!B11*$C486*'Business Case'!B13*$D486-'Business Case'!B14*$E486)-MAX(0,(('Business Case'!B11*$C486*'Business Case'!B12*$B486)-'Business Case'!B11*$C486*'Business Case'!B13*$D486-'Business Case'!B14*$E486))*'Business Case'!$B$7-'Business Case'!$B$8*('Business Case'!B11*$C486*'Business Case'!B12*$B486)-'Business Case'!B15*$F486</f>
        <v>-2112644916.13526</v>
      </c>
      <c r="I486" s="39" t="n">
        <f aca="false">(('Business Case'!C11*$C486*'Business Case'!C12*$B486)-'Business Case'!C11*$C486*'Business Case'!C13*$D486-'Business Case'!C14*$E486)-MAX(0,(('Business Case'!C11*$C486*'Business Case'!C12*$B486)-'Business Case'!C11*$C486*'Business Case'!C13*$D486-'Business Case'!C14*$E486))*'Business Case'!$B$7-'Business Case'!$B$8*(('Business Case'!C11*$C486*'Business Case'!C12*$B486)-('Business Case'!B11*$C486*'Business Case'!B12*$B486))-'Business Case'!C15*$F486</f>
        <v>145466.874396861</v>
      </c>
      <c r="J486" s="39" t="n">
        <f aca="false">(('Business Case'!D11*$C486*'Business Case'!D12*$B486)-'Business Case'!D11*$C486*'Business Case'!D13*$D486-'Business Case'!D14*$E486)-MAX(0,(('Business Case'!D11*$C486*'Business Case'!D12*$B486)-'Business Case'!D11*$C486*'Business Case'!D13*$D486-'Business Case'!D14*$E486))*'Business Case'!$B$7-'Business Case'!$B$8*(('Business Case'!D11*$C486*'Business Case'!D12*$B486)-('Business Case'!C11*$C486*'Business Case'!C12*$B486))-'Business Case'!D15*$F486</f>
        <v>301368683.585227</v>
      </c>
      <c r="K486" s="39" t="n">
        <f aca="false">(('Business Case'!E11*$C486*'Business Case'!E12*$B486)-'Business Case'!E11*$C486*'Business Case'!E13*$D486-'Business Case'!E14*$E486)-MAX(0,(('Business Case'!E11*$C486*'Business Case'!E12*$B486)-'Business Case'!E11*$C486*'Business Case'!E13*$D486-'Business Case'!E14*$E486))*'Business Case'!$B$7-'Business Case'!$B$8*(('Business Case'!E11*$C486*'Business Case'!E12*$B486)-('Business Case'!D11*$C486*'Business Case'!D12*$B486))-'Business Case'!E15*$F486</f>
        <v>655408023.199439</v>
      </c>
      <c r="L486" s="39" t="n">
        <f aca="false">(('Business Case'!F11*$C486*'Business Case'!F12*$B486)-'Business Case'!F11*$C486*'Business Case'!F13*$D486-'Business Case'!F14*$E486)-MAX(0,(('Business Case'!F11*$C486*'Business Case'!F12*$B486)-'Business Case'!F11*$C486*'Business Case'!F13*$D486-'Business Case'!F14*$E486))*'Business Case'!$B$7-'Business Case'!$B$8*(('Business Case'!F11*$C486*'Business Case'!F12*$B486)-('Business Case'!E11*$C486*'Business Case'!E12*$B486))-'Business Case'!F15*$F486</f>
        <v>792331712.457418</v>
      </c>
      <c r="M486" s="39" t="n">
        <f aca="false">(('Business Case'!G11*$C486*'Business Case'!G12*$B486)-'Business Case'!G11*$C486*'Business Case'!G13*$D486-'Business Case'!G14*$E486)-MAX(0,(('Business Case'!G11*$C486*'Business Case'!G12*$B486)-'Business Case'!G11*$C486*'Business Case'!G13*$D486-'Business Case'!G14*$E486))*'Business Case'!$B$7-'Business Case'!$B$8*(('Business Case'!G11*$C486*'Business Case'!G12*$B486)-('Business Case'!F11*$C486*'Business Case'!F12*$B486))-'Business Case'!G15*$F486+'Business Case'!$B$8*('Business Case'!G11*$C486*'Business Case'!G12*$B486)</f>
        <v>993169439.406447</v>
      </c>
      <c r="N486" s="39" t="n">
        <f aca="false">IF(COUNT('Business Case'!B11:G11)=0,"",H486+NPV(G486,I486:M486))</f>
        <v>-202331522.812006</v>
      </c>
      <c r="P486" s="40" t="n">
        <f aca="true">RAND()</f>
        <v>0.0988057186834607</v>
      </c>
      <c r="Q486" s="40" t="n">
        <f aca="true">RAND()</f>
        <v>0.971431686450026</v>
      </c>
      <c r="R486" s="40" t="n">
        <f aca="true">RAND()</f>
        <v>0.268515459562685</v>
      </c>
      <c r="S486" s="40" t="n">
        <f aca="true">RAND()</f>
        <v>0.20542515233887</v>
      </c>
      <c r="T486" s="40" t="n">
        <f aca="true">RAND()</f>
        <v>0.587135278885433</v>
      </c>
      <c r="U486" s="40" t="n">
        <f aca="true">RAND()</f>
        <v>0.232675842729882</v>
      </c>
    </row>
    <row r="487" customFormat="false" ht="15" hidden="false" customHeight="false" outlineLevel="0" collapsed="false">
      <c r="A487" s="36" t="n">
        <v>407</v>
      </c>
      <c r="B487" s="37" t="n">
        <f aca="false">1+IF($G$6=$E$6,$F$6,IF(P487&lt;($F$6-$E$6)/($G$6-$E$6),$E$6+SQRT(P487*($G$6-$E$6)*($F$6-$E$6)),$G$6-SQRT((1-P487)*($G$6-$E$6)*($G$6-$F$6))))</f>
        <v>0.954971902850457</v>
      </c>
      <c r="C487" s="37" t="n">
        <f aca="false">1+IF($G$7=$E$7,$F$7,IF(Q487&lt;($F$7-$E$7)/($G$7-$E$7),$E$7+SQRT(Q487*($G$7-$E$7)*($F$7-$E$7)),$G$7-SQRT((1-Q487)*($G$7-$E$7)*($G$7-$F$7))))</f>
        <v>0.965958862154694</v>
      </c>
      <c r="D487" s="37" t="n">
        <f aca="false">1+IF($G$8=$E$8,$F$8,IF(R487&lt;($F$8-$E$8)/($G$8-$E$8),$E$8+SQRT(R487*($G$8-$E$8)*($F$8-$E$8)),$G$8-SQRT((1-R487)*($G$8-$E$8)*($G$8-$F$8))))</f>
        <v>0.980247176199225</v>
      </c>
      <c r="E487" s="37" t="n">
        <f aca="false">1+IF($G$9=$E$9,$F$9,IF(S487&lt;($F$9-$E$9)/($G$9-$E$9),$E$9+SQRT(S487*($G$9-$E$9)*($F$9-$E$9)),$G$9-SQRT((1-S487)*($G$9-$E$9)*($G$9-$F$9))))</f>
        <v>1.00363968572847</v>
      </c>
      <c r="F487" s="37" t="n">
        <f aca="false">1+IF($G$10=$E$10,$F$10,IF(T487&lt;($F$10-$E$10)/($G$10-$E$10),$E$10+SQRT(T487*($G$10-$E$10)*($F$10-$E$10)),$G$10-SQRT((1-T487)*($G$10-$E$10)*($G$10-$F$10))))</f>
        <v>0.998217108754463</v>
      </c>
      <c r="G487" s="38" t="n">
        <f aca="false">IF($G$11=$E$11,$F$11,IF(U487&lt;($F$11-$E$11)/($G$11-$E$11),$E$11+SQRT(U487*($G$11-$E$11)*($F$11-$E$11)),$G$11-SQRT((1-U487)*($G$11-$E$11)*($G$11-$F$11))))</f>
        <v>0.107461496735039</v>
      </c>
      <c r="H487" s="39" t="n">
        <f aca="false">(('Business Case'!B11*$C487*'Business Case'!B12*$B487)-'Business Case'!B11*$C487*'Business Case'!B13*$D487-'Business Case'!B14*$E487)-MAX(0,(('Business Case'!B11*$C487*'Business Case'!B12*$B487)-'Business Case'!B11*$C487*'Business Case'!B13*$D487-'Business Case'!B14*$E487))*'Business Case'!$B$7-'Business Case'!$B$8*('Business Case'!B11*$C487*'Business Case'!B12*$B487)-'Business Case'!B15*$F487</f>
        <v>-1996434217.50893</v>
      </c>
      <c r="I487" s="39" t="n">
        <f aca="false">(('Business Case'!C11*$C487*'Business Case'!C12*$B487)-'Business Case'!C11*$C487*'Business Case'!C13*$D487-'Business Case'!C14*$E487)-MAX(0,(('Business Case'!C11*$C487*'Business Case'!C12*$B487)-'Business Case'!C11*$C487*'Business Case'!C13*$D487-'Business Case'!C14*$E487))*'Business Case'!$B$7-'Business Case'!$B$8*(('Business Case'!C11*$C487*'Business Case'!C12*$B487)-('Business Case'!B11*$C487*'Business Case'!B12*$B487))-'Business Case'!C15*$F487</f>
        <v>-19521716.96503</v>
      </c>
      <c r="J487" s="39" t="n">
        <f aca="false">(('Business Case'!D11*$C487*'Business Case'!D12*$B487)-'Business Case'!D11*$C487*'Business Case'!D13*$D487-'Business Case'!D14*$E487)-MAX(0,(('Business Case'!D11*$C487*'Business Case'!D12*$B487)-'Business Case'!D11*$C487*'Business Case'!D13*$D487-'Business Case'!D14*$E487))*'Business Case'!$B$7-'Business Case'!$B$8*(('Business Case'!D11*$C487*'Business Case'!D12*$B487)-('Business Case'!C11*$C487*'Business Case'!C12*$B487))-'Business Case'!D15*$F487</f>
        <v>251316351.863039</v>
      </c>
      <c r="K487" s="39" t="n">
        <f aca="false">(('Business Case'!E11*$C487*'Business Case'!E12*$B487)-'Business Case'!E11*$C487*'Business Case'!E13*$D487-'Business Case'!E14*$E487)-MAX(0,(('Business Case'!E11*$C487*'Business Case'!E12*$B487)-'Business Case'!E11*$C487*'Business Case'!E13*$D487-'Business Case'!E14*$E487))*'Business Case'!$B$7-'Business Case'!$B$8*(('Business Case'!E11*$C487*'Business Case'!E12*$B487)-('Business Case'!D11*$C487*'Business Case'!D12*$B487))-'Business Case'!E15*$F487</f>
        <v>572065276.128832</v>
      </c>
      <c r="L487" s="39" t="n">
        <f aca="false">(('Business Case'!F11*$C487*'Business Case'!F12*$B487)-'Business Case'!F11*$C487*'Business Case'!F13*$D487-'Business Case'!F14*$E487)-MAX(0,(('Business Case'!F11*$C487*'Business Case'!F12*$B487)-'Business Case'!F11*$C487*'Business Case'!F13*$D487-'Business Case'!F14*$E487))*'Business Case'!$B$7-'Business Case'!$B$8*(('Business Case'!F11*$C487*'Business Case'!F12*$B487)-('Business Case'!E11*$C487*'Business Case'!E12*$B487))-'Business Case'!F15*$F487</f>
        <v>694224973.476231</v>
      </c>
      <c r="M487" s="39" t="n">
        <f aca="false">(('Business Case'!G11*$C487*'Business Case'!G12*$B487)-'Business Case'!G11*$C487*'Business Case'!G13*$D487-'Business Case'!G14*$E487)-MAX(0,(('Business Case'!G11*$C487*'Business Case'!G12*$B487)-'Business Case'!G11*$C487*'Business Case'!G13*$D487-'Business Case'!G14*$E487))*'Business Case'!$B$7-'Business Case'!$B$8*(('Business Case'!G11*$C487*'Business Case'!G12*$B487)-('Business Case'!F11*$C487*'Business Case'!F12*$B487))-'Business Case'!G15*$F487+'Business Case'!$B$8*('Business Case'!G11*$C487*'Business Case'!G12*$B487)</f>
        <v>869566849.368799</v>
      </c>
      <c r="N487" s="39" t="n">
        <f aca="false">IF(COUNT('Business Case'!B11:G11)=0,"",H487+NPV(G487,I487:M487))</f>
        <v>-404477339.632778</v>
      </c>
      <c r="P487" s="40" t="n">
        <f aca="true">RAND()</f>
        <v>0.127399373852268</v>
      </c>
      <c r="Q487" s="40" t="n">
        <f aca="true">RAND()</f>
        <v>0.393462056109727</v>
      </c>
      <c r="R487" s="40" t="n">
        <f aca="true">RAND()</f>
        <v>0.14075256431184</v>
      </c>
      <c r="S487" s="40" t="n">
        <f aca="true">RAND()</f>
        <v>0.380979322232833</v>
      </c>
      <c r="T487" s="40" t="n">
        <f aca="true">RAND()</f>
        <v>0.185991166131176</v>
      </c>
      <c r="U487" s="40" t="n">
        <f aca="true">RAND()</f>
        <v>0.737976559790958</v>
      </c>
    </row>
    <row r="488" customFormat="false" ht="15" hidden="false" customHeight="false" outlineLevel="0" collapsed="false">
      <c r="A488" s="36" t="n">
        <v>408</v>
      </c>
      <c r="B488" s="37" t="n">
        <f aca="false">1+IF($G$6=$E$6,$F$6,IF(P488&lt;($F$6-$E$6)/($G$6-$E$6),$E$6+SQRT(P488*($G$6-$E$6)*($F$6-$E$6)),$G$6-SQRT((1-P488)*($G$6-$E$6)*($G$6-$F$6))))</f>
        <v>0.995093381876377</v>
      </c>
      <c r="C488" s="37" t="n">
        <f aca="false">1+IF($G$7=$E$7,$F$7,IF(Q488&lt;($F$7-$E$7)/($G$7-$E$7),$E$7+SQRT(Q488*($G$7-$E$7)*($F$7-$E$7)),$G$7-SQRT((1-Q488)*($G$7-$E$7)*($G$7-$F$7))))</f>
        <v>0.981371048641476</v>
      </c>
      <c r="D488" s="37" t="n">
        <f aca="false">1+IF($G$8=$E$8,$F$8,IF(R488&lt;($F$8-$E$8)/($G$8-$E$8),$E$8+SQRT(R488*($G$8-$E$8)*($F$8-$E$8)),$G$8-SQRT((1-R488)*($G$8-$E$8)*($G$8-$F$8))))</f>
        <v>1.02006431920618</v>
      </c>
      <c r="E488" s="37" t="n">
        <f aca="false">1+IF($G$9=$E$9,$F$9,IF(S488&lt;($F$9-$E$9)/($G$9-$E$9),$E$9+SQRT(S488*($G$9-$E$9)*($F$9-$E$9)),$G$9-SQRT((1-S488)*($G$9-$E$9)*($G$9-$F$9))))</f>
        <v>0.963317828494156</v>
      </c>
      <c r="F488" s="37" t="n">
        <f aca="false">1+IF($G$10=$E$10,$F$10,IF(T488&lt;($F$10-$E$10)/($G$10-$E$10),$E$10+SQRT(T488*($G$10-$E$10)*($F$10-$E$10)),$G$10-SQRT((1-T488)*($G$10-$E$10)*($G$10-$F$10))))</f>
        <v>1.06585444188912</v>
      </c>
      <c r="G488" s="38" t="n">
        <f aca="false">IF($G$11=$E$11,$F$11,IF(U488&lt;($F$11-$E$11)/($G$11-$E$11),$E$11+SQRT(U488*($G$11-$E$11)*($F$11-$E$11)),$G$11-SQRT((1-U488)*($G$11-$E$11)*($G$11-$F$11))))</f>
        <v>0.0978815129631267</v>
      </c>
      <c r="H488" s="39" t="n">
        <f aca="false">(('Business Case'!B11*$C488*'Business Case'!B12*$B488)-'Business Case'!B11*$C488*'Business Case'!B13*$D488-'Business Case'!B14*$E488)-MAX(0,(('Business Case'!B11*$C488*'Business Case'!B12*$B488)-'Business Case'!B11*$C488*'Business Case'!B13*$D488-'Business Case'!B14*$E488))*'Business Case'!$B$7-'Business Case'!$B$8*('Business Case'!B11*$C488*'Business Case'!B12*$B488)-'Business Case'!B15*$F488</f>
        <v>-2131708883.77823</v>
      </c>
      <c r="I488" s="39" t="n">
        <f aca="false">(('Business Case'!C11*$C488*'Business Case'!C12*$B488)-'Business Case'!C11*$C488*'Business Case'!C13*$D488-'Business Case'!C14*$E488)-MAX(0,(('Business Case'!C11*$C488*'Business Case'!C12*$B488)-'Business Case'!C11*$C488*'Business Case'!C13*$D488-'Business Case'!C14*$E488))*'Business Case'!$B$7-'Business Case'!$B$8*(('Business Case'!C11*$C488*'Business Case'!C12*$B488)-('Business Case'!B11*$C488*'Business Case'!B12*$B488))-'Business Case'!C15*$F488</f>
        <v>-6787801.96015136</v>
      </c>
      <c r="J488" s="39" t="n">
        <f aca="false">(('Business Case'!D11*$C488*'Business Case'!D12*$B488)-'Business Case'!D11*$C488*'Business Case'!D13*$D488-'Business Case'!D14*$E488)-MAX(0,(('Business Case'!D11*$C488*'Business Case'!D12*$B488)-'Business Case'!D11*$C488*'Business Case'!D13*$D488-'Business Case'!D14*$E488))*'Business Case'!$B$7-'Business Case'!$B$8*(('Business Case'!D11*$C488*'Business Case'!D12*$B488)-('Business Case'!C11*$C488*'Business Case'!C12*$B488))-'Business Case'!D15*$F488</f>
        <v>280618290.001518</v>
      </c>
      <c r="K488" s="39" t="n">
        <f aca="false">(('Business Case'!E11*$C488*'Business Case'!E12*$B488)-'Business Case'!E11*$C488*'Business Case'!E13*$D488-'Business Case'!E14*$E488)-MAX(0,(('Business Case'!E11*$C488*'Business Case'!E12*$B488)-'Business Case'!E11*$C488*'Business Case'!E13*$D488-'Business Case'!E14*$E488))*'Business Case'!$B$7-'Business Case'!$B$8*(('Business Case'!E11*$C488*'Business Case'!E12*$B488)-('Business Case'!D11*$C488*'Business Case'!D12*$B488))-'Business Case'!E15*$F488</f>
        <v>621317104.057644</v>
      </c>
      <c r="L488" s="39" t="n">
        <f aca="false">(('Business Case'!F11*$C488*'Business Case'!F12*$B488)-'Business Case'!F11*$C488*'Business Case'!F13*$D488-'Business Case'!F14*$E488)-MAX(0,(('Business Case'!F11*$C488*'Business Case'!F12*$B488)-'Business Case'!F11*$C488*'Business Case'!F13*$D488-'Business Case'!F14*$E488))*'Business Case'!$B$7-'Business Case'!$B$8*(('Business Case'!F11*$C488*'Business Case'!F12*$B488)-('Business Case'!E11*$C488*'Business Case'!E12*$B488))-'Business Case'!F15*$F488</f>
        <v>750868904.392226</v>
      </c>
      <c r="M488" s="39" t="n">
        <f aca="false">(('Business Case'!G11*$C488*'Business Case'!G12*$B488)-'Business Case'!G11*$C488*'Business Case'!G13*$D488-'Business Case'!G14*$E488)-MAX(0,(('Business Case'!G11*$C488*'Business Case'!G12*$B488)-'Business Case'!G11*$C488*'Business Case'!G13*$D488-'Business Case'!G14*$E488))*'Business Case'!$B$7-'Business Case'!$B$8*(('Business Case'!G11*$C488*'Business Case'!G12*$B488)-('Business Case'!F11*$C488*'Business Case'!F12*$B488))-'Business Case'!G15*$F488+'Business Case'!$B$8*('Business Case'!G11*$C488*'Business Case'!G12*$B488)</f>
        <v>936492637.63604</v>
      </c>
      <c r="N488" s="39" t="n">
        <f aca="false">IF(COUNT('Business Case'!B11:G11)=0,"",H488+NPV(G488,I488:M488))</f>
        <v>-331623833.409202</v>
      </c>
      <c r="P488" s="40" t="n">
        <f aca="true">RAND()</f>
        <v>0.587397500169936</v>
      </c>
      <c r="Q488" s="40" t="n">
        <f aca="true">RAND()</f>
        <v>0.469935104075836</v>
      </c>
      <c r="R488" s="40" t="n">
        <f aca="true">RAND()</f>
        <v>0.654587900748205</v>
      </c>
      <c r="S488" s="40" t="n">
        <f aca="true">RAND()</f>
        <v>0.023648607439968</v>
      </c>
      <c r="T488" s="40" t="n">
        <f aca="true">RAND()</f>
        <v>0.640099384782387</v>
      </c>
      <c r="U488" s="40" t="n">
        <f aca="true">RAND()</f>
        <v>0.207060821959781</v>
      </c>
    </row>
    <row r="489" customFormat="false" ht="15" hidden="false" customHeight="false" outlineLevel="0" collapsed="false">
      <c r="A489" s="36" t="n">
        <v>409</v>
      </c>
      <c r="B489" s="37" t="n">
        <f aca="false">1+IF($G$6=$E$6,$F$6,IF(P489&lt;($F$6-$E$6)/($G$6-$E$6),$E$6+SQRT(P489*($G$6-$E$6)*($F$6-$E$6)),$G$6-SQRT((1-P489)*($G$6-$E$6)*($G$6-$F$6))))</f>
        <v>0.991328890537531</v>
      </c>
      <c r="C489" s="37" t="n">
        <f aca="false">1+IF($G$7=$E$7,$F$7,IF(Q489&lt;($F$7-$E$7)/($G$7-$E$7),$E$7+SQRT(Q489*($G$7-$E$7)*($F$7-$E$7)),$G$7-SQRT((1-Q489)*($G$7-$E$7)*($G$7-$F$7))))</f>
        <v>0.933894620736771</v>
      </c>
      <c r="D489" s="37" t="n">
        <f aca="false">1+IF($G$8=$E$8,$F$8,IF(R489&lt;($F$8-$E$8)/($G$8-$E$8),$E$8+SQRT(R489*($G$8-$E$8)*($F$8-$E$8)),$G$8-SQRT((1-R489)*($G$8-$E$8)*($G$8-$F$8))))</f>
        <v>0.995134861885768</v>
      </c>
      <c r="E489" s="37" t="n">
        <f aca="false">1+IF($G$9=$E$9,$F$9,IF(S489&lt;($F$9-$E$9)/($G$9-$E$9),$E$9+SQRT(S489*($G$9-$E$9)*($F$9-$E$9)),$G$9-SQRT((1-S489)*($G$9-$E$9)*($G$9-$F$9))))</f>
        <v>0.999821654619474</v>
      </c>
      <c r="F489" s="37" t="n">
        <f aca="false">1+IF($G$10=$E$10,$F$10,IF(T489&lt;($F$10-$E$10)/($G$10-$E$10),$E$10+SQRT(T489*($G$10-$E$10)*($F$10-$E$10)),$G$10-SQRT((1-T489)*($G$10-$E$10)*($G$10-$F$10))))</f>
        <v>1.17018144383276</v>
      </c>
      <c r="G489" s="38" t="n">
        <f aca="false">IF($G$11=$E$11,$F$11,IF(U489&lt;($F$11-$E$11)/($G$11-$E$11),$E$11+SQRT(U489*($G$11-$E$11)*($F$11-$E$11)),$G$11-SQRT((1-U489)*($G$11-$E$11)*($G$11-$F$11))))</f>
        <v>0.105798046237066</v>
      </c>
      <c r="H489" s="39" t="n">
        <f aca="false">(('Business Case'!B11*$C489*'Business Case'!B12*$B489)-'Business Case'!B11*$C489*'Business Case'!B13*$D489-'Business Case'!B14*$E489)-MAX(0,(('Business Case'!B11*$C489*'Business Case'!B12*$B489)-'Business Case'!B11*$C489*'Business Case'!B13*$D489-'Business Case'!B14*$E489))*'Business Case'!$B$7-'Business Case'!$B$8*('Business Case'!B11*$C489*'Business Case'!B12*$B489)-'Business Case'!B15*$F489</f>
        <v>-2340362887.66553</v>
      </c>
      <c r="I489" s="39" t="n">
        <f aca="false">(('Business Case'!C11*$C489*'Business Case'!C12*$B489)-'Business Case'!C11*$C489*'Business Case'!C13*$D489-'Business Case'!C14*$E489)-MAX(0,(('Business Case'!C11*$C489*'Business Case'!C12*$B489)-'Business Case'!C11*$C489*'Business Case'!C13*$D489-'Business Case'!C14*$E489))*'Business Case'!$B$7-'Business Case'!$B$8*(('Business Case'!C11*$C489*'Business Case'!C12*$B489)-('Business Case'!B11*$C489*'Business Case'!B12*$B489))-'Business Case'!C15*$F489</f>
        <v>-24645328.1876432</v>
      </c>
      <c r="J489" s="39" t="n">
        <f aca="false">(('Business Case'!D11*$C489*'Business Case'!D12*$B489)-'Business Case'!D11*$C489*'Business Case'!D13*$D489-'Business Case'!D14*$E489)-MAX(0,(('Business Case'!D11*$C489*'Business Case'!D12*$B489)-'Business Case'!D11*$C489*'Business Case'!D13*$D489-'Business Case'!D14*$E489))*'Business Case'!$B$7-'Business Case'!$B$8*(('Business Case'!D11*$C489*'Business Case'!D12*$B489)-('Business Case'!C11*$C489*'Business Case'!C12*$B489))-'Business Case'!D15*$F489</f>
        <v>257895429.169164</v>
      </c>
      <c r="K489" s="39" t="n">
        <f aca="false">(('Business Case'!E11*$C489*'Business Case'!E12*$B489)-'Business Case'!E11*$C489*'Business Case'!E13*$D489-'Business Case'!E14*$E489)-MAX(0,(('Business Case'!E11*$C489*'Business Case'!E12*$B489)-'Business Case'!E11*$C489*'Business Case'!E13*$D489-'Business Case'!E14*$E489))*'Business Case'!$B$7-'Business Case'!$B$8*(('Business Case'!E11*$C489*'Business Case'!E12*$B489)-('Business Case'!D11*$C489*'Business Case'!D12*$B489))-'Business Case'!E15*$F489</f>
        <v>598945258.717609</v>
      </c>
      <c r="L489" s="39" t="n">
        <f aca="false">(('Business Case'!F11*$C489*'Business Case'!F12*$B489)-'Business Case'!F11*$C489*'Business Case'!F13*$D489-'Business Case'!F14*$E489)-MAX(0,(('Business Case'!F11*$C489*'Business Case'!F12*$B489)-'Business Case'!F11*$C489*'Business Case'!F13*$D489-'Business Case'!F14*$E489))*'Business Case'!$B$7-'Business Case'!$B$8*(('Business Case'!F11*$C489*'Business Case'!F12*$B489)-('Business Case'!E11*$C489*'Business Case'!E12*$B489))-'Business Case'!F15*$F489</f>
        <v>725121045.752735</v>
      </c>
      <c r="M489" s="39" t="n">
        <f aca="false">(('Business Case'!G11*$C489*'Business Case'!G12*$B489)-'Business Case'!G11*$C489*'Business Case'!G13*$D489-'Business Case'!G14*$E489)-MAX(0,(('Business Case'!G11*$C489*'Business Case'!G12*$B489)-'Business Case'!G11*$C489*'Business Case'!G13*$D489-'Business Case'!G14*$E489))*'Business Case'!$B$7-'Business Case'!$B$8*(('Business Case'!G11*$C489*'Business Case'!G12*$B489)-('Business Case'!F11*$C489*'Business Case'!F12*$B489))-'Business Case'!G15*$F489+'Business Case'!$B$8*('Business Case'!G11*$C489*'Business Case'!G12*$B489)</f>
        <v>901096485.958446</v>
      </c>
      <c r="N489" s="39" t="n">
        <f aca="false">IF(COUNT('Business Case'!B11:G11)=0,"",H489+NPV(G489,I489:M489))</f>
        <v>-678831614.970129</v>
      </c>
      <c r="P489" s="40" t="n">
        <f aca="true">RAND()</f>
        <v>0.529980273470314</v>
      </c>
      <c r="Q489" s="40" t="n">
        <f aca="true">RAND()</f>
        <v>0.256110992317768</v>
      </c>
      <c r="R489" s="40" t="n">
        <f aca="true">RAND()</f>
        <v>0.313408578068818</v>
      </c>
      <c r="S489" s="40" t="n">
        <f aca="true">RAND()</f>
        <v>0.330959635869618</v>
      </c>
      <c r="T489" s="40" t="n">
        <f aca="true">RAND()</f>
        <v>0.982217074162027</v>
      </c>
      <c r="U489" s="40" t="n">
        <f aca="true">RAND()</f>
        <v>0.663840848859128</v>
      </c>
    </row>
    <row r="490" customFormat="false" ht="15" hidden="false" customHeight="false" outlineLevel="0" collapsed="false">
      <c r="A490" s="36" t="n">
        <v>410</v>
      </c>
      <c r="B490" s="37" t="n">
        <f aca="false">1+IF($G$6=$E$6,$F$6,IF(P490&lt;($F$6-$E$6)/($G$6-$E$6),$E$6+SQRT(P490*($G$6-$E$6)*($F$6-$E$6)),$G$6-SQRT((1-P490)*($G$6-$E$6)*($G$6-$F$6))))</f>
        <v>0.999612839072218</v>
      </c>
      <c r="C490" s="37" t="n">
        <f aca="false">1+IF($G$7=$E$7,$F$7,IF(Q490&lt;($F$7-$E$7)/($G$7-$E$7),$E$7+SQRT(Q490*($G$7-$E$7)*($F$7-$E$7)),$G$7-SQRT((1-Q490)*($G$7-$E$7)*($G$7-$F$7))))</f>
        <v>0.971416749732221</v>
      </c>
      <c r="D490" s="37" t="n">
        <f aca="false">1+IF($G$8=$E$8,$F$8,IF(R490&lt;($F$8-$E$8)/($G$8-$E$8),$E$8+SQRT(R490*($G$8-$E$8)*($F$8-$E$8)),$G$8-SQRT((1-R490)*($G$8-$E$8)*($G$8-$F$8))))</f>
        <v>1.00438220083236</v>
      </c>
      <c r="E490" s="37" t="n">
        <f aca="false">1+IF($G$9=$E$9,$F$9,IF(S490&lt;($F$9-$E$9)/($G$9-$E$9),$E$9+SQRT(S490*($G$9-$E$9)*($F$9-$E$9)),$G$9-SQRT((1-S490)*($G$9-$E$9)*($G$9-$F$9))))</f>
        <v>1.01847657868616</v>
      </c>
      <c r="F490" s="37" t="n">
        <f aca="false">1+IF($G$10=$E$10,$F$10,IF(T490&lt;($F$10-$E$10)/($G$10-$E$10),$E$10+SQRT(T490*($G$10-$E$10)*($F$10-$E$10)),$G$10-SQRT((1-T490)*($G$10-$E$10)*($G$10-$F$10))))</f>
        <v>1.08432694772999</v>
      </c>
      <c r="G490" s="38" t="n">
        <f aca="false">IF($G$11=$E$11,$F$11,IF(U490&lt;($F$11-$E$11)/($G$11-$E$11),$E$11+SQRT(U490*($G$11-$E$11)*($F$11-$E$11)),$G$11-SQRT((1-U490)*($G$11-$E$11)*($G$11-$F$11))))</f>
        <v>0.100496865275819</v>
      </c>
      <c r="H490" s="39" t="n">
        <f aca="false">(('Business Case'!B11*$C490*'Business Case'!B12*$B490)-'Business Case'!B11*$C490*'Business Case'!B13*$D490-'Business Case'!B14*$E490)-MAX(0,(('Business Case'!B11*$C490*'Business Case'!B12*$B490)-'Business Case'!B11*$C490*'Business Case'!B13*$D490-'Business Case'!B14*$E490))*'Business Case'!$B$7-'Business Case'!$B$8*('Business Case'!B11*$C490*'Business Case'!B12*$B490)-'Business Case'!B15*$F490</f>
        <v>-2168653895.45997</v>
      </c>
      <c r="I490" s="39" t="n">
        <f aca="false">(('Business Case'!C11*$C490*'Business Case'!C12*$B490)-'Business Case'!C11*$C490*'Business Case'!C13*$D490-'Business Case'!C14*$E490)-MAX(0,(('Business Case'!C11*$C490*'Business Case'!C12*$B490)-'Business Case'!C11*$C490*'Business Case'!C13*$D490-'Business Case'!C14*$E490))*'Business Case'!$B$7-'Business Case'!$B$8*(('Business Case'!C11*$C490*'Business Case'!C12*$B490)-('Business Case'!B11*$C490*'Business Case'!B12*$B490))-'Business Case'!C15*$F490</f>
        <v>-7713477.28305365</v>
      </c>
      <c r="J490" s="39" t="n">
        <f aca="false">(('Business Case'!D11*$C490*'Business Case'!D12*$B490)-'Business Case'!D11*$C490*'Business Case'!D13*$D490-'Business Case'!D14*$E490)-MAX(0,(('Business Case'!D11*$C490*'Business Case'!D12*$B490)-'Business Case'!D11*$C490*'Business Case'!D13*$D490-'Business Case'!D14*$E490))*'Business Case'!$B$7-'Business Case'!$B$8*(('Business Case'!D11*$C490*'Business Case'!D12*$B490)-('Business Case'!C11*$C490*'Business Case'!C12*$B490))-'Business Case'!D15*$F490</f>
        <v>288171857.257595</v>
      </c>
      <c r="K490" s="39" t="n">
        <f aca="false">(('Business Case'!E11*$C490*'Business Case'!E12*$B490)-'Business Case'!E11*$C490*'Business Case'!E13*$D490-'Business Case'!E14*$E490)-MAX(0,(('Business Case'!E11*$C490*'Business Case'!E12*$B490)-'Business Case'!E11*$C490*'Business Case'!E13*$D490-'Business Case'!E14*$E490))*'Business Case'!$B$7-'Business Case'!$B$8*(('Business Case'!E11*$C490*'Business Case'!E12*$B490)-('Business Case'!D11*$C490*'Business Case'!D12*$B490))-'Business Case'!E15*$F490</f>
        <v>638273539.184742</v>
      </c>
      <c r="L490" s="39" t="n">
        <f aca="false">(('Business Case'!F11*$C490*'Business Case'!F12*$B490)-'Business Case'!F11*$C490*'Business Case'!F13*$D490-'Business Case'!F14*$E490)-MAX(0,(('Business Case'!F11*$C490*'Business Case'!F12*$B490)-'Business Case'!F11*$C490*'Business Case'!F13*$D490-'Business Case'!F14*$E490))*'Business Case'!$B$7-'Business Case'!$B$8*(('Business Case'!F11*$C490*'Business Case'!F12*$B490)-('Business Case'!E11*$C490*'Business Case'!E12*$B490))-'Business Case'!F15*$F490</f>
        <v>770461149.072646</v>
      </c>
      <c r="M490" s="39" t="n">
        <f aca="false">(('Business Case'!G11*$C490*'Business Case'!G12*$B490)-'Business Case'!G11*$C490*'Business Case'!G13*$D490-'Business Case'!G14*$E490)-MAX(0,(('Business Case'!G11*$C490*'Business Case'!G12*$B490)-'Business Case'!G11*$C490*'Business Case'!G13*$D490-'Business Case'!G14*$E490))*'Business Case'!$B$7-'Business Case'!$B$8*(('Business Case'!G11*$C490*'Business Case'!G12*$B490)-('Business Case'!F11*$C490*'Business Case'!F12*$B490))-'Business Case'!G15*$F490+'Business Case'!$B$8*('Business Case'!G11*$C490*'Business Case'!G12*$B490)</f>
        <v>955036556.798261</v>
      </c>
      <c r="N490" s="39" t="n">
        <f aca="false">IF(COUNT('Business Case'!B11:G11)=0,"",H490+NPV(G490,I490:M490))</f>
        <v>-341873604.120155</v>
      </c>
      <c r="P490" s="40" t="n">
        <f aca="true">RAND()</f>
        <v>0.660229598451968</v>
      </c>
      <c r="Q490" s="40" t="n">
        <f aca="true">RAND()</f>
        <v>0.419767172696554</v>
      </c>
      <c r="R490" s="40" t="n">
        <f aca="true">RAND()</f>
        <v>0.450187350869397</v>
      </c>
      <c r="S490" s="40" t="n">
        <f aca="true">RAND()</f>
        <v>0.556928785152407</v>
      </c>
      <c r="T490" s="40" t="n">
        <f aca="true">RAND()</f>
        <v>0.732394899570774</v>
      </c>
      <c r="U490" s="40" t="n">
        <f aca="true">RAND()</f>
        <v>0.366046226550757</v>
      </c>
    </row>
    <row r="491" customFormat="false" ht="15" hidden="false" customHeight="false" outlineLevel="0" collapsed="false">
      <c r="A491" s="36" t="n">
        <v>411</v>
      </c>
      <c r="B491" s="37" t="n">
        <f aca="false">1+IF($G$6=$E$6,$F$6,IF(P491&lt;($F$6-$E$6)/($G$6-$E$6),$E$6+SQRT(P491*($G$6-$E$6)*($F$6-$E$6)),$G$6-SQRT((1-P491)*($G$6-$E$6)*($G$6-$F$6))))</f>
        <v>0.946930870029385</v>
      </c>
      <c r="C491" s="37" t="n">
        <f aca="false">1+IF($G$7=$E$7,$F$7,IF(Q491&lt;($F$7-$E$7)/($G$7-$E$7),$E$7+SQRT(Q491*($G$7-$E$7)*($F$7-$E$7)),$G$7-SQRT((1-Q491)*($G$7-$E$7)*($G$7-$F$7))))</f>
        <v>1.06947980736179</v>
      </c>
      <c r="D491" s="37" t="n">
        <f aca="false">1+IF($G$8=$E$8,$F$8,IF(R491&lt;($F$8-$E$8)/($G$8-$E$8),$E$8+SQRT(R491*($G$8-$E$8)*($F$8-$E$8)),$G$8-SQRT((1-R491)*($G$8-$E$8)*($G$8-$F$8))))</f>
        <v>1.00388910643427</v>
      </c>
      <c r="E491" s="37" t="n">
        <f aca="false">1+IF($G$9=$E$9,$F$9,IF(S491&lt;($F$9-$E$9)/($G$9-$E$9),$E$9+SQRT(S491*($G$9-$E$9)*($F$9-$E$9)),$G$9-SQRT((1-S491)*($G$9-$E$9)*($G$9-$F$9))))</f>
        <v>1.04685361300695</v>
      </c>
      <c r="F491" s="37" t="n">
        <f aca="false">1+IF($G$10=$E$10,$F$10,IF(T491&lt;($F$10-$E$10)/($G$10-$E$10),$E$10+SQRT(T491*($G$10-$E$10)*($F$10-$E$10)),$G$10-SQRT((1-T491)*($G$10-$E$10)*($G$10-$F$10))))</f>
        <v>1.06080008462621</v>
      </c>
      <c r="G491" s="38" t="n">
        <f aca="false">IF($G$11=$E$11,$F$11,IF(U491&lt;($F$11-$E$11)/($G$11-$E$11),$E$11+SQRT(U491*($G$11-$E$11)*($F$11-$E$11)),$G$11-SQRT((1-U491)*($G$11-$E$11)*($G$11-$F$11))))</f>
        <v>0.0994471862971094</v>
      </c>
      <c r="H491" s="39" t="n">
        <f aca="false">(('Business Case'!B11*$C491*'Business Case'!B12*$B491)-'Business Case'!B11*$C491*'Business Case'!B13*$D491-'Business Case'!B14*$E491)-MAX(0,(('Business Case'!B11*$C491*'Business Case'!B12*$B491)-'Business Case'!B11*$C491*'Business Case'!B13*$D491-'Business Case'!B14*$E491))*'Business Case'!$B$7-'Business Case'!$B$8*('Business Case'!B11*$C491*'Business Case'!B12*$B491)-'Business Case'!B15*$F491</f>
        <v>-2121600169.25243</v>
      </c>
      <c r="I491" s="39" t="n">
        <f aca="false">(('Business Case'!C11*$C491*'Business Case'!C12*$B491)-'Business Case'!C11*$C491*'Business Case'!C13*$D491-'Business Case'!C14*$E491)-MAX(0,(('Business Case'!C11*$C491*'Business Case'!C12*$B491)-'Business Case'!C11*$C491*'Business Case'!C13*$D491-'Business Case'!C14*$E491))*'Business Case'!$B$7-'Business Case'!$B$8*(('Business Case'!C11*$C491*'Business Case'!C12*$B491)-('Business Case'!B11*$C491*'Business Case'!B12*$B491))-'Business Case'!C15*$F491</f>
        <v>-27566100.9778898</v>
      </c>
      <c r="J491" s="39" t="n">
        <f aca="false">(('Business Case'!D11*$C491*'Business Case'!D12*$B491)-'Business Case'!D11*$C491*'Business Case'!D13*$D491-'Business Case'!D14*$E491)-MAX(0,(('Business Case'!D11*$C491*'Business Case'!D12*$B491)-'Business Case'!D11*$C491*'Business Case'!D13*$D491-'Business Case'!D14*$E491))*'Business Case'!$B$7-'Business Case'!$B$8*(('Business Case'!D11*$C491*'Business Case'!D12*$B491)-('Business Case'!C11*$C491*'Business Case'!C12*$B491))-'Business Case'!D15*$F491</f>
        <v>252309973.637441</v>
      </c>
      <c r="K491" s="39" t="n">
        <f aca="false">(('Business Case'!E11*$C491*'Business Case'!E12*$B491)-'Business Case'!E11*$C491*'Business Case'!E13*$D491-'Business Case'!E14*$E491)-MAX(0,(('Business Case'!E11*$C491*'Business Case'!E12*$B491)-'Business Case'!E11*$C491*'Business Case'!E13*$D491-'Business Case'!E14*$E491))*'Business Case'!$B$7-'Business Case'!$B$8*(('Business Case'!E11*$C491*'Business Case'!E12*$B491)-('Business Case'!D11*$C491*'Business Case'!D12*$B491))-'Business Case'!E15*$F491</f>
        <v>585226052.484083</v>
      </c>
      <c r="L491" s="39" t="n">
        <f aca="false">(('Business Case'!F11*$C491*'Business Case'!F12*$B491)-'Business Case'!F11*$C491*'Business Case'!F13*$D491-'Business Case'!F14*$E491)-MAX(0,(('Business Case'!F11*$C491*'Business Case'!F12*$B491)-'Business Case'!F11*$C491*'Business Case'!F13*$D491-'Business Case'!F14*$E491))*'Business Case'!$B$7-'Business Case'!$B$8*(('Business Case'!F11*$C491*'Business Case'!F12*$B491)-('Business Case'!E11*$C491*'Business Case'!E12*$B491))-'Business Case'!F15*$F491</f>
        <v>713517799.596535</v>
      </c>
      <c r="M491" s="39" t="n">
        <f aca="false">(('Business Case'!G11*$C491*'Business Case'!G12*$B491)-'Business Case'!G11*$C491*'Business Case'!G13*$D491-'Business Case'!G14*$E491)-MAX(0,(('Business Case'!G11*$C491*'Business Case'!G12*$B491)-'Business Case'!G11*$C491*'Business Case'!G13*$D491-'Business Case'!G14*$E491))*'Business Case'!$B$7-'Business Case'!$B$8*(('Business Case'!G11*$C491*'Business Case'!G12*$B491)-('Business Case'!F11*$C491*'Business Case'!F12*$B491))-'Business Case'!G15*$F491+'Business Case'!$B$8*('Business Case'!G11*$C491*'Business Case'!G12*$B491)</f>
        <v>906016271.920245</v>
      </c>
      <c r="N491" s="39" t="n">
        <f aca="false">IF(COUNT('Business Case'!B11:G11)=0,"",H491+NPV(G491,I491:M491))</f>
        <v>-445286183.421346</v>
      </c>
      <c r="P491" s="40" t="n">
        <f aca="true">RAND()</f>
        <v>0.0755491417228797</v>
      </c>
      <c r="Q491" s="40" t="n">
        <f aca="true">RAND()</f>
        <v>0.876504734809642</v>
      </c>
      <c r="R491" s="40" t="n">
        <f aca="true">RAND()</f>
        <v>0.442993450060269</v>
      </c>
      <c r="S491" s="40" t="n">
        <f aca="true">RAND()</f>
        <v>0.811697436638969</v>
      </c>
      <c r="T491" s="40" t="n">
        <f aca="true">RAND()</f>
        <v>0.612467671198618</v>
      </c>
      <c r="U491" s="40" t="n">
        <f aca="true">RAND()</f>
        <v>0.29749776310764</v>
      </c>
    </row>
    <row r="492" customFormat="false" ht="15" hidden="false" customHeight="false" outlineLevel="0" collapsed="false">
      <c r="A492" s="36" t="n">
        <v>412</v>
      </c>
      <c r="B492" s="37" t="n">
        <f aca="false">1+IF($G$6=$E$6,$F$6,IF(P492&lt;($F$6-$E$6)/($G$6-$E$6),$E$6+SQRT(P492*($G$6-$E$6)*($F$6-$E$6)),$G$6-SQRT((1-P492)*($G$6-$E$6)*($G$6-$F$6))))</f>
        <v>0.977537608398923</v>
      </c>
      <c r="C492" s="37" t="n">
        <f aca="false">1+IF($G$7=$E$7,$F$7,IF(Q492&lt;($F$7-$E$7)/($G$7-$E$7),$E$7+SQRT(Q492*($G$7-$E$7)*($F$7-$E$7)),$G$7-SQRT((1-Q492)*($G$7-$E$7)*($G$7-$F$7))))</f>
        <v>0.988399219478991</v>
      </c>
      <c r="D492" s="37" t="n">
        <f aca="false">1+IF($G$8=$E$8,$F$8,IF(R492&lt;($F$8-$E$8)/($G$8-$E$8),$E$8+SQRT(R492*($G$8-$E$8)*($F$8-$E$8)),$G$8-SQRT((1-R492)*($G$8-$E$8)*($G$8-$F$8))))</f>
        <v>0.998374396827066</v>
      </c>
      <c r="E492" s="37" t="n">
        <f aca="false">1+IF($G$9=$E$9,$F$9,IF(S492&lt;($F$9-$E$9)/($G$9-$E$9),$E$9+SQRT(S492*($G$9-$E$9)*($F$9-$E$9)),$G$9-SQRT((1-S492)*($G$9-$E$9)*($G$9-$F$9))))</f>
        <v>1.02323066303366</v>
      </c>
      <c r="F492" s="37" t="n">
        <f aca="false">1+IF($G$10=$E$10,$F$10,IF(T492&lt;($F$10-$E$10)/($G$10-$E$10),$E$10+SQRT(T492*($G$10-$E$10)*($F$10-$E$10)),$G$10-SQRT((1-T492)*($G$10-$E$10)*($G$10-$F$10))))</f>
        <v>1.14649467458312</v>
      </c>
      <c r="G492" s="38" t="n">
        <f aca="false">IF($G$11=$E$11,$F$11,IF(U492&lt;($F$11-$E$11)/($G$11-$E$11),$E$11+SQRT(U492*($G$11-$E$11)*($F$11-$E$11)),$G$11-SQRT((1-U492)*($G$11-$E$11)*($G$11-$F$11))))</f>
        <v>0.100189849403952</v>
      </c>
      <c r="H492" s="39" t="n">
        <f aca="false">(('Business Case'!B11*$C492*'Business Case'!B12*$B492)-'Business Case'!B11*$C492*'Business Case'!B13*$D492-'Business Case'!B14*$E492)-MAX(0,(('Business Case'!B11*$C492*'Business Case'!B12*$B492)-'Business Case'!B11*$C492*'Business Case'!B13*$D492-'Business Case'!B14*$E492))*'Business Case'!$B$7-'Business Case'!$B$8*('Business Case'!B11*$C492*'Business Case'!B12*$B492)-'Business Case'!B15*$F492</f>
        <v>-2292989349.16624</v>
      </c>
      <c r="I492" s="39" t="n">
        <f aca="false">(('Business Case'!C11*$C492*'Business Case'!C12*$B492)-'Business Case'!C11*$C492*'Business Case'!C13*$D492-'Business Case'!C14*$E492)-MAX(0,(('Business Case'!C11*$C492*'Business Case'!C12*$B492)-'Business Case'!C11*$C492*'Business Case'!C13*$D492-'Business Case'!C14*$E492))*'Business Case'!$B$7-'Business Case'!$B$8*(('Business Case'!C11*$C492*'Business Case'!C12*$B492)-('Business Case'!B11*$C492*'Business Case'!B12*$B492))-'Business Case'!C15*$F492</f>
        <v>-24014100.7052697</v>
      </c>
      <c r="J492" s="39" t="n">
        <f aca="false">(('Business Case'!D11*$C492*'Business Case'!D12*$B492)-'Business Case'!D11*$C492*'Business Case'!D13*$D492-'Business Case'!D14*$E492)-MAX(0,(('Business Case'!D11*$C492*'Business Case'!D12*$B492)-'Business Case'!D11*$C492*'Business Case'!D13*$D492-'Business Case'!D14*$E492))*'Business Case'!$B$7-'Business Case'!$B$8*(('Business Case'!D11*$C492*'Business Case'!D12*$B492)-('Business Case'!C11*$C492*'Business Case'!C12*$B492))-'Business Case'!D15*$F492</f>
        <v>262212340.021643</v>
      </c>
      <c r="K492" s="39" t="n">
        <f aca="false">(('Business Case'!E11*$C492*'Business Case'!E12*$B492)-'Business Case'!E11*$C492*'Business Case'!E13*$D492-'Business Case'!E14*$E492)-MAX(0,(('Business Case'!E11*$C492*'Business Case'!E12*$B492)-'Business Case'!E11*$C492*'Business Case'!E13*$D492-'Business Case'!E14*$E492))*'Business Case'!$B$7-'Business Case'!$B$8*(('Business Case'!E11*$C492*'Business Case'!E12*$B492)-('Business Case'!D11*$C492*'Business Case'!D12*$B492))-'Business Case'!E15*$F492</f>
        <v>605763514.477711</v>
      </c>
      <c r="L492" s="39" t="n">
        <f aca="false">(('Business Case'!F11*$C492*'Business Case'!F12*$B492)-'Business Case'!F11*$C492*'Business Case'!F13*$D492-'Business Case'!F14*$E492)-MAX(0,(('Business Case'!F11*$C492*'Business Case'!F12*$B492)-'Business Case'!F11*$C492*'Business Case'!F13*$D492-'Business Case'!F14*$E492))*'Business Case'!$B$7-'Business Case'!$B$8*(('Business Case'!F11*$C492*'Business Case'!F12*$B492)-('Business Case'!E11*$C492*'Business Case'!E12*$B492))-'Business Case'!F15*$F492</f>
        <v>734564110.513671</v>
      </c>
      <c r="M492" s="39" t="n">
        <f aca="false">(('Business Case'!G11*$C492*'Business Case'!G12*$B492)-'Business Case'!G11*$C492*'Business Case'!G13*$D492-'Business Case'!G14*$E492)-MAX(0,(('Business Case'!G11*$C492*'Business Case'!G12*$B492)-'Business Case'!G11*$C492*'Business Case'!G13*$D492-'Business Case'!G14*$E492))*'Business Case'!$B$7-'Business Case'!$B$8*(('Business Case'!G11*$C492*'Business Case'!G12*$B492)-('Business Case'!F11*$C492*'Business Case'!F12*$B492))-'Business Case'!G15*$F492+'Business Case'!$B$8*('Business Case'!G11*$C492*'Business Case'!G12*$B492)</f>
        <v>918218914.045445</v>
      </c>
      <c r="N492" s="39" t="n">
        <f aca="false">IF(COUNT('Business Case'!B11:G11)=0,"",H492+NPV(G492,I492:M492))</f>
        <v>-572282516.86411</v>
      </c>
      <c r="P492" s="40" t="n">
        <f aca="true">RAND()</f>
        <v>0.34485170627789</v>
      </c>
      <c r="Q492" s="40" t="n">
        <f aca="true">RAND()</f>
        <v>0.507060941432755</v>
      </c>
      <c r="R492" s="40" t="n">
        <f aca="true">RAND()</f>
        <v>0.360012656674219</v>
      </c>
      <c r="S492" s="40" t="n">
        <f aca="true">RAND()</f>
        <v>0.607097926783188</v>
      </c>
      <c r="T492" s="40" t="n">
        <f aca="true">RAND()</f>
        <v>0.942743603040678</v>
      </c>
      <c r="U492" s="40" t="n">
        <f aca="true">RAND()</f>
        <v>0.345929888936493</v>
      </c>
    </row>
    <row r="493" customFormat="false" ht="15" hidden="false" customHeight="false" outlineLevel="0" collapsed="false">
      <c r="A493" s="36" t="n">
        <v>413</v>
      </c>
      <c r="B493" s="37" t="n">
        <f aca="false">1+IF($G$6=$E$6,$F$6,IF(P493&lt;($F$6-$E$6)/($G$6-$E$6),$E$6+SQRT(P493*($G$6-$E$6)*($F$6-$E$6)),$G$6-SQRT((1-P493)*($G$6-$E$6)*($G$6-$F$6))))</f>
        <v>0.994782460719848</v>
      </c>
      <c r="C493" s="37" t="n">
        <f aca="false">1+IF($G$7=$E$7,$F$7,IF(Q493&lt;($F$7-$E$7)/($G$7-$E$7),$E$7+SQRT(Q493*($G$7-$E$7)*($F$7-$E$7)),$G$7-SQRT((1-Q493)*($G$7-$E$7)*($G$7-$F$7))))</f>
        <v>0.865917210893622</v>
      </c>
      <c r="D493" s="37" t="n">
        <f aca="false">1+IF($G$8=$E$8,$F$8,IF(R493&lt;($F$8-$E$8)/($G$8-$E$8),$E$8+SQRT(R493*($G$8-$E$8)*($F$8-$E$8)),$G$8-SQRT((1-R493)*($G$8-$E$8)*($G$8-$F$8))))</f>
        <v>0.973946605855578</v>
      </c>
      <c r="E493" s="37" t="n">
        <f aca="false">1+IF($G$9=$E$9,$F$9,IF(S493&lt;($F$9-$E$9)/($G$9-$E$9),$E$9+SQRT(S493*($G$9-$E$9)*($F$9-$E$9)),$G$9-SQRT((1-S493)*($G$9-$E$9)*($G$9-$F$9))))</f>
        <v>1.00439879200894</v>
      </c>
      <c r="F493" s="37" t="n">
        <f aca="false">1+IF($G$10=$E$10,$F$10,IF(T493&lt;($F$10-$E$10)/($G$10-$E$10),$E$10+SQRT(T493*($G$10-$E$10)*($F$10-$E$10)),$G$10-SQRT((1-T493)*($G$10-$E$10)*($G$10-$F$10))))</f>
        <v>1.09481753871655</v>
      </c>
      <c r="G493" s="38" t="n">
        <f aca="false">IF($G$11=$E$11,$F$11,IF(U493&lt;($F$11-$E$11)/($G$11-$E$11),$E$11+SQRT(U493*($G$11-$E$11)*($F$11-$E$11)),$G$11-SQRT((1-U493)*($G$11-$E$11)*($G$11-$F$11))))</f>
        <v>0.101435950070326</v>
      </c>
      <c r="H493" s="39" t="n">
        <f aca="false">(('Business Case'!B11*$C493*'Business Case'!B12*$B493)-'Business Case'!B11*$C493*'Business Case'!B13*$D493-'Business Case'!B14*$E493)-MAX(0,(('Business Case'!B11*$C493*'Business Case'!B12*$B493)-'Business Case'!B11*$C493*'Business Case'!B13*$D493-'Business Case'!B14*$E493))*'Business Case'!$B$7-'Business Case'!$B$8*('Business Case'!B11*$C493*'Business Case'!B12*$B493)-'Business Case'!B15*$F493</f>
        <v>-2189635077.4331</v>
      </c>
      <c r="I493" s="39" t="n">
        <f aca="false">(('Business Case'!C11*$C493*'Business Case'!C12*$B493)-'Business Case'!C11*$C493*'Business Case'!C13*$D493-'Business Case'!C14*$E493)-MAX(0,(('Business Case'!C11*$C493*'Business Case'!C12*$B493)-'Business Case'!C11*$C493*'Business Case'!C13*$D493-'Business Case'!C14*$E493))*'Business Case'!$B$7-'Business Case'!$B$8*(('Business Case'!C11*$C493*'Business Case'!C12*$B493)-('Business Case'!B11*$C493*'Business Case'!B12*$B493))-'Business Case'!C15*$F493</f>
        <v>-23145571.0015953</v>
      </c>
      <c r="J493" s="39" t="n">
        <f aca="false">(('Business Case'!D11*$C493*'Business Case'!D12*$B493)-'Business Case'!D11*$C493*'Business Case'!D13*$D493-'Business Case'!D14*$E493)-MAX(0,(('Business Case'!D11*$C493*'Business Case'!D12*$B493)-'Business Case'!D11*$C493*'Business Case'!D13*$D493-'Business Case'!D14*$E493))*'Business Case'!$B$7-'Business Case'!$B$8*(('Business Case'!D11*$C493*'Business Case'!D12*$B493)-('Business Case'!C11*$C493*'Business Case'!C12*$B493))-'Business Case'!D15*$F493</f>
        <v>250671057.410809</v>
      </c>
      <c r="K493" s="39" t="n">
        <f aca="false">(('Business Case'!E11*$C493*'Business Case'!E12*$B493)-'Business Case'!E11*$C493*'Business Case'!E13*$D493-'Business Case'!E14*$E493)-MAX(0,(('Business Case'!E11*$C493*'Business Case'!E12*$B493)-'Business Case'!E11*$C493*'Business Case'!E13*$D493-'Business Case'!E14*$E493))*'Business Case'!$B$7-'Business Case'!$B$8*(('Business Case'!E11*$C493*'Business Case'!E12*$B493)-('Business Case'!D11*$C493*'Business Case'!D12*$B493))-'Business Case'!E15*$F493</f>
        <v>579228562.759042</v>
      </c>
      <c r="L493" s="39" t="n">
        <f aca="false">(('Business Case'!F11*$C493*'Business Case'!F12*$B493)-'Business Case'!F11*$C493*'Business Case'!F13*$D493-'Business Case'!F14*$E493)-MAX(0,(('Business Case'!F11*$C493*'Business Case'!F12*$B493)-'Business Case'!F11*$C493*'Business Case'!F13*$D493-'Business Case'!F14*$E493))*'Business Case'!$B$7-'Business Case'!$B$8*(('Business Case'!F11*$C493*'Business Case'!F12*$B493)-('Business Case'!E11*$C493*'Business Case'!E12*$B493))-'Business Case'!F15*$F493</f>
        <v>700270730.442292</v>
      </c>
      <c r="M493" s="39" t="n">
        <f aca="false">(('Business Case'!G11*$C493*'Business Case'!G12*$B493)-'Business Case'!G11*$C493*'Business Case'!G13*$D493-'Business Case'!G14*$E493)-MAX(0,(('Business Case'!G11*$C493*'Business Case'!G12*$B493)-'Business Case'!G11*$C493*'Business Case'!G13*$D493-'Business Case'!G14*$E493))*'Business Case'!$B$7-'Business Case'!$B$8*(('Business Case'!G11*$C493*'Business Case'!G12*$B493)-('Business Case'!F11*$C493*'Business Case'!F12*$B493))-'Business Case'!G15*$F493+'Business Case'!$B$8*('Business Case'!G11*$C493*'Business Case'!G12*$B493)</f>
        <v>864005500.610759</v>
      </c>
      <c r="N493" s="39" t="n">
        <f aca="false">IF(COUNT('Business Case'!B11:G11)=0,"",H493+NPV(G493,I493:M493))</f>
        <v>-561743104.289267</v>
      </c>
      <c r="P493" s="40" t="n">
        <f aca="true">RAND()</f>
        <v>0.582543378262039</v>
      </c>
      <c r="Q493" s="40" t="n">
        <f aca="true">RAND()</f>
        <v>0.0620725527427742</v>
      </c>
      <c r="R493" s="40" t="n">
        <f aca="true">RAND()</f>
        <v>0.0882215280003679</v>
      </c>
      <c r="S493" s="40" t="n">
        <f aca="true">RAND()</f>
        <v>0.390693935376732</v>
      </c>
      <c r="T493" s="40" t="n">
        <f aca="true">RAND()</f>
        <v>0.778732996767118</v>
      </c>
      <c r="U493" s="40" t="n">
        <f aca="true">RAND()</f>
        <v>0.425626750347637</v>
      </c>
    </row>
    <row r="494" customFormat="false" ht="15" hidden="false" customHeight="false" outlineLevel="0" collapsed="false">
      <c r="A494" s="36" t="n">
        <v>414</v>
      </c>
      <c r="B494" s="37" t="n">
        <f aca="false">1+IF($G$6=$E$6,$F$6,IF(P494&lt;($F$6-$E$6)/($G$6-$E$6),$E$6+SQRT(P494*($G$6-$E$6)*($F$6-$E$6)),$G$6-SQRT((1-P494)*($G$6-$E$6)*($G$6-$F$6))))</f>
        <v>0.999907464054316</v>
      </c>
      <c r="C494" s="37" t="n">
        <f aca="false">1+IF($G$7=$E$7,$F$7,IF(Q494&lt;($F$7-$E$7)/($G$7-$E$7),$E$7+SQRT(Q494*($G$7-$E$7)*($F$7-$E$7)),$G$7-SQRT((1-Q494)*($G$7-$E$7)*($G$7-$F$7))))</f>
        <v>1.04640572386041</v>
      </c>
      <c r="D494" s="37" t="n">
        <f aca="false">1+IF($G$8=$E$8,$F$8,IF(R494&lt;($F$8-$E$8)/($G$8-$E$8),$E$8+SQRT(R494*($G$8-$E$8)*($F$8-$E$8)),$G$8-SQRT((1-R494)*($G$8-$E$8)*($G$8-$F$8))))</f>
        <v>0.975111981235558</v>
      </c>
      <c r="E494" s="37" t="n">
        <f aca="false">1+IF($G$9=$E$9,$F$9,IF(S494&lt;($F$9-$E$9)/($G$9-$E$9),$E$9+SQRT(S494*($G$9-$E$9)*($F$9-$E$9)),$G$9-SQRT((1-S494)*($G$9-$E$9)*($G$9-$F$9))))</f>
        <v>0.95813113126178</v>
      </c>
      <c r="F494" s="37" t="n">
        <f aca="false">1+IF($G$10=$E$10,$F$10,IF(T494&lt;($F$10-$E$10)/($G$10-$E$10),$E$10+SQRT(T494*($G$10-$E$10)*($F$10-$E$10)),$G$10-SQRT((1-T494)*($G$10-$E$10)*($G$10-$F$10))))</f>
        <v>1.03614845909036</v>
      </c>
      <c r="G494" s="38" t="n">
        <f aca="false">IF($G$11=$E$11,$F$11,IF(U494&lt;($F$11-$E$11)/($G$11-$E$11),$E$11+SQRT(U494*($G$11-$E$11)*($F$11-$E$11)),$G$11-SQRT((1-U494)*($G$11-$E$11)*($G$11-$F$11))))</f>
        <v>0.0902474876295501</v>
      </c>
      <c r="H494" s="39" t="n">
        <f aca="false">(('Business Case'!B11*$C494*'Business Case'!B12*$B494)-'Business Case'!B11*$C494*'Business Case'!B13*$D494-'Business Case'!B14*$E494)-MAX(0,(('Business Case'!B11*$C494*'Business Case'!B12*$B494)-'Business Case'!B11*$C494*'Business Case'!B13*$D494-'Business Case'!B14*$E494))*'Business Case'!$B$7-'Business Case'!$B$8*('Business Case'!B11*$C494*'Business Case'!B12*$B494)-'Business Case'!B15*$F494</f>
        <v>-2072296918.18071</v>
      </c>
      <c r="I494" s="39" t="n">
        <f aca="false">(('Business Case'!C11*$C494*'Business Case'!C12*$B494)-'Business Case'!C11*$C494*'Business Case'!C13*$D494-'Business Case'!C14*$E494)-MAX(0,(('Business Case'!C11*$C494*'Business Case'!C12*$B494)-'Business Case'!C11*$C494*'Business Case'!C13*$D494-'Business Case'!C14*$E494))*'Business Case'!$B$7-'Business Case'!$B$8*(('Business Case'!C11*$C494*'Business Case'!C12*$B494)-('Business Case'!B11*$C494*'Business Case'!B12*$B494))-'Business Case'!C15*$F494</f>
        <v>40556469.0029326</v>
      </c>
      <c r="J494" s="39" t="n">
        <f aca="false">(('Business Case'!D11*$C494*'Business Case'!D12*$B494)-'Business Case'!D11*$C494*'Business Case'!D13*$D494-'Business Case'!D14*$E494)-MAX(0,(('Business Case'!D11*$C494*'Business Case'!D12*$B494)-'Business Case'!D11*$C494*'Business Case'!D13*$D494-'Business Case'!D14*$E494))*'Business Case'!$B$7-'Business Case'!$B$8*(('Business Case'!D11*$C494*'Business Case'!D12*$B494)-('Business Case'!C11*$C494*'Business Case'!C12*$B494))-'Business Case'!D15*$F494</f>
        <v>375214683.830624</v>
      </c>
      <c r="K494" s="39" t="n">
        <f aca="false">(('Business Case'!E11*$C494*'Business Case'!E12*$B494)-'Business Case'!E11*$C494*'Business Case'!E13*$D494-'Business Case'!E14*$E494)-MAX(0,(('Business Case'!E11*$C494*'Business Case'!E12*$B494)-'Business Case'!E11*$C494*'Business Case'!E13*$D494-'Business Case'!E14*$E494))*'Business Case'!$B$7-'Business Case'!$B$8*(('Business Case'!E11*$C494*'Business Case'!E12*$B494)-('Business Case'!D11*$C494*'Business Case'!D12*$B494))-'Business Case'!E15*$F494</f>
        <v>761680321.612834</v>
      </c>
      <c r="L494" s="39" t="n">
        <f aca="false">(('Business Case'!F11*$C494*'Business Case'!F12*$B494)-'Business Case'!F11*$C494*'Business Case'!F13*$D494-'Business Case'!F14*$E494)-MAX(0,(('Business Case'!F11*$C494*'Business Case'!F12*$B494)-'Business Case'!F11*$C494*'Business Case'!F13*$D494-'Business Case'!F14*$E494))*'Business Case'!$B$7-'Business Case'!$B$8*(('Business Case'!F11*$C494*'Business Case'!F12*$B494)-('Business Case'!E11*$C494*'Business Case'!E12*$B494))-'Business Case'!F15*$F494</f>
        <v>909393495.255597</v>
      </c>
      <c r="M494" s="39" t="n">
        <f aca="false">(('Business Case'!G11*$C494*'Business Case'!G12*$B494)-'Business Case'!G11*$C494*'Business Case'!G13*$D494-'Business Case'!G14*$E494)-MAX(0,(('Business Case'!G11*$C494*'Business Case'!G12*$B494)-'Business Case'!G11*$C494*'Business Case'!G13*$D494-'Business Case'!G14*$E494))*'Business Case'!$B$7-'Business Case'!$B$8*(('Business Case'!G11*$C494*'Business Case'!G12*$B494)-('Business Case'!F11*$C494*'Business Case'!F12*$B494))-'Business Case'!G15*$F494+'Business Case'!$B$8*('Business Case'!G11*$C494*'Business Case'!G12*$B494)</f>
        <v>1108275889.77336</v>
      </c>
      <c r="N494" s="39" t="n">
        <f aca="false">IF(COUNT('Business Case'!B11:G11)=0,"",H494+NPV(G494,I494:M494))</f>
        <v>231464864.991715</v>
      </c>
      <c r="P494" s="40" t="n">
        <f aca="true">RAND()</f>
        <v>0.665125292874148</v>
      </c>
      <c r="Q494" s="40" t="n">
        <f aca="true">RAND()</f>
        <v>0.795585256211683</v>
      </c>
      <c r="R494" s="40" t="n">
        <f aca="true">RAND()</f>
        <v>0.0970171694730781</v>
      </c>
      <c r="S494" s="40" t="n">
        <f aca="true">RAND()</f>
        <v>0.00881537274617359</v>
      </c>
      <c r="T494" s="40" t="n">
        <f aca="true">RAND()</f>
        <v>0.463053450830698</v>
      </c>
      <c r="U494" s="40" t="n">
        <f aca="true">RAND()</f>
        <v>0.000204167089267747</v>
      </c>
    </row>
    <row r="495" customFormat="false" ht="15" hidden="false" customHeight="false" outlineLevel="0" collapsed="false">
      <c r="A495" s="36" t="n">
        <v>415</v>
      </c>
      <c r="B495" s="37" t="n">
        <f aca="false">1+IF($G$6=$E$6,$F$6,IF(P495&lt;($F$6-$E$6)/($G$6-$E$6),$E$6+SQRT(P495*($G$6-$E$6)*($F$6-$E$6)),$G$6-SQRT((1-P495)*($G$6-$E$6)*($G$6-$F$6))))</f>
        <v>0.956944284617572</v>
      </c>
      <c r="C495" s="37" t="n">
        <f aca="false">1+IF($G$7=$E$7,$F$7,IF(Q495&lt;($F$7-$E$7)/($G$7-$E$7),$E$7+SQRT(Q495*($G$7-$E$7)*($F$7-$E$7)),$G$7-SQRT((1-Q495)*($G$7-$E$7)*($G$7-$F$7))))</f>
        <v>0.945895933043128</v>
      </c>
      <c r="D495" s="37" t="n">
        <f aca="false">1+IF($G$8=$E$8,$F$8,IF(R495&lt;($F$8-$E$8)/($G$8-$E$8),$E$8+SQRT(R495*($G$8-$E$8)*($F$8-$E$8)),$G$8-SQRT((1-R495)*($G$8-$E$8)*($G$8-$F$8))))</f>
        <v>1.01410935090996</v>
      </c>
      <c r="E495" s="37" t="n">
        <f aca="false">1+IF($G$9=$E$9,$F$9,IF(S495&lt;($F$9-$E$9)/($G$9-$E$9),$E$9+SQRT(S495*($G$9-$E$9)*($F$9-$E$9)),$G$9-SQRT((1-S495)*($G$9-$E$9)*($G$9-$F$9))))</f>
        <v>0.975447012037298</v>
      </c>
      <c r="F495" s="37" t="n">
        <f aca="false">1+IF($G$10=$E$10,$F$10,IF(T495&lt;($F$10-$E$10)/($G$10-$E$10),$E$10+SQRT(T495*($G$10-$E$10)*($F$10-$E$10)),$G$10-SQRT((1-T495)*($G$10-$E$10)*($G$10-$F$10))))</f>
        <v>1.14355032092916</v>
      </c>
      <c r="G495" s="38" t="n">
        <f aca="false">IF($G$11=$E$11,$F$11,IF(U495&lt;($F$11-$E$11)/($G$11-$E$11),$E$11+SQRT(U495*($G$11-$E$11)*($F$11-$E$11)),$G$11-SQRT((1-U495)*($G$11-$E$11)*($G$11-$F$11))))</f>
        <v>0.0946592852976208</v>
      </c>
      <c r="H495" s="39" t="n">
        <f aca="false">(('Business Case'!B11*$C495*'Business Case'!B12*$B495)-'Business Case'!B11*$C495*'Business Case'!B13*$D495-'Business Case'!B14*$E495)-MAX(0,(('Business Case'!B11*$C495*'Business Case'!B12*$B495)-'Business Case'!B11*$C495*'Business Case'!B13*$D495-'Business Case'!B14*$E495))*'Business Case'!$B$7-'Business Case'!$B$8*('Business Case'!B11*$C495*'Business Case'!B12*$B495)-'Business Case'!B15*$F495</f>
        <v>-2287100641.85832</v>
      </c>
      <c r="I495" s="39" t="n">
        <f aca="false">(('Business Case'!C11*$C495*'Business Case'!C12*$B495)-'Business Case'!C11*$C495*'Business Case'!C13*$D495-'Business Case'!C14*$E495)-MAX(0,(('Business Case'!C11*$C495*'Business Case'!C12*$B495)-'Business Case'!C11*$C495*'Business Case'!C13*$D495-'Business Case'!C14*$E495))*'Business Case'!$B$7-'Business Case'!$B$8*(('Business Case'!C11*$C495*'Business Case'!C12*$B495)-('Business Case'!B11*$C495*'Business Case'!B12*$B495))-'Business Case'!C15*$F495</f>
        <v>-49643551.5064216</v>
      </c>
      <c r="J495" s="39" t="n">
        <f aca="false">(('Business Case'!D11*$C495*'Business Case'!D12*$B495)-'Business Case'!D11*$C495*'Business Case'!D13*$D495-'Business Case'!D14*$E495)-MAX(0,(('Business Case'!D11*$C495*'Business Case'!D12*$B495)-'Business Case'!D11*$C495*'Business Case'!D13*$D495-'Business Case'!D14*$E495))*'Business Case'!$B$7-'Business Case'!$B$8*(('Business Case'!D11*$C495*'Business Case'!D12*$B495)-('Business Case'!C11*$C495*'Business Case'!C12*$B495))-'Business Case'!D15*$F495</f>
        <v>200700491.80103</v>
      </c>
      <c r="K495" s="39" t="n">
        <f aca="false">(('Business Case'!E11*$C495*'Business Case'!E12*$B495)-'Business Case'!E11*$C495*'Business Case'!E13*$D495-'Business Case'!E14*$E495)-MAX(0,(('Business Case'!E11*$C495*'Business Case'!E12*$B495)-'Business Case'!E11*$C495*'Business Case'!E13*$D495-'Business Case'!E14*$E495))*'Business Case'!$B$7-'Business Case'!$B$8*(('Business Case'!E11*$C495*'Business Case'!E12*$B495)-('Business Case'!D11*$C495*'Business Case'!D12*$B495))-'Business Case'!E15*$F495</f>
        <v>508222051.154941</v>
      </c>
      <c r="L495" s="39" t="n">
        <f aca="false">(('Business Case'!F11*$C495*'Business Case'!F12*$B495)-'Business Case'!F11*$C495*'Business Case'!F13*$D495-'Business Case'!F14*$E495)-MAX(0,(('Business Case'!F11*$C495*'Business Case'!F12*$B495)-'Business Case'!F11*$C495*'Business Case'!F13*$D495-'Business Case'!F14*$E495))*'Business Case'!$B$7-'Business Case'!$B$8*(('Business Case'!F11*$C495*'Business Case'!F12*$B495)-('Business Case'!E11*$C495*'Business Case'!E12*$B495))-'Business Case'!F15*$F495</f>
        <v>622952730.663594</v>
      </c>
      <c r="M495" s="39" t="n">
        <f aca="false">(('Business Case'!G11*$C495*'Business Case'!G12*$B495)-'Business Case'!G11*$C495*'Business Case'!G13*$D495-'Business Case'!G14*$E495)-MAX(0,(('Business Case'!G11*$C495*'Business Case'!G12*$B495)-'Business Case'!G11*$C495*'Business Case'!G13*$D495-'Business Case'!G14*$E495))*'Business Case'!$B$7-'Business Case'!$B$8*(('Business Case'!G11*$C495*'Business Case'!G12*$B495)-('Business Case'!F11*$C495*'Business Case'!F12*$B495))-'Business Case'!G15*$F495+'Business Case'!$B$8*('Business Case'!G11*$C495*'Business Case'!G12*$B495)</f>
        <v>795007388.564191</v>
      </c>
      <c r="N495" s="39" t="n">
        <f aca="false">IF(COUNT('Business Case'!B11:G11)=0,"",H495+NPV(G495,I495:M495))</f>
        <v>-837863126.010327</v>
      </c>
      <c r="P495" s="40" t="n">
        <f aca="true">RAND()</f>
        <v>0.142175017281685</v>
      </c>
      <c r="Q495" s="40" t="n">
        <f aca="true">RAND()</f>
        <v>0.304080332550355</v>
      </c>
      <c r="R495" s="40" t="n">
        <f aca="true">RAND()</f>
        <v>0.582540611778206</v>
      </c>
      <c r="S495" s="40" t="n">
        <f aca="true">RAND()</f>
        <v>0.0863400562168523</v>
      </c>
      <c r="T495" s="40" t="n">
        <f aca="true">RAND()</f>
        <v>0.936268674655988</v>
      </c>
      <c r="U495" s="40" t="n">
        <f aca="true">RAND()</f>
        <v>0.0723631316154166</v>
      </c>
    </row>
    <row r="496" customFormat="false" ht="15" hidden="false" customHeight="false" outlineLevel="0" collapsed="false">
      <c r="A496" s="36" t="n">
        <v>416</v>
      </c>
      <c r="B496" s="37" t="n">
        <f aca="false">1+IF($G$6=$E$6,$F$6,IF(P496&lt;($F$6-$E$6)/($G$6-$E$6),$E$6+SQRT(P496*($G$6-$E$6)*($F$6-$E$6)),$G$6-SQRT((1-P496)*($G$6-$E$6)*($G$6-$F$6))))</f>
        <v>1.00727876950152</v>
      </c>
      <c r="C496" s="37" t="n">
        <f aca="false">1+IF($G$7=$E$7,$F$7,IF(Q496&lt;($F$7-$E$7)/($G$7-$E$7),$E$7+SQRT(Q496*($G$7-$E$7)*($F$7-$E$7)),$G$7-SQRT((1-Q496)*($G$7-$E$7)*($G$7-$F$7))))</f>
        <v>1.00150026998271</v>
      </c>
      <c r="D496" s="37" t="n">
        <f aca="false">1+IF($G$8=$E$8,$F$8,IF(R496&lt;($F$8-$E$8)/($G$8-$E$8),$E$8+SQRT(R496*($G$8-$E$8)*($F$8-$E$8)),$G$8-SQRT((1-R496)*($G$8-$E$8)*($G$8-$F$8))))</f>
        <v>1.02398492165314</v>
      </c>
      <c r="E496" s="37" t="n">
        <f aca="false">1+IF($G$9=$E$9,$F$9,IF(S496&lt;($F$9-$E$9)/($G$9-$E$9),$E$9+SQRT(S496*($G$9-$E$9)*($F$9-$E$9)),$G$9-SQRT((1-S496)*($G$9-$E$9)*($G$9-$F$9))))</f>
        <v>1.01257381856214</v>
      </c>
      <c r="F496" s="37" t="n">
        <f aca="false">1+IF($G$10=$E$10,$F$10,IF(T496&lt;($F$10-$E$10)/($G$10-$E$10),$E$10+SQRT(T496*($G$10-$E$10)*($F$10-$E$10)),$G$10-SQRT((1-T496)*($G$10-$E$10)*($G$10-$F$10))))</f>
        <v>1.06948105481875</v>
      </c>
      <c r="G496" s="38" t="n">
        <f aca="false">IF($G$11=$E$11,$F$11,IF(U496&lt;($F$11-$E$11)/($G$11-$E$11),$E$11+SQRT(U496*($G$11-$E$11)*($F$11-$E$11)),$G$11-SQRT((1-U496)*($G$11-$E$11)*($G$11-$F$11))))</f>
        <v>0.0912111466723095</v>
      </c>
      <c r="H496" s="39" t="n">
        <f aca="false">(('Business Case'!B11*$C496*'Business Case'!B12*$B496)-'Business Case'!B11*$C496*'Business Case'!B13*$D496-'Business Case'!B14*$E496)-MAX(0,(('Business Case'!B11*$C496*'Business Case'!B12*$B496)-'Business Case'!B11*$C496*'Business Case'!B13*$D496-'Business Case'!B14*$E496))*'Business Case'!$B$7-'Business Case'!$B$8*('Business Case'!B11*$C496*'Business Case'!B12*$B496)-'Business Case'!B15*$F496</f>
        <v>-2138962109.63749</v>
      </c>
      <c r="I496" s="39" t="n">
        <f aca="false">(('Business Case'!C11*$C496*'Business Case'!C12*$B496)-'Business Case'!C11*$C496*'Business Case'!C13*$D496-'Business Case'!C14*$E496)-MAX(0,(('Business Case'!C11*$C496*'Business Case'!C12*$B496)-'Business Case'!C11*$C496*'Business Case'!C13*$D496-'Business Case'!C14*$E496))*'Business Case'!$B$7-'Business Case'!$B$8*(('Business Case'!C11*$C496*'Business Case'!C12*$B496)-('Business Case'!B11*$C496*'Business Case'!B12*$B496))-'Business Case'!C15*$F496</f>
        <v>-1944964.35361756</v>
      </c>
      <c r="J496" s="39" t="n">
        <f aca="false">(('Business Case'!D11*$C496*'Business Case'!D12*$B496)-'Business Case'!D11*$C496*'Business Case'!D13*$D496-'Business Case'!D14*$E496)-MAX(0,(('Business Case'!D11*$C496*'Business Case'!D12*$B496)-'Business Case'!D11*$C496*'Business Case'!D13*$D496-'Business Case'!D14*$E496))*'Business Case'!$B$7-'Business Case'!$B$8*(('Business Case'!D11*$C496*'Business Case'!D12*$B496)-('Business Case'!C11*$C496*'Business Case'!C12*$B496))-'Business Case'!D15*$F496</f>
        <v>299341845.280028</v>
      </c>
      <c r="K496" s="39" t="n">
        <f aca="false">(('Business Case'!E11*$C496*'Business Case'!E12*$B496)-'Business Case'!E11*$C496*'Business Case'!E13*$D496-'Business Case'!E14*$E496)-MAX(0,(('Business Case'!E11*$C496*'Business Case'!E12*$B496)-'Business Case'!E11*$C496*'Business Case'!E13*$D496-'Business Case'!E14*$E496))*'Business Case'!$B$7-'Business Case'!$B$8*(('Business Case'!E11*$C496*'Business Case'!E12*$B496)-('Business Case'!D11*$C496*'Business Case'!D12*$B496))-'Business Case'!E15*$F496</f>
        <v>654102707.65461</v>
      </c>
      <c r="L496" s="39" t="n">
        <f aca="false">(('Business Case'!F11*$C496*'Business Case'!F12*$B496)-'Business Case'!F11*$C496*'Business Case'!F13*$D496-'Business Case'!F14*$E496)-MAX(0,(('Business Case'!F11*$C496*'Business Case'!F12*$B496)-'Business Case'!F11*$C496*'Business Case'!F13*$D496-'Business Case'!F14*$E496))*'Business Case'!$B$7-'Business Case'!$B$8*(('Business Case'!F11*$C496*'Business Case'!F12*$B496)-('Business Case'!E11*$C496*'Business Case'!E12*$B496))-'Business Case'!F15*$F496</f>
        <v>789395425.20306</v>
      </c>
      <c r="M496" s="39" t="n">
        <f aca="false">(('Business Case'!G11*$C496*'Business Case'!G12*$B496)-'Business Case'!G11*$C496*'Business Case'!G13*$D496-'Business Case'!G14*$E496)-MAX(0,(('Business Case'!G11*$C496*'Business Case'!G12*$B496)-'Business Case'!G11*$C496*'Business Case'!G13*$D496-'Business Case'!G14*$E496))*'Business Case'!$B$7-'Business Case'!$B$8*(('Business Case'!G11*$C496*'Business Case'!G12*$B496)-('Business Case'!F11*$C496*'Business Case'!F12*$B496))-'Business Case'!G15*$F496+'Business Case'!$B$8*('Business Case'!G11*$C496*'Business Case'!G12*$B496)</f>
        <v>981146220.724516</v>
      </c>
      <c r="N496" s="39" t="n">
        <f aca="false">IF(COUNT('Business Case'!B11:G11)=0,"",H496+NPV(G496,I496:M496))</f>
        <v>-195050340.249304</v>
      </c>
      <c r="P496" s="40" t="n">
        <f aca="true">RAND()</f>
        <v>0.776941890555221</v>
      </c>
      <c r="Q496" s="40" t="n">
        <f aca="true">RAND()</f>
        <v>0.579958670186513</v>
      </c>
      <c r="R496" s="40" t="n">
        <f aca="true">RAND()</f>
        <v>0.698299134403428</v>
      </c>
      <c r="S496" s="40" t="n">
        <f aca="true">RAND()</f>
        <v>0.490444186612956</v>
      </c>
      <c r="T496" s="40" t="n">
        <f aca="true">RAND()</f>
        <v>0.659296098975464</v>
      </c>
      <c r="U496" s="40" t="n">
        <f aca="true">RAND()</f>
        <v>0.00488958753948753</v>
      </c>
    </row>
    <row r="497" customFormat="false" ht="15" hidden="false" customHeight="false" outlineLevel="0" collapsed="false">
      <c r="A497" s="36" t="n">
        <v>417</v>
      </c>
      <c r="B497" s="37" t="n">
        <f aca="false">1+IF($G$6=$E$6,$F$6,IF(P497&lt;($F$6-$E$6)/($G$6-$E$6),$E$6+SQRT(P497*($G$6-$E$6)*($F$6-$E$6)),$G$6-SQRT((1-P497)*($G$6-$E$6)*($G$6-$F$6))))</f>
        <v>0.937351710313504</v>
      </c>
      <c r="C497" s="37" t="n">
        <f aca="false">1+IF($G$7=$E$7,$F$7,IF(Q497&lt;($F$7-$E$7)/($G$7-$E$7),$E$7+SQRT(Q497*($G$7-$E$7)*($F$7-$E$7)),$G$7-SQRT((1-Q497)*($G$7-$E$7)*($G$7-$F$7))))</f>
        <v>1.07300250354118</v>
      </c>
      <c r="D497" s="37" t="n">
        <f aca="false">1+IF($G$8=$E$8,$F$8,IF(R497&lt;($F$8-$E$8)/($G$8-$E$8),$E$8+SQRT(R497*($G$8-$E$8)*($F$8-$E$8)),$G$8-SQRT((1-R497)*($G$8-$E$8)*($G$8-$F$8))))</f>
        <v>1.0249942343467</v>
      </c>
      <c r="E497" s="37" t="n">
        <f aca="false">1+IF($G$9=$E$9,$F$9,IF(S497&lt;($F$9-$E$9)/($G$9-$E$9),$E$9+SQRT(S497*($G$9-$E$9)*($F$9-$E$9)),$G$9-SQRT((1-S497)*($G$9-$E$9)*($G$9-$F$9))))</f>
        <v>0.983864341905639</v>
      </c>
      <c r="F497" s="37" t="n">
        <f aca="false">1+IF($G$10=$E$10,$F$10,IF(T497&lt;($F$10-$E$10)/($G$10-$E$10),$E$10+SQRT(T497*($G$10-$E$10)*($F$10-$E$10)),$G$10-SQRT((1-T497)*($G$10-$E$10)*($G$10-$F$10))))</f>
        <v>1.05041478717454</v>
      </c>
      <c r="G497" s="38" t="n">
        <f aca="false">IF($G$11=$E$11,$F$11,IF(U497&lt;($F$11-$E$11)/($G$11-$E$11),$E$11+SQRT(U497*($G$11-$E$11)*($F$11-$E$11)),$G$11-SQRT((1-U497)*($G$11-$E$11)*($G$11-$F$11))))</f>
        <v>0.102119199336265</v>
      </c>
      <c r="H497" s="39" t="n">
        <f aca="false">(('Business Case'!B11*$C497*'Business Case'!B12*$B497)-'Business Case'!B11*$C497*'Business Case'!B13*$D497-'Business Case'!B14*$E497)-MAX(0,(('Business Case'!B11*$C497*'Business Case'!B12*$B497)-'Business Case'!B11*$C497*'Business Case'!B13*$D497-'Business Case'!B14*$E497))*'Business Case'!$B$7-'Business Case'!$B$8*('Business Case'!B11*$C497*'Business Case'!B12*$B497)-'Business Case'!B15*$F497</f>
        <v>-2100829574.34908</v>
      </c>
      <c r="I497" s="39" t="n">
        <f aca="false">(('Business Case'!C11*$C497*'Business Case'!C12*$B497)-'Business Case'!C11*$C497*'Business Case'!C13*$D497-'Business Case'!C14*$E497)-MAX(0,(('Business Case'!C11*$C497*'Business Case'!C12*$B497)-'Business Case'!C11*$C497*'Business Case'!C13*$D497-'Business Case'!C14*$E497))*'Business Case'!$B$7-'Business Case'!$B$8*(('Business Case'!C11*$C497*'Business Case'!C12*$B497)-('Business Case'!B11*$C497*'Business Case'!B12*$B497))-'Business Case'!C15*$F497</f>
        <v>-36300386.2952992</v>
      </c>
      <c r="J497" s="39" t="n">
        <f aca="false">(('Business Case'!D11*$C497*'Business Case'!D12*$B497)-'Business Case'!D11*$C497*'Business Case'!D13*$D497-'Business Case'!D14*$E497)-MAX(0,(('Business Case'!D11*$C497*'Business Case'!D12*$B497)-'Business Case'!D11*$C497*'Business Case'!D13*$D497-'Business Case'!D14*$E497))*'Business Case'!$B$7-'Business Case'!$B$8*(('Business Case'!D11*$C497*'Business Case'!D12*$B497)-('Business Case'!C11*$C497*'Business Case'!C12*$B497))-'Business Case'!D15*$F497</f>
        <v>224485888.685719</v>
      </c>
      <c r="K497" s="39" t="n">
        <f aca="false">(('Business Case'!E11*$C497*'Business Case'!E12*$B497)-'Business Case'!E11*$C497*'Business Case'!E13*$D497-'Business Case'!E14*$E497)-MAX(0,(('Business Case'!E11*$C497*'Business Case'!E12*$B497)-'Business Case'!E11*$C497*'Business Case'!E13*$D497-'Business Case'!E14*$E497))*'Business Case'!$B$7-'Business Case'!$B$8*(('Business Case'!E11*$C497*'Business Case'!E12*$B497)-('Business Case'!D11*$C497*'Business Case'!D12*$B497))-'Business Case'!E15*$F497</f>
        <v>537792903.025464</v>
      </c>
      <c r="L497" s="39" t="n">
        <f aca="false">(('Business Case'!F11*$C497*'Business Case'!F12*$B497)-'Business Case'!F11*$C497*'Business Case'!F13*$D497-'Business Case'!F14*$E497)-MAX(0,(('Business Case'!F11*$C497*'Business Case'!F12*$B497)-'Business Case'!F11*$C497*'Business Case'!F13*$D497-'Business Case'!F14*$E497))*'Business Case'!$B$7-'Business Case'!$B$8*(('Business Case'!F11*$C497*'Business Case'!F12*$B497)-('Business Case'!E11*$C497*'Business Case'!E12*$B497))-'Business Case'!F15*$F497</f>
        <v>659481443.445724</v>
      </c>
      <c r="M497" s="39" t="n">
        <f aca="false">(('Business Case'!G11*$C497*'Business Case'!G12*$B497)-'Business Case'!G11*$C497*'Business Case'!G13*$D497-'Business Case'!G14*$E497)-MAX(0,(('Business Case'!G11*$C497*'Business Case'!G12*$B497)-'Business Case'!G11*$C497*'Business Case'!G13*$D497-'Business Case'!G14*$E497))*'Business Case'!$B$7-'Business Case'!$B$8*(('Business Case'!G11*$C497*'Business Case'!G12*$B497)-('Business Case'!F11*$C497*'Business Case'!F12*$B497))-'Business Case'!G15*$F497+'Business Case'!$B$8*('Business Case'!G11*$C497*'Business Case'!G12*$B497)</f>
        <v>850660244.958622</v>
      </c>
      <c r="N497" s="39" t="n">
        <f aca="false">IF(COUNT('Business Case'!B11:G11)=0,"",H497+NPV(G497,I497:M497))</f>
        <v>-577113619.759976</v>
      </c>
      <c r="P497" s="40" t="n">
        <f aca="true">RAND()</f>
        <v>0.0313626927920581</v>
      </c>
      <c r="Q497" s="40" t="n">
        <f aca="true">RAND()</f>
        <v>0.887074010268071</v>
      </c>
      <c r="R497" s="40" t="n">
        <f aca="true">RAND()</f>
        <v>0.70907362931676</v>
      </c>
      <c r="S497" s="40" t="n">
        <f aca="true">RAND()</f>
        <v>0.152905820360266</v>
      </c>
      <c r="T497" s="40" t="n">
        <f aca="true">RAND()</f>
        <v>0.552485282079232</v>
      </c>
      <c r="U497" s="40" t="n">
        <f aca="true">RAND()</f>
        <v>0.467128279372963</v>
      </c>
    </row>
    <row r="498" customFormat="false" ht="15" hidden="false" customHeight="false" outlineLevel="0" collapsed="false">
      <c r="A498" s="36" t="n">
        <v>418</v>
      </c>
      <c r="B498" s="37" t="n">
        <f aca="false">1+IF($G$6=$E$6,$F$6,IF(P498&lt;($F$6-$E$6)/($G$6-$E$6),$E$6+SQRT(P498*($G$6-$E$6)*($F$6-$E$6)),$G$6-SQRT((1-P498)*($G$6-$E$6)*($G$6-$F$6))))</f>
        <v>1.00406104802896</v>
      </c>
      <c r="C498" s="37" t="n">
        <f aca="false">1+IF($G$7=$E$7,$F$7,IF(Q498&lt;($F$7-$E$7)/($G$7-$E$7),$E$7+SQRT(Q498*($G$7-$E$7)*($F$7-$E$7)),$G$7-SQRT((1-Q498)*($G$7-$E$7)*($G$7-$F$7))))</f>
        <v>1.06242944380496</v>
      </c>
      <c r="D498" s="37" t="n">
        <f aca="false">1+IF($G$8=$E$8,$F$8,IF(R498&lt;($F$8-$E$8)/($G$8-$E$8),$E$8+SQRT(R498*($G$8-$E$8)*($F$8-$E$8)),$G$8-SQRT((1-R498)*($G$8-$E$8)*($G$8-$F$8))))</f>
        <v>0.998044502332558</v>
      </c>
      <c r="E498" s="37" t="n">
        <f aca="false">1+IF($G$9=$E$9,$F$9,IF(S498&lt;($F$9-$E$9)/($G$9-$E$9),$E$9+SQRT(S498*($G$9-$E$9)*($F$9-$E$9)),$G$9-SQRT((1-S498)*($G$9-$E$9)*($G$9-$F$9))))</f>
        <v>1.07685867683487</v>
      </c>
      <c r="F498" s="37" t="n">
        <f aca="false">1+IF($G$10=$E$10,$F$10,IF(T498&lt;($F$10-$E$10)/($G$10-$E$10),$E$10+SQRT(T498*($G$10-$E$10)*($F$10-$E$10)),$G$10-SQRT((1-T498)*($G$10-$E$10)*($G$10-$F$10))))</f>
        <v>1.00015490692982</v>
      </c>
      <c r="G498" s="38" t="n">
        <f aca="false">IF($G$11=$E$11,$F$11,IF(U498&lt;($F$11-$E$11)/($G$11-$E$11),$E$11+SQRT(U498*($G$11-$E$11)*($F$11-$E$11)),$G$11-SQRT((1-U498)*($G$11-$E$11)*($G$11-$F$11))))</f>
        <v>0.0926815603544624</v>
      </c>
      <c r="H498" s="39" t="n">
        <f aca="false">(('Business Case'!B11*$C498*'Business Case'!B12*$B498)-'Business Case'!B11*$C498*'Business Case'!B13*$D498-'Business Case'!B14*$E498)-MAX(0,(('Business Case'!B11*$C498*'Business Case'!B12*$B498)-'Business Case'!B11*$C498*'Business Case'!B13*$D498-'Business Case'!B14*$E498))*'Business Case'!$B$7-'Business Case'!$B$8*('Business Case'!B11*$C498*'Business Case'!B12*$B498)-'Business Case'!B15*$F498</f>
        <v>-2000309813.85964</v>
      </c>
      <c r="I498" s="39" t="n">
        <f aca="false">(('Business Case'!C11*$C498*'Business Case'!C12*$B498)-'Business Case'!C11*$C498*'Business Case'!C13*$D498-'Business Case'!C14*$E498)-MAX(0,(('Business Case'!C11*$C498*'Business Case'!C12*$B498)-'Business Case'!C11*$C498*'Business Case'!C13*$D498-'Business Case'!C14*$E498))*'Business Case'!$B$7-'Business Case'!$B$8*(('Business Case'!C11*$C498*'Business Case'!C12*$B498)-('Business Case'!B11*$C498*'Business Case'!B12*$B498))-'Business Case'!C15*$F498</f>
        <v>22480027.0405929</v>
      </c>
      <c r="J498" s="39" t="n">
        <f aca="false">(('Business Case'!D11*$C498*'Business Case'!D12*$B498)-'Business Case'!D11*$C498*'Business Case'!D13*$D498-'Business Case'!D14*$E498)-MAX(0,(('Business Case'!D11*$C498*'Business Case'!D12*$B498)-'Business Case'!D11*$C498*'Business Case'!D13*$D498-'Business Case'!D14*$E498))*'Business Case'!$B$7-'Business Case'!$B$8*(('Business Case'!D11*$C498*'Business Case'!D12*$B498)-('Business Case'!C11*$C498*'Business Case'!C12*$B498))-'Business Case'!D15*$F498</f>
        <v>353404858.658547</v>
      </c>
      <c r="K498" s="39" t="n">
        <f aca="false">(('Business Case'!E11*$C498*'Business Case'!E12*$B498)-'Business Case'!E11*$C498*'Business Case'!E13*$D498-'Business Case'!E14*$E498)-MAX(0,(('Business Case'!E11*$C498*'Business Case'!E12*$B498)-'Business Case'!E11*$C498*'Business Case'!E13*$D498-'Business Case'!E14*$E498))*'Business Case'!$B$7-'Business Case'!$B$8*(('Business Case'!E11*$C498*'Business Case'!E12*$B498)-('Business Case'!D11*$C498*'Business Case'!D12*$B498))-'Business Case'!E15*$F498</f>
        <v>734337435.622992</v>
      </c>
      <c r="L498" s="39" t="n">
        <f aca="false">(('Business Case'!F11*$C498*'Business Case'!F12*$B498)-'Business Case'!F11*$C498*'Business Case'!F13*$D498-'Business Case'!F14*$E498)-MAX(0,(('Business Case'!F11*$C498*'Business Case'!F12*$B498)-'Business Case'!F11*$C498*'Business Case'!F13*$D498-'Business Case'!F14*$E498))*'Business Case'!$B$7-'Business Case'!$B$8*(('Business Case'!F11*$C498*'Business Case'!F12*$B498)-('Business Case'!E11*$C498*'Business Case'!E12*$B498))-'Business Case'!F15*$F498</f>
        <v>881512386.18795</v>
      </c>
      <c r="M498" s="39" t="n">
        <f aca="false">(('Business Case'!G11*$C498*'Business Case'!G12*$B498)-'Business Case'!G11*$C498*'Business Case'!G13*$D498-'Business Case'!G14*$E498)-MAX(0,(('Business Case'!G11*$C498*'Business Case'!G12*$B498)-'Business Case'!G11*$C498*'Business Case'!G13*$D498-'Business Case'!G14*$E498))*'Business Case'!$B$7-'Business Case'!$B$8*(('Business Case'!G11*$C498*'Business Case'!G12*$B498)-('Business Case'!F11*$C498*'Business Case'!F12*$B498))-'Business Case'!G15*$F498+'Business Case'!$B$8*('Business Case'!G11*$C498*'Business Case'!G12*$B498)</f>
        <v>1084279089.6623</v>
      </c>
      <c r="N498" s="39" t="n">
        <f aca="false">IF(COUNT('Business Case'!B11:G11)=0,"",H498+NPV(G498,I498:M498))</f>
        <v>193617899.373406</v>
      </c>
      <c r="P498" s="40" t="n">
        <f aca="true">RAND()</f>
        <v>0.730914944004803</v>
      </c>
      <c r="Q498" s="40" t="n">
        <f aca="true">RAND()</f>
        <v>0.853931384527463</v>
      </c>
      <c r="R498" s="40" t="n">
        <f aca="true">RAND()</f>
        <v>0.35511910836664</v>
      </c>
      <c r="S498" s="40" t="n">
        <f aca="true">RAND()</f>
        <v>0.964298610811133</v>
      </c>
      <c r="T498" s="40" t="n">
        <f aca="true">RAND()</f>
        <v>0.201238775515434</v>
      </c>
      <c r="U498" s="40" t="n">
        <f aca="true">RAND()</f>
        <v>0.0239692197820821</v>
      </c>
    </row>
    <row r="499" customFormat="false" ht="15" hidden="false" customHeight="false" outlineLevel="0" collapsed="false">
      <c r="A499" s="36" t="n">
        <v>419</v>
      </c>
      <c r="B499" s="37" t="n">
        <f aca="false">1+IF($G$6=$E$6,$F$6,IF(P499&lt;($F$6-$E$6)/($G$6-$E$6),$E$6+SQRT(P499*($G$6-$E$6)*($F$6-$E$6)),$G$6-SQRT((1-P499)*($G$6-$E$6)*($G$6-$F$6))))</f>
        <v>1.00344642666989</v>
      </c>
      <c r="C499" s="37" t="n">
        <f aca="false">1+IF($G$7=$E$7,$F$7,IF(Q499&lt;($F$7-$E$7)/($G$7-$E$7),$E$7+SQRT(Q499*($G$7-$E$7)*($F$7-$E$7)),$G$7-SQRT((1-Q499)*($G$7-$E$7)*($G$7-$F$7))))</f>
        <v>1.02244598805753</v>
      </c>
      <c r="D499" s="37" t="n">
        <f aca="false">1+IF($G$8=$E$8,$F$8,IF(R499&lt;($F$8-$E$8)/($G$8-$E$8),$E$8+SQRT(R499*($G$8-$E$8)*($F$8-$E$8)),$G$8-SQRT((1-R499)*($G$8-$E$8)*($G$8-$F$8))))</f>
        <v>0.972107170258816</v>
      </c>
      <c r="E499" s="37" t="n">
        <f aca="false">1+IF($G$9=$E$9,$F$9,IF(S499&lt;($F$9-$E$9)/($G$9-$E$9),$E$9+SQRT(S499*($G$9-$E$9)*($F$9-$E$9)),$G$9-SQRT((1-S499)*($G$9-$E$9)*($G$9-$F$9))))</f>
        <v>1.00100168495829</v>
      </c>
      <c r="F499" s="37" t="n">
        <f aca="false">1+IF($G$10=$E$10,$F$10,IF(T499&lt;($F$10-$E$10)/($G$10-$E$10),$E$10+SQRT(T499*($G$10-$E$10)*($F$10-$E$10)),$G$10-SQRT((1-T499)*($G$10-$E$10)*($G$10-$F$10))))</f>
        <v>1.0341356684394</v>
      </c>
      <c r="G499" s="38" t="n">
        <f aca="false">IF($G$11=$E$11,$F$11,IF(U499&lt;($F$11-$E$11)/($G$11-$E$11),$E$11+SQRT(U499*($G$11-$E$11)*($F$11-$E$11)),$G$11-SQRT((1-U499)*($G$11-$E$11)*($G$11-$F$11))))</f>
        <v>0.101637466118148</v>
      </c>
      <c r="H499" s="39" t="n">
        <f aca="false">(('Business Case'!B11*$C499*'Business Case'!B12*$B499)-'Business Case'!B11*$C499*'Business Case'!B13*$D499-'Business Case'!B14*$E499)-MAX(0,(('Business Case'!B11*$C499*'Business Case'!B12*$B499)-'Business Case'!B11*$C499*'Business Case'!B13*$D499-'Business Case'!B14*$E499))*'Business Case'!$B$7-'Business Case'!$B$8*('Business Case'!B11*$C499*'Business Case'!B12*$B499)-'Business Case'!B15*$F499</f>
        <v>-2068271336.8788</v>
      </c>
      <c r="I499" s="39" t="n">
        <f aca="false">(('Business Case'!C11*$C499*'Business Case'!C12*$B499)-'Business Case'!C11*$C499*'Business Case'!C13*$D499-'Business Case'!C14*$E499)-MAX(0,(('Business Case'!C11*$C499*'Business Case'!C12*$B499)-'Business Case'!C11*$C499*'Business Case'!C13*$D499-'Business Case'!C14*$E499))*'Business Case'!$B$7-'Business Case'!$B$8*(('Business Case'!C11*$C499*'Business Case'!C12*$B499)-('Business Case'!B11*$C499*'Business Case'!B12*$B499))-'Business Case'!C15*$F499</f>
        <v>32589685.7261272</v>
      </c>
      <c r="J499" s="39" t="n">
        <f aca="false">(('Business Case'!D11*$C499*'Business Case'!D12*$B499)-'Business Case'!D11*$C499*'Business Case'!D13*$D499-'Business Case'!D14*$E499)-MAX(0,(('Business Case'!D11*$C499*'Business Case'!D12*$B499)-'Business Case'!D11*$C499*'Business Case'!D13*$D499-'Business Case'!D14*$E499))*'Business Case'!$B$7-'Business Case'!$B$8*(('Business Case'!D11*$C499*'Business Case'!D12*$B499)-('Business Case'!C11*$C499*'Business Case'!C12*$B499))-'Business Case'!D15*$F499</f>
        <v>364121650.938878</v>
      </c>
      <c r="K499" s="39" t="n">
        <f aca="false">(('Business Case'!E11*$C499*'Business Case'!E12*$B499)-'Business Case'!E11*$C499*'Business Case'!E13*$D499-'Business Case'!E14*$E499)-MAX(0,(('Business Case'!E11*$C499*'Business Case'!E12*$B499)-'Business Case'!E11*$C499*'Business Case'!E13*$D499-'Business Case'!E14*$E499))*'Business Case'!$B$7-'Business Case'!$B$8*(('Business Case'!E11*$C499*'Business Case'!E12*$B499)-('Business Case'!D11*$C499*'Business Case'!D12*$B499))-'Business Case'!E15*$F499</f>
        <v>747360399.573598</v>
      </c>
      <c r="L499" s="39" t="n">
        <f aca="false">(('Business Case'!F11*$C499*'Business Case'!F12*$B499)-'Business Case'!F11*$C499*'Business Case'!F13*$D499-'Business Case'!F14*$E499)-MAX(0,(('Business Case'!F11*$C499*'Business Case'!F12*$B499)-'Business Case'!F11*$C499*'Business Case'!F13*$D499-'Business Case'!F14*$E499))*'Business Case'!$B$7-'Business Case'!$B$8*(('Business Case'!F11*$C499*'Business Case'!F12*$B499)-('Business Case'!E11*$C499*'Business Case'!E12*$B499))-'Business Case'!F15*$F499</f>
        <v>893328570.005591</v>
      </c>
      <c r="M499" s="39" t="n">
        <f aca="false">(('Business Case'!G11*$C499*'Business Case'!G12*$B499)-'Business Case'!G11*$C499*'Business Case'!G13*$D499-'Business Case'!G14*$E499)-MAX(0,(('Business Case'!G11*$C499*'Business Case'!G12*$B499)-'Business Case'!G11*$C499*'Business Case'!G13*$D499-'Business Case'!G14*$E499))*'Business Case'!$B$7-'Business Case'!$B$8*(('Business Case'!G11*$C499*'Business Case'!G12*$B499)-('Business Case'!F11*$C499*'Business Case'!F12*$B499))-'Business Case'!G15*$F499+'Business Case'!$B$8*('Business Case'!G11*$C499*'Business Case'!G12*$B499)</f>
        <v>1088344904.49151</v>
      </c>
      <c r="N499" s="39" t="n">
        <f aca="false">IF(COUNT('Business Case'!B11:G11)=0,"",H499+NPV(G499,I499:M499))</f>
        <v>97652387.8366563</v>
      </c>
      <c r="P499" s="40" t="n">
        <f aca="true">RAND()</f>
        <v>0.721632557666777</v>
      </c>
      <c r="Q499" s="40" t="n">
        <f aca="true">RAND()</f>
        <v>0.690094743569157</v>
      </c>
      <c r="R499" s="40" t="n">
        <f aca="true">RAND()</f>
        <v>0.0751887656695784</v>
      </c>
      <c r="S499" s="40" t="n">
        <f aca="true">RAND()</f>
        <v>0.346622241260122</v>
      </c>
      <c r="T499" s="40" t="n">
        <f aca="true">RAND()</f>
        <v>0.449780470319091</v>
      </c>
      <c r="U499" s="40" t="n">
        <f aca="true">RAND()</f>
        <v>0.438028915729715</v>
      </c>
    </row>
    <row r="500" customFormat="false" ht="15" hidden="false" customHeight="false" outlineLevel="0" collapsed="false">
      <c r="A500" s="36" t="n">
        <v>420</v>
      </c>
      <c r="B500" s="37" t="n">
        <f aca="false">1+IF($G$6=$E$6,$F$6,IF(P500&lt;($F$6-$E$6)/($G$6-$E$6),$E$6+SQRT(P500*($G$6-$E$6)*($F$6-$E$6)),$G$6-SQRT((1-P500)*($G$6-$E$6)*($G$6-$F$6))))</f>
        <v>1.02884062538182</v>
      </c>
      <c r="C500" s="37" t="n">
        <f aca="false">1+IF($G$7=$E$7,$F$7,IF(Q500&lt;($F$7-$E$7)/($G$7-$E$7),$E$7+SQRT(Q500*($G$7-$E$7)*($F$7-$E$7)),$G$7-SQRT((1-Q500)*($G$7-$E$7)*($G$7-$F$7))))</f>
        <v>0.859874647450513</v>
      </c>
      <c r="D500" s="37" t="n">
        <f aca="false">1+IF($G$8=$E$8,$F$8,IF(R500&lt;($F$8-$E$8)/($G$8-$E$8),$E$8+SQRT(R500*($G$8-$E$8)*($F$8-$E$8)),$G$8-SQRT((1-R500)*($G$8-$E$8)*($G$8-$F$8))))</f>
        <v>1.03719637753612</v>
      </c>
      <c r="E500" s="37" t="n">
        <f aca="false">1+IF($G$9=$E$9,$F$9,IF(S500&lt;($F$9-$E$9)/($G$9-$E$9),$E$9+SQRT(S500*($G$9-$E$9)*($F$9-$E$9)),$G$9-SQRT((1-S500)*($G$9-$E$9)*($G$9-$F$9))))</f>
        <v>1.01925936082452</v>
      </c>
      <c r="F500" s="37" t="n">
        <f aca="false">1+IF($G$10=$E$10,$F$10,IF(T500&lt;($F$10-$E$10)/($G$10-$E$10),$E$10+SQRT(T500*($G$10-$E$10)*($F$10-$E$10)),$G$10-SQRT((1-T500)*($G$10-$E$10)*($G$10-$F$10))))</f>
        <v>1.0405518738512</v>
      </c>
      <c r="G500" s="38" t="n">
        <f aca="false">IF($G$11=$E$11,$F$11,IF(U500&lt;($F$11-$E$11)/($G$11-$E$11),$E$11+SQRT(U500*($G$11-$E$11)*($F$11-$E$11)),$G$11-SQRT((1-U500)*($G$11-$E$11)*($G$11-$F$11))))</f>
        <v>0.111403911797451</v>
      </c>
      <c r="H500" s="39" t="n">
        <f aca="false">(('Business Case'!B11*$C500*'Business Case'!B12*$B500)-'Business Case'!B11*$C500*'Business Case'!B13*$D500-'Business Case'!B14*$E500)-MAX(0,(('Business Case'!B11*$C500*'Business Case'!B12*$B500)-'Business Case'!B11*$C500*'Business Case'!B13*$D500-'Business Case'!B14*$E500))*'Business Case'!$B$7-'Business Case'!$B$8*('Business Case'!B11*$C500*'Business Case'!B12*$B500)-'Business Case'!B15*$F500</f>
        <v>-2081103747.70239</v>
      </c>
      <c r="I500" s="39" t="n">
        <f aca="false">(('Business Case'!C11*$C500*'Business Case'!C12*$B500)-'Business Case'!C11*$C500*'Business Case'!C13*$D500-'Business Case'!C14*$E500)-MAX(0,(('Business Case'!C11*$C500*'Business Case'!C12*$B500)-'Business Case'!C11*$C500*'Business Case'!C13*$D500-'Business Case'!C14*$E500))*'Business Case'!$B$7-'Business Case'!$B$8*(('Business Case'!C11*$C500*'Business Case'!C12*$B500)-('Business Case'!B11*$C500*'Business Case'!B12*$B500))-'Business Case'!C15*$F500</f>
        <v>-26804081.5775469</v>
      </c>
      <c r="J500" s="39" t="n">
        <f aca="false">(('Business Case'!D11*$C500*'Business Case'!D12*$B500)-'Business Case'!D11*$C500*'Business Case'!D13*$D500-'Business Case'!D14*$E500)-MAX(0,(('Business Case'!D11*$C500*'Business Case'!D12*$B500)-'Business Case'!D11*$C500*'Business Case'!D13*$D500-'Business Case'!D14*$E500))*'Business Case'!$B$7-'Business Case'!$B$8*(('Business Case'!D11*$C500*'Business Case'!D12*$B500)-('Business Case'!C11*$C500*'Business Case'!C12*$B500))-'Business Case'!D15*$F500</f>
        <v>241247203.945781</v>
      </c>
      <c r="K500" s="39" t="n">
        <f aca="false">(('Business Case'!E11*$C500*'Business Case'!E12*$B500)-'Business Case'!E11*$C500*'Business Case'!E13*$D500-'Business Case'!E14*$E500)-MAX(0,(('Business Case'!E11*$C500*'Business Case'!E12*$B500)-'Business Case'!E11*$C500*'Business Case'!E13*$D500-'Business Case'!E14*$E500))*'Business Case'!$B$7-'Business Case'!$B$8*(('Business Case'!E11*$C500*'Business Case'!E12*$B500)-('Business Case'!D11*$C500*'Business Case'!D12*$B500))-'Business Case'!E15*$F500</f>
        <v>561326083.161669</v>
      </c>
      <c r="L500" s="39" t="n">
        <f aca="false">(('Business Case'!F11*$C500*'Business Case'!F12*$B500)-'Business Case'!F11*$C500*'Business Case'!F13*$D500-'Business Case'!F14*$E500)-MAX(0,(('Business Case'!F11*$C500*'Business Case'!F12*$B500)-'Business Case'!F11*$C500*'Business Case'!F13*$D500-'Business Case'!F14*$E500))*'Business Case'!$B$7-'Business Case'!$B$8*(('Business Case'!F11*$C500*'Business Case'!F12*$B500)-('Business Case'!E11*$C500*'Business Case'!E12*$B500))-'Business Case'!F15*$F500</f>
        <v>681250844.073784</v>
      </c>
      <c r="M500" s="39" t="n">
        <f aca="false">(('Business Case'!G11*$C500*'Business Case'!G12*$B500)-'Business Case'!G11*$C500*'Business Case'!G13*$D500-'Business Case'!G14*$E500)-MAX(0,(('Business Case'!G11*$C500*'Business Case'!G12*$B500)-'Business Case'!G11*$C500*'Business Case'!G13*$D500-'Business Case'!G14*$E500))*'Business Case'!$B$7-'Business Case'!$B$8*(('Business Case'!G11*$C500*'Business Case'!G12*$B500)-('Business Case'!F11*$C500*'Business Case'!F12*$B500))-'Business Case'!G15*$F500+'Business Case'!$B$8*('Business Case'!G11*$C500*'Business Case'!G12*$B500)</f>
        <v>849409672.297648</v>
      </c>
      <c r="N500" s="39" t="n">
        <f aca="false">IF(COUNT('Business Case'!B11:G11)=0,"",H500+NPV(G500,I500:M500))</f>
        <v>-553624977.974605</v>
      </c>
      <c r="P500" s="40" t="n">
        <f aca="true">RAND()</f>
        <v>0.974055907943961</v>
      </c>
      <c r="Q500" s="40" t="n">
        <f aca="true">RAND()</f>
        <v>0.0512139058189032</v>
      </c>
      <c r="R500" s="40" t="n">
        <f aca="true">RAND()</f>
        <v>0.82383172153556</v>
      </c>
      <c r="S500" s="40" t="n">
        <f aca="true">RAND()</f>
        <v>0.565396612369008</v>
      </c>
      <c r="T500" s="40" t="n">
        <f aca="true">RAND()</f>
        <v>0.491525901352705</v>
      </c>
      <c r="U500" s="40" t="n">
        <f aca="true">RAND()</f>
        <v>0.876845446023339</v>
      </c>
    </row>
    <row r="501" customFormat="false" ht="15" hidden="false" customHeight="false" outlineLevel="0" collapsed="false">
      <c r="A501" s="36" t="n">
        <v>421</v>
      </c>
      <c r="B501" s="37" t="n">
        <f aca="false">1+IF($G$6=$E$6,$F$6,IF(P501&lt;($F$6-$E$6)/($G$6-$E$6),$E$6+SQRT(P501*($G$6-$E$6)*($F$6-$E$6)),$G$6-SQRT((1-P501)*($G$6-$E$6)*($G$6-$F$6))))</f>
        <v>0.952203369495059</v>
      </c>
      <c r="C501" s="37" t="n">
        <f aca="false">1+IF($G$7=$E$7,$F$7,IF(Q501&lt;($F$7-$E$7)/($G$7-$E$7),$E$7+SQRT(Q501*($G$7-$E$7)*($F$7-$E$7)),$G$7-SQRT((1-Q501)*($G$7-$E$7)*($G$7-$F$7))))</f>
        <v>0.907446450638199</v>
      </c>
      <c r="D501" s="37" t="n">
        <f aca="false">1+IF($G$8=$E$8,$F$8,IF(R501&lt;($F$8-$E$8)/($G$8-$E$8),$E$8+SQRT(R501*($G$8-$E$8)*($F$8-$E$8)),$G$8-SQRT((1-R501)*($G$8-$E$8)*($G$8-$F$8))))</f>
        <v>0.98483672115383</v>
      </c>
      <c r="E501" s="37" t="n">
        <f aca="false">1+IF($G$9=$E$9,$F$9,IF(S501&lt;($F$9-$E$9)/($G$9-$E$9),$E$9+SQRT(S501*($G$9-$E$9)*($F$9-$E$9)),$G$9-SQRT((1-S501)*($G$9-$E$9)*($G$9-$F$9))))</f>
        <v>0.970826756167631</v>
      </c>
      <c r="F501" s="37" t="n">
        <f aca="false">1+IF($G$10=$E$10,$F$10,IF(T501&lt;($F$10-$E$10)/($G$10-$E$10),$E$10+SQRT(T501*($G$10-$E$10)*($F$10-$E$10)),$G$10-SQRT((1-T501)*($G$10-$E$10)*($G$10-$F$10))))</f>
        <v>1.09844867018583</v>
      </c>
      <c r="G501" s="38" t="n">
        <f aca="false">IF($G$11=$E$11,$F$11,IF(U501&lt;($F$11-$E$11)/($G$11-$E$11),$E$11+SQRT(U501*($G$11-$E$11)*($F$11-$E$11)),$G$11-SQRT((1-U501)*($G$11-$E$11)*($G$11-$F$11))))</f>
        <v>0.0949938625191335</v>
      </c>
      <c r="H501" s="39" t="n">
        <f aca="false">(('Business Case'!B11*$C501*'Business Case'!B12*$B501)-'Business Case'!B11*$C501*'Business Case'!B13*$D501-'Business Case'!B14*$E501)-MAX(0,(('Business Case'!B11*$C501*'Business Case'!B12*$B501)-'Business Case'!B11*$C501*'Business Case'!B13*$D501-'Business Case'!B14*$E501))*'Business Case'!$B$7-'Business Case'!$B$8*('Business Case'!B11*$C501*'Business Case'!B12*$B501)-'Business Case'!B15*$F501</f>
        <v>-2196897340.37166</v>
      </c>
      <c r="I501" s="39" t="n">
        <f aca="false">(('Business Case'!C11*$C501*'Business Case'!C12*$B501)-'Business Case'!C11*$C501*'Business Case'!C13*$D501-'Business Case'!C14*$E501)-MAX(0,(('Business Case'!C11*$C501*'Business Case'!C12*$B501)-'Business Case'!C11*$C501*'Business Case'!C13*$D501-'Business Case'!C14*$E501))*'Business Case'!$B$7-'Business Case'!$B$8*(('Business Case'!C11*$C501*'Business Case'!C12*$B501)-('Business Case'!B11*$C501*'Business Case'!B12*$B501))-'Business Case'!C15*$F501</f>
        <v>-42447577.7249295</v>
      </c>
      <c r="J501" s="39" t="n">
        <f aca="false">(('Business Case'!D11*$C501*'Business Case'!D12*$B501)-'Business Case'!D11*$C501*'Business Case'!D13*$D501-'Business Case'!D14*$E501)-MAX(0,(('Business Case'!D11*$C501*'Business Case'!D12*$B501)-'Business Case'!D11*$C501*'Business Case'!D13*$D501-'Business Case'!D14*$E501))*'Business Case'!$B$7-'Business Case'!$B$8*(('Business Case'!D11*$C501*'Business Case'!D12*$B501)-('Business Case'!C11*$C501*'Business Case'!C12*$B501))-'Business Case'!D15*$F501</f>
        <v>207794850.057461</v>
      </c>
      <c r="K501" s="39" t="n">
        <f aca="false">(('Business Case'!E11*$C501*'Business Case'!E12*$B501)-'Business Case'!E11*$C501*'Business Case'!E13*$D501-'Business Case'!E14*$E501)-MAX(0,(('Business Case'!E11*$C501*'Business Case'!E12*$B501)-'Business Case'!E11*$C501*'Business Case'!E13*$D501-'Business Case'!E14*$E501))*'Business Case'!$B$7-'Business Case'!$B$8*(('Business Case'!E11*$C501*'Business Case'!E12*$B501)-('Business Case'!D11*$C501*'Business Case'!D12*$B501))-'Business Case'!E15*$F501</f>
        <v>512959711.349143</v>
      </c>
      <c r="L501" s="39" t="n">
        <f aca="false">(('Business Case'!F11*$C501*'Business Case'!F12*$B501)-'Business Case'!F11*$C501*'Business Case'!F13*$D501-'Business Case'!F14*$E501)-MAX(0,(('Business Case'!F11*$C501*'Business Case'!F12*$B501)-'Business Case'!F11*$C501*'Business Case'!F13*$D501-'Business Case'!F14*$E501))*'Business Case'!$B$7-'Business Case'!$B$8*(('Business Case'!F11*$C501*'Business Case'!F12*$B501)-('Business Case'!E11*$C501*'Business Case'!E12*$B501))-'Business Case'!F15*$F501</f>
        <v>626236236.451073</v>
      </c>
      <c r="M501" s="39" t="n">
        <f aca="false">(('Business Case'!G11*$C501*'Business Case'!G12*$B501)-'Business Case'!G11*$C501*'Business Case'!G13*$D501-'Business Case'!G14*$E501)-MAX(0,(('Business Case'!G11*$C501*'Business Case'!G12*$B501)-'Business Case'!G11*$C501*'Business Case'!G13*$D501-'Business Case'!G14*$E501))*'Business Case'!$B$7-'Business Case'!$B$8*(('Business Case'!G11*$C501*'Business Case'!G12*$B501)-('Business Case'!F11*$C501*'Business Case'!F12*$B501))-'Business Case'!G15*$F501+'Business Case'!$B$8*('Business Case'!G11*$C501*'Business Case'!G12*$B501)</f>
        <v>790479340.243972</v>
      </c>
      <c r="N501" s="39" t="n">
        <f aca="false">IF(COUNT('Business Case'!B11:G11)=0,"",H501+NPV(G501,I501:M501))</f>
        <v>-733901020.571744</v>
      </c>
      <c r="P501" s="40" t="n">
        <f aca="true">RAND()</f>
        <v>0.108026771545344</v>
      </c>
      <c r="Q501" s="40" t="n">
        <f aca="true">RAND()</f>
        <v>0.164924853639243</v>
      </c>
      <c r="R501" s="40" t="n">
        <f aca="true">RAND()</f>
        <v>0.186707252423034</v>
      </c>
      <c r="S501" s="40" t="n">
        <f aca="true">RAND()</f>
        <v>0.0578338363287964</v>
      </c>
      <c r="T501" s="40" t="n">
        <f aca="true">RAND()</f>
        <v>0.793746548259465</v>
      </c>
      <c r="U501" s="40" t="n">
        <f aca="true">RAND()</f>
        <v>0.0831288762000201</v>
      </c>
    </row>
    <row r="502" customFormat="false" ht="15" hidden="false" customHeight="false" outlineLevel="0" collapsed="false">
      <c r="A502" s="36" t="n">
        <v>422</v>
      </c>
      <c r="B502" s="37" t="n">
        <f aca="false">1+IF($G$6=$E$6,$F$6,IF(P502&lt;($F$6-$E$6)/($G$6-$E$6),$E$6+SQRT(P502*($G$6-$E$6)*($F$6-$E$6)),$G$6-SQRT((1-P502)*($G$6-$E$6)*($G$6-$F$6))))</f>
        <v>1.00353740569951</v>
      </c>
      <c r="C502" s="37" t="n">
        <f aca="false">1+IF($G$7=$E$7,$F$7,IF(Q502&lt;($F$7-$E$7)/($G$7-$E$7),$E$7+SQRT(Q502*($G$7-$E$7)*($F$7-$E$7)),$G$7-SQRT((1-Q502)*($G$7-$E$7)*($G$7-$F$7))))</f>
        <v>0.975760625486404</v>
      </c>
      <c r="D502" s="37" t="n">
        <f aca="false">1+IF($G$8=$E$8,$F$8,IF(R502&lt;($F$8-$E$8)/($G$8-$E$8),$E$8+SQRT(R502*($G$8-$E$8)*($F$8-$E$8)),$G$8-SQRT((1-R502)*($G$8-$E$8)*($G$8-$F$8))))</f>
        <v>1.00317905038486</v>
      </c>
      <c r="E502" s="37" t="n">
        <f aca="false">1+IF($G$9=$E$9,$F$9,IF(S502&lt;($F$9-$E$9)/($G$9-$E$9),$E$9+SQRT(S502*($G$9-$E$9)*($F$9-$E$9)),$G$9-SQRT((1-S502)*($G$9-$E$9)*($G$9-$F$9))))</f>
        <v>1.03351231659373</v>
      </c>
      <c r="F502" s="37" t="n">
        <f aca="false">1+IF($G$10=$E$10,$F$10,IF(T502&lt;($F$10-$E$10)/($G$10-$E$10),$E$10+SQRT(T502*($G$10-$E$10)*($F$10-$E$10)),$G$10-SQRT((1-T502)*($G$10-$E$10)*($G$10-$F$10))))</f>
        <v>1.10096127446707</v>
      </c>
      <c r="G502" s="38" t="n">
        <f aca="false">IF($G$11=$E$11,$F$11,IF(U502&lt;($F$11-$E$11)/($G$11-$E$11),$E$11+SQRT(U502*($G$11-$E$11)*($F$11-$E$11)),$G$11-SQRT((1-U502)*($G$11-$E$11)*($G$11-$F$11))))</f>
        <v>0.107088874642717</v>
      </c>
      <c r="H502" s="39" t="n">
        <f aca="false">(('Business Case'!B11*$C502*'Business Case'!B12*$B502)-'Business Case'!B11*$C502*'Business Case'!B13*$D502-'Business Case'!B14*$E502)-MAX(0,(('Business Case'!B11*$C502*'Business Case'!B12*$B502)-'Business Case'!B11*$C502*'Business Case'!B13*$D502-'Business Case'!B14*$E502))*'Business Case'!$B$7-'Business Case'!$B$8*('Business Case'!B11*$C502*'Business Case'!B12*$B502)-'Business Case'!B15*$F502</f>
        <v>-2201922548.93413</v>
      </c>
      <c r="I502" s="39" t="n">
        <f aca="false">(('Business Case'!C11*$C502*'Business Case'!C12*$B502)-'Business Case'!C11*$C502*'Business Case'!C13*$D502-'Business Case'!C14*$E502)-MAX(0,(('Business Case'!C11*$C502*'Business Case'!C12*$B502)-'Business Case'!C11*$C502*'Business Case'!C13*$D502-'Business Case'!C14*$E502))*'Business Case'!$B$7-'Business Case'!$B$8*(('Business Case'!C11*$C502*'Business Case'!C12*$B502)-('Business Case'!B11*$C502*'Business Case'!B12*$B502))-'Business Case'!C15*$F502</f>
        <v>-6877928.97084433</v>
      </c>
      <c r="J502" s="39" t="n">
        <f aca="false">(('Business Case'!D11*$C502*'Business Case'!D12*$B502)-'Business Case'!D11*$C502*'Business Case'!D13*$D502-'Business Case'!D14*$E502)-MAX(0,(('Business Case'!D11*$C502*'Business Case'!D12*$B502)-'Business Case'!D11*$C502*'Business Case'!D13*$D502-'Business Case'!D14*$E502))*'Business Case'!$B$7-'Business Case'!$B$8*(('Business Case'!D11*$C502*'Business Case'!D12*$B502)-('Business Case'!C11*$C502*'Business Case'!C12*$B502))-'Business Case'!D15*$F502</f>
        <v>294068085.866364</v>
      </c>
      <c r="K502" s="39" t="n">
        <f aca="false">(('Business Case'!E11*$C502*'Business Case'!E12*$B502)-'Business Case'!E11*$C502*'Business Case'!E13*$D502-'Business Case'!E14*$E502)-MAX(0,(('Business Case'!E11*$C502*'Business Case'!E12*$B502)-'Business Case'!E11*$C502*'Business Case'!E13*$D502-'Business Case'!E14*$E502))*'Business Case'!$B$7-'Business Case'!$B$8*(('Business Case'!E11*$C502*'Business Case'!E12*$B502)-('Business Case'!D11*$C502*'Business Case'!D12*$B502))-'Business Case'!E15*$F502</f>
        <v>650062164.426925</v>
      </c>
      <c r="L502" s="39" t="n">
        <f aca="false">(('Business Case'!F11*$C502*'Business Case'!F12*$B502)-'Business Case'!F11*$C502*'Business Case'!F13*$D502-'Business Case'!F14*$E502)-MAX(0,(('Business Case'!F11*$C502*'Business Case'!F12*$B502)-'Business Case'!F11*$C502*'Business Case'!F13*$D502-'Business Case'!F14*$E502))*'Business Case'!$B$7-'Business Case'!$B$8*(('Business Case'!F11*$C502*'Business Case'!F12*$B502)-('Business Case'!E11*$C502*'Business Case'!E12*$B502))-'Business Case'!F15*$F502</f>
        <v>784219079.333805</v>
      </c>
      <c r="M502" s="39" t="n">
        <f aca="false">(('Business Case'!G11*$C502*'Business Case'!G12*$B502)-'Business Case'!G11*$C502*'Business Case'!G13*$D502-'Business Case'!G14*$E502)-MAX(0,(('Business Case'!G11*$C502*'Business Case'!G12*$B502)-'Business Case'!G11*$C502*'Business Case'!G13*$D502-'Business Case'!G14*$E502))*'Business Case'!$B$7-'Business Case'!$B$8*(('Business Case'!G11*$C502*'Business Case'!G12*$B502)-('Business Case'!F11*$C502*'Business Case'!F12*$B502))-'Business Case'!G15*$F502+'Business Case'!$B$8*('Business Case'!G11*$C502*'Business Case'!G12*$B502)</f>
        <v>970347750.786768</v>
      </c>
      <c r="N502" s="39" t="n">
        <f aca="false">IF(COUNT('Business Case'!B11:G11)=0,"",H502+NPV(G502,I502:M502))</f>
        <v>-383617112.874005</v>
      </c>
      <c r="P502" s="40" t="n">
        <f aca="true">RAND()</f>
        <v>0.723016503516229</v>
      </c>
      <c r="Q502" s="40" t="n">
        <f aca="true">RAND()</f>
        <v>0.441311392448169</v>
      </c>
      <c r="R502" s="40" t="n">
        <f aca="true">RAND()</f>
        <v>0.432552086560443</v>
      </c>
      <c r="S502" s="40" t="n">
        <f aca="true">RAND()</f>
        <v>0.705292530351193</v>
      </c>
      <c r="T502" s="40" t="n">
        <f aca="true">RAND()</f>
        <v>0.803826616896242</v>
      </c>
      <c r="U502" s="40" t="n">
        <f aca="true">RAND()</f>
        <v>0.72217140334754</v>
      </c>
    </row>
    <row r="503" customFormat="false" ht="15" hidden="false" customHeight="false" outlineLevel="0" collapsed="false">
      <c r="A503" s="36" t="n">
        <v>423</v>
      </c>
      <c r="B503" s="37" t="n">
        <f aca="false">1+IF($G$6=$E$6,$F$6,IF(P503&lt;($F$6-$E$6)/($G$6-$E$6),$E$6+SQRT(P503*($G$6-$E$6)*($F$6-$E$6)),$G$6-SQRT((1-P503)*($G$6-$E$6)*($G$6-$F$6))))</f>
        <v>0.991716664875747</v>
      </c>
      <c r="C503" s="37" t="n">
        <f aca="false">1+IF($G$7=$E$7,$F$7,IF(Q503&lt;($F$7-$E$7)/($G$7-$E$7),$E$7+SQRT(Q503*($G$7-$E$7)*($F$7-$E$7)),$G$7-SQRT((1-Q503)*($G$7-$E$7)*($G$7-$F$7))))</f>
        <v>1.01086449204466</v>
      </c>
      <c r="D503" s="37" t="n">
        <f aca="false">1+IF($G$8=$E$8,$F$8,IF(R503&lt;($F$8-$E$8)/($G$8-$E$8),$E$8+SQRT(R503*($G$8-$E$8)*($F$8-$E$8)),$G$8-SQRT((1-R503)*($G$8-$E$8)*($G$8-$F$8))))</f>
        <v>1.01188359127231</v>
      </c>
      <c r="E503" s="37" t="n">
        <f aca="false">1+IF($G$9=$E$9,$F$9,IF(S503&lt;($F$9-$E$9)/($G$9-$E$9),$E$9+SQRT(S503*($G$9-$E$9)*($F$9-$E$9)),$G$9-SQRT((1-S503)*($G$9-$E$9)*($G$9-$F$9))))</f>
        <v>1.06471233718865</v>
      </c>
      <c r="F503" s="37" t="n">
        <f aca="false">1+IF($G$10=$E$10,$F$10,IF(T503&lt;($F$10-$E$10)/($G$10-$E$10),$E$10+SQRT(T503*($G$10-$E$10)*($F$10-$E$10)),$G$10-SQRT((1-T503)*($G$10-$E$10)*($G$10-$F$10))))</f>
        <v>1.00660031495936</v>
      </c>
      <c r="G503" s="38" t="n">
        <f aca="false">IF($G$11=$E$11,$F$11,IF(U503&lt;($F$11-$E$11)/($G$11-$E$11),$E$11+SQRT(U503*($G$11-$E$11)*($F$11-$E$11)),$G$11-SQRT((1-U503)*($G$11-$E$11)*($G$11-$F$11))))</f>
        <v>0.114187964553901</v>
      </c>
      <c r="H503" s="39" t="n">
        <f aca="false">(('Business Case'!B11*$C503*'Business Case'!B12*$B503)-'Business Case'!B11*$C503*'Business Case'!B13*$D503-'Business Case'!B14*$E503)-MAX(0,(('Business Case'!B11*$C503*'Business Case'!B12*$B503)-'Business Case'!B11*$C503*'Business Case'!B13*$D503-'Business Case'!B14*$E503))*'Business Case'!$B$7-'Business Case'!$B$8*('Business Case'!B11*$C503*'Business Case'!B12*$B503)-'Business Case'!B15*$F503</f>
        <v>-2013200629.91873</v>
      </c>
      <c r="I503" s="39" t="n">
        <f aca="false">(('Business Case'!C11*$C503*'Business Case'!C12*$B503)-'Business Case'!C11*$C503*'Business Case'!C13*$D503-'Business Case'!C14*$E503)-MAX(0,(('Business Case'!C11*$C503*'Business Case'!C12*$B503)-'Business Case'!C11*$C503*'Business Case'!C13*$D503-'Business Case'!C14*$E503))*'Business Case'!$B$7-'Business Case'!$B$8*(('Business Case'!C11*$C503*'Business Case'!C12*$B503)-('Business Case'!B11*$C503*'Business Case'!B12*$B503))-'Business Case'!C15*$F503</f>
        <v>-6550118.49427581</v>
      </c>
      <c r="J503" s="39" t="n">
        <f aca="false">(('Business Case'!D11*$C503*'Business Case'!D12*$B503)-'Business Case'!D11*$C503*'Business Case'!D13*$D503-'Business Case'!D14*$E503)-MAX(0,(('Business Case'!D11*$C503*'Business Case'!D12*$B503)-'Business Case'!D11*$C503*'Business Case'!D13*$D503-'Business Case'!D14*$E503))*'Business Case'!$B$7-'Business Case'!$B$8*(('Business Case'!D11*$C503*'Business Case'!D12*$B503)-('Business Case'!C11*$C503*'Business Case'!C12*$B503))-'Business Case'!D15*$F503</f>
        <v>290931030.729557</v>
      </c>
      <c r="K503" s="39" t="n">
        <f aca="false">(('Business Case'!E11*$C503*'Business Case'!E12*$B503)-'Business Case'!E11*$C503*'Business Case'!E13*$D503-'Business Case'!E14*$E503)-MAX(0,(('Business Case'!E11*$C503*'Business Case'!E12*$B503)-'Business Case'!E11*$C503*'Business Case'!E13*$D503-'Business Case'!E14*$E503))*'Business Case'!$B$7-'Business Case'!$B$8*(('Business Case'!E11*$C503*'Business Case'!E12*$B503)-('Business Case'!D11*$C503*'Business Case'!D12*$B503))-'Business Case'!E15*$F503</f>
        <v>638742195.701357</v>
      </c>
      <c r="L503" s="39" t="n">
        <f aca="false">(('Business Case'!F11*$C503*'Business Case'!F12*$B503)-'Business Case'!F11*$C503*'Business Case'!F13*$D503-'Business Case'!F14*$E503)-MAX(0,(('Business Case'!F11*$C503*'Business Case'!F12*$B503)-'Business Case'!F11*$C503*'Business Case'!F13*$D503-'Business Case'!F14*$E503))*'Business Case'!$B$7-'Business Case'!$B$8*(('Business Case'!F11*$C503*'Business Case'!F12*$B503)-('Business Case'!E11*$C503*'Business Case'!E12*$B503))-'Business Case'!F15*$F503</f>
        <v>772548673.358598</v>
      </c>
      <c r="M503" s="39" t="n">
        <f aca="false">(('Business Case'!G11*$C503*'Business Case'!G12*$B503)-'Business Case'!G11*$C503*'Business Case'!G13*$D503-'Business Case'!G14*$E503)-MAX(0,(('Business Case'!G11*$C503*'Business Case'!G12*$B503)-'Business Case'!G11*$C503*'Business Case'!G13*$D503-'Business Case'!G14*$E503))*'Business Case'!$B$7-'Business Case'!$B$8*(('Business Case'!G11*$C503*'Business Case'!G12*$B503)-('Business Case'!F11*$C503*'Business Case'!F12*$B503))-'Business Case'!G15*$F503+'Business Case'!$B$8*('Business Case'!G11*$C503*'Business Case'!G12*$B503)</f>
        <v>963102193.563063</v>
      </c>
      <c r="N503" s="39" t="n">
        <f aca="false">IF(COUNT('Business Case'!B11:G11)=0,"",H503+NPV(G503,I503:M503))</f>
        <v>-260742535.120289</v>
      </c>
      <c r="P503" s="40" t="n">
        <f aca="true">RAND()</f>
        <v>0.535758335510434</v>
      </c>
      <c r="Q503" s="40" t="n">
        <f aca="true">RAND()</f>
        <v>0.631263055733498</v>
      </c>
      <c r="R503" s="40" t="n">
        <f aca="true">RAND()</f>
        <v>0.553861044427135</v>
      </c>
      <c r="S503" s="40" t="n">
        <f aca="true">RAND()</f>
        <v>0.916985390220852</v>
      </c>
      <c r="T503" s="40" t="n">
        <f aca="true">RAND()</f>
        <v>0.251931236523654</v>
      </c>
      <c r="U503" s="40" t="n">
        <f aca="true">RAND()</f>
        <v>0.943700406622151</v>
      </c>
    </row>
    <row r="504" customFormat="false" ht="15" hidden="false" customHeight="false" outlineLevel="0" collapsed="false">
      <c r="A504" s="36" t="n">
        <v>424</v>
      </c>
      <c r="B504" s="37" t="n">
        <f aca="false">1+IF($G$6=$E$6,$F$6,IF(P504&lt;($F$6-$E$6)/($G$6-$E$6),$E$6+SQRT(P504*($G$6-$E$6)*($F$6-$E$6)),$G$6-SQRT((1-P504)*($G$6-$E$6)*($G$6-$F$6))))</f>
        <v>0.952654468531152</v>
      </c>
      <c r="C504" s="37" t="n">
        <f aca="false">1+IF($G$7=$E$7,$F$7,IF(Q504&lt;($F$7-$E$7)/($G$7-$E$7),$E$7+SQRT(Q504*($G$7-$E$7)*($F$7-$E$7)),$G$7-SQRT((1-Q504)*($G$7-$E$7)*($G$7-$F$7))))</f>
        <v>1.01177911361241</v>
      </c>
      <c r="D504" s="37" t="n">
        <f aca="false">1+IF($G$8=$E$8,$F$8,IF(R504&lt;($F$8-$E$8)/($G$8-$E$8),$E$8+SQRT(R504*($G$8-$E$8)*($F$8-$E$8)),$G$8-SQRT((1-R504)*($G$8-$E$8)*($G$8-$F$8))))</f>
        <v>0.999664531599083</v>
      </c>
      <c r="E504" s="37" t="n">
        <f aca="false">1+IF($G$9=$E$9,$F$9,IF(S504&lt;($F$9-$E$9)/($G$9-$E$9),$E$9+SQRT(S504*($G$9-$E$9)*($F$9-$E$9)),$G$9-SQRT((1-S504)*($G$9-$E$9)*($G$9-$F$9))))</f>
        <v>1.03300470637617</v>
      </c>
      <c r="F504" s="37" t="n">
        <f aca="false">1+IF($G$10=$E$10,$F$10,IF(T504&lt;($F$10-$E$10)/($G$10-$E$10),$E$10+SQRT(T504*($G$10-$E$10)*($F$10-$E$10)),$G$10-SQRT((1-T504)*($G$10-$E$10)*($G$10-$F$10))))</f>
        <v>1.15758339596905</v>
      </c>
      <c r="G504" s="38" t="n">
        <f aca="false">IF($G$11=$E$11,$F$11,IF(U504&lt;($F$11-$E$11)/($G$11-$E$11),$E$11+SQRT(U504*($G$11-$E$11)*($F$11-$E$11)),$G$11-SQRT((1-U504)*($G$11-$E$11)*($G$11-$F$11))))</f>
        <v>0.114618099362563</v>
      </c>
      <c r="H504" s="39" t="n">
        <f aca="false">(('Business Case'!B11*$C504*'Business Case'!B12*$B504)-'Business Case'!B11*$C504*'Business Case'!B13*$D504-'Business Case'!B14*$E504)-MAX(0,(('Business Case'!B11*$C504*'Business Case'!B12*$B504)-'Business Case'!B11*$C504*'Business Case'!B13*$D504-'Business Case'!B14*$E504))*'Business Case'!$B$7-'Business Case'!$B$8*('Business Case'!B11*$C504*'Business Case'!B12*$B504)-'Business Case'!B15*$F504</f>
        <v>-2315166791.93809</v>
      </c>
      <c r="I504" s="39" t="n">
        <f aca="false">(('Business Case'!C11*$C504*'Business Case'!C12*$B504)-'Business Case'!C11*$C504*'Business Case'!C13*$D504-'Business Case'!C14*$E504)-MAX(0,(('Business Case'!C11*$C504*'Business Case'!C12*$B504)-'Business Case'!C11*$C504*'Business Case'!C13*$D504-'Business Case'!C14*$E504))*'Business Case'!$B$7-'Business Case'!$B$8*(('Business Case'!C11*$C504*'Business Case'!C12*$B504)-('Business Case'!B11*$C504*'Business Case'!B12*$B504))-'Business Case'!C15*$F504</f>
        <v>-40911387.1248334</v>
      </c>
      <c r="J504" s="39" t="n">
        <f aca="false">(('Business Case'!D11*$C504*'Business Case'!D12*$B504)-'Business Case'!D11*$C504*'Business Case'!D13*$D504-'Business Case'!D14*$E504)-MAX(0,(('Business Case'!D11*$C504*'Business Case'!D12*$B504)-'Business Case'!D11*$C504*'Business Case'!D13*$D504-'Business Case'!D14*$E504))*'Business Case'!$B$7-'Business Case'!$B$8*(('Business Case'!D11*$C504*'Business Case'!D12*$B504)-('Business Case'!C11*$C504*'Business Case'!C12*$B504))-'Business Case'!D15*$F504</f>
        <v>230796160.925895</v>
      </c>
      <c r="K504" s="39" t="n">
        <f aca="false">(('Business Case'!E11*$C504*'Business Case'!E12*$B504)-'Business Case'!E11*$C504*'Business Case'!E13*$D504-'Business Case'!E14*$E504)-MAX(0,(('Business Case'!E11*$C504*'Business Case'!E12*$B504)-'Business Case'!E11*$C504*'Business Case'!E13*$D504-'Business Case'!E14*$E504))*'Business Case'!$B$7-'Business Case'!$B$8*(('Business Case'!E11*$C504*'Business Case'!E12*$B504)-('Business Case'!D11*$C504*'Business Case'!D12*$B504))-'Business Case'!E15*$F504</f>
        <v>560382878.775076</v>
      </c>
      <c r="L504" s="39" t="n">
        <f aca="false">(('Business Case'!F11*$C504*'Business Case'!F12*$B504)-'Business Case'!F11*$C504*'Business Case'!F13*$D504-'Business Case'!F14*$E504)-MAX(0,(('Business Case'!F11*$C504*'Business Case'!F12*$B504)-'Business Case'!F11*$C504*'Business Case'!F13*$D504-'Business Case'!F14*$E504))*'Business Case'!$B$7-'Business Case'!$B$8*(('Business Case'!F11*$C504*'Business Case'!F12*$B504)-('Business Case'!E11*$C504*'Business Case'!E12*$B504))-'Business Case'!F15*$F504</f>
        <v>684263612.346629</v>
      </c>
      <c r="M504" s="39" t="n">
        <f aca="false">(('Business Case'!G11*$C504*'Business Case'!G12*$B504)-'Business Case'!G11*$C504*'Business Case'!G13*$D504-'Business Case'!G14*$E504)-MAX(0,(('Business Case'!G11*$C504*'Business Case'!G12*$B504)-'Business Case'!G11*$C504*'Business Case'!G13*$D504-'Business Case'!G14*$E504))*'Business Case'!$B$7-'Business Case'!$B$8*(('Business Case'!G11*$C504*'Business Case'!G12*$B504)-('Business Case'!F11*$C504*'Business Case'!F12*$B504))-'Business Case'!G15*$F504+'Business Case'!$B$8*('Business Case'!G11*$C504*'Business Case'!G12*$B504)</f>
        <v>867477142.230506</v>
      </c>
      <c r="N504" s="39" t="n">
        <f aca="false">IF(COUNT('Business Case'!B11:G11)=0,"",H504+NPV(G504,I504:M504))</f>
        <v>-813875123.638601</v>
      </c>
      <c r="P504" s="40" t="n">
        <f aca="true">RAND()</f>
        <v>0.111074407817919</v>
      </c>
      <c r="Q504" s="40" t="n">
        <f aca="true">RAND()</f>
        <v>0.63609498221389</v>
      </c>
      <c r="R504" s="40" t="n">
        <f aca="true">RAND()</f>
        <v>0.379471645993279</v>
      </c>
      <c r="S504" s="40" t="n">
        <f aca="true">RAND()</f>
        <v>0.700775375483748</v>
      </c>
      <c r="T504" s="40" t="n">
        <f aca="true">RAND()</f>
        <v>0.964016634049625</v>
      </c>
      <c r="U504" s="40" t="n">
        <f aca="true">RAND()</f>
        <v>0.951725242547933</v>
      </c>
    </row>
    <row r="505" customFormat="false" ht="15" hidden="false" customHeight="false" outlineLevel="0" collapsed="false">
      <c r="A505" s="36" t="n">
        <v>425</v>
      </c>
      <c r="B505" s="37" t="n">
        <f aca="false">1+IF($G$6=$E$6,$F$6,IF(P505&lt;($F$6-$E$6)/($G$6-$E$6),$E$6+SQRT(P505*($G$6-$E$6)*($F$6-$E$6)),$G$6-SQRT((1-P505)*($G$6-$E$6)*($G$6-$F$6))))</f>
        <v>1.00287784418555</v>
      </c>
      <c r="C505" s="37" t="n">
        <f aca="false">1+IF($G$7=$E$7,$F$7,IF(Q505&lt;($F$7-$E$7)/($G$7-$E$7),$E$7+SQRT(Q505*($G$7-$E$7)*($F$7-$E$7)),$G$7-SQRT((1-Q505)*($G$7-$E$7)*($G$7-$F$7))))</f>
        <v>0.854400493274233</v>
      </c>
      <c r="D505" s="37" t="n">
        <f aca="false">1+IF($G$8=$E$8,$F$8,IF(R505&lt;($F$8-$E$8)/($G$8-$E$8),$E$8+SQRT(R505*($G$8-$E$8)*($F$8-$E$8)),$G$8-SQRT((1-R505)*($G$8-$E$8)*($G$8-$F$8))))</f>
        <v>1.02523571340321</v>
      </c>
      <c r="E505" s="37" t="n">
        <f aca="false">1+IF($G$9=$E$9,$F$9,IF(S505&lt;($F$9-$E$9)/($G$9-$E$9),$E$9+SQRT(S505*($G$9-$E$9)*($F$9-$E$9)),$G$9-SQRT((1-S505)*($G$9-$E$9)*($G$9-$F$9))))</f>
        <v>1.06904035330623</v>
      </c>
      <c r="F505" s="37" t="n">
        <f aca="false">1+IF($G$10=$E$10,$F$10,IF(T505&lt;($F$10-$E$10)/($G$10-$E$10),$E$10+SQRT(T505*($G$10-$E$10)*($F$10-$E$10)),$G$10-SQRT((1-T505)*($G$10-$E$10)*($G$10-$F$10))))</f>
        <v>1.02470257432136</v>
      </c>
      <c r="G505" s="38" t="n">
        <f aca="false">IF($G$11=$E$11,$F$11,IF(U505&lt;($F$11-$E$11)/($G$11-$E$11),$E$11+SQRT(U505*($G$11-$E$11)*($F$11-$E$11)),$G$11-SQRT((1-U505)*($G$11-$E$11)*($G$11-$F$11))))</f>
        <v>0.116597422669313</v>
      </c>
      <c r="H505" s="39" t="n">
        <f aca="false">(('Business Case'!B11*$C505*'Business Case'!B12*$B505)-'Business Case'!B11*$C505*'Business Case'!B13*$D505-'Business Case'!B14*$E505)-MAX(0,(('Business Case'!B11*$C505*'Business Case'!B12*$B505)-'Business Case'!B11*$C505*'Business Case'!B13*$D505-'Business Case'!B14*$E505))*'Business Case'!$B$7-'Business Case'!$B$8*('Business Case'!B11*$C505*'Business Case'!B12*$B505)-'Business Case'!B15*$F505</f>
        <v>-2049405148.64271</v>
      </c>
      <c r="I505" s="39" t="n">
        <f aca="false">(('Business Case'!C11*$C505*'Business Case'!C12*$B505)-'Business Case'!C11*$C505*'Business Case'!C13*$D505-'Business Case'!C14*$E505)-MAX(0,(('Business Case'!C11*$C505*'Business Case'!C12*$B505)-'Business Case'!C11*$C505*'Business Case'!C13*$D505-'Business Case'!C14*$E505))*'Business Case'!$B$7-'Business Case'!$B$8*(('Business Case'!C11*$C505*'Business Case'!C12*$B505)-('Business Case'!B11*$C505*'Business Case'!B12*$B505))-'Business Case'!C15*$F505</f>
        <v>-45500317.6795995</v>
      </c>
      <c r="J505" s="39" t="n">
        <f aca="false">(('Business Case'!D11*$C505*'Business Case'!D12*$B505)-'Business Case'!D11*$C505*'Business Case'!D13*$D505-'Business Case'!D14*$E505)-MAX(0,(('Business Case'!D11*$C505*'Business Case'!D12*$B505)-'Business Case'!D11*$C505*'Business Case'!D13*$D505-'Business Case'!D14*$E505))*'Business Case'!$B$7-'Business Case'!$B$8*(('Business Case'!D11*$C505*'Business Case'!D12*$B505)-('Business Case'!C11*$C505*'Business Case'!C12*$B505))-'Business Case'!D15*$F505</f>
        <v>207906747.708949</v>
      </c>
      <c r="K505" s="39" t="n">
        <f aca="false">(('Business Case'!E11*$C505*'Business Case'!E12*$B505)-'Business Case'!E11*$C505*'Business Case'!E13*$D505-'Business Case'!E14*$E505)-MAX(0,(('Business Case'!E11*$C505*'Business Case'!E12*$B505)-'Business Case'!E11*$C505*'Business Case'!E13*$D505-'Business Case'!E14*$E505))*'Business Case'!$B$7-'Business Case'!$B$8*(('Business Case'!E11*$C505*'Business Case'!E12*$B505)-('Business Case'!D11*$C505*'Business Case'!D12*$B505))-'Business Case'!E15*$F505</f>
        <v>512548941.813565</v>
      </c>
      <c r="L505" s="39" t="n">
        <f aca="false">(('Business Case'!F11*$C505*'Business Case'!F12*$B505)-'Business Case'!F11*$C505*'Business Case'!F13*$D505-'Business Case'!F14*$E505)-MAX(0,(('Business Case'!F11*$C505*'Business Case'!F12*$B505)-'Business Case'!F11*$C505*'Business Case'!F13*$D505-'Business Case'!F14*$E505))*'Business Case'!$B$7-'Business Case'!$B$8*(('Business Case'!F11*$C505*'Business Case'!F12*$B505)-('Business Case'!E11*$C505*'Business Case'!E12*$B505))-'Business Case'!F15*$F505</f>
        <v>626631021.873659</v>
      </c>
      <c r="M505" s="39" t="n">
        <f aca="false">(('Business Case'!G11*$C505*'Business Case'!G12*$B505)-'Business Case'!G11*$C505*'Business Case'!G13*$D505-'Business Case'!G14*$E505)-MAX(0,(('Business Case'!G11*$C505*'Business Case'!G12*$B505)-'Business Case'!G11*$C505*'Business Case'!G13*$D505-'Business Case'!G14*$E505))*'Business Case'!$B$7-'Business Case'!$B$8*(('Business Case'!G11*$C505*'Business Case'!G12*$B505)-('Business Case'!F11*$C505*'Business Case'!F12*$B505))-'Business Case'!G15*$F505+'Business Case'!$B$8*('Business Case'!G11*$C505*'Business Case'!G12*$B505)</f>
        <v>789502842.325168</v>
      </c>
      <c r="N505" s="39" t="n">
        <f aca="false">IF(COUNT('Business Case'!B11:G11)=0,"",H505+NPV(G505,I505:M505))</f>
        <v>-697268846.014661</v>
      </c>
      <c r="P505" s="40" t="n">
        <f aca="true">RAND()</f>
        <v>0.71290532243501</v>
      </c>
      <c r="Q505" s="40" t="n">
        <f aca="true">RAND()</f>
        <v>0.0422773381211404</v>
      </c>
      <c r="R505" s="40" t="n">
        <f aca="true">RAND()</f>
        <v>0.711622395533086</v>
      </c>
      <c r="S505" s="40" t="n">
        <f aca="true">RAND()</f>
        <v>0.93610001843979</v>
      </c>
      <c r="T505" s="40" t="n">
        <f aca="true">RAND()</f>
        <v>0.385416251008811</v>
      </c>
      <c r="U505" s="40" t="n">
        <f aca="true">RAND()</f>
        <v>0.980704112514486</v>
      </c>
    </row>
    <row r="506" customFormat="false" ht="15" hidden="false" customHeight="false" outlineLevel="0" collapsed="false">
      <c r="A506" s="36" t="n">
        <v>426</v>
      </c>
      <c r="B506" s="37" t="n">
        <f aca="false">1+IF($G$6=$E$6,$F$6,IF(P506&lt;($F$6-$E$6)/($G$6-$E$6),$E$6+SQRT(P506*($G$6-$E$6)*($F$6-$E$6)),$G$6-SQRT((1-P506)*($G$6-$E$6)*($G$6-$F$6))))</f>
        <v>0.963770267728584</v>
      </c>
      <c r="C506" s="37" t="n">
        <f aca="false">1+IF($G$7=$E$7,$F$7,IF(Q506&lt;($F$7-$E$7)/($G$7-$E$7),$E$7+SQRT(Q506*($G$7-$E$7)*($F$7-$E$7)),$G$7-SQRT((1-Q506)*($G$7-$E$7)*($G$7-$F$7))))</f>
        <v>0.981679086491784</v>
      </c>
      <c r="D506" s="37" t="n">
        <f aca="false">1+IF($G$8=$E$8,$F$8,IF(R506&lt;($F$8-$E$8)/($G$8-$E$8),$E$8+SQRT(R506*($G$8-$E$8)*($F$8-$E$8)),$G$8-SQRT((1-R506)*($G$8-$E$8)*($G$8-$F$8))))</f>
        <v>0.996724836914642</v>
      </c>
      <c r="E506" s="37" t="n">
        <f aca="false">1+IF($G$9=$E$9,$F$9,IF(S506&lt;($F$9-$E$9)/($G$9-$E$9),$E$9+SQRT(S506*($G$9-$E$9)*($F$9-$E$9)),$G$9-SQRT((1-S506)*($G$9-$E$9)*($G$9-$F$9))))</f>
        <v>1.00759814012972</v>
      </c>
      <c r="F506" s="37" t="n">
        <f aca="false">1+IF($G$10=$E$10,$F$10,IF(T506&lt;($F$10-$E$10)/($G$10-$E$10),$E$10+SQRT(T506*($G$10-$E$10)*($F$10-$E$10)),$G$10-SQRT((1-T506)*($G$10-$E$10)*($G$10-$F$10))))</f>
        <v>1.17384900482059</v>
      </c>
      <c r="G506" s="38" t="n">
        <f aca="false">IF($G$11=$E$11,$F$11,IF(U506&lt;($F$11-$E$11)/($G$11-$E$11),$E$11+SQRT(U506*($G$11-$E$11)*($F$11-$E$11)),$G$11-SQRT((1-U506)*($G$11-$E$11)*($G$11-$F$11))))</f>
        <v>0.0972254029125679</v>
      </c>
      <c r="H506" s="39" t="n">
        <f aca="false">(('Business Case'!B11*$C506*'Business Case'!B12*$B506)-'Business Case'!B11*$C506*'Business Case'!B13*$D506-'Business Case'!B14*$E506)-MAX(0,(('Business Case'!B11*$C506*'Business Case'!B12*$B506)-'Business Case'!B11*$C506*'Business Case'!B13*$D506-'Business Case'!B14*$E506))*'Business Case'!$B$7-'Business Case'!$B$8*('Business Case'!B11*$C506*'Business Case'!B12*$B506)-'Business Case'!B15*$F506</f>
        <v>-2347698009.64118</v>
      </c>
      <c r="I506" s="39" t="n">
        <f aca="false">(('Business Case'!C11*$C506*'Business Case'!C12*$B506)-'Business Case'!C11*$C506*'Business Case'!C13*$D506-'Business Case'!C14*$E506)-MAX(0,(('Business Case'!C11*$C506*'Business Case'!C12*$B506)-'Business Case'!C11*$C506*'Business Case'!C13*$D506-'Business Case'!C14*$E506))*'Business Case'!$B$7-'Business Case'!$B$8*(('Business Case'!C11*$C506*'Business Case'!C12*$B506)-('Business Case'!B11*$C506*'Business Case'!B12*$B506))-'Business Case'!C15*$F506</f>
        <v>-35672351.4920475</v>
      </c>
      <c r="J506" s="39" t="n">
        <f aca="false">(('Business Case'!D11*$C506*'Business Case'!D12*$B506)-'Business Case'!D11*$C506*'Business Case'!D13*$D506-'Business Case'!D14*$E506)-MAX(0,(('Business Case'!D11*$C506*'Business Case'!D12*$B506)-'Business Case'!D11*$C506*'Business Case'!D13*$D506-'Business Case'!D14*$E506))*'Business Case'!$B$7-'Business Case'!$B$8*(('Business Case'!D11*$C506*'Business Case'!D12*$B506)-('Business Case'!C11*$C506*'Business Case'!C12*$B506))-'Business Case'!D15*$F506</f>
        <v>238367156.958458</v>
      </c>
      <c r="K506" s="39" t="n">
        <f aca="false">(('Business Case'!E11*$C506*'Business Case'!E12*$B506)-'Business Case'!E11*$C506*'Business Case'!E13*$D506-'Business Case'!E14*$E506)-MAX(0,(('Business Case'!E11*$C506*'Business Case'!E12*$B506)-'Business Case'!E11*$C506*'Business Case'!E13*$D506-'Business Case'!E14*$E506))*'Business Case'!$B$7-'Business Case'!$B$8*(('Business Case'!E11*$C506*'Business Case'!E12*$B506)-('Business Case'!D11*$C506*'Business Case'!D12*$B506))-'Business Case'!E15*$F506</f>
        <v>571099115.649993</v>
      </c>
      <c r="L506" s="39" t="n">
        <f aca="false">(('Business Case'!F11*$C506*'Business Case'!F12*$B506)-'Business Case'!F11*$C506*'Business Case'!F13*$D506-'Business Case'!F14*$E506)-MAX(0,(('Business Case'!F11*$C506*'Business Case'!F12*$B506)-'Business Case'!F11*$C506*'Business Case'!F13*$D506-'Business Case'!F14*$E506))*'Business Case'!$B$7-'Business Case'!$B$8*(('Business Case'!F11*$C506*'Business Case'!F12*$B506)-('Business Case'!E11*$C506*'Business Case'!E12*$B506))-'Business Case'!F15*$F506</f>
        <v>695143287.756194</v>
      </c>
      <c r="M506" s="39" t="n">
        <f aca="false">(('Business Case'!G11*$C506*'Business Case'!G12*$B506)-'Business Case'!G11*$C506*'Business Case'!G13*$D506-'Business Case'!G14*$E506)-MAX(0,(('Business Case'!G11*$C506*'Business Case'!G12*$B506)-'Business Case'!G11*$C506*'Business Case'!G13*$D506-'Business Case'!G14*$E506))*'Business Case'!$B$7-'Business Case'!$B$8*(('Business Case'!G11*$C506*'Business Case'!G12*$B506)-('Business Case'!F11*$C506*'Business Case'!F12*$B506))-'Business Case'!G15*$F506+'Business Case'!$B$8*('Business Case'!G11*$C506*'Business Case'!G12*$B506)</f>
        <v>874980468.847705</v>
      </c>
      <c r="N506" s="39" t="n">
        <f aca="false">IF(COUNT('Business Case'!B11:G11)=0,"",H506+NPV(G506,I506:M506))</f>
        <v>-720064615.722625</v>
      </c>
      <c r="P506" s="40" t="n">
        <f aca="true">RAND()</f>
        <v>0.199566285107487</v>
      </c>
      <c r="Q506" s="40" t="n">
        <f aca="true">RAND()</f>
        <v>0.471532720978414</v>
      </c>
      <c r="R506" s="40" t="n">
        <f aca="true">RAND()</f>
        <v>0.335878520723054</v>
      </c>
      <c r="S506" s="40" t="n">
        <f aca="true">RAND()</f>
        <v>0.430793086167528</v>
      </c>
      <c r="T506" s="40" t="n">
        <f aca="true">RAND()</f>
        <v>0.986322509022528</v>
      </c>
      <c r="U506" s="40" t="n">
        <f aca="true">RAND()</f>
        <v>0.174021490829815</v>
      </c>
    </row>
    <row r="507" customFormat="false" ht="15" hidden="false" customHeight="false" outlineLevel="0" collapsed="false">
      <c r="A507" s="36" t="n">
        <v>427</v>
      </c>
      <c r="B507" s="37" t="n">
        <f aca="false">1+IF($G$6=$E$6,$F$6,IF(P507&lt;($F$6-$E$6)/($G$6-$E$6),$E$6+SQRT(P507*($G$6-$E$6)*($F$6-$E$6)),$G$6-SQRT((1-P507)*($G$6-$E$6)*($G$6-$F$6))))</f>
        <v>1.01325986469475</v>
      </c>
      <c r="C507" s="37" t="n">
        <f aca="false">1+IF($G$7=$E$7,$F$7,IF(Q507&lt;($F$7-$E$7)/($G$7-$E$7),$E$7+SQRT(Q507*($G$7-$E$7)*($F$7-$E$7)),$G$7-SQRT((1-Q507)*($G$7-$E$7)*($G$7-$F$7))))</f>
        <v>1.08212157130214</v>
      </c>
      <c r="D507" s="37" t="n">
        <f aca="false">1+IF($G$8=$E$8,$F$8,IF(R507&lt;($F$8-$E$8)/($G$8-$E$8),$E$8+SQRT(R507*($G$8-$E$8)*($F$8-$E$8)),$G$8-SQRT((1-R507)*($G$8-$E$8)*($G$8-$F$8))))</f>
        <v>0.99771704871798</v>
      </c>
      <c r="E507" s="37" t="n">
        <f aca="false">1+IF($G$9=$E$9,$F$9,IF(S507&lt;($F$9-$E$9)/($G$9-$E$9),$E$9+SQRT(S507*($G$9-$E$9)*($F$9-$E$9)),$G$9-SQRT((1-S507)*($G$9-$E$9)*($G$9-$F$9))))</f>
        <v>1.01067896643553</v>
      </c>
      <c r="F507" s="37" t="n">
        <f aca="false">1+IF($G$10=$E$10,$F$10,IF(T507&lt;($F$10-$E$10)/($G$10-$E$10),$E$10+SQRT(T507*($G$10-$E$10)*($F$10-$E$10)),$G$10-SQRT((1-T507)*($G$10-$E$10)*($G$10-$F$10))))</f>
        <v>1.0269455408586</v>
      </c>
      <c r="G507" s="38" t="n">
        <f aca="false">IF($G$11=$E$11,$F$11,IF(U507&lt;($F$11-$E$11)/($G$11-$E$11),$E$11+SQRT(U507*($G$11-$E$11)*($F$11-$E$11)),$G$11-SQRT((1-U507)*($G$11-$E$11)*($G$11-$F$11))))</f>
        <v>0.107976022283036</v>
      </c>
      <c r="H507" s="39" t="n">
        <f aca="false">(('Business Case'!B11*$C507*'Business Case'!B12*$B507)-'Business Case'!B11*$C507*'Business Case'!B13*$D507-'Business Case'!B14*$E507)-MAX(0,(('Business Case'!B11*$C507*'Business Case'!B12*$B507)-'Business Case'!B11*$C507*'Business Case'!B13*$D507-'Business Case'!B14*$E507))*'Business Case'!$B$7-'Business Case'!$B$8*('Business Case'!B11*$C507*'Business Case'!B12*$B507)-'Business Case'!B15*$F507</f>
        <v>-2053891081.71721</v>
      </c>
      <c r="I507" s="39" t="n">
        <f aca="false">(('Business Case'!C11*$C507*'Business Case'!C12*$B507)-'Business Case'!C11*$C507*'Business Case'!C13*$D507-'Business Case'!C14*$E507)-MAX(0,(('Business Case'!C11*$C507*'Business Case'!C12*$B507)-'Business Case'!C11*$C507*'Business Case'!C13*$D507-'Business Case'!C14*$E507))*'Business Case'!$B$7-'Business Case'!$B$8*(('Business Case'!C11*$C507*'Business Case'!C12*$B507)-('Business Case'!B11*$C507*'Business Case'!B12*$B507))-'Business Case'!C15*$F507</f>
        <v>42139029.9368634</v>
      </c>
      <c r="J507" s="39" t="n">
        <f aca="false">(('Business Case'!D11*$C507*'Business Case'!D12*$B507)-'Business Case'!D11*$C507*'Business Case'!D13*$D507-'Business Case'!D14*$E507)-MAX(0,(('Business Case'!D11*$C507*'Business Case'!D12*$B507)-'Business Case'!D11*$C507*'Business Case'!D13*$D507-'Business Case'!D14*$E507))*'Business Case'!$B$7-'Business Case'!$B$8*(('Business Case'!D11*$C507*'Business Case'!D12*$B507)-('Business Case'!C11*$C507*'Business Case'!C12*$B507))-'Business Case'!D15*$F507</f>
        <v>387532186.289497</v>
      </c>
      <c r="K507" s="39" t="n">
        <f aca="false">(('Business Case'!E11*$C507*'Business Case'!E12*$B507)-'Business Case'!E11*$C507*'Business Case'!E13*$D507-'Business Case'!E14*$E507)-MAX(0,(('Business Case'!E11*$C507*'Business Case'!E12*$B507)-'Business Case'!E11*$C507*'Business Case'!E13*$D507-'Business Case'!E14*$E507))*'Business Case'!$B$7-'Business Case'!$B$8*(('Business Case'!E11*$C507*'Business Case'!E12*$B507)-('Business Case'!D11*$C507*'Business Case'!D12*$B507))-'Business Case'!E15*$F507</f>
        <v>784272619.685061</v>
      </c>
      <c r="L507" s="39" t="n">
        <f aca="false">(('Business Case'!F11*$C507*'Business Case'!F12*$B507)-'Business Case'!F11*$C507*'Business Case'!F13*$D507-'Business Case'!F14*$E507)-MAX(0,(('Business Case'!F11*$C507*'Business Case'!F12*$B507)-'Business Case'!F11*$C507*'Business Case'!F13*$D507-'Business Case'!F14*$E507))*'Business Case'!$B$7-'Business Case'!$B$8*(('Business Case'!F11*$C507*'Business Case'!F12*$B507)-('Business Case'!E11*$C507*'Business Case'!E12*$B507))-'Business Case'!F15*$F507</f>
        <v>937297687.337791</v>
      </c>
      <c r="M507" s="39" t="n">
        <f aca="false">(('Business Case'!G11*$C507*'Business Case'!G12*$B507)-'Business Case'!G11*$C507*'Business Case'!G13*$D507-'Business Case'!G14*$E507)-MAX(0,(('Business Case'!G11*$C507*'Business Case'!G12*$B507)-'Business Case'!G11*$C507*'Business Case'!G13*$D507-'Business Case'!G14*$E507))*'Business Case'!$B$7-'Business Case'!$B$8*(('Business Case'!G11*$C507*'Business Case'!G12*$B507)-('Business Case'!F11*$C507*'Business Case'!F12*$B507))-'Business Case'!G15*$F507+'Business Case'!$B$8*('Business Case'!G11*$C507*'Business Case'!G12*$B507)</f>
        <v>1145714772.78131</v>
      </c>
      <c r="N507" s="39" t="n">
        <f aca="false">IF(COUNT('Business Case'!B11:G11)=0,"",H507+NPV(G507,I507:M507))</f>
        <v>184532912.009847</v>
      </c>
      <c r="P507" s="40" t="n">
        <f aca="true">RAND()</f>
        <v>0.851034409136865</v>
      </c>
      <c r="Q507" s="40" t="n">
        <f aca="true">RAND()</f>
        <v>0.912238455571607</v>
      </c>
      <c r="R507" s="40" t="n">
        <f aca="true">RAND()</f>
        <v>0.350294882823703</v>
      </c>
      <c r="S507" s="40" t="n">
        <f aca="true">RAND()</f>
        <v>0.468116864198261</v>
      </c>
      <c r="T507" s="40" t="n">
        <f aca="true">RAND()</f>
        <v>0.401043083425573</v>
      </c>
      <c r="U507" s="40" t="n">
        <f aca="true">RAND()</f>
        <v>0.75903993310325</v>
      </c>
    </row>
    <row r="508" customFormat="false" ht="15" hidden="false" customHeight="false" outlineLevel="0" collapsed="false">
      <c r="A508" s="36" t="n">
        <v>428</v>
      </c>
      <c r="B508" s="37" t="n">
        <f aca="false">1+IF($G$6=$E$6,$F$6,IF(P508&lt;($F$6-$E$6)/($G$6-$E$6),$E$6+SQRT(P508*($G$6-$E$6)*($F$6-$E$6)),$G$6-SQRT((1-P508)*($G$6-$E$6)*($G$6-$F$6))))</f>
        <v>0.981753041618925</v>
      </c>
      <c r="C508" s="37" t="n">
        <f aca="false">1+IF($G$7=$E$7,$F$7,IF(Q508&lt;($F$7-$E$7)/($G$7-$E$7),$E$7+SQRT(Q508*($G$7-$E$7)*($F$7-$E$7)),$G$7-SQRT((1-Q508)*($G$7-$E$7)*($G$7-$F$7))))</f>
        <v>1.10243460624091</v>
      </c>
      <c r="D508" s="37" t="n">
        <f aca="false">1+IF($G$8=$E$8,$F$8,IF(R508&lt;($F$8-$E$8)/($G$8-$E$8),$E$8+SQRT(R508*($G$8-$E$8)*($F$8-$E$8)),$G$8-SQRT((1-R508)*($G$8-$E$8)*($G$8-$F$8))))</f>
        <v>0.99473687129383</v>
      </c>
      <c r="E508" s="37" t="n">
        <f aca="false">1+IF($G$9=$E$9,$F$9,IF(S508&lt;($F$9-$E$9)/($G$9-$E$9),$E$9+SQRT(S508*($G$9-$E$9)*($F$9-$E$9)),$G$9-SQRT((1-S508)*($G$9-$E$9)*($G$9-$F$9))))</f>
        <v>1.06062146538385</v>
      </c>
      <c r="F508" s="37" t="n">
        <f aca="false">1+IF($G$10=$E$10,$F$10,IF(T508&lt;($F$10-$E$10)/($G$10-$E$10),$E$10+SQRT(T508*($G$10-$E$10)*($F$10-$E$10)),$G$10-SQRT((1-T508)*($G$10-$E$10)*($G$10-$F$10))))</f>
        <v>0.994230930626427</v>
      </c>
      <c r="G508" s="38" t="n">
        <f aca="false">IF($G$11=$E$11,$F$11,IF(U508&lt;($F$11-$E$11)/($G$11-$E$11),$E$11+SQRT(U508*($G$11-$E$11)*($F$11-$E$11)),$G$11-SQRT((1-U508)*($G$11-$E$11)*($G$11-$F$11))))</f>
        <v>0.113054196496188</v>
      </c>
      <c r="H508" s="39" t="n">
        <f aca="false">(('Business Case'!B11*$C508*'Business Case'!B12*$B508)-'Business Case'!B11*$C508*'Business Case'!B13*$D508-'Business Case'!B14*$E508)-MAX(0,(('Business Case'!B11*$C508*'Business Case'!B12*$B508)-'Business Case'!B11*$C508*'Business Case'!B13*$D508-'Business Case'!B14*$E508))*'Business Case'!$B$7-'Business Case'!$B$8*('Business Case'!B11*$C508*'Business Case'!B12*$B508)-'Business Case'!B15*$F508</f>
        <v>-1988461861.25285</v>
      </c>
      <c r="I508" s="39" t="n">
        <f aca="false">(('Business Case'!C11*$C508*'Business Case'!C12*$B508)-'Business Case'!C11*$C508*'Business Case'!C13*$D508-'Business Case'!C14*$E508)-MAX(0,(('Business Case'!C11*$C508*'Business Case'!C12*$B508)-'Business Case'!C11*$C508*'Business Case'!C13*$D508-'Business Case'!C14*$E508))*'Business Case'!$B$7-'Business Case'!$B$8*(('Business Case'!C11*$C508*'Business Case'!C12*$B508)-('Business Case'!B11*$C508*'Business Case'!B12*$B508))-'Business Case'!C15*$F508</f>
        <v>18757910.1959413</v>
      </c>
      <c r="J508" s="39" t="n">
        <f aca="false">(('Business Case'!D11*$C508*'Business Case'!D12*$B508)-'Business Case'!D11*$C508*'Business Case'!D13*$D508-'Business Case'!D14*$E508)-MAX(0,(('Business Case'!D11*$C508*'Business Case'!D12*$B508)-'Business Case'!D11*$C508*'Business Case'!D13*$D508-'Business Case'!D14*$E508))*'Business Case'!$B$7-'Business Case'!$B$8*(('Business Case'!D11*$C508*'Business Case'!D12*$B508)-('Business Case'!C11*$C508*'Business Case'!C12*$B508))-'Business Case'!D15*$F508</f>
        <v>343866678.316525</v>
      </c>
      <c r="K508" s="39" t="n">
        <f aca="false">(('Business Case'!E11*$C508*'Business Case'!E12*$B508)-'Business Case'!E11*$C508*'Business Case'!E13*$D508-'Business Case'!E14*$E508)-MAX(0,(('Business Case'!E11*$C508*'Business Case'!E12*$B508)-'Business Case'!E11*$C508*'Business Case'!E13*$D508-'Business Case'!E14*$E508))*'Business Case'!$B$7-'Business Case'!$B$8*(('Business Case'!E11*$C508*'Business Case'!E12*$B508)-('Business Case'!D11*$C508*'Business Case'!D12*$B508))-'Business Case'!E15*$F508</f>
        <v>718686992.968431</v>
      </c>
      <c r="L508" s="39" t="n">
        <f aca="false">(('Business Case'!F11*$C508*'Business Case'!F12*$B508)-'Business Case'!F11*$C508*'Business Case'!F13*$D508-'Business Case'!F14*$E508)-MAX(0,(('Business Case'!F11*$C508*'Business Case'!F12*$B508)-'Business Case'!F11*$C508*'Business Case'!F13*$D508-'Business Case'!F14*$E508))*'Business Case'!$B$7-'Business Case'!$B$8*(('Business Case'!F11*$C508*'Business Case'!F12*$B508)-('Business Case'!E11*$C508*'Business Case'!E12*$B508))-'Business Case'!F15*$F508</f>
        <v>864461510.664903</v>
      </c>
      <c r="M508" s="39" t="n">
        <f aca="false">(('Business Case'!G11*$C508*'Business Case'!G12*$B508)-'Business Case'!G11*$C508*'Business Case'!G13*$D508-'Business Case'!G14*$E508)-MAX(0,(('Business Case'!G11*$C508*'Business Case'!G12*$B508)-'Business Case'!G11*$C508*'Business Case'!G13*$D508-'Business Case'!G14*$E508))*'Business Case'!$B$7-'Business Case'!$B$8*(('Business Case'!G11*$C508*'Business Case'!G12*$B508)-('Business Case'!F11*$C508*'Business Case'!F12*$B508))-'Business Case'!G15*$F508+'Business Case'!$B$8*('Business Case'!G11*$C508*'Business Case'!G12*$B508)</f>
        <v>1070188616.4411</v>
      </c>
      <c r="N508" s="39" t="n">
        <f aca="false">IF(COUNT('Business Case'!B11:G11)=0,"",H508+NPV(G508,I508:M508))</f>
        <v>16796915.4314828</v>
      </c>
      <c r="P508" s="40" t="n">
        <f aca="true">RAND()</f>
        <v>0.397233140540492</v>
      </c>
      <c r="Q508" s="40" t="n">
        <f aca="true">RAND()</f>
        <v>0.956905396505584</v>
      </c>
      <c r="R508" s="40" t="n">
        <f aca="true">RAND()</f>
        <v>0.307905792793961</v>
      </c>
      <c r="S508" s="40" t="n">
        <f aca="true">RAND()</f>
        <v>0.896622067432296</v>
      </c>
      <c r="T508" s="40" t="n">
        <f aca="true">RAND()</f>
        <v>0.156510017926384</v>
      </c>
      <c r="U508" s="40" t="n">
        <f aca="true">RAND()</f>
        <v>0.919593022810731</v>
      </c>
    </row>
    <row r="509" customFormat="false" ht="15" hidden="false" customHeight="false" outlineLevel="0" collapsed="false">
      <c r="A509" s="36" t="n">
        <v>429</v>
      </c>
      <c r="B509" s="37" t="n">
        <f aca="false">1+IF($G$6=$E$6,$F$6,IF(P509&lt;($F$6-$E$6)/($G$6-$E$6),$E$6+SQRT(P509*($G$6-$E$6)*($F$6-$E$6)),$G$6-SQRT((1-P509)*($G$6-$E$6)*($G$6-$F$6))))</f>
        <v>1.00764692139752</v>
      </c>
      <c r="C509" s="37" t="n">
        <f aca="false">1+IF($G$7=$E$7,$F$7,IF(Q509&lt;($F$7-$E$7)/($G$7-$E$7),$E$7+SQRT(Q509*($G$7-$E$7)*($F$7-$E$7)),$G$7-SQRT((1-Q509)*($G$7-$E$7)*($G$7-$F$7))))</f>
        <v>0.955995170199793</v>
      </c>
      <c r="D509" s="37" t="n">
        <f aca="false">1+IF($G$8=$E$8,$F$8,IF(R509&lt;($F$8-$E$8)/($G$8-$E$8),$E$8+SQRT(R509*($G$8-$E$8)*($F$8-$E$8)),$G$8-SQRT((1-R509)*($G$8-$E$8)*($G$8-$F$8))))</f>
        <v>0.981926116161869</v>
      </c>
      <c r="E509" s="37" t="n">
        <f aca="false">1+IF($G$9=$E$9,$F$9,IF(S509&lt;($F$9-$E$9)/($G$9-$E$9),$E$9+SQRT(S509*($G$9-$E$9)*($F$9-$E$9)),$G$9-SQRT((1-S509)*($G$9-$E$9)*($G$9-$F$9))))</f>
        <v>1.00892243303811</v>
      </c>
      <c r="F509" s="37" t="n">
        <f aca="false">1+IF($G$10=$E$10,$F$10,IF(T509&lt;($F$10-$E$10)/($G$10-$E$10),$E$10+SQRT(T509*($G$10-$E$10)*($F$10-$E$10)),$G$10-SQRT((1-T509)*($G$10-$E$10)*($G$10-$F$10))))</f>
        <v>1.13309554382161</v>
      </c>
      <c r="G509" s="38" t="n">
        <f aca="false">IF($G$11=$E$11,$F$11,IF(U509&lt;($F$11-$E$11)/($G$11-$E$11),$E$11+SQRT(U509*($G$11-$E$11)*($F$11-$E$11)),$G$11-SQRT((1-U509)*($G$11-$E$11)*($G$11-$F$11))))</f>
        <v>0.105776233446259</v>
      </c>
      <c r="H509" s="39" t="n">
        <f aca="false">(('Business Case'!B11*$C509*'Business Case'!B12*$B509)-'Business Case'!B11*$C509*'Business Case'!B13*$D509-'Business Case'!B14*$E509)-MAX(0,(('Business Case'!B11*$C509*'Business Case'!B12*$B509)-'Business Case'!B11*$C509*'Business Case'!B13*$D509-'Business Case'!B14*$E509))*'Business Case'!$B$7-'Business Case'!$B$8*('Business Case'!B11*$C509*'Business Case'!B12*$B509)-'Business Case'!B15*$F509</f>
        <v>-2266191087.64322</v>
      </c>
      <c r="I509" s="39" t="n">
        <f aca="false">(('Business Case'!C11*$C509*'Business Case'!C12*$B509)-'Business Case'!C11*$C509*'Business Case'!C13*$D509-'Business Case'!C14*$E509)-MAX(0,(('Business Case'!C11*$C509*'Business Case'!C12*$B509)-'Business Case'!C11*$C509*'Business Case'!C13*$D509-'Business Case'!C14*$E509))*'Business Case'!$B$7-'Business Case'!$B$8*(('Business Case'!C11*$C509*'Business Case'!C12*$B509)-('Business Case'!B11*$C509*'Business Case'!B12*$B509))-'Business Case'!C15*$F509</f>
        <v>1752735.72439672</v>
      </c>
      <c r="J509" s="39" t="n">
        <f aca="false">(('Business Case'!D11*$C509*'Business Case'!D12*$B509)-'Business Case'!D11*$C509*'Business Case'!D13*$D509-'Business Case'!D14*$E509)-MAX(0,(('Business Case'!D11*$C509*'Business Case'!D12*$B509)-'Business Case'!D11*$C509*'Business Case'!D13*$D509-'Business Case'!D14*$E509))*'Business Case'!$B$7-'Business Case'!$B$8*(('Business Case'!D11*$C509*'Business Case'!D12*$B509)-('Business Case'!C11*$C509*'Business Case'!C12*$B509))-'Business Case'!D15*$F509</f>
        <v>310221557.600936</v>
      </c>
      <c r="K509" s="39" t="n">
        <f aca="false">(('Business Case'!E11*$C509*'Business Case'!E12*$B509)-'Business Case'!E11*$C509*'Business Case'!E13*$D509-'Business Case'!E14*$E509)-MAX(0,(('Business Case'!E11*$C509*'Business Case'!E12*$B509)-'Business Case'!E11*$C509*'Business Case'!E13*$D509-'Business Case'!E14*$E509))*'Business Case'!$B$7-'Business Case'!$B$8*(('Business Case'!E11*$C509*'Business Case'!E12*$B509)-('Business Case'!D11*$C509*'Business Case'!D12*$B509))-'Business Case'!E15*$F509</f>
        <v>675345156.668557</v>
      </c>
      <c r="L509" s="39" t="n">
        <f aca="false">(('Business Case'!F11*$C509*'Business Case'!F12*$B509)-'Business Case'!F11*$C509*'Business Case'!F13*$D509-'Business Case'!F14*$E509)-MAX(0,(('Business Case'!F11*$C509*'Business Case'!F12*$B509)-'Business Case'!F11*$C509*'Business Case'!F13*$D509-'Business Case'!F14*$E509))*'Business Case'!$B$7-'Business Case'!$B$8*(('Business Case'!F11*$C509*'Business Case'!F12*$B509)-('Business Case'!E11*$C509*'Business Case'!E12*$B509))-'Business Case'!F15*$F509</f>
        <v>811459938.488711</v>
      </c>
      <c r="M509" s="39" t="n">
        <f aca="false">(('Business Case'!G11*$C509*'Business Case'!G12*$B509)-'Business Case'!G11*$C509*'Business Case'!G13*$D509-'Business Case'!G14*$E509)-MAX(0,(('Business Case'!G11*$C509*'Business Case'!G12*$B509)-'Business Case'!G11*$C509*'Business Case'!G13*$D509-'Business Case'!G14*$E509))*'Business Case'!$B$7-'Business Case'!$B$8*(('Business Case'!G11*$C509*'Business Case'!G12*$B509)-('Business Case'!F11*$C509*'Business Case'!F12*$B509))-'Business Case'!G15*$F509+'Business Case'!$B$8*('Business Case'!G11*$C509*'Business Case'!G12*$B509)</f>
        <v>994565065.059237</v>
      </c>
      <c r="N509" s="39" t="n">
        <f aca="false">IF(COUNT('Business Case'!B11:G11)=0,"",H509+NPV(G509,I509:M509))</f>
        <v>-367076527.510633</v>
      </c>
      <c r="P509" s="40" t="n">
        <f aca="true">RAND()</f>
        <v>0.781932980196182</v>
      </c>
      <c r="Q509" s="40" t="n">
        <f aca="true">RAND()</f>
        <v>0.347635616080893</v>
      </c>
      <c r="R509" s="40" t="n">
        <f aca="true">RAND()</f>
        <v>0.156811829720179</v>
      </c>
      <c r="S509" s="40" t="n">
        <f aca="true">RAND()</f>
        <v>0.446991786420215</v>
      </c>
      <c r="T509" s="40" t="n">
        <f aca="true">RAND()</f>
        <v>0.910475874869483</v>
      </c>
      <c r="U509" s="40" t="n">
        <f aca="true">RAND()</f>
        <v>0.662807441707804</v>
      </c>
    </row>
    <row r="510" customFormat="false" ht="15" hidden="false" customHeight="false" outlineLevel="0" collapsed="false">
      <c r="A510" s="36" t="n">
        <v>430</v>
      </c>
      <c r="B510" s="37" t="n">
        <f aca="false">1+IF($G$6=$E$6,$F$6,IF(P510&lt;($F$6-$E$6)/($G$6-$E$6),$E$6+SQRT(P510*($G$6-$E$6)*($F$6-$E$6)),$G$6-SQRT((1-P510)*($G$6-$E$6)*($G$6-$F$6))))</f>
        <v>0.993168077174394</v>
      </c>
      <c r="C510" s="37" t="n">
        <f aca="false">1+IF($G$7=$E$7,$F$7,IF(Q510&lt;($F$7-$E$7)/($G$7-$E$7),$E$7+SQRT(Q510*($G$7-$E$7)*($F$7-$E$7)),$G$7-SQRT((1-Q510)*($G$7-$E$7)*($G$7-$F$7))))</f>
        <v>1.1216192398721</v>
      </c>
      <c r="D510" s="37" t="n">
        <f aca="false">1+IF($G$8=$E$8,$F$8,IF(R510&lt;($F$8-$E$8)/($G$8-$E$8),$E$8+SQRT(R510*($G$8-$E$8)*($F$8-$E$8)),$G$8-SQRT((1-R510)*($G$8-$E$8)*($G$8-$F$8))))</f>
        <v>1.00937746628111</v>
      </c>
      <c r="E510" s="37" t="n">
        <f aca="false">1+IF($G$9=$E$9,$F$9,IF(S510&lt;($F$9-$E$9)/($G$9-$E$9),$E$9+SQRT(S510*($G$9-$E$9)*($F$9-$E$9)),$G$9-SQRT((1-S510)*($G$9-$E$9)*($G$9-$F$9))))</f>
        <v>1.02126944311243</v>
      </c>
      <c r="F510" s="37" t="n">
        <f aca="false">1+IF($G$10=$E$10,$F$10,IF(T510&lt;($F$10-$E$10)/($G$10-$E$10),$E$10+SQRT(T510*($G$10-$E$10)*($F$10-$E$10)),$G$10-SQRT((1-T510)*($G$10-$E$10)*($G$10-$F$10))))</f>
        <v>1.02557367869273</v>
      </c>
      <c r="G510" s="38" t="n">
        <f aca="false">IF($G$11=$E$11,$F$11,IF(U510&lt;($F$11-$E$11)/($G$11-$E$11),$E$11+SQRT(U510*($G$11-$E$11)*($F$11-$E$11)),$G$11-SQRT((1-U510)*($G$11-$E$11)*($G$11-$F$11))))</f>
        <v>0.105341260624562</v>
      </c>
      <c r="H510" s="39" t="n">
        <f aca="false">(('Business Case'!B11*$C510*'Business Case'!B12*$B510)-'Business Case'!B11*$C510*'Business Case'!B13*$D510-'Business Case'!B14*$E510)-MAX(0,(('Business Case'!B11*$C510*'Business Case'!B12*$B510)-'Business Case'!B11*$C510*'Business Case'!B13*$D510-'Business Case'!B14*$E510))*'Business Case'!$B$7-'Business Case'!$B$8*('Business Case'!B11*$C510*'Business Case'!B12*$B510)-'Business Case'!B15*$F510</f>
        <v>-2051147357.38546</v>
      </c>
      <c r="I510" s="39" t="n">
        <f aca="false">(('Business Case'!C11*$C510*'Business Case'!C12*$B510)-'Business Case'!C11*$C510*'Business Case'!C13*$D510-'Business Case'!C14*$E510)-MAX(0,(('Business Case'!C11*$C510*'Business Case'!C12*$B510)-'Business Case'!C11*$C510*'Business Case'!C13*$D510-'Business Case'!C14*$E510))*'Business Case'!$B$7-'Business Case'!$B$8*(('Business Case'!C11*$C510*'Business Case'!C12*$B510)-('Business Case'!B11*$C510*'Business Case'!B12*$B510))-'Business Case'!C15*$F510</f>
        <v>27317463.7541016</v>
      </c>
      <c r="J510" s="39" t="n">
        <f aca="false">(('Business Case'!D11*$C510*'Business Case'!D12*$B510)-'Business Case'!D11*$C510*'Business Case'!D13*$D510-'Business Case'!D14*$E510)-MAX(0,(('Business Case'!D11*$C510*'Business Case'!D12*$B510)-'Business Case'!D11*$C510*'Business Case'!D13*$D510-'Business Case'!D14*$E510))*'Business Case'!$B$7-'Business Case'!$B$8*(('Business Case'!D11*$C510*'Business Case'!D12*$B510)-('Business Case'!C11*$C510*'Business Case'!C12*$B510))-'Business Case'!D15*$F510</f>
        <v>360164311.197109</v>
      </c>
      <c r="K510" s="39" t="n">
        <f aca="false">(('Business Case'!E11*$C510*'Business Case'!E12*$B510)-'Business Case'!E11*$C510*'Business Case'!E13*$D510-'Business Case'!E14*$E510)-MAX(0,(('Business Case'!E11*$C510*'Business Case'!E12*$B510)-'Business Case'!E11*$C510*'Business Case'!E13*$D510-'Business Case'!E14*$E510))*'Business Case'!$B$7-'Business Case'!$B$8*(('Business Case'!E11*$C510*'Business Case'!E12*$B510)-('Business Case'!D11*$C510*'Business Case'!D12*$B510))-'Business Case'!E15*$F510</f>
        <v>744289842.574752</v>
      </c>
      <c r="L510" s="39" t="n">
        <f aca="false">(('Business Case'!F11*$C510*'Business Case'!F12*$B510)-'Business Case'!F11*$C510*'Business Case'!F13*$D510-'Business Case'!F14*$E510)-MAX(0,(('Business Case'!F11*$C510*'Business Case'!F12*$B510)-'Business Case'!F11*$C510*'Business Case'!F13*$D510-'Business Case'!F14*$E510))*'Business Case'!$B$7-'Business Case'!$B$8*(('Business Case'!F11*$C510*'Business Case'!F12*$B510)-('Business Case'!E11*$C510*'Business Case'!E12*$B510))-'Business Case'!F15*$F510</f>
        <v>893737125.72845</v>
      </c>
      <c r="M510" s="39" t="n">
        <f aca="false">(('Business Case'!G11*$C510*'Business Case'!G12*$B510)-'Business Case'!G11*$C510*'Business Case'!G13*$D510-'Business Case'!G14*$E510)-MAX(0,(('Business Case'!G11*$C510*'Business Case'!G12*$B510)-'Business Case'!G11*$C510*'Business Case'!G13*$D510-'Business Case'!G14*$E510))*'Business Case'!$B$7-'Business Case'!$B$8*(('Business Case'!G11*$C510*'Business Case'!G12*$B510)-('Business Case'!F11*$C510*'Business Case'!F12*$B510))-'Business Case'!G15*$F510+'Business Case'!$B$8*('Business Case'!G11*$C510*'Business Case'!G12*$B510)</f>
        <v>1105477962.76161</v>
      </c>
      <c r="N510" s="39" t="n">
        <f aca="false">IF(COUNT('Business Case'!B11:G11)=0,"",H510+NPV(G510,I510:M510))</f>
        <v>88192493.1371102</v>
      </c>
      <c r="P510" s="40" t="n">
        <f aca="true">RAND()</f>
        <v>0.557663283062292</v>
      </c>
      <c r="Q510" s="40" t="n">
        <f aca="true">RAND()</f>
        <v>0.984657761039291</v>
      </c>
      <c r="R510" s="40" t="n">
        <f aca="true">RAND()</f>
        <v>0.520428627992708</v>
      </c>
      <c r="S510" s="40" t="n">
        <f aca="true">RAND()</f>
        <v>0.58676662747824</v>
      </c>
      <c r="T510" s="40" t="n">
        <f aca="true">RAND()</f>
        <v>0.39150916870425</v>
      </c>
      <c r="U510" s="40" t="n">
        <f aca="true">RAND()</f>
        <v>0.641868933204963</v>
      </c>
    </row>
    <row r="511" customFormat="false" ht="15" hidden="false" customHeight="false" outlineLevel="0" collapsed="false">
      <c r="A511" s="36" t="n">
        <v>431</v>
      </c>
      <c r="B511" s="37" t="n">
        <f aca="false">1+IF($G$6=$E$6,$F$6,IF(P511&lt;($F$6-$E$6)/($G$6-$E$6),$E$6+SQRT(P511*($G$6-$E$6)*($F$6-$E$6)),$G$6-SQRT((1-P511)*($G$6-$E$6)*($G$6-$F$6))))</f>
        <v>0.996157919189575</v>
      </c>
      <c r="C511" s="37" t="n">
        <f aca="false">1+IF($G$7=$E$7,$F$7,IF(Q511&lt;($F$7-$E$7)/($G$7-$E$7),$E$7+SQRT(Q511*($G$7-$E$7)*($F$7-$E$7)),$G$7-SQRT((1-Q511)*($G$7-$E$7)*($G$7-$F$7))))</f>
        <v>0.874757372623303</v>
      </c>
      <c r="D511" s="37" t="n">
        <f aca="false">1+IF($G$8=$E$8,$F$8,IF(R511&lt;($F$8-$E$8)/($G$8-$E$8),$E$8+SQRT(R511*($G$8-$E$8)*($F$8-$E$8)),$G$8-SQRT((1-R511)*($G$8-$E$8)*($G$8-$F$8))))</f>
        <v>1.00752959996867</v>
      </c>
      <c r="E511" s="37" t="n">
        <f aca="false">1+IF($G$9=$E$9,$F$9,IF(S511&lt;($F$9-$E$9)/($G$9-$E$9),$E$9+SQRT(S511*($G$9-$E$9)*($F$9-$E$9)),$G$9-SQRT((1-S511)*($G$9-$E$9)*($G$9-$F$9))))</f>
        <v>0.990637324238582</v>
      </c>
      <c r="F511" s="37" t="n">
        <f aca="false">1+IF($G$10=$E$10,$F$10,IF(T511&lt;($F$10-$E$10)/($G$10-$E$10),$E$10+SQRT(T511*($G$10-$E$10)*($F$10-$E$10)),$G$10-SQRT((1-T511)*($G$10-$E$10)*($G$10-$F$10))))</f>
        <v>1.05712928993219</v>
      </c>
      <c r="G511" s="38" t="n">
        <f aca="false">IF($G$11=$E$11,$F$11,IF(U511&lt;($F$11-$E$11)/($G$11-$E$11),$E$11+SQRT(U511*($G$11-$E$11)*($F$11-$E$11)),$G$11-SQRT((1-U511)*($G$11-$E$11)*($G$11-$F$11))))</f>
        <v>0.116261133576788</v>
      </c>
      <c r="H511" s="39" t="n">
        <f aca="false">(('Business Case'!B11*$C511*'Business Case'!B12*$B511)-'Business Case'!B11*$C511*'Business Case'!B13*$D511-'Business Case'!B14*$E511)-MAX(0,(('Business Case'!B11*$C511*'Business Case'!B12*$B511)-'Business Case'!B11*$C511*'Business Case'!B13*$D511-'Business Case'!B14*$E511))*'Business Case'!$B$7-'Business Case'!$B$8*('Business Case'!B11*$C511*'Business Case'!B12*$B511)-'Business Case'!B15*$F511</f>
        <v>-2114258579.86438</v>
      </c>
      <c r="I511" s="39" t="n">
        <f aca="false">(('Business Case'!C11*$C511*'Business Case'!C12*$B511)-'Business Case'!C11*$C511*'Business Case'!C13*$D511-'Business Case'!C14*$E511)-MAX(0,(('Business Case'!C11*$C511*'Business Case'!C12*$B511)-'Business Case'!C11*$C511*'Business Case'!C13*$D511-'Business Case'!C14*$E511))*'Business Case'!$B$7-'Business Case'!$B$8*(('Business Case'!C11*$C511*'Business Case'!C12*$B511)-('Business Case'!B11*$C511*'Business Case'!B12*$B511))-'Business Case'!C15*$F511</f>
        <v>-29195881.8919155</v>
      </c>
      <c r="J511" s="39" t="n">
        <f aca="false">(('Business Case'!D11*$C511*'Business Case'!D12*$B511)-'Business Case'!D11*$C511*'Business Case'!D13*$D511-'Business Case'!D14*$E511)-MAX(0,(('Business Case'!D11*$C511*'Business Case'!D12*$B511)-'Business Case'!D11*$C511*'Business Case'!D13*$D511-'Business Case'!D14*$E511))*'Business Case'!$B$7-'Business Case'!$B$8*(('Business Case'!D11*$C511*'Business Case'!D12*$B511)-('Business Case'!C11*$C511*'Business Case'!C12*$B511))-'Business Case'!D15*$F511</f>
        <v>233362986.452282</v>
      </c>
      <c r="K511" s="39" t="n">
        <f aca="false">(('Business Case'!E11*$C511*'Business Case'!E12*$B511)-'Business Case'!E11*$C511*'Business Case'!E13*$D511-'Business Case'!E14*$E511)-MAX(0,(('Business Case'!E11*$C511*'Business Case'!E12*$B511)-'Business Case'!E11*$C511*'Business Case'!E13*$D511-'Business Case'!E14*$E511))*'Business Case'!$B$7-'Business Case'!$B$8*(('Business Case'!E11*$C511*'Business Case'!E12*$B511)-('Business Case'!D11*$C511*'Business Case'!D12*$B511))-'Business Case'!E15*$F511</f>
        <v>548778319.293089</v>
      </c>
      <c r="L511" s="39" t="n">
        <f aca="false">(('Business Case'!F11*$C511*'Business Case'!F12*$B511)-'Business Case'!F11*$C511*'Business Case'!F13*$D511-'Business Case'!F14*$E511)-MAX(0,(('Business Case'!F11*$C511*'Business Case'!F12*$B511)-'Business Case'!F11*$C511*'Business Case'!F13*$D511-'Business Case'!F14*$E511))*'Business Case'!$B$7-'Business Case'!$B$8*(('Business Case'!F11*$C511*'Business Case'!F12*$B511)-('Business Case'!E11*$C511*'Business Case'!E12*$B511))-'Business Case'!F15*$F511</f>
        <v>666413404.565266</v>
      </c>
      <c r="M511" s="39" t="n">
        <f aca="false">(('Business Case'!G11*$C511*'Business Case'!G12*$B511)-'Business Case'!G11*$C511*'Business Case'!G13*$D511-'Business Case'!G14*$E511)-MAX(0,(('Business Case'!G11*$C511*'Business Case'!G12*$B511)-'Business Case'!G11*$C511*'Business Case'!G13*$D511-'Business Case'!G14*$E511))*'Business Case'!$B$7-'Business Case'!$B$8*(('Business Case'!G11*$C511*'Business Case'!G12*$B511)-('Business Case'!F11*$C511*'Business Case'!F12*$B511))-'Business Case'!G15*$F511+'Business Case'!$B$8*('Business Case'!G11*$C511*'Business Case'!G12*$B511)</f>
        <v>832048448.264547</v>
      </c>
      <c r="N511" s="39" t="n">
        <f aca="false">IF(COUNT('Business Case'!B11:G11)=0,"",H511+NPV(G511,I511:M511))</f>
        <v>-649274893.628252</v>
      </c>
      <c r="P511" s="40" t="n">
        <f aca="true">RAND()</f>
        <v>0.604169651592281</v>
      </c>
      <c r="Q511" s="40" t="n">
        <f aca="true">RAND()</f>
        <v>0.0798380680219912</v>
      </c>
      <c r="R511" s="40" t="n">
        <f aca="true">RAND()</f>
        <v>0.495003953778743</v>
      </c>
      <c r="S511" s="40" t="n">
        <f aca="true">RAND()</f>
        <v>0.220185616169556</v>
      </c>
      <c r="T511" s="40" t="n">
        <f aca="true">RAND()</f>
        <v>0.591759204094387</v>
      </c>
      <c r="U511" s="40" t="n">
        <f aca="true">RAND()</f>
        <v>0.976701463115635</v>
      </c>
    </row>
    <row r="512" customFormat="false" ht="15" hidden="false" customHeight="false" outlineLevel="0" collapsed="false">
      <c r="A512" s="36" t="n">
        <v>432</v>
      </c>
      <c r="B512" s="37" t="n">
        <f aca="false">1+IF($G$6=$E$6,$F$6,IF(P512&lt;($F$6-$E$6)/($G$6-$E$6),$E$6+SQRT(P512*($G$6-$E$6)*($F$6-$E$6)),$G$6-SQRT((1-P512)*($G$6-$E$6)*($G$6-$F$6))))</f>
        <v>1.02066826880735</v>
      </c>
      <c r="C512" s="37" t="n">
        <f aca="false">1+IF($G$7=$E$7,$F$7,IF(Q512&lt;($F$7-$E$7)/($G$7-$E$7),$E$7+SQRT(Q512*($G$7-$E$7)*($F$7-$E$7)),$G$7-SQRT((1-Q512)*($G$7-$E$7)*($G$7-$F$7))))</f>
        <v>0.928864746758678</v>
      </c>
      <c r="D512" s="37" t="n">
        <f aca="false">1+IF($G$8=$E$8,$F$8,IF(R512&lt;($F$8-$E$8)/($G$8-$E$8),$E$8+SQRT(R512*($G$8-$E$8)*($F$8-$E$8)),$G$8-SQRT((1-R512)*($G$8-$E$8)*($G$8-$F$8))))</f>
        <v>1.00640713456327</v>
      </c>
      <c r="E512" s="37" t="n">
        <f aca="false">1+IF($G$9=$E$9,$F$9,IF(S512&lt;($F$9-$E$9)/($G$9-$E$9),$E$9+SQRT(S512*($G$9-$E$9)*($F$9-$E$9)),$G$9-SQRT((1-S512)*($G$9-$E$9)*($G$9-$F$9))))</f>
        <v>1.09357321928104</v>
      </c>
      <c r="F512" s="37" t="n">
        <f aca="false">1+IF($G$10=$E$10,$F$10,IF(T512&lt;($F$10-$E$10)/($G$10-$E$10),$E$10+SQRT(T512*($G$10-$E$10)*($F$10-$E$10)),$G$10-SQRT((1-T512)*($G$10-$E$10)*($G$10-$F$10))))</f>
        <v>1.10609798712812</v>
      </c>
      <c r="G512" s="38" t="n">
        <f aca="false">IF($G$11=$E$11,$F$11,IF(U512&lt;($F$11-$E$11)/($G$11-$E$11),$E$11+SQRT(U512*($G$11-$E$11)*($F$11-$E$11)),$G$11-SQRT((1-U512)*($G$11-$E$11)*($G$11-$F$11))))</f>
        <v>0.0984785175111069</v>
      </c>
      <c r="H512" s="39" t="n">
        <f aca="false">(('Business Case'!B11*$C512*'Business Case'!B12*$B512)-'Business Case'!B11*$C512*'Business Case'!B13*$D512-'Business Case'!B14*$E512)-MAX(0,(('Business Case'!B11*$C512*'Business Case'!B12*$B512)-'Business Case'!B11*$C512*'Business Case'!B13*$D512-'Business Case'!B14*$E512))*'Business Case'!$B$7-'Business Case'!$B$8*('Business Case'!B11*$C512*'Business Case'!B12*$B512)-'Business Case'!B15*$F512</f>
        <v>-2212195974.25623</v>
      </c>
      <c r="I512" s="39" t="n">
        <f aca="false">(('Business Case'!C11*$C512*'Business Case'!C12*$B512)-'Business Case'!C11*$C512*'Business Case'!C13*$D512-'Business Case'!C14*$E512)-MAX(0,(('Business Case'!C11*$C512*'Business Case'!C12*$B512)-'Business Case'!C11*$C512*'Business Case'!C13*$D512-'Business Case'!C14*$E512))*'Business Case'!$B$7-'Business Case'!$B$8*(('Business Case'!C11*$C512*'Business Case'!C12*$B512)-('Business Case'!B11*$C512*'Business Case'!B12*$B512))-'Business Case'!C15*$F512</f>
        <v>-17282875.1175991</v>
      </c>
      <c r="J512" s="39" t="n">
        <f aca="false">(('Business Case'!D11*$C512*'Business Case'!D12*$B512)-'Business Case'!D11*$C512*'Business Case'!D13*$D512-'Business Case'!D14*$E512)-MAX(0,(('Business Case'!D11*$C512*'Business Case'!D12*$B512)-'Business Case'!D11*$C512*'Business Case'!D13*$D512-'Business Case'!D14*$E512))*'Business Case'!$B$7-'Business Case'!$B$8*(('Business Case'!D11*$C512*'Business Case'!D12*$B512)-('Business Case'!C11*$C512*'Business Case'!C12*$B512))-'Business Case'!D15*$F512</f>
        <v>280697734.413271</v>
      </c>
      <c r="K512" s="39" t="n">
        <f aca="false">(('Business Case'!E11*$C512*'Business Case'!E12*$B512)-'Business Case'!E11*$C512*'Business Case'!E13*$D512-'Business Case'!E14*$E512)-MAX(0,(('Business Case'!E11*$C512*'Business Case'!E12*$B512)-'Business Case'!E11*$C512*'Business Case'!E13*$D512-'Business Case'!E14*$E512))*'Business Case'!$B$7-'Business Case'!$B$8*(('Business Case'!E11*$C512*'Business Case'!E12*$B512)-('Business Case'!D11*$C512*'Business Case'!D12*$B512))-'Business Case'!E15*$F512</f>
        <v>633983243.300546</v>
      </c>
      <c r="L512" s="39" t="n">
        <f aca="false">(('Business Case'!F11*$C512*'Business Case'!F12*$B512)-'Business Case'!F11*$C512*'Business Case'!F13*$D512-'Business Case'!F14*$E512)-MAX(0,(('Business Case'!F11*$C512*'Business Case'!F12*$B512)-'Business Case'!F11*$C512*'Business Case'!F13*$D512-'Business Case'!F14*$E512))*'Business Case'!$B$7-'Business Case'!$B$8*(('Business Case'!F11*$C512*'Business Case'!F12*$B512)-('Business Case'!E11*$C512*'Business Case'!E12*$B512))-'Business Case'!F15*$F512</f>
        <v>766075162.580099</v>
      </c>
      <c r="M512" s="39" t="n">
        <f aca="false">(('Business Case'!G11*$C512*'Business Case'!G12*$B512)-'Business Case'!G11*$C512*'Business Case'!G13*$D512-'Business Case'!G14*$E512)-MAX(0,(('Business Case'!G11*$C512*'Business Case'!G12*$B512)-'Business Case'!G11*$C512*'Business Case'!G13*$D512-'Business Case'!G14*$E512))*'Business Case'!$B$7-'Business Case'!$B$8*(('Business Case'!G11*$C512*'Business Case'!G12*$B512)-('Business Case'!F11*$C512*'Business Case'!F12*$B512))-'Business Case'!G15*$F512+'Business Case'!$B$8*('Business Case'!G11*$C512*'Business Case'!G12*$B512)</f>
        <v>946282934.477709</v>
      </c>
      <c r="N512" s="39" t="n">
        <f aca="false">IF(COUNT('Business Case'!B11:G11)=0,"",H512+NPV(G512,I512:M512))</f>
        <v>-399209529.277735</v>
      </c>
      <c r="P512" s="40" t="n">
        <f aca="true">RAND()</f>
        <v>0.922142535228155</v>
      </c>
      <c r="Q512" s="40" t="n">
        <f aca="true">RAND()</f>
        <v>0.237230327959689</v>
      </c>
      <c r="R512" s="40" t="n">
        <f aca="true">RAND()</f>
        <v>0.479239438154939</v>
      </c>
      <c r="S512" s="40" t="n">
        <f aca="true">RAND()</f>
        <v>0.997246432639357</v>
      </c>
      <c r="T512" s="40" t="n">
        <f aca="true">RAND()</f>
        <v>0.82364823957217</v>
      </c>
      <c r="U512" s="40" t="n">
        <f aca="true">RAND()</f>
        <v>0.239617530620486</v>
      </c>
    </row>
    <row r="513" customFormat="false" ht="15" hidden="false" customHeight="false" outlineLevel="0" collapsed="false">
      <c r="A513" s="36" t="n">
        <v>433</v>
      </c>
      <c r="B513" s="37" t="n">
        <f aca="false">1+IF($G$6=$E$6,$F$6,IF(P513&lt;($F$6-$E$6)/($G$6-$E$6),$E$6+SQRT(P513*($G$6-$E$6)*($F$6-$E$6)),$G$6-SQRT((1-P513)*($G$6-$E$6)*($G$6-$F$6))))</f>
        <v>0.967266265514146</v>
      </c>
      <c r="C513" s="37" t="n">
        <f aca="false">1+IF($G$7=$E$7,$F$7,IF(Q513&lt;($F$7-$E$7)/($G$7-$E$7),$E$7+SQRT(Q513*($G$7-$E$7)*($F$7-$E$7)),$G$7-SQRT((1-Q513)*($G$7-$E$7)*($G$7-$F$7))))</f>
        <v>1.05532676215973</v>
      </c>
      <c r="D513" s="37" t="n">
        <f aca="false">1+IF($G$8=$E$8,$F$8,IF(R513&lt;($F$8-$E$8)/($G$8-$E$8),$E$8+SQRT(R513*($G$8-$E$8)*($F$8-$E$8)),$G$8-SQRT((1-R513)*($G$8-$E$8)*($G$8-$F$8))))</f>
        <v>0.979690180778027</v>
      </c>
      <c r="E513" s="37" t="n">
        <f aca="false">1+IF($G$9=$E$9,$F$9,IF(S513&lt;($F$9-$E$9)/($G$9-$E$9),$E$9+SQRT(S513*($G$9-$E$9)*($F$9-$E$9)),$G$9-SQRT((1-S513)*($G$9-$E$9)*($G$9-$F$9))))</f>
        <v>1.04772415337661</v>
      </c>
      <c r="F513" s="37" t="n">
        <f aca="false">1+IF($G$10=$E$10,$F$10,IF(T513&lt;($F$10-$E$10)/($G$10-$E$10),$E$10+SQRT(T513*($G$10-$E$10)*($F$10-$E$10)),$G$10-SQRT((1-T513)*($G$10-$E$10)*($G$10-$F$10))))</f>
        <v>1.12786457436458</v>
      </c>
      <c r="G513" s="38" t="n">
        <f aca="false">IF($G$11=$E$11,$F$11,IF(U513&lt;($F$11-$E$11)/($G$11-$E$11),$E$11+SQRT(U513*($G$11-$E$11)*($F$11-$E$11)),$G$11-SQRT((1-U513)*($G$11-$E$11)*($G$11-$F$11))))</f>
        <v>0.0955194181509131</v>
      </c>
      <c r="H513" s="39" t="n">
        <f aca="false">(('Business Case'!B11*$C513*'Business Case'!B12*$B513)-'Business Case'!B11*$C513*'Business Case'!B13*$D513-'Business Case'!B14*$E513)-MAX(0,(('Business Case'!B11*$C513*'Business Case'!B12*$B513)-'Business Case'!B11*$C513*'Business Case'!B13*$D513-'Business Case'!B14*$E513))*'Business Case'!$B$7-'Business Case'!$B$8*('Business Case'!B11*$C513*'Business Case'!B12*$B513)-'Business Case'!B15*$F513</f>
        <v>-2255729148.72917</v>
      </c>
      <c r="I513" s="39" t="n">
        <f aca="false">(('Business Case'!C11*$C513*'Business Case'!C12*$B513)-'Business Case'!C11*$C513*'Business Case'!C13*$D513-'Business Case'!C14*$E513)-MAX(0,(('Business Case'!C11*$C513*'Business Case'!C12*$B513)-'Business Case'!C11*$C513*'Business Case'!C13*$D513-'Business Case'!C14*$E513))*'Business Case'!$B$7-'Business Case'!$B$8*(('Business Case'!C11*$C513*'Business Case'!C12*$B513)-('Business Case'!B11*$C513*'Business Case'!B12*$B513))-'Business Case'!C15*$F513</f>
        <v>-7866875.87095119</v>
      </c>
      <c r="J513" s="39" t="n">
        <f aca="false">(('Business Case'!D11*$C513*'Business Case'!D12*$B513)-'Business Case'!D11*$C513*'Business Case'!D13*$D513-'Business Case'!D14*$E513)-MAX(0,(('Business Case'!D11*$C513*'Business Case'!D12*$B513)-'Business Case'!D11*$C513*'Business Case'!D13*$D513-'Business Case'!D14*$E513))*'Business Case'!$B$7-'Business Case'!$B$8*(('Business Case'!D11*$C513*'Business Case'!D12*$B513)-('Business Case'!C11*$C513*'Business Case'!C12*$B513))-'Business Case'!D15*$F513</f>
        <v>298956417.947361</v>
      </c>
      <c r="K513" s="39" t="n">
        <f aca="false">(('Business Case'!E11*$C513*'Business Case'!E12*$B513)-'Business Case'!E11*$C513*'Business Case'!E13*$D513-'Business Case'!E14*$E513)-MAX(0,(('Business Case'!E11*$C513*'Business Case'!E12*$B513)-'Business Case'!E11*$C513*'Business Case'!E13*$D513-'Business Case'!E14*$E513))*'Business Case'!$B$7-'Business Case'!$B$8*(('Business Case'!E11*$C513*'Business Case'!E12*$B513)-('Business Case'!D11*$C513*'Business Case'!D12*$B513))-'Business Case'!E15*$F513</f>
        <v>662172940.483902</v>
      </c>
      <c r="L513" s="39" t="n">
        <f aca="false">(('Business Case'!F11*$C513*'Business Case'!F12*$B513)-'Business Case'!F11*$C513*'Business Case'!F13*$D513-'Business Case'!F14*$E513)-MAX(0,(('Business Case'!F11*$C513*'Business Case'!F12*$B513)-'Business Case'!F11*$C513*'Business Case'!F13*$D513-'Business Case'!F14*$E513))*'Business Case'!$B$7-'Business Case'!$B$8*(('Business Case'!F11*$C513*'Business Case'!F12*$B513)-('Business Case'!E11*$C513*'Business Case'!E12*$B513))-'Business Case'!F15*$F513</f>
        <v>799725596.851774</v>
      </c>
      <c r="M513" s="39" t="n">
        <f aca="false">(('Business Case'!G11*$C513*'Business Case'!G12*$B513)-'Business Case'!G11*$C513*'Business Case'!G13*$D513-'Business Case'!G14*$E513)-MAX(0,(('Business Case'!G11*$C513*'Business Case'!G12*$B513)-'Business Case'!G11*$C513*'Business Case'!G13*$D513-'Business Case'!G14*$E513))*'Business Case'!$B$7-'Business Case'!$B$8*(('Business Case'!G11*$C513*'Business Case'!G12*$B513)-('Business Case'!F11*$C513*'Business Case'!F12*$B513))-'Business Case'!G15*$F513+'Business Case'!$B$8*('Business Case'!G11*$C513*'Business Case'!G12*$B513)</f>
        <v>993755834.874826</v>
      </c>
      <c r="N513" s="39" t="n">
        <f aca="false">IF(COUNT('Business Case'!B11:G11)=0,"",H513+NPV(G513,I513:M513))</f>
        <v>-325203552.428321</v>
      </c>
      <c r="P513" s="40" t="n">
        <f aca="true">RAND()</f>
        <v>0.232718734963931</v>
      </c>
      <c r="Q513" s="40" t="n">
        <f aca="true">RAND()</f>
        <v>0.829275772130283</v>
      </c>
      <c r="R513" s="40" t="n">
        <f aca="true">RAND()</f>
        <v>0.135616436097219</v>
      </c>
      <c r="S513" s="40" t="n">
        <f aca="true">RAND()</f>
        <v>0.817815723987199</v>
      </c>
      <c r="T513" s="40" t="n">
        <f aca="true">RAND()</f>
        <v>0.895929607367947</v>
      </c>
      <c r="U513" s="40" t="n">
        <f aca="true">RAND()</f>
        <v>0.101546589082097</v>
      </c>
    </row>
    <row r="514" customFormat="false" ht="15" hidden="false" customHeight="false" outlineLevel="0" collapsed="false">
      <c r="A514" s="36" t="n">
        <v>434</v>
      </c>
      <c r="B514" s="37" t="n">
        <f aca="false">1+IF($G$6=$E$6,$F$6,IF(P514&lt;($F$6-$E$6)/($G$6-$E$6),$E$6+SQRT(P514*($G$6-$E$6)*($F$6-$E$6)),$G$6-SQRT((1-P514)*($G$6-$E$6)*($G$6-$F$6))))</f>
        <v>1.01326628922592</v>
      </c>
      <c r="C514" s="37" t="n">
        <f aca="false">1+IF($G$7=$E$7,$F$7,IF(Q514&lt;($F$7-$E$7)/($G$7-$E$7),$E$7+SQRT(Q514*($G$7-$E$7)*($F$7-$E$7)),$G$7-SQRT((1-Q514)*($G$7-$E$7)*($G$7-$F$7))))</f>
        <v>1.07060585170939</v>
      </c>
      <c r="D514" s="37" t="n">
        <f aca="false">1+IF($G$8=$E$8,$F$8,IF(R514&lt;($F$8-$E$8)/($G$8-$E$8),$E$8+SQRT(R514*($G$8-$E$8)*($F$8-$E$8)),$G$8-SQRT((1-R514)*($G$8-$E$8)*($G$8-$F$8))))</f>
        <v>1.00381356430939</v>
      </c>
      <c r="E514" s="37" t="n">
        <f aca="false">1+IF($G$9=$E$9,$F$9,IF(S514&lt;($F$9-$E$9)/($G$9-$E$9),$E$9+SQRT(S514*($G$9-$E$9)*($F$9-$E$9)),$G$9-SQRT((1-S514)*($G$9-$E$9)*($G$9-$F$9))))</f>
        <v>0.990399028713869</v>
      </c>
      <c r="F514" s="37" t="n">
        <f aca="false">1+IF($G$10=$E$10,$F$10,IF(T514&lt;($F$10-$E$10)/($G$10-$E$10),$E$10+SQRT(T514*($G$10-$E$10)*($F$10-$E$10)),$G$10-SQRT((1-T514)*($G$10-$E$10)*($G$10-$F$10))))</f>
        <v>1.06880966469784</v>
      </c>
      <c r="G514" s="38" t="n">
        <f aca="false">IF($G$11=$E$11,$F$11,IF(U514&lt;($F$11-$E$11)/($G$11-$E$11),$E$11+SQRT(U514*($G$11-$E$11)*($F$11-$E$11)),$G$11-SQRT((1-U514)*($G$11-$E$11)*($G$11-$F$11))))</f>
        <v>0.106253003592725</v>
      </c>
      <c r="H514" s="39" t="n">
        <f aca="false">(('Business Case'!B11*$C514*'Business Case'!B12*$B514)-'Business Case'!B11*$C514*'Business Case'!B13*$D514-'Business Case'!B14*$E514)-MAX(0,(('Business Case'!B11*$C514*'Business Case'!B12*$B514)-'Business Case'!B11*$C514*'Business Case'!B13*$D514-'Business Case'!B14*$E514))*'Business Case'!$B$7-'Business Case'!$B$8*('Business Case'!B11*$C514*'Business Case'!B12*$B514)-'Business Case'!B15*$F514</f>
        <v>-2137619329.39567</v>
      </c>
      <c r="I514" s="39" t="n">
        <f aca="false">(('Business Case'!C11*$C514*'Business Case'!C12*$B514)-'Business Case'!C11*$C514*'Business Case'!C13*$D514-'Business Case'!C14*$E514)-MAX(0,(('Business Case'!C11*$C514*'Business Case'!C12*$B514)-'Business Case'!C11*$C514*'Business Case'!C13*$D514-'Business Case'!C14*$E514))*'Business Case'!$B$7-'Business Case'!$B$8*(('Business Case'!C11*$C514*'Business Case'!C12*$B514)-('Business Case'!B11*$C514*'Business Case'!B12*$B514))-'Business Case'!C15*$F514</f>
        <v>34429704.1427457</v>
      </c>
      <c r="J514" s="39" t="n">
        <f aca="false">(('Business Case'!D11*$C514*'Business Case'!D12*$B514)-'Business Case'!D11*$C514*'Business Case'!D13*$D514-'Business Case'!D14*$E514)-MAX(0,(('Business Case'!D11*$C514*'Business Case'!D12*$B514)-'Business Case'!D11*$C514*'Business Case'!D13*$D514-'Business Case'!D14*$E514))*'Business Case'!$B$7-'Business Case'!$B$8*(('Business Case'!D11*$C514*'Business Case'!D12*$B514)-('Business Case'!C11*$C514*'Business Case'!C12*$B514))-'Business Case'!D15*$F514</f>
        <v>372811605.79384</v>
      </c>
      <c r="K514" s="39" t="n">
        <f aca="false">(('Business Case'!E11*$C514*'Business Case'!E12*$B514)-'Business Case'!E11*$C514*'Business Case'!E13*$D514-'Business Case'!E14*$E514)-MAX(0,(('Business Case'!E11*$C514*'Business Case'!E12*$B514)-'Business Case'!E11*$C514*'Business Case'!E13*$D514-'Business Case'!E14*$E514))*'Business Case'!$B$7-'Business Case'!$B$8*(('Business Case'!E11*$C514*'Business Case'!E12*$B514)-('Business Case'!D11*$C514*'Business Case'!D12*$B514))-'Business Case'!E15*$F514</f>
        <v>764633990.679827</v>
      </c>
      <c r="L514" s="39" t="n">
        <f aca="false">(('Business Case'!F11*$C514*'Business Case'!F12*$B514)-'Business Case'!F11*$C514*'Business Case'!F13*$D514-'Business Case'!F14*$E514)-MAX(0,(('Business Case'!F11*$C514*'Business Case'!F12*$B514)-'Business Case'!F11*$C514*'Business Case'!F13*$D514-'Business Case'!F14*$E514))*'Business Case'!$B$7-'Business Case'!$B$8*(('Business Case'!F11*$C514*'Business Case'!F12*$B514)-('Business Case'!E11*$C514*'Business Case'!E12*$B514))-'Business Case'!F15*$F514</f>
        <v>914918950.667161</v>
      </c>
      <c r="M514" s="39" t="n">
        <f aca="false">(('Business Case'!G11*$C514*'Business Case'!G12*$B514)-'Business Case'!G11*$C514*'Business Case'!G13*$D514-'Business Case'!G14*$E514)-MAX(0,(('Business Case'!G11*$C514*'Business Case'!G12*$B514)-'Business Case'!G11*$C514*'Business Case'!G13*$D514-'Business Case'!G14*$E514))*'Business Case'!$B$7-'Business Case'!$B$8*(('Business Case'!G11*$C514*'Business Case'!G12*$B514)-('Business Case'!F11*$C514*'Business Case'!F12*$B514))-'Business Case'!G15*$F514+'Business Case'!$B$8*('Business Case'!G11*$C514*'Business Case'!G12*$B514)</f>
        <v>1121119410.90382</v>
      </c>
      <c r="N514" s="39" t="n">
        <f aca="false">IF(COUNT('Business Case'!B11:G11)=0,"",H514+NPV(G514,I514:M514))</f>
        <v>50499726.649204</v>
      </c>
      <c r="P514" s="40" t="n">
        <f aca="true">RAND()</f>
        <v>0.851105980885014</v>
      </c>
      <c r="Q514" s="40" t="n">
        <f aca="true">RAND()</f>
        <v>0.87993465175634</v>
      </c>
      <c r="R514" s="40" t="n">
        <f aca="true">RAND()</f>
        <v>0.441887213150039</v>
      </c>
      <c r="S514" s="40" t="n">
        <f aca="true">RAND()</f>
        <v>0.217610869469867</v>
      </c>
      <c r="T514" s="40" t="n">
        <f aca="true">RAND()</f>
        <v>0.65578191846611</v>
      </c>
      <c r="U514" s="40" t="n">
        <f aca="true">RAND()</f>
        <v>0.685033482963924</v>
      </c>
    </row>
    <row r="515" customFormat="false" ht="15" hidden="false" customHeight="false" outlineLevel="0" collapsed="false">
      <c r="A515" s="36" t="n">
        <v>435</v>
      </c>
      <c r="B515" s="37" t="n">
        <f aca="false">1+IF($G$6=$E$6,$F$6,IF(P515&lt;($F$6-$E$6)/($G$6-$E$6),$E$6+SQRT(P515*($G$6-$E$6)*($F$6-$E$6)),$G$6-SQRT((1-P515)*($G$6-$E$6)*($G$6-$F$6))))</f>
        <v>1.0234800124164</v>
      </c>
      <c r="C515" s="37" t="n">
        <f aca="false">1+IF($G$7=$E$7,$F$7,IF(Q515&lt;($F$7-$E$7)/($G$7-$E$7),$E$7+SQRT(Q515*($G$7-$E$7)*($F$7-$E$7)),$G$7-SQRT((1-Q515)*($G$7-$E$7)*($G$7-$F$7))))</f>
        <v>0.862878015043419</v>
      </c>
      <c r="D515" s="37" t="n">
        <f aca="false">1+IF($G$8=$E$8,$F$8,IF(R515&lt;($F$8-$E$8)/($G$8-$E$8),$E$8+SQRT(R515*($G$8-$E$8)*($F$8-$E$8)),$G$8-SQRT((1-R515)*($G$8-$E$8)*($G$8-$F$8))))</f>
        <v>0.961359809696591</v>
      </c>
      <c r="E515" s="37" t="n">
        <f aca="false">1+IF($G$9=$E$9,$F$9,IF(S515&lt;($F$9-$E$9)/($G$9-$E$9),$E$9+SQRT(S515*($G$9-$E$9)*($F$9-$E$9)),$G$9-SQRT((1-S515)*($G$9-$E$9)*($G$9-$F$9))))</f>
        <v>1.02172043201992</v>
      </c>
      <c r="F515" s="37" t="n">
        <f aca="false">1+IF($G$10=$E$10,$F$10,IF(T515&lt;($F$10-$E$10)/($G$10-$E$10),$E$10+SQRT(T515*($G$10-$E$10)*($F$10-$E$10)),$G$10-SQRT((1-T515)*($G$10-$E$10)*($G$10-$F$10))))</f>
        <v>1.07524048869833</v>
      </c>
      <c r="G515" s="38" t="n">
        <f aca="false">IF($G$11=$E$11,$F$11,IF(U515&lt;($F$11-$E$11)/($G$11-$E$11),$E$11+SQRT(U515*($G$11-$E$11)*($F$11-$E$11)),$G$11-SQRT((1-U515)*($G$11-$E$11)*($G$11-$F$11))))</f>
        <v>0.114133661793475</v>
      </c>
      <c r="H515" s="39" t="n">
        <f aca="false">(('Business Case'!B11*$C515*'Business Case'!B12*$B515)-'Business Case'!B11*$C515*'Business Case'!B13*$D515-'Business Case'!B14*$E515)-MAX(0,(('Business Case'!B11*$C515*'Business Case'!B12*$B515)-'Business Case'!B11*$C515*'Business Case'!B13*$D515-'Business Case'!B14*$E515))*'Business Case'!$B$7-'Business Case'!$B$8*('Business Case'!B11*$C515*'Business Case'!B12*$B515)-'Business Case'!B15*$F515</f>
        <v>-2150480977.39665</v>
      </c>
      <c r="I515" s="39" t="n">
        <f aca="false">(('Business Case'!C11*$C515*'Business Case'!C12*$B515)-'Business Case'!C11*$C515*'Business Case'!C13*$D515-'Business Case'!C14*$E515)-MAX(0,(('Business Case'!C11*$C515*'Business Case'!C12*$B515)-'Business Case'!C11*$C515*'Business Case'!C13*$D515-'Business Case'!C14*$E515))*'Business Case'!$B$7-'Business Case'!$B$8*(('Business Case'!C11*$C515*'Business Case'!C12*$B515)-('Business Case'!B11*$C515*'Business Case'!B12*$B515))-'Business Case'!C15*$F515</f>
        <v>103153.596097305</v>
      </c>
      <c r="J515" s="39" t="n">
        <f aca="false">(('Business Case'!D11*$C515*'Business Case'!D12*$B515)-'Business Case'!D11*$C515*'Business Case'!D13*$D515-'Business Case'!D14*$E515)-MAX(0,(('Business Case'!D11*$C515*'Business Case'!D12*$B515)-'Business Case'!D11*$C515*'Business Case'!D13*$D515-'Business Case'!D14*$E515))*'Business Case'!$B$7-'Business Case'!$B$8*(('Business Case'!D11*$C515*'Business Case'!D12*$B515)-('Business Case'!C11*$C515*'Business Case'!C12*$B515))-'Business Case'!D15*$F515</f>
        <v>298800896.231637</v>
      </c>
      <c r="K515" s="39" t="n">
        <f aca="false">(('Business Case'!E11*$C515*'Business Case'!E12*$B515)-'Business Case'!E11*$C515*'Business Case'!E13*$D515-'Business Case'!E14*$E515)-MAX(0,(('Business Case'!E11*$C515*'Business Case'!E12*$B515)-'Business Case'!E11*$C515*'Business Case'!E13*$D515-'Business Case'!E14*$E515))*'Business Case'!$B$7-'Business Case'!$B$8*(('Business Case'!E11*$C515*'Business Case'!E12*$B515)-('Business Case'!D11*$C515*'Business Case'!D12*$B515))-'Business Case'!E15*$F515</f>
        <v>651260663.302092</v>
      </c>
      <c r="L515" s="39" t="n">
        <f aca="false">(('Business Case'!F11*$C515*'Business Case'!F12*$B515)-'Business Case'!F11*$C515*'Business Case'!F13*$D515-'Business Case'!F14*$E515)-MAX(0,(('Business Case'!F11*$C515*'Business Case'!F12*$B515)-'Business Case'!F11*$C515*'Business Case'!F13*$D515-'Business Case'!F14*$E515))*'Business Case'!$B$7-'Business Case'!$B$8*(('Business Case'!F11*$C515*'Business Case'!F12*$B515)-('Business Case'!E11*$C515*'Business Case'!E12*$B515))-'Business Case'!F15*$F515</f>
        <v>781347840.671523</v>
      </c>
      <c r="M515" s="39" t="n">
        <f aca="false">(('Business Case'!G11*$C515*'Business Case'!G12*$B515)-'Business Case'!G11*$C515*'Business Case'!G13*$D515-'Business Case'!G14*$E515)-MAX(0,(('Business Case'!G11*$C515*'Business Case'!G12*$B515)-'Business Case'!G11*$C515*'Business Case'!G13*$D515-'Business Case'!G14*$E515))*'Business Case'!$B$7-'Business Case'!$B$8*(('Business Case'!G11*$C515*'Business Case'!G12*$B515)-('Business Case'!F11*$C515*'Business Case'!F12*$B515))-'Business Case'!G15*$F515+'Business Case'!$B$8*('Business Case'!G11*$C515*'Business Case'!G12*$B515)</f>
        <v>949214788.038237</v>
      </c>
      <c r="N515" s="39" t="n">
        <f aca="false">IF(COUNT('Business Case'!B11:G11)=0,"",H515+NPV(G515,I515:M515))</f>
        <v>-378713715.431174</v>
      </c>
      <c r="P515" s="40" t="n">
        <f aca="true">RAND()</f>
        <v>0.943143752132845</v>
      </c>
      <c r="Q515" s="40" t="n">
        <f aca="true">RAND()</f>
        <v>0.0564806396542914</v>
      </c>
      <c r="R515" s="40" t="n">
        <f aca="true">RAND()</f>
        <v>0.0198531194373469</v>
      </c>
      <c r="S515" s="40" t="n">
        <f aca="true">RAND()</f>
        <v>0.591487282456802</v>
      </c>
      <c r="T515" s="40" t="n">
        <f aca="true">RAND()</f>
        <v>0.68870128679535</v>
      </c>
      <c r="U515" s="40" t="n">
        <f aca="true">RAND()</f>
        <v>0.942643460077775</v>
      </c>
    </row>
    <row r="516" customFormat="false" ht="15" hidden="false" customHeight="false" outlineLevel="0" collapsed="false">
      <c r="A516" s="36" t="n">
        <v>436</v>
      </c>
      <c r="B516" s="37" t="n">
        <f aca="false">1+IF($G$6=$E$6,$F$6,IF(P516&lt;($F$6-$E$6)/($G$6-$E$6),$E$6+SQRT(P516*($G$6-$E$6)*($F$6-$E$6)),$G$6-SQRT((1-P516)*($G$6-$E$6)*($G$6-$F$6))))</f>
        <v>0.979191680087935</v>
      </c>
      <c r="C516" s="37" t="n">
        <f aca="false">1+IF($G$7=$E$7,$F$7,IF(Q516&lt;($F$7-$E$7)/($G$7-$E$7),$E$7+SQRT(Q516*($G$7-$E$7)*($F$7-$E$7)),$G$7-SQRT((1-Q516)*($G$7-$E$7)*($G$7-$F$7))))</f>
        <v>0.940049443683542</v>
      </c>
      <c r="D516" s="37" t="n">
        <f aca="false">1+IF($G$8=$E$8,$F$8,IF(R516&lt;($F$8-$E$8)/($G$8-$E$8),$E$8+SQRT(R516*($G$8-$E$8)*($F$8-$E$8)),$G$8-SQRT((1-R516)*($G$8-$E$8)*($G$8-$F$8))))</f>
        <v>1.02200417214327</v>
      </c>
      <c r="E516" s="37" t="n">
        <f aca="false">1+IF($G$9=$E$9,$F$9,IF(S516&lt;($F$9-$E$9)/($G$9-$E$9),$E$9+SQRT(S516*($G$9-$E$9)*($F$9-$E$9)),$G$9-SQRT((1-S516)*($G$9-$E$9)*($G$9-$F$9))))</f>
        <v>1.0002044233114</v>
      </c>
      <c r="F516" s="37" t="n">
        <f aca="false">1+IF($G$10=$E$10,$F$10,IF(T516&lt;($F$10-$E$10)/($G$10-$E$10),$E$10+SQRT(T516*($G$10-$E$10)*($F$10-$E$10)),$G$10-SQRT((1-T516)*($G$10-$E$10)*($G$10-$F$10))))</f>
        <v>1.00189068567452</v>
      </c>
      <c r="G516" s="38" t="n">
        <f aca="false">IF($G$11=$E$11,$F$11,IF(U516&lt;($F$11-$E$11)/($G$11-$E$11),$E$11+SQRT(U516*($G$11-$E$11)*($F$11-$E$11)),$G$11-SQRT((1-U516)*($G$11-$E$11)*($G$11-$F$11))))</f>
        <v>0.114411898764464</v>
      </c>
      <c r="H516" s="39" t="n">
        <f aca="false">(('Business Case'!B11*$C516*'Business Case'!B12*$B516)-'Business Case'!B11*$C516*'Business Case'!B13*$D516-'Business Case'!B14*$E516)-MAX(0,(('Business Case'!B11*$C516*'Business Case'!B12*$B516)-'Business Case'!B11*$C516*'Business Case'!B13*$D516-'Business Case'!B14*$E516))*'Business Case'!$B$7-'Business Case'!$B$8*('Business Case'!B11*$C516*'Business Case'!B12*$B516)-'Business Case'!B15*$F516</f>
        <v>-2003781371.34903</v>
      </c>
      <c r="I516" s="39" t="n">
        <f aca="false">(('Business Case'!C11*$C516*'Business Case'!C12*$B516)-'Business Case'!C11*$C516*'Business Case'!C13*$D516-'Business Case'!C14*$E516)-MAX(0,(('Business Case'!C11*$C516*'Business Case'!C12*$B516)-'Business Case'!C11*$C516*'Business Case'!C13*$D516-'Business Case'!C14*$E516))*'Business Case'!$B$7-'Business Case'!$B$8*(('Business Case'!C11*$C516*'Business Case'!C12*$B516)-('Business Case'!B11*$C516*'Business Case'!B12*$B516))-'Business Case'!C15*$F516</f>
        <v>-28009013.9317647</v>
      </c>
      <c r="J516" s="39" t="n">
        <f aca="false">(('Business Case'!D11*$C516*'Business Case'!D12*$B516)-'Business Case'!D11*$C516*'Business Case'!D13*$D516-'Business Case'!D14*$E516)-MAX(0,(('Business Case'!D11*$C516*'Business Case'!D12*$B516)-'Business Case'!D11*$C516*'Business Case'!D13*$D516-'Business Case'!D14*$E516))*'Business Case'!$B$7-'Business Case'!$B$8*(('Business Case'!D11*$C516*'Business Case'!D12*$B516)-('Business Case'!C11*$C516*'Business Case'!C12*$B516))-'Business Case'!D15*$F516</f>
        <v>234118238.418306</v>
      </c>
      <c r="K516" s="39" t="n">
        <f aca="false">(('Business Case'!E11*$C516*'Business Case'!E12*$B516)-'Business Case'!E11*$C516*'Business Case'!E13*$D516-'Business Case'!E14*$E516)-MAX(0,(('Business Case'!E11*$C516*'Business Case'!E12*$B516)-'Business Case'!E11*$C516*'Business Case'!E13*$D516-'Business Case'!E14*$E516))*'Business Case'!$B$7-'Business Case'!$B$8*(('Business Case'!E11*$C516*'Business Case'!E12*$B516)-('Business Case'!D11*$C516*'Business Case'!D12*$B516))-'Business Case'!E15*$F516</f>
        <v>546340025.052103</v>
      </c>
      <c r="L516" s="39" t="n">
        <f aca="false">(('Business Case'!F11*$C516*'Business Case'!F12*$B516)-'Business Case'!F11*$C516*'Business Case'!F13*$D516-'Business Case'!F14*$E516)-MAX(0,(('Business Case'!F11*$C516*'Business Case'!F12*$B516)-'Business Case'!F11*$C516*'Business Case'!F13*$D516-'Business Case'!F14*$E516))*'Business Case'!$B$7-'Business Case'!$B$8*(('Business Case'!F11*$C516*'Business Case'!F12*$B516)-('Business Case'!E11*$C516*'Business Case'!E12*$B516))-'Business Case'!F15*$F516</f>
        <v>665527861.648462</v>
      </c>
      <c r="M516" s="39" t="n">
        <f aca="false">(('Business Case'!G11*$C516*'Business Case'!G12*$B516)-'Business Case'!G11*$C516*'Business Case'!G13*$D516-'Business Case'!G14*$E516)-MAX(0,(('Business Case'!G11*$C516*'Business Case'!G12*$B516)-'Business Case'!G11*$C516*'Business Case'!G13*$D516-'Business Case'!G14*$E516))*'Business Case'!$B$7-'Business Case'!$B$8*(('Business Case'!G11*$C516*'Business Case'!G12*$B516)-('Business Case'!F11*$C516*'Business Case'!F12*$B516))-'Business Case'!G15*$F516+'Business Case'!$B$8*('Business Case'!G11*$C516*'Business Case'!G12*$B516)</f>
        <v>840494333.619974</v>
      </c>
      <c r="N516" s="39" t="n">
        <f aca="false">IF(COUNT('Business Case'!B11:G11)=0,"",H516+NPV(G516,I516:M516))</f>
        <v>-525148083.194735</v>
      </c>
      <c r="P516" s="40" t="n">
        <f aca="true">RAND()</f>
        <v>0.364964061628379</v>
      </c>
      <c r="Q516" s="40" t="n">
        <f aca="true">RAND()</f>
        <v>0.280197809658138</v>
      </c>
      <c r="R516" s="40" t="n">
        <f aca="true">RAND()</f>
        <v>0.676584995308849</v>
      </c>
      <c r="S516" s="40" t="n">
        <f aca="true">RAND()</f>
        <v>0.336056191559335</v>
      </c>
      <c r="T516" s="40" t="n">
        <f aca="true">RAND()</f>
        <v>0.215053991549723</v>
      </c>
      <c r="U516" s="40" t="n">
        <f aca="true">RAND()</f>
        <v>0.947955207635666</v>
      </c>
    </row>
    <row r="517" customFormat="false" ht="15" hidden="false" customHeight="false" outlineLevel="0" collapsed="false">
      <c r="A517" s="36" t="n">
        <v>437</v>
      </c>
      <c r="B517" s="37" t="n">
        <f aca="false">1+IF($G$6=$E$6,$F$6,IF(P517&lt;($F$6-$E$6)/($G$6-$E$6),$E$6+SQRT(P517*($G$6-$E$6)*($F$6-$E$6)),$G$6-SQRT((1-P517)*($G$6-$E$6)*($G$6-$F$6))))</f>
        <v>0.9909599784511</v>
      </c>
      <c r="C517" s="37" t="n">
        <f aca="false">1+IF($G$7=$E$7,$F$7,IF(Q517&lt;($F$7-$E$7)/($G$7-$E$7),$E$7+SQRT(Q517*($G$7-$E$7)*($F$7-$E$7)),$G$7-SQRT((1-Q517)*($G$7-$E$7)*($G$7-$F$7))))</f>
        <v>1.02051051722212</v>
      </c>
      <c r="D517" s="37" t="n">
        <f aca="false">1+IF($G$8=$E$8,$F$8,IF(R517&lt;($F$8-$E$8)/($G$8-$E$8),$E$8+SQRT(R517*($G$8-$E$8)*($F$8-$E$8)),$G$8-SQRT((1-R517)*($G$8-$E$8)*($G$8-$F$8))))</f>
        <v>1.03520060932731</v>
      </c>
      <c r="E517" s="37" t="n">
        <f aca="false">1+IF($G$9=$E$9,$F$9,IF(S517&lt;($F$9-$E$9)/($G$9-$E$9),$E$9+SQRT(S517*($G$9-$E$9)*($F$9-$E$9)),$G$9-SQRT((1-S517)*($G$9-$E$9)*($G$9-$F$9))))</f>
        <v>0.976409927658653</v>
      </c>
      <c r="F517" s="37" t="n">
        <f aca="false">1+IF($G$10=$E$10,$F$10,IF(T517&lt;($F$10-$E$10)/($G$10-$E$10),$E$10+SQRT(T517*($G$10-$E$10)*($F$10-$E$10)),$G$10-SQRT((1-T517)*($G$10-$E$10)*($G$10-$F$10))))</f>
        <v>1.11111501819419</v>
      </c>
      <c r="G517" s="38" t="n">
        <f aca="false">IF($G$11=$E$11,$F$11,IF(U517&lt;($F$11-$E$11)/($G$11-$E$11),$E$11+SQRT(U517*($G$11-$E$11)*($F$11-$E$11)),$G$11-SQRT((1-U517)*($G$11-$E$11)*($G$11-$F$11))))</f>
        <v>0.0976478212351715</v>
      </c>
      <c r="H517" s="39" t="n">
        <f aca="false">(('Business Case'!B11*$C517*'Business Case'!B12*$B517)-'Business Case'!B11*$C517*'Business Case'!B13*$D517-'Business Case'!B14*$E517)-MAX(0,(('Business Case'!B11*$C517*'Business Case'!B12*$B517)-'Business Case'!B11*$C517*'Business Case'!B13*$D517-'Business Case'!B14*$E517))*'Business Case'!$B$7-'Business Case'!$B$8*('Business Case'!B11*$C517*'Business Case'!B12*$B517)-'Business Case'!B15*$F517</f>
        <v>-2222230036.38839</v>
      </c>
      <c r="I517" s="39" t="n">
        <f aca="false">(('Business Case'!C11*$C517*'Business Case'!C12*$B517)-'Business Case'!C11*$C517*'Business Case'!C13*$D517-'Business Case'!C14*$E517)-MAX(0,(('Business Case'!C11*$C517*'Business Case'!C12*$B517)-'Business Case'!C11*$C517*'Business Case'!C13*$D517-'Business Case'!C14*$E517))*'Business Case'!$B$7-'Business Case'!$B$8*(('Business Case'!C11*$C517*'Business Case'!C12*$B517)-('Business Case'!B11*$C517*'Business Case'!B12*$B517))-'Business Case'!C15*$F517</f>
        <v>-14875956.20351</v>
      </c>
      <c r="J517" s="39" t="n">
        <f aca="false">(('Business Case'!D11*$C517*'Business Case'!D12*$B517)-'Business Case'!D11*$C517*'Business Case'!D13*$D517-'Business Case'!D14*$E517)-MAX(0,(('Business Case'!D11*$C517*'Business Case'!D12*$B517)-'Business Case'!D11*$C517*'Business Case'!D13*$D517-'Business Case'!D14*$E517))*'Business Case'!$B$7-'Business Case'!$B$8*(('Business Case'!D11*$C517*'Business Case'!D12*$B517)-('Business Case'!C11*$C517*'Business Case'!C12*$B517))-'Business Case'!D15*$F517</f>
        <v>272630099.680723</v>
      </c>
      <c r="K517" s="39" t="n">
        <f aca="false">(('Business Case'!E11*$C517*'Business Case'!E12*$B517)-'Business Case'!E11*$C517*'Business Case'!E13*$D517-'Business Case'!E14*$E517)-MAX(0,(('Business Case'!E11*$C517*'Business Case'!E12*$B517)-'Business Case'!E11*$C517*'Business Case'!E13*$D517-'Business Case'!E14*$E517))*'Business Case'!$B$7-'Business Case'!$B$8*(('Business Case'!E11*$C517*'Business Case'!E12*$B517)-('Business Case'!D11*$C517*'Business Case'!D12*$B517))-'Business Case'!E15*$F517</f>
        <v>615691906.474667</v>
      </c>
      <c r="L517" s="39" t="n">
        <f aca="false">(('Business Case'!F11*$C517*'Business Case'!F12*$B517)-'Business Case'!F11*$C517*'Business Case'!F13*$D517-'Business Case'!F14*$E517)-MAX(0,(('Business Case'!F11*$C517*'Business Case'!F12*$B517)-'Business Case'!F11*$C517*'Business Case'!F13*$D517-'Business Case'!F14*$E517))*'Business Case'!$B$7-'Business Case'!$B$8*(('Business Case'!F11*$C517*'Business Case'!F12*$B517)-('Business Case'!E11*$C517*'Business Case'!E12*$B517))-'Business Case'!F15*$F517</f>
        <v>746477270.806254</v>
      </c>
      <c r="M517" s="39" t="n">
        <f aca="false">(('Business Case'!G11*$C517*'Business Case'!G12*$B517)-'Business Case'!G11*$C517*'Business Case'!G13*$D517-'Business Case'!G14*$E517)-MAX(0,(('Business Case'!G11*$C517*'Business Case'!G12*$B517)-'Business Case'!G11*$C517*'Business Case'!G13*$D517-'Business Case'!G14*$E517))*'Business Case'!$B$7-'Business Case'!$B$8*(('Business Case'!G11*$C517*'Business Case'!G12*$B517)-('Business Case'!F11*$C517*'Business Case'!F12*$B517))-'Business Case'!G15*$F517+'Business Case'!$B$8*('Business Case'!G11*$C517*'Business Case'!G12*$B517)</f>
        <v>938702338.842221</v>
      </c>
      <c r="N517" s="39" t="n">
        <f aca="false">IF(COUNT('Business Case'!B11:G11)=0,"",H517+NPV(G517,I517:M517))</f>
        <v>-440572485.899909</v>
      </c>
      <c r="P517" s="40" t="n">
        <f aca="true">RAND()</f>
        <v>0.524512348102141</v>
      </c>
      <c r="Q517" s="40" t="n">
        <f aca="true">RAND()</f>
        <v>0.680618549522218</v>
      </c>
      <c r="R517" s="40" t="n">
        <f aca="true">RAND()</f>
        <v>0.807020634168853</v>
      </c>
      <c r="S517" s="40" t="n">
        <f aca="true">RAND()</f>
        <v>0.0929979038580371</v>
      </c>
      <c r="T517" s="40" t="n">
        <f aca="true">RAND()</f>
        <v>0.841989200187626</v>
      </c>
      <c r="U517" s="40" t="n">
        <f aca="true">RAND()</f>
        <v>0.194963898817136</v>
      </c>
    </row>
    <row r="518" customFormat="false" ht="15" hidden="false" customHeight="false" outlineLevel="0" collapsed="false">
      <c r="A518" s="36" t="n">
        <v>438</v>
      </c>
      <c r="B518" s="37" t="n">
        <f aca="false">1+IF($G$6=$E$6,$F$6,IF(P518&lt;($F$6-$E$6)/($G$6-$E$6),$E$6+SQRT(P518*($G$6-$E$6)*($F$6-$E$6)),$G$6-SQRT((1-P518)*($G$6-$E$6)*($G$6-$F$6))))</f>
        <v>0.95934674188794</v>
      </c>
      <c r="C518" s="37" t="n">
        <f aca="false">1+IF($G$7=$E$7,$F$7,IF(Q518&lt;($F$7-$E$7)/($G$7-$E$7),$E$7+SQRT(Q518*($G$7-$E$7)*($F$7-$E$7)),$G$7-SQRT((1-Q518)*($G$7-$E$7)*($G$7-$F$7))))</f>
        <v>0.989190191297148</v>
      </c>
      <c r="D518" s="37" t="n">
        <f aca="false">1+IF($G$8=$E$8,$F$8,IF(R518&lt;($F$8-$E$8)/($G$8-$E$8),$E$8+SQRT(R518*($G$8-$E$8)*($F$8-$E$8)),$G$8-SQRT((1-R518)*($G$8-$E$8)*($G$8-$F$8))))</f>
        <v>1.00182657751466</v>
      </c>
      <c r="E518" s="37" t="n">
        <f aca="false">1+IF($G$9=$E$9,$F$9,IF(S518&lt;($F$9-$E$9)/($G$9-$E$9),$E$9+SQRT(S518*($G$9-$E$9)*($F$9-$E$9)),$G$9-SQRT((1-S518)*($G$9-$E$9)*($G$9-$F$9))))</f>
        <v>1.00350816428063</v>
      </c>
      <c r="F518" s="37" t="n">
        <f aca="false">1+IF($G$10=$E$10,$F$10,IF(T518&lt;($F$10-$E$10)/($G$10-$E$10),$E$10+SQRT(T518*($G$10-$E$10)*($F$10-$E$10)),$G$10-SQRT((1-T518)*($G$10-$E$10)*($G$10-$F$10))))</f>
        <v>1.08156725019912</v>
      </c>
      <c r="G518" s="38" t="n">
        <f aca="false">IF($G$11=$E$11,$F$11,IF(U518&lt;($F$11-$E$11)/($G$11-$E$11),$E$11+SQRT(U518*($G$11-$E$11)*($F$11-$E$11)),$G$11-SQRT((1-U518)*($G$11-$E$11)*($G$11-$F$11))))</f>
        <v>0.105041498392148</v>
      </c>
      <c r="H518" s="39" t="n">
        <f aca="false">(('Business Case'!B11*$C518*'Business Case'!B12*$B518)-'Business Case'!B11*$C518*'Business Case'!B13*$D518-'Business Case'!B14*$E518)-MAX(0,(('Business Case'!B11*$C518*'Business Case'!B12*$B518)-'Business Case'!B11*$C518*'Business Case'!B13*$D518-'Business Case'!B14*$E518))*'Business Case'!$B$7-'Business Case'!$B$8*('Business Case'!B11*$C518*'Business Case'!B12*$B518)-'Business Case'!B15*$F518</f>
        <v>-2163134500.39823</v>
      </c>
      <c r="I518" s="39" t="n">
        <f aca="false">(('Business Case'!C11*$C518*'Business Case'!C12*$B518)-'Business Case'!C11*$C518*'Business Case'!C13*$D518-'Business Case'!C14*$E518)-MAX(0,(('Business Case'!C11*$C518*'Business Case'!C12*$B518)-'Business Case'!C11*$C518*'Business Case'!C13*$D518-'Business Case'!C14*$E518))*'Business Case'!$B$7-'Business Case'!$B$8*(('Business Case'!C11*$C518*'Business Case'!C12*$B518)-('Business Case'!B11*$C518*'Business Case'!B12*$B518))-'Business Case'!C15*$F518</f>
        <v>-30081730.9848397</v>
      </c>
      <c r="J518" s="39" t="n">
        <f aca="false">(('Business Case'!D11*$C518*'Business Case'!D12*$B518)-'Business Case'!D11*$C518*'Business Case'!D13*$D518-'Business Case'!D14*$E518)-MAX(0,(('Business Case'!D11*$C518*'Business Case'!D12*$B518)-'Business Case'!D11*$C518*'Business Case'!D13*$D518-'Business Case'!D14*$E518))*'Business Case'!$B$7-'Business Case'!$B$8*(('Business Case'!D11*$C518*'Business Case'!D12*$B518)-('Business Case'!C11*$C518*'Business Case'!C12*$B518))-'Business Case'!D15*$F518</f>
        <v>239887059.919676</v>
      </c>
      <c r="K518" s="39" t="n">
        <f aca="false">(('Business Case'!E11*$C518*'Business Case'!E12*$B518)-'Business Case'!E11*$C518*'Business Case'!E13*$D518-'Business Case'!E14*$E518)-MAX(0,(('Business Case'!E11*$C518*'Business Case'!E12*$B518)-'Business Case'!E11*$C518*'Business Case'!E13*$D518-'Business Case'!E14*$E518))*'Business Case'!$B$7-'Business Case'!$B$8*(('Business Case'!E11*$C518*'Business Case'!E12*$B518)-('Business Case'!D11*$C518*'Business Case'!D12*$B518))-'Business Case'!E15*$F518</f>
        <v>563934213.334147</v>
      </c>
      <c r="L518" s="39" t="n">
        <f aca="false">(('Business Case'!F11*$C518*'Business Case'!F12*$B518)-'Business Case'!F11*$C518*'Business Case'!F13*$D518-'Business Case'!F14*$E518)-MAX(0,(('Business Case'!F11*$C518*'Business Case'!F12*$B518)-'Business Case'!F11*$C518*'Business Case'!F13*$D518-'Business Case'!F14*$E518))*'Business Case'!$B$7-'Business Case'!$B$8*(('Business Case'!F11*$C518*'Business Case'!F12*$B518)-('Business Case'!E11*$C518*'Business Case'!E12*$B518))-'Business Case'!F15*$F518</f>
        <v>686720434.241477</v>
      </c>
      <c r="M518" s="39" t="n">
        <f aca="false">(('Business Case'!G11*$C518*'Business Case'!G12*$B518)-'Business Case'!G11*$C518*'Business Case'!G13*$D518-'Business Case'!G14*$E518)-MAX(0,(('Business Case'!G11*$C518*'Business Case'!G12*$B518)-'Business Case'!G11*$C518*'Business Case'!G13*$D518-'Business Case'!G14*$E518))*'Business Case'!$B$7-'Business Case'!$B$8*(('Business Case'!G11*$C518*'Business Case'!G12*$B518)-('Business Case'!F11*$C518*'Business Case'!F12*$B518))-'Business Case'!G15*$F518+'Business Case'!$B$8*('Business Case'!G11*$C518*'Business Case'!G12*$B518)</f>
        <v>867101865.906848</v>
      </c>
      <c r="N518" s="39" t="n">
        <f aca="false">IF(COUNT('Business Case'!B11:G11)=0,"",H518+NPV(G518,I518:M518))</f>
        <v>-589218228.950415</v>
      </c>
      <c r="P518" s="40" t="n">
        <f aca="true">RAND()</f>
        <v>0.161267301791265</v>
      </c>
      <c r="Q518" s="40" t="n">
        <f aca="true">RAND()</f>
        <v>0.511327549757878</v>
      </c>
      <c r="R518" s="40" t="n">
        <f aca="true">RAND()</f>
        <v>0.412395770858564</v>
      </c>
      <c r="S518" s="40" t="n">
        <f aca="true">RAND()</f>
        <v>0.379288375967086</v>
      </c>
      <c r="T518" s="40" t="n">
        <f aca="true">RAND()</f>
        <v>0.719473675492022</v>
      </c>
      <c r="U518" s="40" t="n">
        <f aca="true">RAND()</f>
        <v>0.627072049413136</v>
      </c>
    </row>
    <row r="519" customFormat="false" ht="15" hidden="false" customHeight="false" outlineLevel="0" collapsed="false">
      <c r="A519" s="36" t="n">
        <v>439</v>
      </c>
      <c r="B519" s="37" t="n">
        <f aca="false">1+IF($G$6=$E$6,$F$6,IF(P519&lt;($F$6-$E$6)/($G$6-$E$6),$E$6+SQRT(P519*($G$6-$E$6)*($F$6-$E$6)),$G$6-SQRT((1-P519)*($G$6-$E$6)*($G$6-$F$6))))</f>
        <v>0.974735503379416</v>
      </c>
      <c r="C519" s="37" t="n">
        <f aca="false">1+IF($G$7=$E$7,$F$7,IF(Q519&lt;($F$7-$E$7)/($G$7-$E$7),$E$7+SQRT(Q519*($G$7-$E$7)*($F$7-$E$7)),$G$7-SQRT((1-Q519)*($G$7-$E$7)*($G$7-$F$7))))</f>
        <v>0.948936083031484</v>
      </c>
      <c r="D519" s="37" t="n">
        <f aca="false">1+IF($G$8=$E$8,$F$8,IF(R519&lt;($F$8-$E$8)/($G$8-$E$8),$E$8+SQRT(R519*($G$8-$E$8)*($F$8-$E$8)),$G$8-SQRT((1-R519)*($G$8-$E$8)*($G$8-$F$8))))</f>
        <v>1.01153606409971</v>
      </c>
      <c r="E519" s="37" t="n">
        <f aca="false">1+IF($G$9=$E$9,$F$9,IF(S519&lt;($F$9-$E$9)/($G$9-$E$9),$E$9+SQRT(S519*($G$9-$E$9)*($F$9-$E$9)),$G$9-SQRT((1-S519)*($G$9-$E$9)*($G$9-$F$9))))</f>
        <v>1.03072830238868</v>
      </c>
      <c r="F519" s="37" t="n">
        <f aca="false">1+IF($G$10=$E$10,$F$10,IF(T519&lt;($F$10-$E$10)/($G$10-$E$10),$E$10+SQRT(T519*($G$10-$E$10)*($F$10-$E$10)),$G$10-SQRT((1-T519)*($G$10-$E$10)*($G$10-$F$10))))</f>
        <v>1.02807956095587</v>
      </c>
      <c r="G519" s="38" t="n">
        <f aca="false">IF($G$11=$E$11,$F$11,IF(U519&lt;($F$11-$E$11)/($G$11-$E$11),$E$11+SQRT(U519*($G$11-$E$11)*($F$11-$E$11)),$G$11-SQRT((1-U519)*($G$11-$E$11)*($G$11-$F$11))))</f>
        <v>0.106714104588664</v>
      </c>
      <c r="H519" s="39" t="n">
        <f aca="false">(('Business Case'!B11*$C519*'Business Case'!B12*$B519)-'Business Case'!B11*$C519*'Business Case'!B13*$D519-'Business Case'!B14*$E519)-MAX(0,(('Business Case'!B11*$C519*'Business Case'!B12*$B519)-'Business Case'!B11*$C519*'Business Case'!B13*$D519-'Business Case'!B14*$E519))*'Business Case'!$B$7-'Business Case'!$B$8*('Business Case'!B11*$C519*'Business Case'!B12*$B519)-'Business Case'!B15*$F519</f>
        <v>-2056159121.91173</v>
      </c>
      <c r="I519" s="39" t="n">
        <f aca="false">(('Business Case'!C11*$C519*'Business Case'!C12*$B519)-'Business Case'!C11*$C519*'Business Case'!C13*$D519-'Business Case'!C14*$E519)-MAX(0,(('Business Case'!C11*$C519*'Business Case'!C12*$B519)-'Business Case'!C11*$C519*'Business Case'!C13*$D519-'Business Case'!C14*$E519))*'Business Case'!$B$7-'Business Case'!$B$8*(('Business Case'!C11*$C519*'Business Case'!C12*$B519)-('Business Case'!B11*$C519*'Business Case'!B12*$B519))-'Business Case'!C15*$F519</f>
        <v>-31100654.3733747</v>
      </c>
      <c r="J519" s="39" t="n">
        <f aca="false">(('Business Case'!D11*$C519*'Business Case'!D12*$B519)-'Business Case'!D11*$C519*'Business Case'!D13*$D519-'Business Case'!D14*$E519)-MAX(0,(('Business Case'!D11*$C519*'Business Case'!D12*$B519)-'Business Case'!D11*$C519*'Business Case'!D13*$D519-'Business Case'!D14*$E519))*'Business Case'!$B$7-'Business Case'!$B$8*(('Business Case'!D11*$C519*'Business Case'!D12*$B519)-('Business Case'!C11*$C519*'Business Case'!C12*$B519))-'Business Case'!D15*$F519</f>
        <v>235126225.987583</v>
      </c>
      <c r="K519" s="39" t="n">
        <f aca="false">(('Business Case'!E11*$C519*'Business Case'!E12*$B519)-'Business Case'!E11*$C519*'Business Case'!E13*$D519-'Business Case'!E14*$E519)-MAX(0,(('Business Case'!E11*$C519*'Business Case'!E12*$B519)-'Business Case'!E11*$C519*'Business Case'!E13*$D519-'Business Case'!E14*$E519))*'Business Case'!$B$7-'Business Case'!$B$8*(('Business Case'!E11*$C519*'Business Case'!E12*$B519)-('Business Case'!D11*$C519*'Business Case'!D12*$B519))-'Business Case'!E15*$F519</f>
        <v>552757084.396334</v>
      </c>
      <c r="L519" s="39" t="n">
        <f aca="false">(('Business Case'!F11*$C519*'Business Case'!F12*$B519)-'Business Case'!F11*$C519*'Business Case'!F13*$D519-'Business Case'!F14*$E519)-MAX(0,(('Business Case'!F11*$C519*'Business Case'!F12*$B519)-'Business Case'!F11*$C519*'Business Case'!F13*$D519-'Business Case'!F14*$E519))*'Business Case'!$B$7-'Business Case'!$B$8*(('Business Case'!F11*$C519*'Business Case'!F12*$B519)-('Business Case'!E11*$C519*'Business Case'!E12*$B519))-'Business Case'!F15*$F519</f>
        <v>673466053.876037</v>
      </c>
      <c r="M519" s="39" t="n">
        <f aca="false">(('Business Case'!G11*$C519*'Business Case'!G12*$B519)-'Business Case'!G11*$C519*'Business Case'!G13*$D519-'Business Case'!G14*$E519)-MAX(0,(('Business Case'!G11*$C519*'Business Case'!G12*$B519)-'Business Case'!G11*$C519*'Business Case'!G13*$D519-'Business Case'!G14*$E519))*'Business Case'!$B$7-'Business Case'!$B$8*(('Business Case'!G11*$C519*'Business Case'!G12*$B519)-('Business Case'!F11*$C519*'Business Case'!F12*$B519))-'Business Case'!G15*$F519+'Business Case'!$B$8*('Business Case'!G11*$C519*'Business Case'!G12*$B519)</f>
        <v>849282772.019314</v>
      </c>
      <c r="N519" s="39" t="n">
        <f aca="false">IF(COUNT('Business Case'!B11:G11)=0,"",H519+NPV(G519,I519:M519))</f>
        <v>-524050556.51198</v>
      </c>
      <c r="P519" s="40" t="n">
        <f aca="true">RAND()</f>
        <v>0.312080763562292</v>
      </c>
      <c r="Q519" s="40" t="n">
        <f aca="true">RAND()</f>
        <v>0.31688509755373</v>
      </c>
      <c r="R519" s="40" t="n">
        <f aca="true">RAND()</f>
        <v>0.549297065484737</v>
      </c>
      <c r="S519" s="40" t="n">
        <f aca="true">RAND()</f>
        <v>0.680095460669733</v>
      </c>
      <c r="T519" s="40" t="n">
        <f aca="true">RAND()</f>
        <v>0.408867252777442</v>
      </c>
      <c r="U519" s="40" t="n">
        <f aca="true">RAND()</f>
        <v>0.705808305198414</v>
      </c>
    </row>
    <row r="520" customFormat="false" ht="15" hidden="false" customHeight="false" outlineLevel="0" collapsed="false">
      <c r="A520" s="36" t="n">
        <v>440</v>
      </c>
      <c r="B520" s="37" t="n">
        <f aca="false">1+IF($G$6=$E$6,$F$6,IF(P520&lt;($F$6-$E$6)/($G$6-$E$6),$E$6+SQRT(P520*($G$6-$E$6)*($F$6-$E$6)),$G$6-SQRT((1-P520)*($G$6-$E$6)*($G$6-$F$6))))</f>
        <v>0.935164384442589</v>
      </c>
      <c r="C520" s="37" t="n">
        <f aca="false">1+IF($G$7=$E$7,$F$7,IF(Q520&lt;($F$7-$E$7)/($G$7-$E$7),$E$7+SQRT(Q520*($G$7-$E$7)*($F$7-$E$7)),$G$7-SQRT((1-Q520)*($G$7-$E$7)*($G$7-$F$7))))</f>
        <v>1.00985014300525</v>
      </c>
      <c r="D520" s="37" t="n">
        <f aca="false">1+IF($G$8=$E$8,$F$8,IF(R520&lt;($F$8-$E$8)/($G$8-$E$8),$E$8+SQRT(R520*($G$8-$E$8)*($F$8-$E$8)),$G$8-SQRT((1-R520)*($G$8-$E$8)*($G$8-$F$8))))</f>
        <v>1.05639296567748</v>
      </c>
      <c r="E520" s="37" t="n">
        <f aca="false">1+IF($G$9=$E$9,$F$9,IF(S520&lt;($F$9-$E$9)/($G$9-$E$9),$E$9+SQRT(S520*($G$9-$E$9)*($F$9-$E$9)),$G$9-SQRT((1-S520)*($G$9-$E$9)*($G$9-$F$9))))</f>
        <v>1.06799519909253</v>
      </c>
      <c r="F520" s="37" t="n">
        <f aca="false">1+IF($G$10=$E$10,$F$10,IF(T520&lt;($F$10-$E$10)/($G$10-$E$10),$E$10+SQRT(T520*($G$10-$E$10)*($F$10-$E$10)),$G$10-SQRT((1-T520)*($G$10-$E$10)*($G$10-$F$10))))</f>
        <v>1.01001078750088</v>
      </c>
      <c r="G520" s="38" t="n">
        <f aca="false">IF($G$11=$E$11,$F$11,IF(U520&lt;($F$11-$E$11)/($G$11-$E$11),$E$11+SQRT(U520*($G$11-$E$11)*($F$11-$E$11)),$G$11-SQRT((1-U520)*($G$11-$E$11)*($G$11-$F$11))))</f>
        <v>0.107413241867269</v>
      </c>
      <c r="H520" s="39" t="n">
        <f aca="false">(('Business Case'!B11*$C520*'Business Case'!B12*$B520)-'Business Case'!B11*$C520*'Business Case'!B13*$D520-'Business Case'!B14*$E520)-MAX(0,(('Business Case'!B11*$C520*'Business Case'!B12*$B520)-'Business Case'!B11*$C520*'Business Case'!B13*$D520-'Business Case'!B14*$E520))*'Business Case'!$B$7-'Business Case'!$B$8*('Business Case'!B11*$C520*'Business Case'!B12*$B520)-'Business Case'!B15*$F520</f>
        <v>-2020021575.00177</v>
      </c>
      <c r="I520" s="39" t="n">
        <f aca="false">(('Business Case'!C11*$C520*'Business Case'!C12*$B520)-'Business Case'!C11*$C520*'Business Case'!C13*$D520-'Business Case'!C14*$E520)-MAX(0,(('Business Case'!C11*$C520*'Business Case'!C12*$B520)-'Business Case'!C11*$C520*'Business Case'!C13*$D520-'Business Case'!C14*$E520))*'Business Case'!$B$7-'Business Case'!$B$8*(('Business Case'!C11*$C520*'Business Case'!C12*$B520)-('Business Case'!B11*$C520*'Business Case'!B12*$B520))-'Business Case'!C15*$F520</f>
        <v>-74430128.1400212</v>
      </c>
      <c r="J520" s="39" t="n">
        <f aca="false">(('Business Case'!D11*$C520*'Business Case'!D12*$B520)-'Business Case'!D11*$C520*'Business Case'!D13*$D520-'Business Case'!D14*$E520)-MAX(0,(('Business Case'!D11*$C520*'Business Case'!D12*$B520)-'Business Case'!D11*$C520*'Business Case'!D13*$D520-'Business Case'!D14*$E520))*'Business Case'!$B$7-'Business Case'!$B$8*(('Business Case'!D11*$C520*'Business Case'!D12*$B520)-('Business Case'!C11*$C520*'Business Case'!C12*$B520))-'Business Case'!D15*$F520</f>
        <v>152966185.781889</v>
      </c>
      <c r="K520" s="39" t="n">
        <f aca="false">(('Business Case'!E11*$C520*'Business Case'!E12*$B520)-'Business Case'!E11*$C520*'Business Case'!E13*$D520-'Business Case'!E14*$E520)-MAX(0,(('Business Case'!E11*$C520*'Business Case'!E12*$B520)-'Business Case'!E11*$C520*'Business Case'!E13*$D520-'Business Case'!E14*$E520))*'Business Case'!$B$7-'Business Case'!$B$8*(('Business Case'!E11*$C520*'Business Case'!E12*$B520)-('Business Case'!D11*$C520*'Business Case'!D12*$B520))-'Business Case'!E15*$F520</f>
        <v>430863039.078844</v>
      </c>
      <c r="L520" s="39" t="n">
        <f aca="false">(('Business Case'!F11*$C520*'Business Case'!F12*$B520)-'Business Case'!F11*$C520*'Business Case'!F13*$D520-'Business Case'!F14*$E520)-MAX(0,(('Business Case'!F11*$C520*'Business Case'!F12*$B520)-'Business Case'!F11*$C520*'Business Case'!F13*$D520-'Business Case'!F14*$E520))*'Business Case'!$B$7-'Business Case'!$B$8*(('Business Case'!F11*$C520*'Business Case'!F12*$B520)-('Business Case'!E11*$C520*'Business Case'!E12*$B520))-'Business Case'!F15*$F520</f>
        <v>539299441.053405</v>
      </c>
      <c r="M520" s="39" t="n">
        <f aca="false">(('Business Case'!G11*$C520*'Business Case'!G12*$B520)-'Business Case'!G11*$C520*'Business Case'!G13*$D520-'Business Case'!G14*$E520)-MAX(0,(('Business Case'!G11*$C520*'Business Case'!G12*$B520)-'Business Case'!G11*$C520*'Business Case'!G13*$D520-'Business Case'!G14*$E520))*'Business Case'!$B$7-'Business Case'!$B$8*(('Business Case'!G11*$C520*'Business Case'!G12*$B520)-('Business Case'!F11*$C520*'Business Case'!F12*$B520))-'Business Case'!G15*$F520+'Business Case'!$B$8*('Business Case'!G11*$C520*'Business Case'!G12*$B520)</f>
        <v>718806409.723318</v>
      </c>
      <c r="N520" s="39" t="n">
        <f aca="false">IF(COUNT('Business Case'!B11:G11)=0,"",H520+NPV(G520,I520:M520))</f>
        <v>-855078489.357356</v>
      </c>
      <c r="P520" s="40" t="n">
        <f aca="true">RAND()</f>
        <v>0.0239540162002743</v>
      </c>
      <c r="Q520" s="40" t="n">
        <f aca="true">RAND()</f>
        <v>0.625867001606667</v>
      </c>
      <c r="R520" s="40" t="n">
        <f aca="true">RAND()</f>
        <v>0.94641422408608</v>
      </c>
      <c r="S520" s="40" t="n">
        <f aca="true">RAND()</f>
        <v>0.931712847924885</v>
      </c>
      <c r="T520" s="40" t="n">
        <f aca="true">RAND()</f>
        <v>0.278081982679305</v>
      </c>
      <c r="U520" s="40" t="n">
        <f aca="true">RAND()</f>
        <v>0.735955866180213</v>
      </c>
    </row>
    <row r="521" customFormat="false" ht="15" hidden="false" customHeight="false" outlineLevel="0" collapsed="false">
      <c r="A521" s="36" t="n">
        <v>441</v>
      </c>
      <c r="B521" s="37" t="n">
        <f aca="false">1+IF($G$6=$E$6,$F$6,IF(P521&lt;($F$6-$E$6)/($G$6-$E$6),$E$6+SQRT(P521*($G$6-$E$6)*($F$6-$E$6)),$G$6-SQRT((1-P521)*($G$6-$E$6)*($G$6-$F$6))))</f>
        <v>0.957535966296216</v>
      </c>
      <c r="C521" s="37" t="n">
        <f aca="false">1+IF($G$7=$E$7,$F$7,IF(Q521&lt;($F$7-$E$7)/($G$7-$E$7),$E$7+SQRT(Q521*($G$7-$E$7)*($F$7-$E$7)),$G$7-SQRT((1-Q521)*($G$7-$E$7)*($G$7-$F$7))))</f>
        <v>0.954699039757448</v>
      </c>
      <c r="D521" s="37" t="n">
        <f aca="false">1+IF($G$8=$E$8,$F$8,IF(R521&lt;($F$8-$E$8)/($G$8-$E$8),$E$8+SQRT(R521*($G$8-$E$8)*($F$8-$E$8)),$G$8-SQRT((1-R521)*($G$8-$E$8)*($G$8-$F$8))))</f>
        <v>1.00056787208659</v>
      </c>
      <c r="E521" s="37" t="n">
        <f aca="false">1+IF($G$9=$E$9,$F$9,IF(S521&lt;($F$9-$E$9)/($G$9-$E$9),$E$9+SQRT(S521*($G$9-$E$9)*($F$9-$E$9)),$G$9-SQRT((1-S521)*($G$9-$E$9)*($G$9-$F$9))))</f>
        <v>1.01026609574728</v>
      </c>
      <c r="F521" s="37" t="n">
        <f aca="false">1+IF($G$10=$E$10,$F$10,IF(T521&lt;($F$10-$E$10)/($G$10-$E$10),$E$10+SQRT(T521*($G$10-$E$10)*($F$10-$E$10)),$G$10-SQRT((1-T521)*($G$10-$E$10)*($G$10-$F$10))))</f>
        <v>1.1032178732959</v>
      </c>
      <c r="G521" s="38" t="n">
        <f aca="false">IF($G$11=$E$11,$F$11,IF(U521&lt;($F$11-$E$11)/($G$11-$E$11),$E$11+SQRT(U521*($G$11-$E$11)*($F$11-$E$11)),$G$11-SQRT((1-U521)*($G$11-$E$11)*($G$11-$F$11))))</f>
        <v>0.106915940945675</v>
      </c>
      <c r="H521" s="39" t="n">
        <f aca="false">(('Business Case'!B11*$C521*'Business Case'!B12*$B521)-'Business Case'!B11*$C521*'Business Case'!B13*$D521-'Business Case'!B14*$E521)-MAX(0,(('Business Case'!B11*$C521*'Business Case'!B12*$B521)-'Business Case'!B11*$C521*'Business Case'!B13*$D521-'Business Case'!B14*$E521))*'Business Case'!$B$7-'Business Case'!$B$8*('Business Case'!B11*$C521*'Business Case'!B12*$B521)-'Business Case'!B15*$F521</f>
        <v>-2206435746.5918</v>
      </c>
      <c r="I521" s="39" t="n">
        <f aca="false">(('Business Case'!C11*$C521*'Business Case'!C12*$B521)-'Business Case'!C11*$C521*'Business Case'!C13*$D521-'Business Case'!C14*$E521)-MAX(0,(('Business Case'!C11*$C521*'Business Case'!C12*$B521)-'Business Case'!C11*$C521*'Business Case'!C13*$D521-'Business Case'!C14*$E521))*'Business Case'!$B$7-'Business Case'!$B$8*(('Business Case'!C11*$C521*'Business Case'!C12*$B521)-('Business Case'!B11*$C521*'Business Case'!B12*$B521))-'Business Case'!C15*$F521</f>
        <v>-41616911.610353</v>
      </c>
      <c r="J521" s="39" t="n">
        <f aca="false">(('Business Case'!D11*$C521*'Business Case'!D12*$B521)-'Business Case'!D11*$C521*'Business Case'!D13*$D521-'Business Case'!D14*$E521)-MAX(0,(('Business Case'!D11*$C521*'Business Case'!D12*$B521)-'Business Case'!D11*$C521*'Business Case'!D13*$D521-'Business Case'!D14*$E521))*'Business Case'!$B$7-'Business Case'!$B$8*(('Business Case'!D11*$C521*'Business Case'!D12*$B521)-('Business Case'!C11*$C521*'Business Case'!C12*$B521))-'Business Case'!D15*$F521</f>
        <v>218137788.250261</v>
      </c>
      <c r="K521" s="39" t="n">
        <f aca="false">(('Business Case'!E11*$C521*'Business Case'!E12*$B521)-'Business Case'!E11*$C521*'Business Case'!E13*$D521-'Business Case'!E14*$E521)-MAX(0,(('Business Case'!E11*$C521*'Business Case'!E12*$B521)-'Business Case'!E11*$C521*'Business Case'!E13*$D521-'Business Case'!E14*$E521))*'Business Case'!$B$7-'Business Case'!$B$8*(('Business Case'!E11*$C521*'Business Case'!E12*$B521)-('Business Case'!D11*$C521*'Business Case'!D12*$B521))-'Business Case'!E15*$F521</f>
        <v>533053381.77567</v>
      </c>
      <c r="L521" s="39" t="n">
        <f aca="false">(('Business Case'!F11*$C521*'Business Case'!F12*$B521)-'Business Case'!F11*$C521*'Business Case'!F13*$D521-'Business Case'!F14*$E521)-MAX(0,(('Business Case'!F11*$C521*'Business Case'!F12*$B521)-'Business Case'!F11*$C521*'Business Case'!F13*$D521-'Business Case'!F14*$E521))*'Business Case'!$B$7-'Business Case'!$B$8*(('Business Case'!F11*$C521*'Business Case'!F12*$B521)-('Business Case'!E11*$C521*'Business Case'!E12*$B521))-'Business Case'!F15*$F521</f>
        <v>651231605.279951</v>
      </c>
      <c r="M521" s="39" t="n">
        <f aca="false">(('Business Case'!G11*$C521*'Business Case'!G12*$B521)-'Business Case'!G11*$C521*'Business Case'!G13*$D521-'Business Case'!G14*$E521)-MAX(0,(('Business Case'!G11*$C521*'Business Case'!G12*$B521)-'Business Case'!G11*$C521*'Business Case'!G13*$D521-'Business Case'!G14*$E521))*'Business Case'!$B$7-'Business Case'!$B$8*(('Business Case'!G11*$C521*'Business Case'!G12*$B521)-('Business Case'!F11*$C521*'Business Case'!F12*$B521))-'Business Case'!G15*$F521+'Business Case'!$B$8*('Business Case'!G11*$C521*'Business Case'!G12*$B521)</f>
        <v>824994884.809036</v>
      </c>
      <c r="N521" s="39" t="n">
        <f aca="false">IF(COUNT('Business Case'!B11:G11)=0,"",H521+NPV(G521,I521:M521))</f>
        <v>-742728228.916503</v>
      </c>
      <c r="P521" s="40" t="n">
        <f aca="true">RAND()</f>
        <v>0.146765496436525</v>
      </c>
      <c r="Q521" s="40" t="n">
        <f aca="true">RAND()</f>
        <v>0.341882755741092</v>
      </c>
      <c r="R521" s="40" t="n">
        <f aca="true">RAND()</f>
        <v>0.393320870687234</v>
      </c>
      <c r="S521" s="40" t="n">
        <f aca="true">RAND()</f>
        <v>0.463188428504212</v>
      </c>
      <c r="T521" s="40" t="n">
        <f aca="true">RAND()</f>
        <v>0.812664399012621</v>
      </c>
      <c r="U521" s="40" t="n">
        <f aca="true">RAND()</f>
        <v>0.714678997771555</v>
      </c>
    </row>
    <row r="522" customFormat="false" ht="15" hidden="false" customHeight="false" outlineLevel="0" collapsed="false">
      <c r="A522" s="36" t="n">
        <v>442</v>
      </c>
      <c r="B522" s="37" t="n">
        <f aca="false">1+IF($G$6=$E$6,$F$6,IF(P522&lt;($F$6-$E$6)/($G$6-$E$6),$E$6+SQRT(P522*($G$6-$E$6)*($F$6-$E$6)),$G$6-SQRT((1-P522)*($G$6-$E$6)*($G$6-$F$6))))</f>
        <v>0.955564665968961</v>
      </c>
      <c r="C522" s="37" t="n">
        <f aca="false">1+IF($G$7=$E$7,$F$7,IF(Q522&lt;($F$7-$E$7)/($G$7-$E$7),$E$7+SQRT(Q522*($G$7-$E$7)*($F$7-$E$7)),$G$7-SQRT((1-Q522)*($G$7-$E$7)*($G$7-$F$7))))</f>
        <v>1.02139415833304</v>
      </c>
      <c r="D522" s="37" t="n">
        <f aca="false">1+IF($G$8=$E$8,$F$8,IF(R522&lt;($F$8-$E$8)/($G$8-$E$8),$E$8+SQRT(R522*($G$8-$E$8)*($F$8-$E$8)),$G$8-SQRT((1-R522)*($G$8-$E$8)*($G$8-$F$8))))</f>
        <v>1.02777817120436</v>
      </c>
      <c r="E522" s="37" t="n">
        <f aca="false">1+IF($G$9=$E$9,$F$9,IF(S522&lt;($F$9-$E$9)/($G$9-$E$9),$E$9+SQRT(S522*($G$9-$E$9)*($F$9-$E$9)),$G$9-SQRT((1-S522)*($G$9-$E$9)*($G$9-$F$9))))</f>
        <v>0.988594340954579</v>
      </c>
      <c r="F522" s="37" t="n">
        <f aca="false">1+IF($G$10=$E$10,$F$10,IF(T522&lt;($F$10-$E$10)/($G$10-$E$10),$E$10+SQRT(T522*($G$10-$E$10)*($F$10-$E$10)),$G$10-SQRT((1-T522)*($G$10-$E$10)*($G$10-$F$10))))</f>
        <v>0.987249200729886</v>
      </c>
      <c r="G522" s="38" t="n">
        <f aca="false">IF($G$11=$E$11,$F$11,IF(U522&lt;($F$11-$E$11)/($G$11-$E$11),$E$11+SQRT(U522*($G$11-$E$11)*($F$11-$E$11)),$G$11-SQRT((1-U522)*($G$11-$E$11)*($G$11-$F$11))))</f>
        <v>0.107731204498292</v>
      </c>
      <c r="H522" s="39" t="n">
        <f aca="false">(('Business Case'!B11*$C522*'Business Case'!B12*$B522)-'Business Case'!B11*$C522*'Business Case'!B13*$D522-'Business Case'!B14*$E522)-MAX(0,(('Business Case'!B11*$C522*'Business Case'!B12*$B522)-'Business Case'!B11*$C522*'Business Case'!B13*$D522-'Business Case'!B14*$E522))*'Business Case'!$B$7-'Business Case'!$B$8*('Business Case'!B11*$C522*'Business Case'!B12*$B522)-'Business Case'!B15*$F522</f>
        <v>-1974498401.45977</v>
      </c>
      <c r="I522" s="39" t="n">
        <f aca="false">(('Business Case'!C11*$C522*'Business Case'!C12*$B522)-'Business Case'!C11*$C522*'Business Case'!C13*$D522-'Business Case'!C14*$E522)-MAX(0,(('Business Case'!C11*$C522*'Business Case'!C12*$B522)-'Business Case'!C11*$C522*'Business Case'!C13*$D522-'Business Case'!C14*$E522))*'Business Case'!$B$7-'Business Case'!$B$8*(('Business Case'!C11*$C522*'Business Case'!C12*$B522)-('Business Case'!B11*$C522*'Business Case'!B12*$B522))-'Business Case'!C15*$F522</f>
        <v>-27874864.9899097</v>
      </c>
      <c r="J522" s="39" t="n">
        <f aca="false">(('Business Case'!D11*$C522*'Business Case'!D12*$B522)-'Business Case'!D11*$C522*'Business Case'!D13*$D522-'Business Case'!D14*$E522)-MAX(0,(('Business Case'!D11*$C522*'Business Case'!D12*$B522)-'Business Case'!D11*$C522*'Business Case'!D13*$D522-'Business Case'!D14*$E522))*'Business Case'!$B$7-'Business Case'!$B$8*(('Business Case'!D11*$C522*'Business Case'!D12*$B522)-('Business Case'!C11*$C522*'Business Case'!C12*$B522))-'Business Case'!D15*$F522</f>
        <v>234149568.792042</v>
      </c>
      <c r="K522" s="39" t="n">
        <f aca="false">(('Business Case'!E11*$C522*'Business Case'!E12*$B522)-'Business Case'!E11*$C522*'Business Case'!E13*$D522-'Business Case'!E14*$E522)-MAX(0,(('Business Case'!E11*$C522*'Business Case'!E12*$B522)-'Business Case'!E11*$C522*'Business Case'!E13*$D522-'Business Case'!E14*$E522))*'Business Case'!$B$7-'Business Case'!$B$8*(('Business Case'!E11*$C522*'Business Case'!E12*$B522)-('Business Case'!D11*$C522*'Business Case'!D12*$B522))-'Business Case'!E15*$F522</f>
        <v>545536462.610488</v>
      </c>
      <c r="L522" s="39" t="n">
        <f aca="false">(('Business Case'!F11*$C522*'Business Case'!F12*$B522)-'Business Case'!F11*$C522*'Business Case'!F13*$D522-'Business Case'!F14*$E522)-MAX(0,(('Business Case'!F11*$C522*'Business Case'!F12*$B522)-'Business Case'!F11*$C522*'Business Case'!F13*$D522-'Business Case'!F14*$E522))*'Business Case'!$B$7-'Business Case'!$B$8*(('Business Case'!F11*$C522*'Business Case'!F12*$B522)-('Business Case'!E11*$C522*'Business Case'!E12*$B522))-'Business Case'!F15*$F522</f>
        <v>666608782.81456</v>
      </c>
      <c r="M522" s="39" t="n">
        <f aca="false">(('Business Case'!G11*$C522*'Business Case'!G12*$B522)-'Business Case'!G11*$C522*'Business Case'!G13*$D522-'Business Case'!G14*$E522)-MAX(0,(('Business Case'!G11*$C522*'Business Case'!G12*$B522)-'Business Case'!G11*$C522*'Business Case'!G13*$D522-'Business Case'!G14*$E522))*'Business Case'!$B$7-'Business Case'!$B$8*(('Business Case'!G11*$C522*'Business Case'!G12*$B522)-('Business Case'!F11*$C522*'Business Case'!F12*$B522))-'Business Case'!G15*$F522+'Business Case'!$B$8*('Business Case'!G11*$C522*'Business Case'!G12*$B522)</f>
        <v>852128415.336709</v>
      </c>
      <c r="N522" s="39" t="n">
        <f aca="false">IF(COUNT('Business Case'!B11:G11)=0,"",H522+NPV(G522,I522:M522))</f>
        <v>-453873359.76058</v>
      </c>
      <c r="P522" s="40" t="n">
        <f aca="true">RAND()</f>
        <v>0.131754735987893</v>
      </c>
      <c r="Q522" s="40" t="n">
        <f aca="true">RAND()</f>
        <v>0.684962618840637</v>
      </c>
      <c r="R522" s="40" t="n">
        <f aca="true">RAND()</f>
        <v>0.7377769805037</v>
      </c>
      <c r="S522" s="40" t="n">
        <f aca="true">RAND()</f>
        <v>0.198603087162434</v>
      </c>
      <c r="T522" s="40" t="n">
        <f aca="true">RAND()</f>
        <v>0.111000236401229</v>
      </c>
      <c r="U522" s="40" t="n">
        <f aca="true">RAND()</f>
        <v>0.74912776156213</v>
      </c>
    </row>
    <row r="523" customFormat="false" ht="15" hidden="false" customHeight="false" outlineLevel="0" collapsed="false">
      <c r="A523" s="36" t="n">
        <v>443</v>
      </c>
      <c r="B523" s="37" t="n">
        <f aca="false">1+IF($G$6=$E$6,$F$6,IF(P523&lt;($F$6-$E$6)/($G$6-$E$6),$E$6+SQRT(P523*($G$6-$E$6)*($F$6-$E$6)),$G$6-SQRT((1-P523)*($G$6-$E$6)*($G$6-$F$6))))</f>
        <v>1.0141050261633</v>
      </c>
      <c r="C523" s="37" t="n">
        <f aca="false">1+IF($G$7=$E$7,$F$7,IF(Q523&lt;($F$7-$E$7)/($G$7-$E$7),$E$7+SQRT(Q523*($G$7-$E$7)*($F$7-$E$7)),$G$7-SQRT((1-Q523)*($G$7-$E$7)*($G$7-$F$7))))</f>
        <v>0.925827149739971</v>
      </c>
      <c r="D523" s="37" t="n">
        <f aca="false">1+IF($G$8=$E$8,$F$8,IF(R523&lt;($F$8-$E$8)/($G$8-$E$8),$E$8+SQRT(R523*($G$8-$E$8)*($F$8-$E$8)),$G$8-SQRT((1-R523)*($G$8-$E$8)*($G$8-$F$8))))</f>
        <v>1.01523975306037</v>
      </c>
      <c r="E523" s="37" t="n">
        <f aca="false">1+IF($G$9=$E$9,$F$9,IF(S523&lt;($F$9-$E$9)/($G$9-$E$9),$E$9+SQRT(S523*($G$9-$E$9)*($F$9-$E$9)),$G$9-SQRT((1-S523)*($G$9-$E$9)*($G$9-$F$9))))</f>
        <v>1.06236611397145</v>
      </c>
      <c r="F523" s="37" t="n">
        <f aca="false">1+IF($G$10=$E$10,$F$10,IF(T523&lt;($F$10-$E$10)/($G$10-$E$10),$E$10+SQRT(T523*($G$10-$E$10)*($F$10-$E$10)),$G$10-SQRT((1-T523)*($G$10-$E$10)*($G$10-$F$10))))</f>
        <v>0.973106772259786</v>
      </c>
      <c r="G523" s="38" t="n">
        <f aca="false">IF($G$11=$E$11,$F$11,IF(U523&lt;($F$11-$E$11)/($G$11-$E$11),$E$11+SQRT(U523*($G$11-$E$11)*($F$11-$E$11)),$G$11-SQRT((1-U523)*($G$11-$E$11)*($G$11-$F$11))))</f>
        <v>0.106946805762518</v>
      </c>
      <c r="H523" s="39" t="n">
        <f aca="false">(('Business Case'!B11*$C523*'Business Case'!B12*$B523)-'Business Case'!B11*$C523*'Business Case'!B13*$D523-'Business Case'!B14*$E523)-MAX(0,(('Business Case'!B11*$C523*'Business Case'!B12*$B523)-'Business Case'!B11*$C523*'Business Case'!B13*$D523-'Business Case'!B14*$E523))*'Business Case'!$B$7-'Business Case'!$B$8*('Business Case'!B11*$C523*'Business Case'!B12*$B523)-'Business Case'!B15*$F523</f>
        <v>-1946213544.51957</v>
      </c>
      <c r="I523" s="39" t="n">
        <f aca="false">(('Business Case'!C11*$C523*'Business Case'!C12*$B523)-'Business Case'!C11*$C523*'Business Case'!C13*$D523-'Business Case'!C14*$E523)-MAX(0,(('Business Case'!C11*$C523*'Business Case'!C12*$B523)-'Business Case'!C11*$C523*'Business Case'!C13*$D523-'Business Case'!C14*$E523))*'Business Case'!$B$7-'Business Case'!$B$8*(('Business Case'!C11*$C523*'Business Case'!C12*$B523)-('Business Case'!B11*$C523*'Business Case'!B12*$B523))-'Business Case'!C15*$F523</f>
        <v>-9208088.07554375</v>
      </c>
      <c r="J523" s="39" t="n">
        <f aca="false">(('Business Case'!D11*$C523*'Business Case'!D12*$B523)-'Business Case'!D11*$C523*'Business Case'!D13*$D523-'Business Case'!D14*$E523)-MAX(0,(('Business Case'!D11*$C523*'Business Case'!D12*$B523)-'Business Case'!D11*$C523*'Business Case'!D13*$D523-'Business Case'!D14*$E523))*'Business Case'!$B$7-'Business Case'!$B$8*(('Business Case'!D11*$C523*'Business Case'!D12*$B523)-('Business Case'!C11*$C523*'Business Case'!C12*$B523))-'Business Case'!D15*$F523</f>
        <v>278634810.954393</v>
      </c>
      <c r="K523" s="39" t="n">
        <f aca="false">(('Business Case'!E11*$C523*'Business Case'!E12*$B523)-'Business Case'!E11*$C523*'Business Case'!E13*$D523-'Business Case'!E14*$E523)-MAX(0,(('Business Case'!E11*$C523*'Business Case'!E12*$B523)-'Business Case'!E11*$C523*'Business Case'!E13*$D523-'Business Case'!E14*$E523))*'Business Case'!$B$7-'Business Case'!$B$8*(('Business Case'!E11*$C523*'Business Case'!E12*$B523)-('Business Case'!D11*$C523*'Business Case'!D12*$B523))-'Business Case'!E15*$F523</f>
        <v>615133048.597318</v>
      </c>
      <c r="L523" s="39" t="n">
        <f aca="false">(('Business Case'!F11*$C523*'Business Case'!F12*$B523)-'Business Case'!F11*$C523*'Business Case'!F13*$D523-'Business Case'!F14*$E523)-MAX(0,(('Business Case'!F11*$C523*'Business Case'!F12*$B523)-'Business Case'!F11*$C523*'Business Case'!F13*$D523-'Business Case'!F14*$E523))*'Business Case'!$B$7-'Business Case'!$B$8*(('Business Case'!F11*$C523*'Business Case'!F12*$B523)-('Business Case'!E11*$C523*'Business Case'!E12*$B523))-'Business Case'!F15*$F523</f>
        <v>743528580.589138</v>
      </c>
      <c r="M523" s="39" t="n">
        <f aca="false">(('Business Case'!G11*$C523*'Business Case'!G12*$B523)-'Business Case'!G11*$C523*'Business Case'!G13*$D523-'Business Case'!G14*$E523)-MAX(0,(('Business Case'!G11*$C523*'Business Case'!G12*$B523)-'Business Case'!G11*$C523*'Business Case'!G13*$D523-'Business Case'!G14*$E523))*'Business Case'!$B$7-'Business Case'!$B$8*(('Business Case'!G11*$C523*'Business Case'!G12*$B523)-('Business Case'!F11*$C523*'Business Case'!F12*$B523))-'Business Case'!G15*$F523+'Business Case'!$B$8*('Business Case'!G11*$C523*'Business Case'!G12*$B523)</f>
        <v>921992024.989262</v>
      </c>
      <c r="N523" s="39" t="n">
        <f aca="false">IF(COUNT('Business Case'!B11:G11)=0,"",H523+NPV(G523,I523:M523))</f>
        <v>-223668027.855537</v>
      </c>
      <c r="P523" s="40" t="n">
        <f aca="true">RAND()</f>
        <v>0.8603021520826</v>
      </c>
      <c r="Q523" s="40" t="n">
        <f aca="true">RAND()</f>
        <v>0.226178165881216</v>
      </c>
      <c r="R523" s="40" t="n">
        <f aca="true">RAND()</f>
        <v>0.596741386184432</v>
      </c>
      <c r="S523" s="40" t="n">
        <f aca="true">RAND()</f>
        <v>0.905579374826013</v>
      </c>
      <c r="T523" s="40" t="n">
        <f aca="true">RAND()</f>
        <v>0.042713833941249</v>
      </c>
      <c r="U523" s="40" t="n">
        <f aca="true">RAND()</f>
        <v>0.716023533664277</v>
      </c>
    </row>
    <row r="524" customFormat="false" ht="15" hidden="false" customHeight="false" outlineLevel="0" collapsed="false">
      <c r="A524" s="36" t="n">
        <v>444</v>
      </c>
      <c r="B524" s="37" t="n">
        <f aca="false">1+IF($G$6=$E$6,$F$6,IF(P524&lt;($F$6-$E$6)/($G$6-$E$6),$E$6+SQRT(P524*($G$6-$E$6)*($F$6-$E$6)),$G$6-SQRT((1-P524)*($G$6-$E$6)*($G$6-$F$6))))</f>
        <v>0.939733277803593</v>
      </c>
      <c r="C524" s="37" t="n">
        <f aca="false">1+IF($G$7=$E$7,$F$7,IF(Q524&lt;($F$7-$E$7)/($G$7-$E$7),$E$7+SQRT(Q524*($G$7-$E$7)*($F$7-$E$7)),$G$7-SQRT((1-Q524)*($G$7-$E$7)*($G$7-$F$7))))</f>
        <v>1.00075021271084</v>
      </c>
      <c r="D524" s="37" t="n">
        <f aca="false">1+IF($G$8=$E$8,$F$8,IF(R524&lt;($F$8-$E$8)/($G$8-$E$8),$E$8+SQRT(R524*($G$8-$E$8)*($F$8-$E$8)),$G$8-SQRT((1-R524)*($G$8-$E$8)*($G$8-$F$8))))</f>
        <v>1.01857536275494</v>
      </c>
      <c r="E524" s="37" t="n">
        <f aca="false">1+IF($G$9=$E$9,$F$9,IF(S524&lt;($F$9-$E$9)/($G$9-$E$9),$E$9+SQRT(S524*($G$9-$E$9)*($F$9-$E$9)),$G$9-SQRT((1-S524)*($G$9-$E$9)*($G$9-$F$9))))</f>
        <v>0.97819959511904</v>
      </c>
      <c r="F524" s="37" t="n">
        <f aca="false">1+IF($G$10=$E$10,$F$10,IF(T524&lt;($F$10-$E$10)/($G$10-$E$10),$E$10+SQRT(T524*($G$10-$E$10)*($F$10-$E$10)),$G$10-SQRT((1-T524)*($G$10-$E$10)*($G$10-$F$10))))</f>
        <v>0.992486260461347</v>
      </c>
      <c r="G524" s="38" t="n">
        <f aca="false">IF($G$11=$E$11,$F$11,IF(U524&lt;($F$11-$E$11)/($G$11-$E$11),$E$11+SQRT(U524*($G$11-$E$11)*($F$11-$E$11)),$G$11-SQRT((1-U524)*($G$11-$E$11)*($G$11-$F$11))))</f>
        <v>0.108511994457624</v>
      </c>
      <c r="H524" s="39" t="n">
        <f aca="false">(('Business Case'!B11*$C524*'Business Case'!B12*$B524)-'Business Case'!B11*$C524*'Business Case'!B13*$D524-'Business Case'!B14*$E524)-MAX(0,(('Business Case'!B11*$C524*'Business Case'!B12*$B524)-'Business Case'!B11*$C524*'Business Case'!B13*$D524-'Business Case'!B14*$E524))*'Business Case'!$B$7-'Business Case'!$B$8*('Business Case'!B11*$C524*'Business Case'!B12*$B524)-'Business Case'!B15*$F524</f>
        <v>-1984972520.92269</v>
      </c>
      <c r="I524" s="39" t="n">
        <f aca="false">(('Business Case'!C11*$C524*'Business Case'!C12*$B524)-'Business Case'!C11*$C524*'Business Case'!C13*$D524-'Business Case'!C14*$E524)-MAX(0,(('Business Case'!C11*$C524*'Business Case'!C12*$B524)-'Business Case'!C11*$C524*'Business Case'!C13*$D524-'Business Case'!C14*$E524))*'Business Case'!$B$7-'Business Case'!$B$8*(('Business Case'!C11*$C524*'Business Case'!C12*$B524)-('Business Case'!B11*$C524*'Business Case'!B12*$B524))-'Business Case'!C15*$F524</f>
        <v>-38634550.2713971</v>
      </c>
      <c r="J524" s="39" t="n">
        <f aca="false">(('Business Case'!D11*$C524*'Business Case'!D12*$B524)-'Business Case'!D11*$C524*'Business Case'!D13*$D524-'Business Case'!D14*$E524)-MAX(0,(('Business Case'!D11*$C524*'Business Case'!D12*$B524)-'Business Case'!D11*$C524*'Business Case'!D13*$D524-'Business Case'!D14*$E524))*'Business Case'!$B$7-'Business Case'!$B$8*(('Business Case'!D11*$C524*'Business Case'!D12*$B524)-('Business Case'!C11*$C524*'Business Case'!C12*$B524))-'Business Case'!D15*$F524</f>
        <v>209831828.24282</v>
      </c>
      <c r="K524" s="39" t="n">
        <f aca="false">(('Business Case'!E11*$C524*'Business Case'!E12*$B524)-'Business Case'!E11*$C524*'Business Case'!E13*$D524-'Business Case'!E14*$E524)-MAX(0,(('Business Case'!E11*$C524*'Business Case'!E12*$B524)-'Business Case'!E11*$C524*'Business Case'!E13*$D524-'Business Case'!E14*$E524))*'Business Case'!$B$7-'Business Case'!$B$8*(('Business Case'!E11*$C524*'Business Case'!E12*$B524)-('Business Case'!D11*$C524*'Business Case'!D12*$B524))-'Business Case'!E15*$F524</f>
        <v>507922519.780105</v>
      </c>
      <c r="L524" s="39" t="n">
        <f aca="false">(('Business Case'!F11*$C524*'Business Case'!F12*$B524)-'Business Case'!F11*$C524*'Business Case'!F13*$D524-'Business Case'!F14*$E524)-MAX(0,(('Business Case'!F11*$C524*'Business Case'!F12*$B524)-'Business Case'!F11*$C524*'Business Case'!F13*$D524-'Business Case'!F14*$E524))*'Business Case'!$B$7-'Business Case'!$B$8*(('Business Case'!F11*$C524*'Business Case'!F12*$B524)-('Business Case'!E11*$C524*'Business Case'!E12*$B524))-'Business Case'!F15*$F524</f>
        <v>623246192.827212</v>
      </c>
      <c r="M524" s="39" t="n">
        <f aca="false">(('Business Case'!G11*$C524*'Business Case'!G12*$B524)-'Business Case'!G11*$C524*'Business Case'!G13*$D524-'Business Case'!G14*$E524)-MAX(0,(('Business Case'!G11*$C524*'Business Case'!G12*$B524)-'Business Case'!G11*$C524*'Business Case'!G13*$D524-'Business Case'!G14*$E524))*'Business Case'!$B$7-'Business Case'!$B$8*(('Business Case'!G11*$C524*'Business Case'!G12*$B524)-('Business Case'!F11*$C524*'Business Case'!F12*$B524))-'Business Case'!G15*$F524+'Business Case'!$B$8*('Business Case'!G11*$C524*'Business Case'!G12*$B524)</f>
        <v>802004700.64357</v>
      </c>
      <c r="N524" s="39" t="n">
        <f aca="false">IF(COUNT('Business Case'!B11:G11)=0,"",H524+NPV(G524,I524:M524))</f>
        <v>-584263016.904527</v>
      </c>
      <c r="P524" s="40" t="n">
        <f aca="true">RAND()</f>
        <v>0.040562734674353</v>
      </c>
      <c r="Q524" s="40" t="n">
        <f aca="true">RAND()</f>
        <v>0.575704780840771</v>
      </c>
      <c r="R524" s="40" t="n">
        <f aca="true">RAND()</f>
        <v>0.637212878780127</v>
      </c>
      <c r="S524" s="40" t="n">
        <f aca="true">RAND()</f>
        <v>0.106028955317035</v>
      </c>
      <c r="T524" s="40" t="n">
        <f aca="true">RAND()</f>
        <v>0.14440658623915</v>
      </c>
      <c r="U524" s="40" t="n">
        <f aca="true">RAND()</f>
        <v>0.780042881097246</v>
      </c>
    </row>
    <row r="525" customFormat="false" ht="15" hidden="false" customHeight="false" outlineLevel="0" collapsed="false">
      <c r="A525" s="36" t="n">
        <v>445</v>
      </c>
      <c r="B525" s="37" t="n">
        <f aca="false">1+IF($G$6=$E$6,$F$6,IF(P525&lt;($F$6-$E$6)/($G$6-$E$6),$E$6+SQRT(P525*($G$6-$E$6)*($F$6-$E$6)),$G$6-SQRT((1-P525)*($G$6-$E$6)*($G$6-$F$6))))</f>
        <v>0.932389703641632</v>
      </c>
      <c r="C525" s="37" t="n">
        <f aca="false">1+IF($G$7=$E$7,$F$7,IF(Q525&lt;($F$7-$E$7)/($G$7-$E$7),$E$7+SQRT(Q525*($G$7-$E$7)*($F$7-$E$7)),$G$7-SQRT((1-Q525)*($G$7-$E$7)*($G$7-$F$7))))</f>
        <v>0.843734318147699</v>
      </c>
      <c r="D525" s="37" t="n">
        <f aca="false">1+IF($G$8=$E$8,$F$8,IF(R525&lt;($F$8-$E$8)/($G$8-$E$8),$E$8+SQRT(R525*($G$8-$E$8)*($F$8-$E$8)),$G$8-SQRT((1-R525)*($G$8-$E$8)*($G$8-$F$8))))</f>
        <v>0.971340939529929</v>
      </c>
      <c r="E525" s="37" t="n">
        <f aca="false">1+IF($G$9=$E$9,$F$9,IF(S525&lt;($F$9-$E$9)/($G$9-$E$9),$E$9+SQRT(S525*($G$9-$E$9)*($F$9-$E$9)),$G$9-SQRT((1-S525)*($G$9-$E$9)*($G$9-$F$9))))</f>
        <v>0.986101051755658</v>
      </c>
      <c r="F525" s="37" t="n">
        <f aca="false">1+IF($G$10=$E$10,$F$10,IF(T525&lt;($F$10-$E$10)/($G$10-$E$10),$E$10+SQRT(T525*($G$10-$E$10)*($F$10-$E$10)),$G$10-SQRT((1-T525)*($G$10-$E$10)*($G$10-$F$10))))</f>
        <v>1.07284879072498</v>
      </c>
      <c r="G525" s="38" t="n">
        <f aca="false">IF($G$11=$E$11,$F$11,IF(U525&lt;($F$11-$E$11)/($G$11-$E$11),$E$11+SQRT(U525*($G$11-$E$11)*($F$11-$E$11)),$G$11-SQRT((1-U525)*($G$11-$E$11)*($G$11-$F$11))))</f>
        <v>0.104912507348923</v>
      </c>
      <c r="H525" s="39" t="n">
        <f aca="false">(('Business Case'!B11*$C525*'Business Case'!B12*$B525)-'Business Case'!B11*$C525*'Business Case'!B13*$D525-'Business Case'!B14*$E525)-MAX(0,(('Business Case'!B11*$C525*'Business Case'!B12*$B525)-'Business Case'!B11*$C525*'Business Case'!B13*$D525-'Business Case'!B14*$E525))*'Business Case'!$B$7-'Business Case'!$B$8*('Business Case'!B11*$C525*'Business Case'!B12*$B525)-'Business Case'!B15*$F525</f>
        <v>-2145697581.44996</v>
      </c>
      <c r="I525" s="39" t="n">
        <f aca="false">(('Business Case'!C11*$C525*'Business Case'!C12*$B525)-'Business Case'!C11*$C525*'Business Case'!C13*$D525-'Business Case'!C14*$E525)-MAX(0,(('Business Case'!C11*$C525*'Business Case'!C12*$B525)-'Business Case'!C11*$C525*'Business Case'!C13*$D525-'Business Case'!C14*$E525))*'Business Case'!$B$7-'Business Case'!$B$8*(('Business Case'!C11*$C525*'Business Case'!C12*$B525)-('Business Case'!B11*$C525*'Business Case'!B12*$B525))-'Business Case'!C15*$F525</f>
        <v>-63481249.9383486</v>
      </c>
      <c r="J525" s="39" t="n">
        <f aca="false">(('Business Case'!D11*$C525*'Business Case'!D12*$B525)-'Business Case'!D11*$C525*'Business Case'!D13*$D525-'Business Case'!D14*$E525)-MAX(0,(('Business Case'!D11*$C525*'Business Case'!D12*$B525)-'Business Case'!D11*$C525*'Business Case'!D13*$D525-'Business Case'!D14*$E525))*'Business Case'!$B$7-'Business Case'!$B$8*(('Business Case'!D11*$C525*'Business Case'!D12*$B525)-('Business Case'!C11*$C525*'Business Case'!C12*$B525))-'Business Case'!D15*$F525</f>
        <v>161327916.40912</v>
      </c>
      <c r="K525" s="39" t="n">
        <f aca="false">(('Business Case'!E11*$C525*'Business Case'!E12*$B525)-'Business Case'!E11*$C525*'Business Case'!E13*$D525-'Business Case'!E14*$E525)-MAX(0,(('Business Case'!E11*$C525*'Business Case'!E12*$B525)-'Business Case'!E11*$C525*'Business Case'!E13*$D525-'Business Case'!E14*$E525))*'Business Case'!$B$7-'Business Case'!$B$8*(('Business Case'!E11*$C525*'Business Case'!E12*$B525)-('Business Case'!D11*$C525*'Business Case'!D12*$B525))-'Business Case'!E15*$F525</f>
        <v>439779522.292837</v>
      </c>
      <c r="L525" s="39" t="n">
        <f aca="false">(('Business Case'!F11*$C525*'Business Case'!F12*$B525)-'Business Case'!F11*$C525*'Business Case'!F13*$D525-'Business Case'!F14*$E525)-MAX(0,(('Business Case'!F11*$C525*'Business Case'!F12*$B525)-'Business Case'!F11*$C525*'Business Case'!F13*$D525-'Business Case'!F14*$E525))*'Business Case'!$B$7-'Business Case'!$B$8*(('Business Case'!F11*$C525*'Business Case'!F12*$B525)-('Business Case'!E11*$C525*'Business Case'!E12*$B525))-'Business Case'!F15*$F525</f>
        <v>541903889.511102</v>
      </c>
      <c r="M525" s="39" t="n">
        <f aca="false">(('Business Case'!G11*$C525*'Business Case'!G12*$B525)-'Business Case'!G11*$C525*'Business Case'!G13*$D525-'Business Case'!G14*$E525)-MAX(0,(('Business Case'!G11*$C525*'Business Case'!G12*$B525)-'Business Case'!G11*$C525*'Business Case'!G13*$D525-'Business Case'!G14*$E525))*'Business Case'!$B$7-'Business Case'!$B$8*(('Business Case'!G11*$C525*'Business Case'!G12*$B525)-('Business Case'!F11*$C525*'Business Case'!F12*$B525))-'Business Case'!G15*$F525+'Business Case'!$B$8*('Business Case'!G11*$C525*'Business Case'!G12*$B525)</f>
        <v>691437770.907872</v>
      </c>
      <c r="N525" s="39" t="n">
        <f aca="false">IF(COUNT('Business Case'!B11:G11)=0,"",H525+NPV(G525,I525:M525))</f>
        <v>-961522162.633198</v>
      </c>
      <c r="P525" s="40" t="n">
        <f aca="true">RAND()</f>
        <v>0.0159900787841117</v>
      </c>
      <c r="Q525" s="40" t="n">
        <f aca="true">RAND()</f>
        <v>0.0273241511977737</v>
      </c>
      <c r="R525" s="40" t="n">
        <f aca="true">RAND()</f>
        <v>0.0700670307723175</v>
      </c>
      <c r="S525" s="40" t="n">
        <f aca="true">RAND()</f>
        <v>0.173771458381959</v>
      </c>
      <c r="T525" s="40" t="n">
        <f aca="true">RAND()</f>
        <v>0.676651399597994</v>
      </c>
      <c r="U525" s="40" t="n">
        <f aca="true">RAND()</f>
        <v>0.62061260917282</v>
      </c>
    </row>
    <row r="526" customFormat="false" ht="15" hidden="false" customHeight="false" outlineLevel="0" collapsed="false">
      <c r="A526" s="36" t="n">
        <v>446</v>
      </c>
      <c r="B526" s="37" t="n">
        <f aca="false">1+IF($G$6=$E$6,$F$6,IF(P526&lt;($F$6-$E$6)/($G$6-$E$6),$E$6+SQRT(P526*($G$6-$E$6)*($F$6-$E$6)),$G$6-SQRT((1-P526)*($G$6-$E$6)*($G$6-$F$6))))</f>
        <v>1.01562238989432</v>
      </c>
      <c r="C526" s="37" t="n">
        <f aca="false">1+IF($G$7=$E$7,$F$7,IF(Q526&lt;($F$7-$E$7)/($G$7-$E$7),$E$7+SQRT(Q526*($G$7-$E$7)*($F$7-$E$7)),$G$7-SQRT((1-Q526)*($G$7-$E$7)*($G$7-$F$7))))</f>
        <v>0.92039310118939</v>
      </c>
      <c r="D526" s="37" t="n">
        <f aca="false">1+IF($G$8=$E$8,$F$8,IF(R526&lt;($F$8-$E$8)/($G$8-$E$8),$E$8+SQRT(R526*($G$8-$E$8)*($F$8-$E$8)),$G$8-SQRT((1-R526)*($G$8-$E$8)*($G$8-$F$8))))</f>
        <v>1.02546622215718</v>
      </c>
      <c r="E526" s="37" t="n">
        <f aca="false">1+IF($G$9=$E$9,$F$9,IF(S526&lt;($F$9-$E$9)/($G$9-$E$9),$E$9+SQRT(S526*($G$9-$E$9)*($F$9-$E$9)),$G$9-SQRT((1-S526)*($G$9-$E$9)*($G$9-$F$9))))</f>
        <v>1.02406777378547</v>
      </c>
      <c r="F526" s="37" t="n">
        <f aca="false">1+IF($G$10=$E$10,$F$10,IF(T526&lt;($F$10-$E$10)/($G$10-$E$10),$E$10+SQRT(T526*($G$10-$E$10)*($F$10-$E$10)),$G$10-SQRT((1-T526)*($G$10-$E$10)*($G$10-$F$10))))</f>
        <v>1.02580413606488</v>
      </c>
      <c r="G526" s="38" t="n">
        <f aca="false">IF($G$11=$E$11,$F$11,IF(U526&lt;($F$11-$E$11)/($G$11-$E$11),$E$11+SQRT(U526*($G$11-$E$11)*($F$11-$E$11)),$G$11-SQRT((1-U526)*($G$11-$E$11)*($G$11-$F$11))))</f>
        <v>0.097723392897557</v>
      </c>
      <c r="H526" s="39" t="n">
        <f aca="false">(('Business Case'!B11*$C526*'Business Case'!B12*$B526)-'Business Case'!B11*$C526*'Business Case'!B13*$D526-'Business Case'!B14*$E526)-MAX(0,(('Business Case'!B11*$C526*'Business Case'!B12*$B526)-'Business Case'!B11*$C526*'Business Case'!B13*$D526-'Business Case'!B14*$E526))*'Business Case'!$B$7-'Business Case'!$B$8*('Business Case'!B11*$C526*'Business Case'!B12*$B526)-'Business Case'!B15*$F526</f>
        <v>-2051608272.12975</v>
      </c>
      <c r="I526" s="39" t="n">
        <f aca="false">(('Business Case'!C11*$C526*'Business Case'!C12*$B526)-'Business Case'!C11*$C526*'Business Case'!C13*$D526-'Business Case'!C14*$E526)-MAX(0,(('Business Case'!C11*$C526*'Business Case'!C12*$B526)-'Business Case'!C11*$C526*'Business Case'!C13*$D526-'Business Case'!C14*$E526))*'Business Case'!$B$7-'Business Case'!$B$8*(('Business Case'!C11*$C526*'Business Case'!C12*$B526)-('Business Case'!B11*$C526*'Business Case'!B12*$B526))-'Business Case'!C15*$F526</f>
        <v>-14182477.9309794</v>
      </c>
      <c r="J526" s="39" t="n">
        <f aca="false">(('Business Case'!D11*$C526*'Business Case'!D12*$B526)-'Business Case'!D11*$C526*'Business Case'!D13*$D526-'Business Case'!D14*$E526)-MAX(0,(('Business Case'!D11*$C526*'Business Case'!D12*$B526)-'Business Case'!D11*$C526*'Business Case'!D13*$D526-'Business Case'!D14*$E526))*'Business Case'!$B$7-'Business Case'!$B$8*(('Business Case'!D11*$C526*'Business Case'!D12*$B526)-('Business Case'!C11*$C526*'Business Case'!C12*$B526))-'Business Case'!D15*$F526</f>
        <v>268296467.418006</v>
      </c>
      <c r="K526" s="39" t="n">
        <f aca="false">(('Business Case'!E11*$C526*'Business Case'!E12*$B526)-'Business Case'!E11*$C526*'Business Case'!E13*$D526-'Business Case'!E14*$E526)-MAX(0,(('Business Case'!E11*$C526*'Business Case'!E12*$B526)-'Business Case'!E11*$C526*'Business Case'!E13*$D526-'Business Case'!E14*$E526))*'Business Case'!$B$7-'Business Case'!$B$8*(('Business Case'!E11*$C526*'Business Case'!E12*$B526)-('Business Case'!D11*$C526*'Business Case'!D12*$B526))-'Business Case'!E15*$F526</f>
        <v>602065619.570235</v>
      </c>
      <c r="L526" s="39" t="n">
        <f aca="false">(('Business Case'!F11*$C526*'Business Case'!F12*$B526)-'Business Case'!F11*$C526*'Business Case'!F13*$D526-'Business Case'!F14*$E526)-MAX(0,(('Business Case'!F11*$C526*'Business Case'!F12*$B526)-'Business Case'!F11*$C526*'Business Case'!F13*$D526-'Business Case'!F14*$E526))*'Business Case'!$B$7-'Business Case'!$B$8*(('Business Case'!F11*$C526*'Business Case'!F12*$B526)-('Business Case'!E11*$C526*'Business Case'!E12*$B526))-'Business Case'!F15*$F526</f>
        <v>728530982.847353</v>
      </c>
      <c r="M526" s="39" t="n">
        <f aca="false">(('Business Case'!G11*$C526*'Business Case'!G12*$B526)-'Business Case'!G11*$C526*'Business Case'!G13*$D526-'Business Case'!G14*$E526)-MAX(0,(('Business Case'!G11*$C526*'Business Case'!G12*$B526)-'Business Case'!G11*$C526*'Business Case'!G13*$D526-'Business Case'!G14*$E526))*'Business Case'!$B$7-'Business Case'!$B$8*(('Business Case'!G11*$C526*'Business Case'!G12*$B526)-('Business Case'!F11*$C526*'Business Case'!F12*$B526))-'Business Case'!G15*$F526+'Business Case'!$B$8*('Business Case'!G11*$C526*'Business Case'!G12*$B526)</f>
        <v>906212414.398358</v>
      </c>
      <c r="N526" s="39" t="n">
        <f aca="false">IF(COUNT('Business Case'!B11:G11)=0,"",H526+NPV(G526,I526:M526))</f>
        <v>-316430859.510354</v>
      </c>
      <c r="P526" s="40" t="n">
        <f aca="true">RAND()</f>
        <v>0.87619419281984</v>
      </c>
      <c r="Q526" s="40" t="n">
        <f aca="true">RAND()</f>
        <v>0.207064268771409</v>
      </c>
      <c r="R526" s="40" t="n">
        <f aca="true">RAND()</f>
        <v>0.714044910979776</v>
      </c>
      <c r="S526" s="40" t="n">
        <f aca="true">RAND()</f>
        <v>0.615619801473724</v>
      </c>
      <c r="T526" s="40" t="n">
        <f aca="true">RAND()</f>
        <v>0.393116019757909</v>
      </c>
      <c r="U526" s="40" t="n">
        <f aca="true">RAND()</f>
        <v>0.198835992833444</v>
      </c>
    </row>
    <row r="527" customFormat="false" ht="15" hidden="false" customHeight="false" outlineLevel="0" collapsed="false">
      <c r="A527" s="36" t="n">
        <v>447</v>
      </c>
      <c r="B527" s="37" t="n">
        <f aca="false">1+IF($G$6=$E$6,$F$6,IF(P527&lt;($F$6-$E$6)/($G$6-$E$6),$E$6+SQRT(P527*($G$6-$E$6)*($F$6-$E$6)),$G$6-SQRT((1-P527)*($G$6-$E$6)*($G$6-$F$6))))</f>
        <v>0.97706443254064</v>
      </c>
      <c r="C527" s="37" t="n">
        <f aca="false">1+IF($G$7=$E$7,$F$7,IF(Q527&lt;($F$7-$E$7)/($G$7-$E$7),$E$7+SQRT(Q527*($G$7-$E$7)*($F$7-$E$7)),$G$7-SQRT((1-Q527)*($G$7-$E$7)*($G$7-$F$7))))</f>
        <v>1.11929326352253</v>
      </c>
      <c r="D527" s="37" t="n">
        <f aca="false">1+IF($G$8=$E$8,$F$8,IF(R527&lt;($F$8-$E$8)/($G$8-$E$8),$E$8+SQRT(R527*($G$8-$E$8)*($F$8-$E$8)),$G$8-SQRT((1-R527)*($G$8-$E$8)*($G$8-$F$8))))</f>
        <v>1.02349116395324</v>
      </c>
      <c r="E527" s="37" t="n">
        <f aca="false">1+IF($G$9=$E$9,$F$9,IF(S527&lt;($F$9-$E$9)/($G$9-$E$9),$E$9+SQRT(S527*($G$9-$E$9)*($F$9-$E$9)),$G$9-SQRT((1-S527)*($G$9-$E$9)*($G$9-$F$9))))</f>
        <v>0.971812677425265</v>
      </c>
      <c r="F527" s="37" t="n">
        <f aca="false">1+IF($G$10=$E$10,$F$10,IF(T527&lt;($F$10-$E$10)/($G$10-$E$10),$E$10+SQRT(T527*($G$10-$E$10)*($F$10-$E$10)),$G$10-SQRT((1-T527)*($G$10-$E$10)*($G$10-$F$10))))</f>
        <v>1.02397506665819</v>
      </c>
      <c r="G527" s="38" t="n">
        <f aca="false">IF($G$11=$E$11,$F$11,IF(U527&lt;($F$11-$E$11)/($G$11-$E$11),$E$11+SQRT(U527*($G$11-$E$11)*($F$11-$E$11)),$G$11-SQRT((1-U527)*($G$11-$E$11)*($G$11-$F$11))))</f>
        <v>0.0939152389667176</v>
      </c>
      <c r="H527" s="39" t="n">
        <f aca="false">(('Business Case'!B11*$C527*'Business Case'!B12*$B527)-'Business Case'!B11*$C527*'Business Case'!B13*$D527-'Business Case'!B14*$E527)-MAX(0,(('Business Case'!B11*$C527*'Business Case'!B12*$B527)-'Business Case'!B11*$C527*'Business Case'!B13*$D527-'Business Case'!B14*$E527))*'Business Case'!$B$7-'Business Case'!$B$8*('Business Case'!B11*$C527*'Business Case'!B12*$B527)-'Business Case'!B15*$F527</f>
        <v>-2047950133.31638</v>
      </c>
      <c r="I527" s="39" t="n">
        <f aca="false">(('Business Case'!C11*$C527*'Business Case'!C12*$B527)-'Business Case'!C11*$C527*'Business Case'!C13*$D527-'Business Case'!C14*$E527)-MAX(0,(('Business Case'!C11*$C527*'Business Case'!C12*$B527)-'Business Case'!C11*$C527*'Business Case'!C13*$D527-'Business Case'!C14*$E527))*'Business Case'!$B$7-'Business Case'!$B$8*(('Business Case'!C11*$C527*'Business Case'!C12*$B527)-('Business Case'!B11*$C527*'Business Case'!B12*$B527))-'Business Case'!C15*$F527</f>
        <v>12023469.9034292</v>
      </c>
      <c r="J527" s="39" t="n">
        <f aca="false">(('Business Case'!D11*$C527*'Business Case'!D12*$B527)-'Business Case'!D11*$C527*'Business Case'!D13*$D527-'Business Case'!D14*$E527)-MAX(0,(('Business Case'!D11*$C527*'Business Case'!D12*$B527)-'Business Case'!D11*$C527*'Business Case'!D13*$D527-'Business Case'!D14*$E527))*'Business Case'!$B$7-'Business Case'!$B$8*(('Business Case'!D11*$C527*'Business Case'!D12*$B527)-('Business Case'!C11*$C527*'Business Case'!C12*$B527))-'Business Case'!D15*$F527</f>
        <v>321329554.883821</v>
      </c>
      <c r="K527" s="39" t="n">
        <f aca="false">(('Business Case'!E11*$C527*'Business Case'!E12*$B527)-'Business Case'!E11*$C527*'Business Case'!E13*$D527-'Business Case'!E14*$E527)-MAX(0,(('Business Case'!E11*$C527*'Business Case'!E12*$B527)-'Business Case'!E11*$C527*'Business Case'!E13*$D527-'Business Case'!E14*$E527))*'Business Case'!$B$7-'Business Case'!$B$8*(('Business Case'!E11*$C527*'Business Case'!E12*$B527)-('Business Case'!D11*$C527*'Business Case'!D12*$B527))-'Business Case'!E15*$F527</f>
        <v>681834393.197123</v>
      </c>
      <c r="L527" s="39" t="n">
        <f aca="false">(('Business Case'!F11*$C527*'Business Case'!F12*$B527)-'Business Case'!F11*$C527*'Business Case'!F13*$D527-'Business Case'!F14*$E527)-MAX(0,(('Business Case'!F11*$C527*'Business Case'!F12*$B527)-'Business Case'!F11*$C527*'Business Case'!F13*$D527-'Business Case'!F14*$E527))*'Business Case'!$B$7-'Business Case'!$B$8*(('Business Case'!F11*$C527*'Business Case'!F12*$B527)-('Business Case'!E11*$C527*'Business Case'!E12*$B527))-'Business Case'!F15*$F527</f>
        <v>822731985.311435</v>
      </c>
      <c r="M527" s="39" t="n">
        <f aca="false">(('Business Case'!G11*$C527*'Business Case'!G12*$B527)-'Business Case'!G11*$C527*'Business Case'!G13*$D527-'Business Case'!G14*$E527)-MAX(0,(('Business Case'!G11*$C527*'Business Case'!G12*$B527)-'Business Case'!G11*$C527*'Business Case'!G13*$D527-'Business Case'!G14*$E527))*'Business Case'!$B$7-'Business Case'!$B$8*(('Business Case'!G11*$C527*'Business Case'!G12*$B527)-('Business Case'!F11*$C527*'Business Case'!F12*$B527))-'Business Case'!G15*$F527+'Business Case'!$B$8*('Business Case'!G11*$C527*'Business Case'!G12*$B527)</f>
        <v>1030607586.14276</v>
      </c>
      <c r="N527" s="39" t="n">
        <f aca="false">IF(COUNT('Business Case'!B11:G11)=0,"",H527+NPV(G527,I527:M527))</f>
        <v>-15099137.4448519</v>
      </c>
      <c r="P527" s="40" t="n">
        <f aca="true">RAND()</f>
        <v>0.339203068873459</v>
      </c>
      <c r="Q527" s="40" t="n">
        <f aca="true">RAND()</f>
        <v>0.982039930188638</v>
      </c>
      <c r="R527" s="40" t="n">
        <f aca="true">RAND()</f>
        <v>0.692956870061611</v>
      </c>
      <c r="S527" s="40" t="n">
        <f aca="true">RAND()</f>
        <v>0.0634390528611556</v>
      </c>
      <c r="T527" s="40" t="n">
        <f aca="true">RAND()</f>
        <v>0.380304456840212</v>
      </c>
      <c r="U527" s="40" t="n">
        <f aca="true">RAND()</f>
        <v>0.0510969872216799</v>
      </c>
    </row>
    <row r="528" customFormat="false" ht="15" hidden="false" customHeight="false" outlineLevel="0" collapsed="false">
      <c r="A528" s="36" t="n">
        <v>448</v>
      </c>
      <c r="B528" s="37" t="n">
        <f aca="false">1+IF($G$6=$E$6,$F$6,IF(P528&lt;($F$6-$E$6)/($G$6-$E$6),$E$6+SQRT(P528*($G$6-$E$6)*($F$6-$E$6)),$G$6-SQRT((1-P528)*($G$6-$E$6)*($G$6-$F$6))))</f>
        <v>0.974774300615086</v>
      </c>
      <c r="C528" s="37" t="n">
        <f aca="false">1+IF($G$7=$E$7,$F$7,IF(Q528&lt;($F$7-$E$7)/($G$7-$E$7),$E$7+SQRT(Q528*($G$7-$E$7)*($F$7-$E$7)),$G$7-SQRT((1-Q528)*($G$7-$E$7)*($G$7-$F$7))))</f>
        <v>1.03650149106405</v>
      </c>
      <c r="D528" s="37" t="n">
        <f aca="false">1+IF($G$8=$E$8,$F$8,IF(R528&lt;($F$8-$E$8)/($G$8-$E$8),$E$8+SQRT(R528*($G$8-$E$8)*($F$8-$E$8)),$G$8-SQRT((1-R528)*($G$8-$E$8)*($G$8-$F$8))))</f>
        <v>0.998960056941772</v>
      </c>
      <c r="E528" s="37" t="n">
        <f aca="false">1+IF($G$9=$E$9,$F$9,IF(S528&lt;($F$9-$E$9)/($G$9-$E$9),$E$9+SQRT(S528*($G$9-$E$9)*($F$9-$E$9)),$G$9-SQRT((1-S528)*($G$9-$E$9)*($G$9-$F$9))))</f>
        <v>0.97271784665595</v>
      </c>
      <c r="F528" s="37" t="n">
        <f aca="false">1+IF($G$10=$E$10,$F$10,IF(T528&lt;($F$10-$E$10)/($G$10-$E$10),$E$10+SQRT(T528*($G$10-$E$10)*($F$10-$E$10)),$G$10-SQRT((1-T528)*($G$10-$E$10)*($G$10-$F$10))))</f>
        <v>1.07442197128411</v>
      </c>
      <c r="G528" s="38" t="n">
        <f aca="false">IF($G$11=$E$11,$F$11,IF(U528&lt;($F$11-$E$11)/($G$11-$E$11),$E$11+SQRT(U528*($G$11-$E$11)*($F$11-$E$11)),$G$11-SQRT((1-U528)*($G$11-$E$11)*($G$11-$F$11))))</f>
        <v>0.104748506891728</v>
      </c>
      <c r="H528" s="39" t="n">
        <f aca="false">(('Business Case'!B11*$C528*'Business Case'!B12*$B528)-'Business Case'!B11*$C528*'Business Case'!B13*$D528-'Business Case'!B14*$E528)-MAX(0,(('Business Case'!B11*$C528*'Business Case'!B12*$B528)-'Business Case'!B11*$C528*'Business Case'!B13*$D528-'Business Case'!B14*$E528))*'Business Case'!$B$7-'Business Case'!$B$8*('Business Case'!B11*$C528*'Business Case'!B12*$B528)-'Business Case'!B15*$F528</f>
        <v>-2148843942.56822</v>
      </c>
      <c r="I528" s="39" t="n">
        <f aca="false">(('Business Case'!C11*$C528*'Business Case'!C12*$B528)-'Business Case'!C11*$C528*'Business Case'!C13*$D528-'Business Case'!C14*$E528)-MAX(0,(('Business Case'!C11*$C528*'Business Case'!C12*$B528)-'Business Case'!C11*$C528*'Business Case'!C13*$D528-'Business Case'!C14*$E528))*'Business Case'!$B$7-'Business Case'!$B$8*(('Business Case'!C11*$C528*'Business Case'!C12*$B528)-('Business Case'!B11*$C528*'Business Case'!B12*$B528))-'Business Case'!C15*$F528</f>
        <v>-640018.699780375</v>
      </c>
      <c r="J528" s="39" t="n">
        <f aca="false">(('Business Case'!D11*$C528*'Business Case'!D12*$B528)-'Business Case'!D11*$C528*'Business Case'!D13*$D528-'Business Case'!D14*$E528)-MAX(0,(('Business Case'!D11*$C528*'Business Case'!D12*$B528)-'Business Case'!D11*$C528*'Business Case'!D13*$D528-'Business Case'!D14*$E528))*'Business Case'!$B$7-'Business Case'!$B$8*(('Business Case'!D11*$C528*'Business Case'!D12*$B528)-('Business Case'!C11*$C528*'Business Case'!C12*$B528))-'Business Case'!D15*$F528</f>
        <v>296859441.55476</v>
      </c>
      <c r="K528" s="39" t="n">
        <f aca="false">(('Business Case'!E11*$C528*'Business Case'!E12*$B528)-'Business Case'!E11*$C528*'Business Case'!E13*$D528-'Business Case'!E14*$E528)-MAX(0,(('Business Case'!E11*$C528*'Business Case'!E12*$B528)-'Business Case'!E11*$C528*'Business Case'!E13*$D528-'Business Case'!E14*$E528))*'Business Case'!$B$7-'Business Case'!$B$8*(('Business Case'!E11*$C528*'Business Case'!E12*$B528)-('Business Case'!D11*$C528*'Business Case'!D12*$B528))-'Business Case'!E15*$F528</f>
        <v>648080000.373505</v>
      </c>
      <c r="L528" s="39" t="n">
        <f aca="false">(('Business Case'!F11*$C528*'Business Case'!F12*$B528)-'Business Case'!F11*$C528*'Business Case'!F13*$D528-'Business Case'!F14*$E528)-MAX(0,(('Business Case'!F11*$C528*'Business Case'!F12*$B528)-'Business Case'!F11*$C528*'Business Case'!F13*$D528-'Business Case'!F14*$E528))*'Business Case'!$B$7-'Business Case'!$B$8*(('Business Case'!F11*$C528*'Business Case'!F12*$B528)-('Business Case'!E11*$C528*'Business Case'!E12*$B528))-'Business Case'!F15*$F528</f>
        <v>782164356.479307</v>
      </c>
      <c r="M528" s="39" t="n">
        <f aca="false">(('Business Case'!G11*$C528*'Business Case'!G12*$B528)-'Business Case'!G11*$C528*'Business Case'!G13*$D528-'Business Case'!G14*$E528)-MAX(0,(('Business Case'!G11*$C528*'Business Case'!G12*$B528)-'Business Case'!G11*$C528*'Business Case'!G13*$D528-'Business Case'!G14*$E528))*'Business Case'!$B$7-'Business Case'!$B$8*(('Business Case'!G11*$C528*'Business Case'!G12*$B528)-('Business Case'!F11*$C528*'Business Case'!F12*$B528))-'Business Case'!G15*$F528+'Business Case'!$B$8*('Business Case'!G11*$C528*'Business Case'!G12*$B528)</f>
        <v>974212637.927896</v>
      </c>
      <c r="N528" s="39" t="n">
        <f aca="false">IF(COUNT('Business Case'!B11:G11)=0,"",H528+NPV(G528,I528:M528))</f>
        <v>-308405864.200993</v>
      </c>
      <c r="P528" s="40" t="n">
        <f aca="true">RAND()</f>
        <v>0.312523334153316</v>
      </c>
      <c r="Q528" s="40" t="n">
        <f aca="true">RAND()</f>
        <v>0.754630256558396</v>
      </c>
      <c r="R528" s="40" t="n">
        <f aca="true">RAND()</f>
        <v>0.368782642421777</v>
      </c>
      <c r="S528" s="40" t="n">
        <f aca="true">RAND()</f>
        <v>0.0688134075577657</v>
      </c>
      <c r="T528" s="40" t="n">
        <f aca="true">RAND()</f>
        <v>0.684603174076626</v>
      </c>
      <c r="U528" s="40" t="n">
        <f aca="true">RAND()</f>
        <v>0.61231992994722</v>
      </c>
    </row>
    <row r="529" customFormat="false" ht="15" hidden="false" customHeight="false" outlineLevel="0" collapsed="false">
      <c r="A529" s="36" t="n">
        <v>449</v>
      </c>
      <c r="B529" s="37" t="n">
        <f aca="false">1+IF($G$6=$E$6,$F$6,IF(P529&lt;($F$6-$E$6)/($G$6-$E$6),$E$6+SQRT(P529*($G$6-$E$6)*($F$6-$E$6)),$G$6-SQRT((1-P529)*($G$6-$E$6)*($G$6-$F$6))))</f>
        <v>1.02046960110627</v>
      </c>
      <c r="C529" s="37" t="n">
        <f aca="false">1+IF($G$7=$E$7,$F$7,IF(Q529&lt;($F$7-$E$7)/($G$7-$E$7),$E$7+SQRT(Q529*($G$7-$E$7)*($F$7-$E$7)),$G$7-SQRT((1-Q529)*($G$7-$E$7)*($G$7-$F$7))))</f>
        <v>1.07607759830038</v>
      </c>
      <c r="D529" s="37" t="n">
        <f aca="false">1+IF($G$8=$E$8,$F$8,IF(R529&lt;($F$8-$E$8)/($G$8-$E$8),$E$8+SQRT(R529*($G$8-$E$8)*($F$8-$E$8)),$G$8-SQRT((1-R529)*($G$8-$E$8)*($G$8-$F$8))))</f>
        <v>1.0295970365496</v>
      </c>
      <c r="E529" s="37" t="n">
        <f aca="false">1+IF($G$9=$E$9,$F$9,IF(S529&lt;($F$9-$E$9)/($G$9-$E$9),$E$9+SQRT(S529*($G$9-$E$9)*($F$9-$E$9)),$G$9-SQRT((1-S529)*($G$9-$E$9)*($G$9-$F$9))))</f>
        <v>1.04491126844768</v>
      </c>
      <c r="F529" s="37" t="n">
        <f aca="false">1+IF($G$10=$E$10,$F$10,IF(T529&lt;($F$10-$E$10)/($G$10-$E$10),$E$10+SQRT(T529*($G$10-$E$10)*($F$10-$E$10)),$G$10-SQRT((1-T529)*($G$10-$E$10)*($G$10-$F$10))))</f>
        <v>0.987976305637903</v>
      </c>
      <c r="G529" s="38" t="n">
        <f aca="false">IF($G$11=$E$11,$F$11,IF(U529&lt;($F$11-$E$11)/($G$11-$E$11),$E$11+SQRT(U529*($G$11-$E$11)*($F$11-$E$11)),$G$11-SQRT((1-U529)*($G$11-$E$11)*($G$11-$F$11))))</f>
        <v>0.0945430576418803</v>
      </c>
      <c r="H529" s="39" t="n">
        <f aca="false">(('Business Case'!B11*$C529*'Business Case'!B12*$B529)-'Business Case'!B11*$C529*'Business Case'!B13*$D529-'Business Case'!B14*$E529)-MAX(0,(('Business Case'!B11*$C529*'Business Case'!B12*$B529)-'Business Case'!B11*$C529*'Business Case'!B13*$D529-'Business Case'!B14*$E529))*'Business Case'!$B$7-'Business Case'!$B$8*('Business Case'!B11*$C529*'Business Case'!B12*$B529)-'Business Case'!B15*$F529</f>
        <v>-1975952611.27581</v>
      </c>
      <c r="I529" s="39" t="n">
        <f aca="false">(('Business Case'!C11*$C529*'Business Case'!C12*$B529)-'Business Case'!C11*$C529*'Business Case'!C13*$D529-'Business Case'!C14*$E529)-MAX(0,(('Business Case'!C11*$C529*'Business Case'!C12*$B529)-'Business Case'!C11*$C529*'Business Case'!C13*$D529-'Business Case'!C14*$E529))*'Business Case'!$B$7-'Business Case'!$B$8*(('Business Case'!C11*$C529*'Business Case'!C12*$B529)-('Business Case'!B11*$C529*'Business Case'!B12*$B529))-'Business Case'!C15*$F529</f>
        <v>27947246.8169897</v>
      </c>
      <c r="J529" s="39" t="n">
        <f aca="false">(('Business Case'!D11*$C529*'Business Case'!D12*$B529)-'Business Case'!D11*$C529*'Business Case'!D13*$D529-'Business Case'!D14*$E529)-MAX(0,(('Business Case'!D11*$C529*'Business Case'!D12*$B529)-'Business Case'!D11*$C529*'Business Case'!D13*$D529-'Business Case'!D14*$E529))*'Business Case'!$B$7-'Business Case'!$B$8*(('Business Case'!D11*$C529*'Business Case'!D12*$B529)-('Business Case'!C11*$C529*'Business Case'!C12*$B529))-'Business Case'!D15*$F529</f>
        <v>360204242.684474</v>
      </c>
      <c r="K529" s="39" t="n">
        <f aca="false">(('Business Case'!E11*$C529*'Business Case'!E12*$B529)-'Business Case'!E11*$C529*'Business Case'!E13*$D529-'Business Case'!E14*$E529)-MAX(0,(('Business Case'!E11*$C529*'Business Case'!E12*$B529)-'Business Case'!E11*$C529*'Business Case'!E13*$D529-'Business Case'!E14*$E529))*'Business Case'!$B$7-'Business Case'!$B$8*(('Business Case'!E11*$C529*'Business Case'!E12*$B529)-('Business Case'!D11*$C529*'Business Case'!D12*$B529))-'Business Case'!E15*$F529</f>
        <v>741860053.833854</v>
      </c>
      <c r="L529" s="39" t="n">
        <f aca="false">(('Business Case'!F11*$C529*'Business Case'!F12*$B529)-'Business Case'!F11*$C529*'Business Case'!F13*$D529-'Business Case'!F14*$E529)-MAX(0,(('Business Case'!F11*$C529*'Business Case'!F12*$B529)-'Business Case'!F11*$C529*'Business Case'!F13*$D529-'Business Case'!F14*$E529))*'Business Case'!$B$7-'Business Case'!$B$8*(('Business Case'!F11*$C529*'Business Case'!F12*$B529)-('Business Case'!E11*$C529*'Business Case'!E12*$B529))-'Business Case'!F15*$F529</f>
        <v>890562876.531978</v>
      </c>
      <c r="M529" s="39" t="n">
        <f aca="false">(('Business Case'!G11*$C529*'Business Case'!G12*$B529)-'Business Case'!G11*$C529*'Business Case'!G13*$D529-'Business Case'!G14*$E529)-MAX(0,(('Business Case'!G11*$C529*'Business Case'!G12*$B529)-'Business Case'!G11*$C529*'Business Case'!G13*$D529-'Business Case'!G14*$E529))*'Business Case'!$B$7-'Business Case'!$B$8*(('Business Case'!G11*$C529*'Business Case'!G12*$B529)-('Business Case'!F11*$C529*'Business Case'!F12*$B529))-'Business Case'!G15*$F529+'Business Case'!$B$8*('Business Case'!G11*$C529*'Business Case'!G12*$B529)</f>
        <v>1099290575.61461</v>
      </c>
      <c r="N529" s="39" t="n">
        <f aca="false">IF(COUNT('Business Case'!B11:G11)=0,"",H529+NPV(G529,I529:M529))</f>
        <v>236240666.535988</v>
      </c>
      <c r="P529" s="40" t="n">
        <f aca="true">RAND()</f>
        <v>0.920534066469157</v>
      </c>
      <c r="Q529" s="40" t="n">
        <f aca="true">RAND()</f>
        <v>0.895913876704013</v>
      </c>
      <c r="R529" s="40" t="n">
        <f aca="true">RAND()</f>
        <v>0.755725122636354</v>
      </c>
      <c r="S529" s="40" t="n">
        <f aca="true">RAND()</f>
        <v>0.797682110397103</v>
      </c>
      <c r="T529" s="40" t="n">
        <f aca="true">RAND()</f>
        <v>0.115375983192274</v>
      </c>
      <c r="U529" s="40" t="n">
        <f aca="true">RAND()</f>
        <v>0.068797909124822</v>
      </c>
    </row>
    <row r="530" customFormat="false" ht="15" hidden="false" customHeight="false" outlineLevel="0" collapsed="false">
      <c r="A530" s="36" t="n">
        <v>450</v>
      </c>
      <c r="B530" s="37" t="n">
        <f aca="false">1+IF($G$6=$E$6,$F$6,IF(P530&lt;($F$6-$E$6)/($G$6-$E$6),$E$6+SQRT(P530*($G$6-$E$6)*($F$6-$E$6)),$G$6-SQRT((1-P530)*($G$6-$E$6)*($G$6-$F$6))))</f>
        <v>0.995481633654695</v>
      </c>
      <c r="C530" s="37" t="n">
        <f aca="false">1+IF($G$7=$E$7,$F$7,IF(Q530&lt;($F$7-$E$7)/($G$7-$E$7),$E$7+SQRT(Q530*($G$7-$E$7)*($F$7-$E$7)),$G$7-SQRT((1-Q530)*($G$7-$E$7)*($G$7-$F$7))))</f>
        <v>0.991694242713472</v>
      </c>
      <c r="D530" s="37" t="n">
        <f aca="false">1+IF($G$8=$E$8,$F$8,IF(R530&lt;($F$8-$E$8)/($G$8-$E$8),$E$8+SQRT(R530*($G$8-$E$8)*($F$8-$E$8)),$G$8-SQRT((1-R530)*($G$8-$E$8)*($G$8-$F$8))))</f>
        <v>0.981386494832539</v>
      </c>
      <c r="E530" s="37" t="n">
        <f aca="false">1+IF($G$9=$E$9,$F$9,IF(S530&lt;($F$9-$E$9)/($G$9-$E$9),$E$9+SQRT(S530*($G$9-$E$9)*($F$9-$E$9)),$G$9-SQRT((1-S530)*($G$9-$E$9)*($G$9-$F$9))))</f>
        <v>1.06478653256788</v>
      </c>
      <c r="F530" s="37" t="n">
        <f aca="false">1+IF($G$10=$E$10,$F$10,IF(T530&lt;($F$10-$E$10)/($G$10-$E$10),$E$10+SQRT(T530*($G$10-$E$10)*($F$10-$E$10)),$G$10-SQRT((1-T530)*($G$10-$E$10)*($G$10-$F$10))))</f>
        <v>0.991331572081492</v>
      </c>
      <c r="G530" s="38" t="n">
        <f aca="false">IF($G$11=$E$11,$F$11,IF(U530&lt;($F$11-$E$11)/($G$11-$E$11),$E$11+SQRT(U530*($G$11-$E$11)*($F$11-$E$11)),$G$11-SQRT((1-U530)*($G$11-$E$11)*($G$11-$F$11))))</f>
        <v>0.117764105502043</v>
      </c>
      <c r="H530" s="39" t="n">
        <f aca="false">(('Business Case'!B11*$C530*'Business Case'!B12*$B530)-'Business Case'!B11*$C530*'Business Case'!B13*$D530-'Business Case'!B14*$E530)-MAX(0,(('Business Case'!B11*$C530*'Business Case'!B12*$B530)-'Business Case'!B11*$C530*'Business Case'!B13*$D530-'Business Case'!B14*$E530))*'Business Case'!$B$7-'Business Case'!$B$8*('Business Case'!B11*$C530*'Business Case'!B12*$B530)-'Business Case'!B15*$F530</f>
        <v>-1982663144.16298</v>
      </c>
      <c r="I530" s="39" t="n">
        <f aca="false">(('Business Case'!C11*$C530*'Business Case'!C12*$B530)-'Business Case'!C11*$C530*'Business Case'!C13*$D530-'Business Case'!C14*$E530)-MAX(0,(('Business Case'!C11*$C530*'Business Case'!C12*$B530)-'Business Case'!C11*$C530*'Business Case'!C13*$D530-'Business Case'!C14*$E530))*'Business Case'!$B$7-'Business Case'!$B$8*(('Business Case'!C11*$C530*'Business Case'!C12*$B530)-('Business Case'!B11*$C530*'Business Case'!B12*$B530))-'Business Case'!C15*$F530</f>
        <v>8657279.25359526</v>
      </c>
      <c r="J530" s="39" t="n">
        <f aca="false">(('Business Case'!D11*$C530*'Business Case'!D12*$B530)-'Business Case'!D11*$C530*'Business Case'!D13*$D530-'Business Case'!D14*$E530)-MAX(0,(('Business Case'!D11*$C530*'Business Case'!D12*$B530)-'Business Case'!D11*$C530*'Business Case'!D13*$D530-'Business Case'!D14*$E530))*'Business Case'!$B$7-'Business Case'!$B$8*(('Business Case'!D11*$C530*'Business Case'!D12*$B530)-('Business Case'!C11*$C530*'Business Case'!C12*$B530))-'Business Case'!D15*$F530</f>
        <v>319037503.552484</v>
      </c>
      <c r="K530" s="39" t="n">
        <f aca="false">(('Business Case'!E11*$C530*'Business Case'!E12*$B530)-'Business Case'!E11*$C530*'Business Case'!E13*$D530-'Business Case'!E14*$E530)-MAX(0,(('Business Case'!E11*$C530*'Business Case'!E12*$B530)-'Business Case'!E11*$C530*'Business Case'!E13*$D530-'Business Case'!E14*$E530))*'Business Case'!$B$7-'Business Case'!$B$8*(('Business Case'!E11*$C530*'Business Case'!E12*$B530)-('Business Case'!D11*$C530*'Business Case'!D12*$B530))-'Business Case'!E15*$F530</f>
        <v>678984306.455447</v>
      </c>
      <c r="L530" s="39" t="n">
        <f aca="false">(('Business Case'!F11*$C530*'Business Case'!F12*$B530)-'Business Case'!F11*$C530*'Business Case'!F13*$D530-'Business Case'!F14*$E530)-MAX(0,(('Business Case'!F11*$C530*'Business Case'!F12*$B530)-'Business Case'!F11*$C530*'Business Case'!F13*$D530-'Business Case'!F14*$E530))*'Business Case'!$B$7-'Business Case'!$B$8*(('Business Case'!F11*$C530*'Business Case'!F12*$B530)-('Business Case'!E11*$C530*'Business Case'!E12*$B530))-'Business Case'!F15*$F530</f>
        <v>816562476.492404</v>
      </c>
      <c r="M530" s="39" t="n">
        <f aca="false">(('Business Case'!G11*$C530*'Business Case'!G12*$B530)-'Business Case'!G11*$C530*'Business Case'!G13*$D530-'Business Case'!G14*$E530)-MAX(0,(('Business Case'!G11*$C530*'Business Case'!G12*$B530)-'Business Case'!G11*$C530*'Business Case'!G13*$D530-'Business Case'!G14*$E530))*'Business Case'!$B$7-'Business Case'!$B$8*(('Business Case'!G11*$C530*'Business Case'!G12*$B530)-('Business Case'!F11*$C530*'Business Case'!F12*$B530))-'Business Case'!G15*$F530+'Business Case'!$B$8*('Business Case'!G11*$C530*'Business Case'!G12*$B530)</f>
        <v>1004212000.48104</v>
      </c>
      <c r="N530" s="39" t="n">
        <f aca="false">IF(COUNT('Business Case'!B11:G11)=0,"",H530+NPV(G530,I530:M530))</f>
        <v>-134727377.658392</v>
      </c>
      <c r="P530" s="40" t="n">
        <f aca="true">RAND()</f>
        <v>0.593487189498078</v>
      </c>
      <c r="Q530" s="40" t="n">
        <f aca="true">RAND()</f>
        <v>0.524952609849881</v>
      </c>
      <c r="R530" s="40" t="n">
        <f aca="true">RAND()</f>
        <v>0.151555701211225</v>
      </c>
      <c r="S530" s="40" t="n">
        <f aca="true">RAND()</f>
        <v>0.917334114093816</v>
      </c>
      <c r="T530" s="40" t="n">
        <f aca="true">RAND()</f>
        <v>0.136663908058203</v>
      </c>
      <c r="U530" s="40" t="n">
        <f aca="true">RAND()</f>
        <v>0.991667959656678</v>
      </c>
    </row>
    <row r="531" customFormat="false" ht="15" hidden="false" customHeight="false" outlineLevel="0" collapsed="false">
      <c r="A531" s="36" t="n">
        <v>451</v>
      </c>
      <c r="B531" s="37" t="n">
        <f aca="false">1+IF($G$6=$E$6,$F$6,IF(P531&lt;($F$6-$E$6)/($G$6-$E$6),$E$6+SQRT(P531*($G$6-$E$6)*($F$6-$E$6)),$G$6-SQRT((1-P531)*($G$6-$E$6)*($G$6-$F$6))))</f>
        <v>0.991071001417889</v>
      </c>
      <c r="C531" s="37" t="n">
        <f aca="false">1+IF($G$7=$E$7,$F$7,IF(Q531&lt;($F$7-$E$7)/($G$7-$E$7),$E$7+SQRT(Q531*($G$7-$E$7)*($F$7-$E$7)),$G$7-SQRT((1-Q531)*($G$7-$E$7)*($G$7-$F$7))))</f>
        <v>0.894116530899365</v>
      </c>
      <c r="D531" s="37" t="n">
        <f aca="false">1+IF($G$8=$E$8,$F$8,IF(R531&lt;($F$8-$E$8)/($G$8-$E$8),$E$8+SQRT(R531*($G$8-$E$8)*($F$8-$E$8)),$G$8-SQRT((1-R531)*($G$8-$E$8)*($G$8-$F$8))))</f>
        <v>0.980244291195035</v>
      </c>
      <c r="E531" s="37" t="n">
        <f aca="false">1+IF($G$9=$E$9,$F$9,IF(S531&lt;($F$9-$E$9)/($G$9-$E$9),$E$9+SQRT(S531*($G$9-$E$9)*($F$9-$E$9)),$G$9-SQRT((1-S531)*($G$9-$E$9)*($G$9-$F$9))))</f>
        <v>0.958556544477237</v>
      </c>
      <c r="F531" s="37" t="n">
        <f aca="false">1+IF($G$10=$E$10,$F$10,IF(T531&lt;($F$10-$E$10)/($G$10-$E$10),$E$10+SQRT(T531*($G$10-$E$10)*($F$10-$E$10)),$G$10-SQRT((1-T531)*($G$10-$E$10)*($G$10-$F$10))))</f>
        <v>1.1562045560706</v>
      </c>
      <c r="G531" s="38" t="n">
        <f aca="false">IF($G$11=$E$11,$F$11,IF(U531&lt;($F$11-$E$11)/($G$11-$E$11),$E$11+SQRT(U531*($G$11-$E$11)*($F$11-$E$11)),$G$11-SQRT((1-U531)*($G$11-$E$11)*($G$11-$F$11))))</f>
        <v>0.0984535925775834</v>
      </c>
      <c r="H531" s="39" t="n">
        <f aca="false">(('Business Case'!B11*$C531*'Business Case'!B12*$B531)-'Business Case'!B11*$C531*'Business Case'!B13*$D531-'Business Case'!B14*$E531)-MAX(0,(('Business Case'!B11*$C531*'Business Case'!B12*$B531)-'Business Case'!B11*$C531*'Business Case'!B13*$D531-'Business Case'!B14*$E531))*'Business Case'!$B$7-'Business Case'!$B$8*('Business Case'!B11*$C531*'Business Case'!B12*$B531)-'Business Case'!B15*$F531</f>
        <v>-2312409112.14121</v>
      </c>
      <c r="I531" s="39" t="n">
        <f aca="false">(('Business Case'!C11*$C531*'Business Case'!C12*$B531)-'Business Case'!C11*$C531*'Business Case'!C13*$D531-'Business Case'!C14*$E531)-MAX(0,(('Business Case'!C11*$C531*'Business Case'!C12*$B531)-'Business Case'!C11*$C531*'Business Case'!C13*$D531-'Business Case'!C14*$E531))*'Business Case'!$B$7-'Business Case'!$B$8*(('Business Case'!C11*$C531*'Business Case'!C12*$B531)-('Business Case'!B11*$C531*'Business Case'!B12*$B531))-'Business Case'!C15*$F531</f>
        <v>-20731256.5499073</v>
      </c>
      <c r="J531" s="39" t="n">
        <f aca="false">(('Business Case'!D11*$C531*'Business Case'!D12*$B531)-'Business Case'!D11*$C531*'Business Case'!D13*$D531-'Business Case'!D14*$E531)-MAX(0,(('Business Case'!D11*$C531*'Business Case'!D12*$B531)-'Business Case'!D11*$C531*'Business Case'!D13*$D531-'Business Case'!D14*$E531))*'Business Case'!$B$7-'Business Case'!$B$8*(('Business Case'!D11*$C531*'Business Case'!D12*$B531)-('Business Case'!C11*$C531*'Business Case'!C12*$B531))-'Business Case'!D15*$F531</f>
        <v>256401816.071864</v>
      </c>
      <c r="K531" s="39" t="n">
        <f aca="false">(('Business Case'!E11*$C531*'Business Case'!E12*$B531)-'Business Case'!E11*$C531*'Business Case'!E13*$D531-'Business Case'!E14*$E531)-MAX(0,(('Business Case'!E11*$C531*'Business Case'!E12*$B531)-'Business Case'!E11*$C531*'Business Case'!E13*$D531-'Business Case'!E14*$E531))*'Business Case'!$B$7-'Business Case'!$B$8*(('Business Case'!E11*$C531*'Business Case'!E12*$B531)-('Business Case'!D11*$C531*'Business Case'!D12*$B531))-'Business Case'!E15*$F531</f>
        <v>591345116.497166</v>
      </c>
      <c r="L531" s="39" t="n">
        <f aca="false">(('Business Case'!F11*$C531*'Business Case'!F12*$B531)-'Business Case'!F11*$C531*'Business Case'!F13*$D531-'Business Case'!F14*$E531)-MAX(0,(('Business Case'!F11*$C531*'Business Case'!F12*$B531)-'Business Case'!F11*$C531*'Business Case'!F13*$D531-'Business Case'!F14*$E531))*'Business Case'!$B$7-'Business Case'!$B$8*(('Business Case'!F11*$C531*'Business Case'!F12*$B531)-('Business Case'!E11*$C531*'Business Case'!E12*$B531))-'Business Case'!F15*$F531</f>
        <v>714347562.664394</v>
      </c>
      <c r="M531" s="39" t="n">
        <f aca="false">(('Business Case'!G11*$C531*'Business Case'!G12*$B531)-'Business Case'!G11*$C531*'Business Case'!G13*$D531-'Business Case'!G14*$E531)-MAX(0,(('Business Case'!G11*$C531*'Business Case'!G12*$B531)-'Business Case'!G11*$C531*'Business Case'!G13*$D531-'Business Case'!G14*$E531))*'Business Case'!$B$7-'Business Case'!$B$8*(('Business Case'!G11*$C531*'Business Case'!G12*$B531)-('Business Case'!F11*$C531*'Business Case'!F12*$B531))-'Business Case'!G15*$F531+'Business Case'!$B$8*('Business Case'!G11*$C531*'Business Case'!G12*$B531)</f>
        <v>882783716.777564</v>
      </c>
      <c r="N531" s="39" t="n">
        <f aca="false">IF(COUNT('Business Case'!B11:G11)=0,"",H531+NPV(G531,I531:M531))</f>
        <v>-629946673.373709</v>
      </c>
      <c r="P531" s="40" t="n">
        <f aca="true">RAND()</f>
        <v>0.526154921098082</v>
      </c>
      <c r="Q531" s="40" t="n">
        <f aca="true">RAND()</f>
        <v>0.126541734121874</v>
      </c>
      <c r="R531" s="40" t="n">
        <f aca="true">RAND()</f>
        <v>0.1407257153677</v>
      </c>
      <c r="S531" s="40" t="n">
        <f aca="true">RAND()</f>
        <v>0.00976192711879011</v>
      </c>
      <c r="T531" s="40" t="n">
        <f aca="true">RAND()</f>
        <v>0.961639181820541</v>
      </c>
      <c r="U531" s="40" t="n">
        <f aca="true">RAND()</f>
        <v>0.23821075822591</v>
      </c>
    </row>
    <row r="532" customFormat="false" ht="15" hidden="false" customHeight="false" outlineLevel="0" collapsed="false">
      <c r="A532" s="36" t="n">
        <v>452</v>
      </c>
      <c r="B532" s="37" t="n">
        <f aca="false">1+IF($G$6=$E$6,$F$6,IF(P532&lt;($F$6-$E$6)/($G$6-$E$6),$E$6+SQRT(P532*($G$6-$E$6)*($F$6-$E$6)),$G$6-SQRT((1-P532)*($G$6-$E$6)*($G$6-$F$6))))</f>
        <v>1.01776039956853</v>
      </c>
      <c r="C532" s="37" t="n">
        <f aca="false">1+IF($G$7=$E$7,$F$7,IF(Q532&lt;($F$7-$E$7)/($G$7-$E$7),$E$7+SQRT(Q532*($G$7-$E$7)*($F$7-$E$7)),$G$7-SQRT((1-Q532)*($G$7-$E$7)*($G$7-$F$7))))</f>
        <v>0.933173421895209</v>
      </c>
      <c r="D532" s="37" t="n">
        <f aca="false">1+IF($G$8=$E$8,$F$8,IF(R532&lt;($F$8-$E$8)/($G$8-$E$8),$E$8+SQRT(R532*($G$8-$E$8)*($F$8-$E$8)),$G$8-SQRT((1-R532)*($G$8-$E$8)*($G$8-$F$8))))</f>
        <v>1.00689745230626</v>
      </c>
      <c r="E532" s="37" t="n">
        <f aca="false">1+IF($G$9=$E$9,$F$9,IF(S532&lt;($F$9-$E$9)/($G$9-$E$9),$E$9+SQRT(S532*($G$9-$E$9)*($F$9-$E$9)),$G$9-SQRT((1-S532)*($G$9-$E$9)*($G$9-$F$9))))</f>
        <v>1.07173290921837</v>
      </c>
      <c r="F532" s="37" t="n">
        <f aca="false">1+IF($G$10=$E$10,$F$10,IF(T532&lt;($F$10-$E$10)/($G$10-$E$10),$E$10+SQRT(T532*($G$10-$E$10)*($F$10-$E$10)),$G$10-SQRT((1-T532)*($G$10-$E$10)*($G$10-$F$10))))</f>
        <v>1.02562411990446</v>
      </c>
      <c r="G532" s="38" t="n">
        <f aca="false">IF($G$11=$E$11,$F$11,IF(U532&lt;($F$11-$E$11)/($G$11-$E$11),$E$11+SQRT(U532*($G$11-$E$11)*($F$11-$E$11)),$G$11-SQRT((1-U532)*($G$11-$E$11)*($G$11-$F$11))))</f>
        <v>0.103091487065305</v>
      </c>
      <c r="H532" s="39" t="n">
        <f aca="false">(('Business Case'!B11*$C532*'Business Case'!B12*$B532)-'Business Case'!B11*$C532*'Business Case'!B13*$D532-'Business Case'!B14*$E532)-MAX(0,(('Business Case'!B11*$C532*'Business Case'!B12*$B532)-'Business Case'!B11*$C532*'Business Case'!B13*$D532-'Business Case'!B14*$E532))*'Business Case'!$B$7-'Business Case'!$B$8*('Business Case'!B11*$C532*'Business Case'!B12*$B532)-'Business Case'!B15*$F532</f>
        <v>-2051248239.80893</v>
      </c>
      <c r="I532" s="39" t="n">
        <f aca="false">(('Business Case'!C11*$C532*'Business Case'!C12*$B532)-'Business Case'!C11*$C532*'Business Case'!C13*$D532-'Business Case'!C14*$E532)-MAX(0,(('Business Case'!C11*$C532*'Business Case'!C12*$B532)-'Business Case'!C11*$C532*'Business Case'!C13*$D532-'Business Case'!C14*$E532))*'Business Case'!$B$7-'Business Case'!$B$8*(('Business Case'!C11*$C532*'Business Case'!C12*$B532)-('Business Case'!B11*$C532*'Business Case'!B12*$B532))-'Business Case'!C15*$F532</f>
        <v>-7291697.13681842</v>
      </c>
      <c r="J532" s="39" t="n">
        <f aca="false">(('Business Case'!D11*$C532*'Business Case'!D12*$B532)-'Business Case'!D11*$C532*'Business Case'!D13*$D532-'Business Case'!D14*$E532)-MAX(0,(('Business Case'!D11*$C532*'Business Case'!D12*$B532)-'Business Case'!D11*$C532*'Business Case'!D13*$D532-'Business Case'!D14*$E532))*'Business Case'!$B$7-'Business Case'!$B$8*(('Business Case'!D11*$C532*'Business Case'!D12*$B532)-('Business Case'!C11*$C532*'Business Case'!C12*$B532))-'Business Case'!D15*$F532</f>
        <v>289614319.541114</v>
      </c>
      <c r="K532" s="39" t="n">
        <f aca="false">(('Business Case'!E11*$C532*'Business Case'!E12*$B532)-'Business Case'!E11*$C532*'Business Case'!E13*$D532-'Business Case'!E14*$E532)-MAX(0,(('Business Case'!E11*$C532*'Business Case'!E12*$B532)-'Business Case'!E11*$C532*'Business Case'!E13*$D532-'Business Case'!E14*$E532))*'Business Case'!$B$7-'Business Case'!$B$8*(('Business Case'!E11*$C532*'Business Case'!E12*$B532)-('Business Case'!D11*$C532*'Business Case'!D12*$B532))-'Business Case'!E15*$F532</f>
        <v>637801542.214268</v>
      </c>
      <c r="L532" s="39" t="n">
        <f aca="false">(('Business Case'!F11*$C532*'Business Case'!F12*$B532)-'Business Case'!F11*$C532*'Business Case'!F13*$D532-'Business Case'!F14*$E532)-MAX(0,(('Business Case'!F11*$C532*'Business Case'!F12*$B532)-'Business Case'!F11*$C532*'Business Case'!F13*$D532-'Business Case'!F14*$E532))*'Business Case'!$B$7-'Business Case'!$B$8*(('Business Case'!F11*$C532*'Business Case'!F12*$B532)-('Business Case'!E11*$C532*'Business Case'!E12*$B532))-'Business Case'!F15*$F532</f>
        <v>769593469.19588</v>
      </c>
      <c r="M532" s="39" t="n">
        <f aca="false">(('Business Case'!G11*$C532*'Business Case'!G12*$B532)-'Business Case'!G11*$C532*'Business Case'!G13*$D532-'Business Case'!G14*$E532)-MAX(0,(('Business Case'!G11*$C532*'Business Case'!G12*$B532)-'Business Case'!G11*$C532*'Business Case'!G13*$D532-'Business Case'!G14*$E532))*'Business Case'!$B$7-'Business Case'!$B$8*(('Business Case'!G11*$C532*'Business Case'!G12*$B532)-('Business Case'!F11*$C532*'Business Case'!F12*$B532))-'Business Case'!G15*$F532+'Business Case'!$B$8*('Business Case'!G11*$C532*'Business Case'!G12*$B532)</f>
        <v>950121370.351871</v>
      </c>
      <c r="N532" s="39" t="n">
        <f aca="false">IF(COUNT('Business Case'!B11:G11)=0,"",H532+NPV(G532,I532:M532))</f>
        <v>-243170603.67784</v>
      </c>
      <c r="P532" s="40" t="n">
        <f aca="true">RAND()</f>
        <v>0.896958369301762</v>
      </c>
      <c r="Q532" s="40" t="n">
        <f aca="true">RAND()</f>
        <v>0.253359432846848</v>
      </c>
      <c r="R532" s="40" t="n">
        <f aca="true">RAND()</f>
        <v>0.486155530835029</v>
      </c>
      <c r="S532" s="40" t="n">
        <f aca="true">RAND()</f>
        <v>0.946731438582867</v>
      </c>
      <c r="T532" s="40" t="n">
        <f aca="true">RAND()</f>
        <v>0.391861048818145</v>
      </c>
      <c r="U532" s="40" t="n">
        <f aca="true">RAND()</f>
        <v>0.523503650562082</v>
      </c>
    </row>
    <row r="533" customFormat="false" ht="15" hidden="false" customHeight="false" outlineLevel="0" collapsed="false">
      <c r="A533" s="36" t="n">
        <v>453</v>
      </c>
      <c r="B533" s="37" t="n">
        <f aca="false">1+IF($G$6=$E$6,$F$6,IF(P533&lt;($F$6-$E$6)/($G$6-$E$6),$E$6+SQRT(P533*($G$6-$E$6)*($F$6-$E$6)),$G$6-SQRT((1-P533)*($G$6-$E$6)*($G$6-$F$6))))</f>
        <v>1.0197914563131</v>
      </c>
      <c r="C533" s="37" t="n">
        <f aca="false">1+IF($G$7=$E$7,$F$7,IF(Q533&lt;($F$7-$E$7)/($G$7-$E$7),$E$7+SQRT(Q533*($G$7-$E$7)*($F$7-$E$7)),$G$7-SQRT((1-Q533)*($G$7-$E$7)*($G$7-$F$7))))</f>
        <v>0.842489552860166</v>
      </c>
      <c r="D533" s="37" t="n">
        <f aca="false">1+IF($G$8=$E$8,$F$8,IF(R533&lt;($F$8-$E$8)/($G$8-$E$8),$E$8+SQRT(R533*($G$8-$E$8)*($F$8-$E$8)),$G$8-SQRT((1-R533)*($G$8-$E$8)*($G$8-$F$8))))</f>
        <v>1.03298168818036</v>
      </c>
      <c r="E533" s="37" t="n">
        <f aca="false">1+IF($G$9=$E$9,$F$9,IF(S533&lt;($F$9-$E$9)/($G$9-$E$9),$E$9+SQRT(S533*($G$9-$E$9)*($F$9-$E$9)),$G$9-SQRT((1-S533)*($G$9-$E$9)*($G$9-$F$9))))</f>
        <v>1.01951414044718</v>
      </c>
      <c r="F533" s="37" t="n">
        <f aca="false">1+IF($G$10=$E$10,$F$10,IF(T533&lt;($F$10-$E$10)/($G$10-$E$10),$E$10+SQRT(T533*($G$10-$E$10)*($F$10-$E$10)),$G$10-SQRT((1-T533)*($G$10-$E$10)*($G$10-$F$10))))</f>
        <v>1.04805224389821</v>
      </c>
      <c r="G533" s="38" t="n">
        <f aca="false">IF($G$11=$E$11,$F$11,IF(U533&lt;($F$11-$E$11)/($G$11-$E$11),$E$11+SQRT(U533*($G$11-$E$11)*($F$11-$E$11)),$G$11-SQRT((1-U533)*($G$11-$E$11)*($G$11-$F$11))))</f>
        <v>0.101949269577929</v>
      </c>
      <c r="H533" s="39" t="n">
        <f aca="false">(('Business Case'!B11*$C533*'Business Case'!B12*$B533)-'Business Case'!B11*$C533*'Business Case'!B13*$D533-'Business Case'!B14*$E533)-MAX(0,(('Business Case'!B11*$C533*'Business Case'!B12*$B533)-'Business Case'!B11*$C533*'Business Case'!B13*$D533-'Business Case'!B14*$E533))*'Business Case'!$B$7-'Business Case'!$B$8*('Business Case'!B11*$C533*'Business Case'!B12*$B533)-'Business Case'!B15*$F533</f>
        <v>-2096104487.79641</v>
      </c>
      <c r="I533" s="39" t="n">
        <f aca="false">(('Business Case'!C11*$C533*'Business Case'!C12*$B533)-'Business Case'!C11*$C533*'Business Case'!C13*$D533-'Business Case'!C14*$E533)-MAX(0,(('Business Case'!C11*$C533*'Business Case'!C12*$B533)-'Business Case'!C11*$C533*'Business Case'!C13*$D533-'Business Case'!C14*$E533))*'Business Case'!$B$7-'Business Case'!$B$8*(('Business Case'!C11*$C533*'Business Case'!C12*$B533)-('Business Case'!B11*$C533*'Business Case'!B12*$B533))-'Business Case'!C15*$F533</f>
        <v>-36114124.7070224</v>
      </c>
      <c r="J533" s="39" t="n">
        <f aca="false">(('Business Case'!D11*$C533*'Business Case'!D12*$B533)-'Business Case'!D11*$C533*'Business Case'!D13*$D533-'Business Case'!D14*$E533)-MAX(0,(('Business Case'!D11*$C533*'Business Case'!D12*$B533)-'Business Case'!D11*$C533*'Business Case'!D13*$D533-'Business Case'!D14*$E533))*'Business Case'!$B$7-'Business Case'!$B$8*(('Business Case'!D11*$C533*'Business Case'!D12*$B533)-('Business Case'!C11*$C533*'Business Case'!C12*$B533))-'Business Case'!D15*$F533</f>
        <v>222090929.26175</v>
      </c>
      <c r="K533" s="39" t="n">
        <f aca="false">(('Business Case'!E11*$C533*'Business Case'!E12*$B533)-'Business Case'!E11*$C533*'Business Case'!E13*$D533-'Business Case'!E14*$E533)-MAX(0,(('Business Case'!E11*$C533*'Business Case'!E12*$B533)-'Business Case'!E11*$C533*'Business Case'!E13*$D533-'Business Case'!E14*$E533))*'Business Case'!$B$7-'Business Case'!$B$8*(('Business Case'!E11*$C533*'Business Case'!E12*$B533)-('Business Case'!D11*$C533*'Business Case'!D12*$B533))-'Business Case'!E15*$F533</f>
        <v>532698595.425433</v>
      </c>
      <c r="L533" s="39" t="n">
        <f aca="false">(('Business Case'!F11*$C533*'Business Case'!F12*$B533)-'Business Case'!F11*$C533*'Business Case'!F13*$D533-'Business Case'!F14*$E533)-MAX(0,(('Business Case'!F11*$C533*'Business Case'!F12*$B533)-'Business Case'!F11*$C533*'Business Case'!F13*$D533-'Business Case'!F14*$E533))*'Business Case'!$B$7-'Business Case'!$B$8*(('Business Case'!F11*$C533*'Business Case'!F12*$B533)-('Business Case'!E11*$C533*'Business Case'!E12*$B533))-'Business Case'!F15*$F533</f>
        <v>648459642.424614</v>
      </c>
      <c r="M533" s="39" t="n">
        <f aca="false">(('Business Case'!G11*$C533*'Business Case'!G12*$B533)-'Business Case'!G11*$C533*'Business Case'!G13*$D533-'Business Case'!G14*$E533)-MAX(0,(('Business Case'!G11*$C533*'Business Case'!G12*$B533)-'Business Case'!G11*$C533*'Business Case'!G13*$D533-'Business Case'!G14*$E533))*'Business Case'!$B$7-'Business Case'!$B$8*(('Business Case'!G11*$C533*'Business Case'!G12*$B533)-('Business Case'!F11*$C533*'Business Case'!F12*$B533))-'Business Case'!G15*$F533+'Business Case'!$B$8*('Business Case'!G11*$C533*'Business Case'!G12*$B533)</f>
        <v>811769468.644027</v>
      </c>
      <c r="N533" s="39" t="n">
        <f aca="false">IF(COUNT('Business Case'!B11:G11)=0,"",H533+NPV(G533,I533:M533))</f>
        <v>-608492104.329765</v>
      </c>
      <c r="P533" s="40" t="n">
        <f aca="true">RAND()</f>
        <v>0.914919742094694</v>
      </c>
      <c r="Q533" s="40" t="n">
        <f aca="true">RAND()</f>
        <v>0.025790887175098</v>
      </c>
      <c r="R533" s="40" t="n">
        <f aca="true">RAND()</f>
        <v>0.78743061092611</v>
      </c>
      <c r="S533" s="40" t="n">
        <f aca="true">RAND()</f>
        <v>0.56813509413626</v>
      </c>
      <c r="T533" s="40" t="n">
        <f aca="true">RAND()</f>
        <v>0.538237588312592</v>
      </c>
      <c r="U533" s="40" t="n">
        <f aca="true">RAND()</f>
        <v>0.456951885382897</v>
      </c>
    </row>
    <row r="534" customFormat="false" ht="15" hidden="false" customHeight="false" outlineLevel="0" collapsed="false">
      <c r="A534" s="36" t="n">
        <v>454</v>
      </c>
      <c r="B534" s="37" t="n">
        <f aca="false">1+IF($G$6=$E$6,$F$6,IF(P534&lt;($F$6-$E$6)/($G$6-$E$6),$E$6+SQRT(P534*($G$6-$E$6)*($F$6-$E$6)),$G$6-SQRT((1-P534)*($G$6-$E$6)*($G$6-$F$6))))</f>
        <v>0.953962066174313</v>
      </c>
      <c r="C534" s="37" t="n">
        <f aca="false">1+IF($G$7=$E$7,$F$7,IF(Q534&lt;($F$7-$E$7)/($G$7-$E$7),$E$7+SQRT(Q534*($G$7-$E$7)*($F$7-$E$7)),$G$7-SQRT((1-Q534)*($G$7-$E$7)*($G$7-$F$7))))</f>
        <v>1.02680894228664</v>
      </c>
      <c r="D534" s="37" t="n">
        <f aca="false">1+IF($G$8=$E$8,$F$8,IF(R534&lt;($F$8-$E$8)/($G$8-$E$8),$E$8+SQRT(R534*($G$8-$E$8)*($F$8-$E$8)),$G$8-SQRT((1-R534)*($G$8-$E$8)*($G$8-$F$8))))</f>
        <v>1.04387950247058</v>
      </c>
      <c r="E534" s="37" t="n">
        <f aca="false">1+IF($G$9=$E$9,$F$9,IF(S534&lt;($F$9-$E$9)/($G$9-$E$9),$E$9+SQRT(S534*($G$9-$E$9)*($F$9-$E$9)),$G$9-SQRT((1-S534)*($G$9-$E$9)*($G$9-$F$9))))</f>
        <v>1.02877773078439</v>
      </c>
      <c r="F534" s="37" t="n">
        <f aca="false">1+IF($G$10=$E$10,$F$10,IF(T534&lt;($F$10-$E$10)/($G$10-$E$10),$E$10+SQRT(T534*($G$10-$E$10)*($F$10-$E$10)),$G$10-SQRT((1-T534)*($G$10-$E$10)*($G$10-$F$10))))</f>
        <v>1.09807515818362</v>
      </c>
      <c r="G534" s="38" t="n">
        <f aca="false">IF($G$11=$E$11,$F$11,IF(U534&lt;($F$11-$E$11)/($G$11-$E$11),$E$11+SQRT(U534*($G$11-$E$11)*($F$11-$E$11)),$G$11-SQRT((1-U534)*($G$11-$E$11)*($G$11-$F$11))))</f>
        <v>0.102126285196908</v>
      </c>
      <c r="H534" s="39" t="n">
        <f aca="false">(('Business Case'!B11*$C534*'Business Case'!B12*$B534)-'Business Case'!B11*$C534*'Business Case'!B13*$D534-'Business Case'!B14*$E534)-MAX(0,(('Business Case'!B11*$C534*'Business Case'!B12*$B534)-'Business Case'!B11*$C534*'Business Case'!B13*$D534-'Business Case'!B14*$E534))*'Business Case'!$B$7-'Business Case'!$B$8*('Business Case'!B11*$C534*'Business Case'!B12*$B534)-'Business Case'!B15*$F534</f>
        <v>-2196150316.36724</v>
      </c>
      <c r="I534" s="39" t="n">
        <f aca="false">(('Business Case'!C11*$C534*'Business Case'!C12*$B534)-'Business Case'!C11*$C534*'Business Case'!C13*$D534-'Business Case'!C14*$E534)-MAX(0,(('Business Case'!C11*$C534*'Business Case'!C12*$B534)-'Business Case'!C11*$C534*'Business Case'!C13*$D534-'Business Case'!C14*$E534))*'Business Case'!$B$7-'Business Case'!$B$8*(('Business Case'!C11*$C534*'Business Case'!C12*$B534)-('Business Case'!B11*$C534*'Business Case'!B12*$B534))-'Business Case'!C15*$F534</f>
        <v>-53276778.6401532</v>
      </c>
      <c r="J534" s="39" t="n">
        <f aca="false">(('Business Case'!D11*$C534*'Business Case'!D12*$B534)-'Business Case'!D11*$C534*'Business Case'!D13*$D534-'Business Case'!D14*$E534)-MAX(0,(('Business Case'!D11*$C534*'Business Case'!D12*$B534)-'Business Case'!D11*$C534*'Business Case'!D13*$D534-'Business Case'!D14*$E534))*'Business Case'!$B$7-'Business Case'!$B$8*(('Business Case'!D11*$C534*'Business Case'!D12*$B534)-('Business Case'!C11*$C534*'Business Case'!C12*$B534))-'Business Case'!D15*$F534</f>
        <v>200325338.538573</v>
      </c>
      <c r="K534" s="39" t="n">
        <f aca="false">(('Business Case'!E11*$C534*'Business Case'!E12*$B534)-'Business Case'!E11*$C534*'Business Case'!E13*$D534-'Business Case'!E14*$E534)-MAX(0,(('Business Case'!E11*$C534*'Business Case'!E12*$B534)-'Business Case'!E11*$C534*'Business Case'!E13*$D534-'Business Case'!E14*$E534))*'Business Case'!$B$7-'Business Case'!$B$8*(('Business Case'!E11*$C534*'Business Case'!E12*$B534)-('Business Case'!D11*$C534*'Business Case'!D12*$B534))-'Business Case'!E15*$F534</f>
        <v>508831213.626481</v>
      </c>
      <c r="L534" s="39" t="n">
        <f aca="false">(('Business Case'!F11*$C534*'Business Case'!F12*$B534)-'Business Case'!F11*$C534*'Business Case'!F13*$D534-'Business Case'!F14*$E534)-MAX(0,(('Business Case'!F11*$C534*'Business Case'!F12*$B534)-'Business Case'!F11*$C534*'Business Case'!F13*$D534-'Business Case'!F14*$E534))*'Business Case'!$B$7-'Business Case'!$B$8*(('Business Case'!F11*$C534*'Business Case'!F12*$B534)-('Business Case'!E11*$C534*'Business Case'!E12*$B534))-'Business Case'!F15*$F534</f>
        <v>627218043.808041</v>
      </c>
      <c r="M534" s="39" t="n">
        <f aca="false">(('Business Case'!G11*$C534*'Business Case'!G12*$B534)-'Business Case'!G11*$C534*'Business Case'!G13*$D534-'Business Case'!G14*$E534)-MAX(0,(('Business Case'!G11*$C534*'Business Case'!G12*$B534)-'Business Case'!G11*$C534*'Business Case'!G13*$D534-'Business Case'!G14*$E534))*'Business Case'!$B$7-'Business Case'!$B$8*(('Business Case'!G11*$C534*'Business Case'!G12*$B534)-('Business Case'!F11*$C534*'Business Case'!F12*$B534))-'Business Case'!G15*$F534+'Business Case'!$B$8*('Business Case'!G11*$C534*'Business Case'!G12*$B534)</f>
        <v>813408394.978957</v>
      </c>
      <c r="N534" s="39" t="n">
        <f aca="false">IF(COUNT('Business Case'!B11:G11)=0,"",H534+NPV(G534,I534:M534))</f>
        <v>-774174949.720451</v>
      </c>
      <c r="P534" s="40" t="n">
        <f aca="true">RAND()</f>
        <v>0.120148118627957</v>
      </c>
      <c r="Q534" s="40" t="n">
        <f aca="true">RAND()</f>
        <v>0.71093263427548</v>
      </c>
      <c r="R534" s="40" t="n">
        <f aca="true">RAND()</f>
        <v>0.874549005598749</v>
      </c>
      <c r="S534" s="40" t="n">
        <f aca="true">RAND()</f>
        <v>0.661825891185295</v>
      </c>
      <c r="T534" s="40" t="n">
        <f aca="true">RAND()</f>
        <v>0.792226532414128</v>
      </c>
      <c r="U534" s="40" t="n">
        <f aca="true">RAND()</f>
        <v>0.467550531896191</v>
      </c>
    </row>
    <row r="535" customFormat="false" ht="15" hidden="false" customHeight="false" outlineLevel="0" collapsed="false">
      <c r="A535" s="36" t="n">
        <v>455</v>
      </c>
      <c r="B535" s="37" t="n">
        <f aca="false">1+IF($G$6=$E$6,$F$6,IF(P535&lt;($F$6-$E$6)/($G$6-$E$6),$E$6+SQRT(P535*($G$6-$E$6)*($F$6-$E$6)),$G$6-SQRT((1-P535)*($G$6-$E$6)*($G$6-$F$6))))</f>
        <v>0.965282841282673</v>
      </c>
      <c r="C535" s="37" t="n">
        <f aca="false">1+IF($G$7=$E$7,$F$7,IF(Q535&lt;($F$7-$E$7)/($G$7-$E$7),$E$7+SQRT(Q535*($G$7-$E$7)*($F$7-$E$7)),$G$7-SQRT((1-Q535)*($G$7-$E$7)*($G$7-$F$7))))</f>
        <v>1.08871924554262</v>
      </c>
      <c r="D535" s="37" t="n">
        <f aca="false">1+IF($G$8=$E$8,$F$8,IF(R535&lt;($F$8-$E$8)/($G$8-$E$8),$E$8+SQRT(R535*($G$8-$E$8)*($F$8-$E$8)),$G$8-SQRT((1-R535)*($G$8-$E$8)*($G$8-$F$8))))</f>
        <v>1.0203196827509</v>
      </c>
      <c r="E535" s="37" t="n">
        <f aca="false">1+IF($G$9=$E$9,$F$9,IF(S535&lt;($F$9-$E$9)/($G$9-$E$9),$E$9+SQRT(S535*($G$9-$E$9)*($F$9-$E$9)),$G$9-SQRT((1-S535)*($G$9-$E$9)*($G$9-$F$9))))</f>
        <v>1.08129601123208</v>
      </c>
      <c r="F535" s="37" t="n">
        <f aca="false">1+IF($G$10=$E$10,$F$10,IF(T535&lt;($F$10-$E$10)/($G$10-$E$10),$E$10+SQRT(T535*($G$10-$E$10)*($F$10-$E$10)),$G$10-SQRT((1-T535)*($G$10-$E$10)*($G$10-$F$10))))</f>
        <v>1.02087559619906</v>
      </c>
      <c r="G535" s="38" t="n">
        <f aca="false">IF($G$11=$E$11,$F$11,IF(U535&lt;($F$11-$E$11)/($G$11-$E$11),$E$11+SQRT(U535*($G$11-$E$11)*($F$11-$E$11)),$G$11-SQRT((1-U535)*($G$11-$E$11)*($G$11-$F$11))))</f>
        <v>0.102690729874714</v>
      </c>
      <c r="H535" s="39" t="n">
        <f aca="false">(('Business Case'!B11*$C535*'Business Case'!B12*$B535)-'Business Case'!B11*$C535*'Business Case'!B13*$D535-'Business Case'!B14*$E535)-MAX(0,(('Business Case'!B11*$C535*'Business Case'!B12*$B535)-'Business Case'!B11*$C535*'Business Case'!B13*$D535-'Business Case'!B14*$E535))*'Business Case'!$B$7-'Business Case'!$B$8*('Business Case'!B11*$C535*'Business Case'!B12*$B535)-'Business Case'!B15*$F535</f>
        <v>-2041751192.39812</v>
      </c>
      <c r="I535" s="39" t="n">
        <f aca="false">(('Business Case'!C11*$C535*'Business Case'!C12*$B535)-'Business Case'!C11*$C535*'Business Case'!C13*$D535-'Business Case'!C14*$E535)-MAX(0,(('Business Case'!C11*$C535*'Business Case'!C12*$B535)-'Business Case'!C11*$C535*'Business Case'!C13*$D535-'Business Case'!C14*$E535))*'Business Case'!$B$7-'Business Case'!$B$8*(('Business Case'!C11*$C535*'Business Case'!C12*$B535)-('Business Case'!B11*$C535*'Business Case'!B12*$B535))-'Business Case'!C15*$F535</f>
        <v>-18208929.7523392</v>
      </c>
      <c r="J535" s="39" t="n">
        <f aca="false">(('Business Case'!D11*$C535*'Business Case'!D12*$B535)-'Business Case'!D11*$C535*'Business Case'!D13*$D535-'Business Case'!D14*$E535)-MAX(0,(('Business Case'!D11*$C535*'Business Case'!D12*$B535)-'Business Case'!D11*$C535*'Business Case'!D13*$D535-'Business Case'!D14*$E535))*'Business Case'!$B$7-'Business Case'!$B$8*(('Business Case'!D11*$C535*'Business Case'!D12*$B535)-('Business Case'!C11*$C535*'Business Case'!C12*$B535))-'Business Case'!D15*$F535</f>
        <v>273909789.739576</v>
      </c>
      <c r="K535" s="39" t="n">
        <f aca="false">(('Business Case'!E11*$C535*'Business Case'!E12*$B535)-'Business Case'!E11*$C535*'Business Case'!E13*$D535-'Business Case'!E14*$E535)-MAX(0,(('Business Case'!E11*$C535*'Business Case'!E12*$B535)-'Business Case'!E11*$C535*'Business Case'!E13*$D535-'Business Case'!E14*$E535))*'Business Case'!$B$7-'Business Case'!$B$8*(('Business Case'!E11*$C535*'Business Case'!E12*$B535)-('Business Case'!D11*$C535*'Business Case'!D12*$B535))-'Business Case'!E15*$F535</f>
        <v>617072289.041445</v>
      </c>
      <c r="L535" s="39" t="n">
        <f aca="false">(('Business Case'!F11*$C535*'Business Case'!F12*$B535)-'Business Case'!F11*$C535*'Business Case'!F13*$D535-'Business Case'!F14*$E535)-MAX(0,(('Business Case'!F11*$C535*'Business Case'!F12*$B535)-'Business Case'!F11*$C535*'Business Case'!F13*$D535-'Business Case'!F14*$E535))*'Business Case'!$B$7-'Business Case'!$B$8*(('Business Case'!F11*$C535*'Business Case'!F12*$B535)-('Business Case'!E11*$C535*'Business Case'!E12*$B535))-'Business Case'!F15*$F535</f>
        <v>750765060.090182</v>
      </c>
      <c r="M535" s="39" t="n">
        <f aca="false">(('Business Case'!G11*$C535*'Business Case'!G12*$B535)-'Business Case'!G11*$C535*'Business Case'!G13*$D535-'Business Case'!G14*$E535)-MAX(0,(('Business Case'!G11*$C535*'Business Case'!G12*$B535)-'Business Case'!G11*$C535*'Business Case'!G13*$D535-'Business Case'!G14*$E535))*'Business Case'!$B$7-'Business Case'!$B$8*(('Business Case'!G11*$C535*'Business Case'!G12*$B535)-('Business Case'!F11*$C535*'Business Case'!F12*$B535))-'Business Case'!G15*$F535+'Business Case'!$B$8*('Business Case'!G11*$C535*'Business Case'!G12*$B535)</f>
        <v>950524315.123054</v>
      </c>
      <c r="N535" s="39" t="n">
        <f aca="false">IF(COUNT('Business Case'!B11:G11)=0,"",H535+NPV(G535,I535:M535))</f>
        <v>-281935267.552036</v>
      </c>
      <c r="P535" s="40" t="n">
        <f aca="true">RAND()</f>
        <v>0.21359747027414</v>
      </c>
      <c r="Q535" s="40" t="n">
        <f aca="true">RAND()</f>
        <v>0.928469888250178</v>
      </c>
      <c r="R535" s="40" t="n">
        <f aca="true">RAND()</f>
        <v>0.657524974331411</v>
      </c>
      <c r="S535" s="40" t="n">
        <f aca="true">RAND()</f>
        <v>0.976677386944631</v>
      </c>
      <c r="T535" s="40" t="n">
        <f aca="true">RAND()</f>
        <v>0.358288959259158</v>
      </c>
      <c r="U535" s="40" t="n">
        <f aca="true">RAND()</f>
        <v>0.500648612883116</v>
      </c>
    </row>
    <row r="536" customFormat="false" ht="15" hidden="false" customHeight="false" outlineLevel="0" collapsed="false">
      <c r="A536" s="36" t="n">
        <v>456</v>
      </c>
      <c r="B536" s="37" t="n">
        <f aca="false">1+IF($G$6=$E$6,$F$6,IF(P536&lt;($F$6-$E$6)/($G$6-$E$6),$E$6+SQRT(P536*($G$6-$E$6)*($F$6-$E$6)),$G$6-SQRT((1-P536)*($G$6-$E$6)*($G$6-$F$6))))</f>
        <v>1.00448827243863</v>
      </c>
      <c r="C536" s="37" t="n">
        <f aca="false">1+IF($G$7=$E$7,$F$7,IF(Q536&lt;($F$7-$E$7)/($G$7-$E$7),$E$7+SQRT(Q536*($G$7-$E$7)*($F$7-$E$7)),$G$7-SQRT((1-Q536)*($G$7-$E$7)*($G$7-$F$7))))</f>
        <v>0.989458119012109</v>
      </c>
      <c r="D536" s="37" t="n">
        <f aca="false">1+IF($G$8=$E$8,$F$8,IF(R536&lt;($F$8-$E$8)/($G$8-$E$8),$E$8+SQRT(R536*($G$8-$E$8)*($F$8-$E$8)),$G$8-SQRT((1-R536)*($G$8-$E$8)*($G$8-$F$8))))</f>
        <v>1.02670847797485</v>
      </c>
      <c r="E536" s="37" t="n">
        <f aca="false">1+IF($G$9=$E$9,$F$9,IF(S536&lt;($F$9-$E$9)/($G$9-$E$9),$E$9+SQRT(S536*($G$9-$E$9)*($F$9-$E$9)),$G$9-SQRT((1-S536)*($G$9-$E$9)*($G$9-$F$9))))</f>
        <v>1.05152688268256</v>
      </c>
      <c r="F536" s="37" t="n">
        <f aca="false">1+IF($G$10=$E$10,$F$10,IF(T536&lt;($F$10-$E$10)/($G$10-$E$10),$E$10+SQRT(T536*($G$10-$E$10)*($F$10-$E$10)),$G$10-SQRT((1-T536)*($G$10-$E$10)*($G$10-$F$10))))</f>
        <v>0.979099388806752</v>
      </c>
      <c r="G536" s="38" t="n">
        <f aca="false">IF($G$11=$E$11,$F$11,IF(U536&lt;($F$11-$E$11)/($G$11-$E$11),$E$11+SQRT(U536*($G$11-$E$11)*($F$11-$E$11)),$G$11-SQRT((1-U536)*($G$11-$E$11)*($G$11-$F$11))))</f>
        <v>0.098254364475952</v>
      </c>
      <c r="H536" s="39" t="n">
        <f aca="false">(('Business Case'!B11*$C536*'Business Case'!B12*$B536)-'Business Case'!B11*$C536*'Business Case'!B13*$D536-'Business Case'!B14*$E536)-MAX(0,(('Business Case'!B11*$C536*'Business Case'!B12*$B536)-'Business Case'!B11*$C536*'Business Case'!B13*$D536-'Business Case'!B14*$E536))*'Business Case'!$B$7-'Business Case'!$B$8*('Business Case'!B11*$C536*'Business Case'!B12*$B536)-'Business Case'!B15*$F536</f>
        <v>-1958198777.61351</v>
      </c>
      <c r="I536" s="39" t="n">
        <f aca="false">(('Business Case'!C11*$C536*'Business Case'!C12*$B536)-'Business Case'!C11*$C536*'Business Case'!C13*$D536-'Business Case'!C14*$E536)-MAX(0,(('Business Case'!C11*$C536*'Business Case'!C12*$B536)-'Business Case'!C11*$C536*'Business Case'!C13*$D536-'Business Case'!C14*$E536))*'Business Case'!$B$7-'Business Case'!$B$8*(('Business Case'!C11*$C536*'Business Case'!C12*$B536)-('Business Case'!B11*$C536*'Business Case'!B12*$B536))-'Business Case'!C15*$F536</f>
        <v>-4937754.61216791</v>
      </c>
      <c r="J536" s="39" t="n">
        <f aca="false">(('Business Case'!D11*$C536*'Business Case'!D12*$B536)-'Business Case'!D11*$C536*'Business Case'!D13*$D536-'Business Case'!D14*$E536)-MAX(0,(('Business Case'!D11*$C536*'Business Case'!D12*$B536)-'Business Case'!D11*$C536*'Business Case'!D13*$D536-'Business Case'!D14*$E536))*'Business Case'!$B$7-'Business Case'!$B$8*(('Business Case'!D11*$C536*'Business Case'!D12*$B536)-('Business Case'!C11*$C536*'Business Case'!C12*$B536))-'Business Case'!D15*$F536</f>
        <v>289085280.505617</v>
      </c>
      <c r="K536" s="39" t="n">
        <f aca="false">(('Business Case'!E11*$C536*'Business Case'!E12*$B536)-'Business Case'!E11*$C536*'Business Case'!E13*$D536-'Business Case'!E14*$E536)-MAX(0,(('Business Case'!E11*$C536*'Business Case'!E12*$B536)-'Business Case'!E11*$C536*'Business Case'!E13*$D536-'Business Case'!E14*$E536))*'Business Case'!$B$7-'Business Case'!$B$8*(('Business Case'!E11*$C536*'Business Case'!E12*$B536)-('Business Case'!D11*$C536*'Business Case'!D12*$B536))-'Business Case'!E15*$F536</f>
        <v>632063285.063739</v>
      </c>
      <c r="L536" s="39" t="n">
        <f aca="false">(('Business Case'!F11*$C536*'Business Case'!F12*$B536)-'Business Case'!F11*$C536*'Business Case'!F13*$D536-'Business Case'!F14*$E536)-MAX(0,(('Business Case'!F11*$C536*'Business Case'!F12*$B536)-'Business Case'!F11*$C536*'Business Case'!F13*$D536-'Business Case'!F14*$E536))*'Business Case'!$B$7-'Business Case'!$B$8*(('Business Case'!F11*$C536*'Business Case'!F12*$B536)-('Business Case'!E11*$C536*'Business Case'!E12*$B536))-'Business Case'!F15*$F536</f>
        <v>764420115.524213</v>
      </c>
      <c r="M536" s="39" t="n">
        <f aca="false">(('Business Case'!G11*$C536*'Business Case'!G12*$B536)-'Business Case'!G11*$C536*'Business Case'!G13*$D536-'Business Case'!G14*$E536)-MAX(0,(('Business Case'!G11*$C536*'Business Case'!G12*$B536)-'Business Case'!G11*$C536*'Business Case'!G13*$D536-'Business Case'!G14*$E536))*'Business Case'!$B$7-'Business Case'!$B$8*(('Business Case'!G11*$C536*'Business Case'!G12*$B536)-('Business Case'!F11*$C536*'Business Case'!F12*$B536))-'Business Case'!G15*$F536+'Business Case'!$B$8*('Business Case'!G11*$C536*'Business Case'!G12*$B536)</f>
        <v>953340452.007543</v>
      </c>
      <c r="N536" s="39" t="n">
        <f aca="false">IF(COUNT('Business Case'!B11:G11)=0,"",H536+NPV(G536,I536:M536))</f>
        <v>-123769278.165835</v>
      </c>
      <c r="P536" s="40" t="n">
        <f aca="true">RAND()</f>
        <v>0.73727441783476</v>
      </c>
      <c r="Q536" s="40" t="n">
        <f aca="true">RAND()</f>
        <v>0.512776840851521</v>
      </c>
      <c r="R536" s="40" t="n">
        <f aca="true">RAND()</f>
        <v>0.726924392331078</v>
      </c>
      <c r="S536" s="40" t="n">
        <f aca="true">RAND()</f>
        <v>0.843357126501982</v>
      </c>
      <c r="T536" s="40" t="n">
        <f aca="true">RAND()</f>
        <v>0.0677419543141239</v>
      </c>
      <c r="U536" s="40" t="n">
        <f aca="true">RAND()</f>
        <v>0.227115109672863</v>
      </c>
    </row>
    <row r="537" customFormat="false" ht="15" hidden="false" customHeight="false" outlineLevel="0" collapsed="false">
      <c r="A537" s="36" t="n">
        <v>457</v>
      </c>
      <c r="B537" s="37" t="n">
        <f aca="false">1+IF($G$6=$E$6,$F$6,IF(P537&lt;($F$6-$E$6)/($G$6-$E$6),$E$6+SQRT(P537*($G$6-$E$6)*($F$6-$E$6)),$G$6-SQRT((1-P537)*($G$6-$E$6)*($G$6-$F$6))))</f>
        <v>0.977971694921165</v>
      </c>
      <c r="C537" s="37" t="n">
        <f aca="false">1+IF($G$7=$E$7,$F$7,IF(Q537&lt;($F$7-$E$7)/($G$7-$E$7),$E$7+SQRT(Q537*($G$7-$E$7)*($F$7-$E$7)),$G$7-SQRT((1-Q537)*($G$7-$E$7)*($G$7-$F$7))))</f>
        <v>1.01310441645957</v>
      </c>
      <c r="D537" s="37" t="n">
        <f aca="false">1+IF($G$8=$E$8,$F$8,IF(R537&lt;($F$8-$E$8)/($G$8-$E$8),$E$8+SQRT(R537*($G$8-$E$8)*($F$8-$E$8)),$G$8-SQRT((1-R537)*($G$8-$E$8)*($G$8-$F$8))))</f>
        <v>1.06529927402219</v>
      </c>
      <c r="E537" s="37" t="n">
        <f aca="false">1+IF($G$9=$E$9,$F$9,IF(S537&lt;($F$9-$E$9)/($G$9-$E$9),$E$9+SQRT(S537*($G$9-$E$9)*($F$9-$E$9)),$G$9-SQRT((1-S537)*($G$9-$E$9)*($G$9-$F$9))))</f>
        <v>0.993061963808484</v>
      </c>
      <c r="F537" s="37" t="n">
        <f aca="false">1+IF($G$10=$E$10,$F$10,IF(T537&lt;($F$10-$E$10)/($G$10-$E$10),$E$10+SQRT(T537*($G$10-$E$10)*($F$10-$E$10)),$G$10-SQRT((1-T537)*($G$10-$E$10)*($G$10-$F$10))))</f>
        <v>1.02690047659262</v>
      </c>
      <c r="G537" s="38" t="n">
        <f aca="false">IF($G$11=$E$11,$F$11,IF(U537&lt;($F$11-$E$11)/($G$11-$E$11),$E$11+SQRT(U537*($G$11-$E$11)*($F$11-$E$11)),$G$11-SQRT((1-U537)*($G$11-$E$11)*($G$11-$F$11))))</f>
        <v>0.108142006482141</v>
      </c>
      <c r="H537" s="39" t="n">
        <f aca="false">(('Business Case'!B11*$C537*'Business Case'!B12*$B537)-'Business Case'!B11*$C537*'Business Case'!B13*$D537-'Business Case'!B14*$E537)-MAX(0,(('Business Case'!B11*$C537*'Business Case'!B12*$B537)-'Business Case'!B11*$C537*'Business Case'!B13*$D537-'Business Case'!B14*$E537))*'Business Case'!$B$7-'Business Case'!$B$8*('Business Case'!B11*$C537*'Business Case'!B12*$B537)-'Business Case'!B15*$F537</f>
        <v>-2053800953.18524</v>
      </c>
      <c r="I537" s="39" t="n">
        <f aca="false">(('Business Case'!C11*$C537*'Business Case'!C12*$B537)-'Business Case'!C11*$C537*'Business Case'!C13*$D537-'Business Case'!C14*$E537)-MAX(0,(('Business Case'!C11*$C537*'Business Case'!C12*$B537)-'Business Case'!C11*$C537*'Business Case'!C13*$D537-'Business Case'!C14*$E537))*'Business Case'!$B$7-'Business Case'!$B$8*(('Business Case'!C11*$C537*'Business Case'!C12*$B537)-('Business Case'!B11*$C537*'Business Case'!B12*$B537))-'Business Case'!C15*$F537</f>
        <v>-36234098.9390579</v>
      </c>
      <c r="J537" s="39" t="n">
        <f aca="false">(('Business Case'!D11*$C537*'Business Case'!D12*$B537)-'Business Case'!D11*$C537*'Business Case'!D13*$D537-'Business Case'!D14*$E537)-MAX(0,(('Business Case'!D11*$C537*'Business Case'!D12*$B537)-'Business Case'!D11*$C537*'Business Case'!D13*$D537-'Business Case'!D14*$E537))*'Business Case'!$B$7-'Business Case'!$B$8*(('Business Case'!D11*$C537*'Business Case'!D12*$B537)-('Business Case'!C11*$C537*'Business Case'!C12*$B537))-'Business Case'!D15*$F537</f>
        <v>222797682.095233</v>
      </c>
      <c r="K537" s="39" t="n">
        <f aca="false">(('Business Case'!E11*$C537*'Business Case'!E12*$B537)-'Business Case'!E11*$C537*'Business Case'!E13*$D537-'Business Case'!E14*$E537)-MAX(0,(('Business Case'!E11*$C537*'Business Case'!E12*$B537)-'Business Case'!E11*$C537*'Business Case'!E13*$D537-'Business Case'!E14*$E537))*'Business Case'!$B$7-'Business Case'!$B$8*(('Business Case'!E11*$C537*'Business Case'!E12*$B537)-('Business Case'!D11*$C537*'Business Case'!D12*$B537))-'Business Case'!E15*$F537</f>
        <v>533174486.959155</v>
      </c>
      <c r="L537" s="39" t="n">
        <f aca="false">(('Business Case'!F11*$C537*'Business Case'!F12*$B537)-'Business Case'!F11*$C537*'Business Case'!F13*$D537-'Business Case'!F14*$E537)-MAX(0,(('Business Case'!F11*$C537*'Business Case'!F12*$B537)-'Business Case'!F11*$C537*'Business Case'!F13*$D537-'Business Case'!F14*$E537))*'Business Case'!$B$7-'Business Case'!$B$8*(('Business Case'!F11*$C537*'Business Case'!F12*$B537)-('Business Case'!E11*$C537*'Business Case'!E12*$B537))-'Business Case'!F15*$F537</f>
        <v>653760028.010933</v>
      </c>
      <c r="M537" s="39" t="n">
        <f aca="false">(('Business Case'!G11*$C537*'Business Case'!G12*$B537)-'Business Case'!G11*$C537*'Business Case'!G13*$D537-'Business Case'!G14*$E537)-MAX(0,(('Business Case'!G11*$C537*'Business Case'!G12*$B537)-'Business Case'!G11*$C537*'Business Case'!G13*$D537-'Business Case'!G14*$E537))*'Business Case'!$B$7-'Business Case'!$B$8*(('Business Case'!G11*$C537*'Business Case'!G12*$B537)-('Business Case'!F11*$C537*'Business Case'!F12*$B537))-'Business Case'!G15*$F537+'Business Case'!$B$8*('Business Case'!G11*$C537*'Business Case'!G12*$B537)</f>
        <v>842088905.232843</v>
      </c>
      <c r="N537" s="39" t="n">
        <f aca="false">IF(COUNT('Business Case'!B11:G11)=0,"",H537+NPV(G537,I537:M537))</f>
        <v>-575757834.243192</v>
      </c>
      <c r="P537" s="40" t="n">
        <f aca="true">RAND()</f>
        <v>0.350074730420061</v>
      </c>
      <c r="Q537" s="40" t="n">
        <f aca="true">RAND()</f>
        <v>0.643039984897622</v>
      </c>
      <c r="R537" s="40" t="n">
        <f aca="true">RAND()</f>
        <v>0.979220063050527</v>
      </c>
      <c r="S537" s="40" t="n">
        <f aca="true">RAND()</f>
        <v>0.247244363605762</v>
      </c>
      <c r="T537" s="40" t="n">
        <f aca="true">RAND()</f>
        <v>0.400731099922742</v>
      </c>
      <c r="U537" s="40" t="n">
        <f aca="true">RAND()</f>
        <v>0.765646649550688</v>
      </c>
    </row>
    <row r="538" customFormat="false" ht="15" hidden="false" customHeight="false" outlineLevel="0" collapsed="false">
      <c r="A538" s="36" t="n">
        <v>458</v>
      </c>
      <c r="B538" s="37" t="n">
        <f aca="false">1+IF($G$6=$E$6,$F$6,IF(P538&lt;($F$6-$E$6)/($G$6-$E$6),$E$6+SQRT(P538*($G$6-$E$6)*($F$6-$E$6)),$G$6-SQRT((1-P538)*($G$6-$E$6)*($G$6-$F$6))))</f>
        <v>0.940182549545955</v>
      </c>
      <c r="C538" s="37" t="n">
        <f aca="false">1+IF($G$7=$E$7,$F$7,IF(Q538&lt;($F$7-$E$7)/($G$7-$E$7),$E$7+SQRT(Q538*($G$7-$E$7)*($F$7-$E$7)),$G$7-SQRT((1-Q538)*($G$7-$E$7)*($G$7-$F$7))))</f>
        <v>0.997894730619564</v>
      </c>
      <c r="D538" s="37" t="n">
        <f aca="false">1+IF($G$8=$E$8,$F$8,IF(R538&lt;($F$8-$E$8)/($G$8-$E$8),$E$8+SQRT(R538*($G$8-$E$8)*($F$8-$E$8)),$G$8-SQRT((1-R538)*($G$8-$E$8)*($G$8-$F$8))))</f>
        <v>1.00690268179904</v>
      </c>
      <c r="E538" s="37" t="n">
        <f aca="false">1+IF($G$9=$E$9,$F$9,IF(S538&lt;($F$9-$E$9)/($G$9-$E$9),$E$9+SQRT(S538*($G$9-$E$9)*($F$9-$E$9)),$G$9-SQRT((1-S538)*($G$9-$E$9)*($G$9-$F$9))))</f>
        <v>1.00204521748034</v>
      </c>
      <c r="F538" s="37" t="n">
        <f aca="false">1+IF($G$10=$E$10,$F$10,IF(T538&lt;($F$10-$E$10)/($G$10-$E$10),$E$10+SQRT(T538*($G$10-$E$10)*($F$10-$E$10)),$G$10-SQRT((1-T538)*($G$10-$E$10)*($G$10-$F$10))))</f>
        <v>1.16385584520016</v>
      </c>
      <c r="G538" s="38" t="n">
        <f aca="false">IF($G$11=$E$11,$F$11,IF(U538&lt;($F$11-$E$11)/($G$11-$E$11),$E$11+SQRT(U538*($G$11-$E$11)*($F$11-$E$11)),$G$11-SQRT((1-U538)*($G$11-$E$11)*($G$11-$F$11))))</f>
        <v>0.109972904058578</v>
      </c>
      <c r="H538" s="39" t="n">
        <f aca="false">(('Business Case'!B11*$C538*'Business Case'!B12*$B538)-'Business Case'!B11*$C538*'Business Case'!B13*$D538-'Business Case'!B14*$E538)-MAX(0,(('Business Case'!B11*$C538*'Business Case'!B12*$B538)-'Business Case'!B11*$C538*'Business Case'!B13*$D538-'Business Case'!B14*$E538))*'Business Case'!$B$7-'Business Case'!$B$8*('Business Case'!B11*$C538*'Business Case'!B12*$B538)-'Business Case'!B15*$F538</f>
        <v>-2327711690.40033</v>
      </c>
      <c r="I538" s="39" t="n">
        <f aca="false">(('Business Case'!C11*$C538*'Business Case'!C12*$B538)-'Business Case'!C11*$C538*'Business Case'!C13*$D538-'Business Case'!C14*$E538)-MAX(0,(('Business Case'!C11*$C538*'Business Case'!C12*$B538)-'Business Case'!C11*$C538*'Business Case'!C13*$D538-'Business Case'!C14*$E538))*'Business Case'!$B$7-'Business Case'!$B$8*(('Business Case'!C11*$C538*'Business Case'!C12*$B538)-('Business Case'!B11*$C538*'Business Case'!B12*$B538))-'Business Case'!C15*$F538</f>
        <v>-53425339.8285618</v>
      </c>
      <c r="J538" s="39" t="n">
        <f aca="false">(('Business Case'!D11*$C538*'Business Case'!D12*$B538)-'Business Case'!D11*$C538*'Business Case'!D13*$D538-'Business Case'!D14*$E538)-MAX(0,(('Business Case'!D11*$C538*'Business Case'!D12*$B538)-'Business Case'!D11*$C538*'Business Case'!D13*$D538-'Business Case'!D14*$E538))*'Business Case'!$B$7-'Business Case'!$B$8*(('Business Case'!D11*$C538*'Business Case'!D12*$B538)-('Business Case'!C11*$C538*'Business Case'!C12*$B538))-'Business Case'!D15*$F538</f>
        <v>200662189.299318</v>
      </c>
      <c r="K538" s="39" t="n">
        <f aca="false">(('Business Case'!E11*$C538*'Business Case'!E12*$B538)-'Business Case'!E11*$C538*'Business Case'!E13*$D538-'Business Case'!E14*$E538)-MAX(0,(('Business Case'!E11*$C538*'Business Case'!E12*$B538)-'Business Case'!E11*$C538*'Business Case'!E13*$D538-'Business Case'!E14*$E538))*'Business Case'!$B$7-'Business Case'!$B$8*(('Business Case'!E11*$C538*'Business Case'!E12*$B538)-('Business Case'!D11*$C538*'Business Case'!D12*$B538))-'Business Case'!E15*$F538</f>
        <v>512942510.687206</v>
      </c>
      <c r="L538" s="39" t="n">
        <f aca="false">(('Business Case'!F11*$C538*'Business Case'!F12*$B538)-'Business Case'!F11*$C538*'Business Case'!F13*$D538-'Business Case'!F14*$E538)-MAX(0,(('Business Case'!F11*$C538*'Business Case'!F12*$B538)-'Business Case'!F11*$C538*'Business Case'!F13*$D538-'Business Case'!F14*$E538))*'Business Case'!$B$7-'Business Case'!$B$8*(('Business Case'!F11*$C538*'Business Case'!F12*$B538)-('Business Case'!E11*$C538*'Business Case'!E12*$B538))-'Business Case'!F15*$F538</f>
        <v>630062656.73698</v>
      </c>
      <c r="M538" s="39" t="n">
        <f aca="false">(('Business Case'!G11*$C538*'Business Case'!G12*$B538)-'Business Case'!G11*$C538*'Business Case'!G13*$D538-'Business Case'!G14*$E538)-MAX(0,(('Business Case'!G11*$C538*'Business Case'!G12*$B538)-'Business Case'!G11*$C538*'Business Case'!G13*$D538-'Business Case'!G14*$E538))*'Business Case'!$B$7-'Business Case'!$B$8*(('Business Case'!G11*$C538*'Business Case'!G12*$B538)-('Business Case'!F11*$C538*'Business Case'!F12*$B538))-'Business Case'!G15*$F538+'Business Case'!$B$8*('Business Case'!G11*$C538*'Business Case'!G12*$B538)</f>
        <v>808396323.276293</v>
      </c>
      <c r="N538" s="39" t="n">
        <f aca="false">IF(COUNT('Business Case'!B11:G11)=0,"",H538+NPV(G538,I538:M538))</f>
        <v>-943002559.086139</v>
      </c>
      <c r="P538" s="40" t="n">
        <f aca="true">RAND()</f>
        <v>0.04243076105989</v>
      </c>
      <c r="Q538" s="40" t="n">
        <f aca="true">RAND()</f>
        <v>0.559461777242709</v>
      </c>
      <c r="R538" s="40" t="n">
        <f aca="true">RAND()</f>
        <v>0.486229045368084</v>
      </c>
      <c r="S538" s="40" t="n">
        <f aca="true">RAND()</f>
        <v>0.360324038768346</v>
      </c>
      <c r="T538" s="40" t="n">
        <f aca="true">RAND()</f>
        <v>0.97387200147611</v>
      </c>
      <c r="U538" s="40" t="n">
        <f aca="true">RAND()</f>
        <v>0.832428911635876</v>
      </c>
    </row>
    <row r="539" customFormat="false" ht="15" hidden="false" customHeight="false" outlineLevel="0" collapsed="false">
      <c r="A539" s="36" t="n">
        <v>459</v>
      </c>
      <c r="B539" s="37" t="n">
        <f aca="false">1+IF($G$6=$E$6,$F$6,IF(P539&lt;($F$6-$E$6)/($G$6-$E$6),$E$6+SQRT(P539*($G$6-$E$6)*($F$6-$E$6)),$G$6-SQRT((1-P539)*($G$6-$E$6)*($G$6-$F$6))))</f>
        <v>0.970822381647896</v>
      </c>
      <c r="C539" s="37" t="n">
        <f aca="false">1+IF($G$7=$E$7,$F$7,IF(Q539&lt;($F$7-$E$7)/($G$7-$E$7),$E$7+SQRT(Q539*($G$7-$E$7)*($F$7-$E$7)),$G$7-SQRT((1-Q539)*($G$7-$E$7)*($G$7-$F$7))))</f>
        <v>1.1358921806194</v>
      </c>
      <c r="D539" s="37" t="n">
        <f aca="false">1+IF($G$8=$E$8,$F$8,IF(R539&lt;($F$8-$E$8)/($G$8-$E$8),$E$8+SQRT(R539*($G$8-$E$8)*($F$8-$E$8)),$G$8-SQRT((1-R539)*($G$8-$E$8)*($G$8-$F$8))))</f>
        <v>1.0623431010753</v>
      </c>
      <c r="E539" s="37" t="n">
        <f aca="false">1+IF($G$9=$E$9,$F$9,IF(S539&lt;($F$9-$E$9)/($G$9-$E$9),$E$9+SQRT(S539*($G$9-$E$9)*($F$9-$E$9)),$G$9-SQRT((1-S539)*($G$9-$E$9)*($G$9-$F$9))))</f>
        <v>1.08925049809096</v>
      </c>
      <c r="F539" s="37" t="n">
        <f aca="false">1+IF($G$10=$E$10,$F$10,IF(T539&lt;($F$10-$E$10)/($G$10-$E$10),$E$10+SQRT(T539*($G$10-$E$10)*($F$10-$E$10)),$G$10-SQRT((1-T539)*($G$10-$E$10)*($G$10-$F$10))))</f>
        <v>1.13790770212754</v>
      </c>
      <c r="G539" s="38" t="n">
        <f aca="false">IF($G$11=$E$11,$F$11,IF(U539&lt;($F$11-$E$11)/($G$11-$E$11),$E$11+SQRT(U539*($G$11-$E$11)*($F$11-$E$11)),$G$11-SQRT((1-U539)*($G$11-$E$11)*($G$11-$F$11))))</f>
        <v>0.0959832417719946</v>
      </c>
      <c r="H539" s="39" t="n">
        <f aca="false">(('Business Case'!B11*$C539*'Business Case'!B12*$B539)-'Business Case'!B11*$C539*'Business Case'!B13*$D539-'Business Case'!B14*$E539)-MAX(0,(('Business Case'!B11*$C539*'Business Case'!B12*$B539)-'Business Case'!B11*$C539*'Business Case'!B13*$D539-'Business Case'!B14*$E539))*'Business Case'!$B$7-'Business Case'!$B$8*('Business Case'!B11*$C539*'Business Case'!B12*$B539)-'Business Case'!B15*$F539</f>
        <v>-2275815404.25508</v>
      </c>
      <c r="I539" s="39" t="n">
        <f aca="false">(('Business Case'!C11*$C539*'Business Case'!C12*$B539)-'Business Case'!C11*$C539*'Business Case'!C13*$D539-'Business Case'!C14*$E539)-MAX(0,(('Business Case'!C11*$C539*'Business Case'!C12*$B539)-'Business Case'!C11*$C539*'Business Case'!C13*$D539-'Business Case'!C14*$E539))*'Business Case'!$B$7-'Business Case'!$B$8*(('Business Case'!C11*$C539*'Business Case'!C12*$B539)-('Business Case'!B11*$C539*'Business Case'!B12*$B539))-'Business Case'!C15*$F539</f>
        <v>-40355007.601887</v>
      </c>
      <c r="J539" s="39" t="n">
        <f aca="false">(('Business Case'!D11*$C539*'Business Case'!D12*$B539)-'Business Case'!D11*$C539*'Business Case'!D13*$D539-'Business Case'!D14*$E539)-MAX(0,(('Business Case'!D11*$C539*'Business Case'!D12*$B539)-'Business Case'!D11*$C539*'Business Case'!D13*$D539-'Business Case'!D14*$E539))*'Business Case'!$B$7-'Business Case'!$B$8*(('Business Case'!D11*$C539*'Business Case'!D12*$B539)-('Business Case'!C11*$C539*'Business Case'!C12*$B539))-'Business Case'!D15*$F539</f>
        <v>245138712.617557</v>
      </c>
      <c r="K539" s="39" t="n">
        <f aca="false">(('Business Case'!E11*$C539*'Business Case'!E12*$B539)-'Business Case'!E11*$C539*'Business Case'!E13*$D539-'Business Case'!E14*$E539)-MAX(0,(('Business Case'!E11*$C539*'Business Case'!E12*$B539)-'Business Case'!E11*$C539*'Business Case'!E13*$D539-'Business Case'!E14*$E539))*'Business Case'!$B$7-'Business Case'!$B$8*(('Business Case'!E11*$C539*'Business Case'!E12*$B539)-('Business Case'!D11*$C539*'Business Case'!D12*$B539))-'Business Case'!E15*$F539</f>
        <v>587527817.943378</v>
      </c>
      <c r="L539" s="39" t="n">
        <f aca="false">(('Business Case'!F11*$C539*'Business Case'!F12*$B539)-'Business Case'!F11*$C539*'Business Case'!F13*$D539-'Business Case'!F14*$E539)-MAX(0,(('Business Case'!F11*$C539*'Business Case'!F12*$B539)-'Business Case'!F11*$C539*'Business Case'!F13*$D539-'Business Case'!F14*$E539))*'Business Case'!$B$7-'Business Case'!$B$8*(('Business Case'!F11*$C539*'Business Case'!F12*$B539)-('Business Case'!E11*$C539*'Business Case'!E12*$B539))-'Business Case'!F15*$F539</f>
        <v>720803415.869887</v>
      </c>
      <c r="M539" s="39" t="n">
        <f aca="false">(('Business Case'!G11*$C539*'Business Case'!G12*$B539)-'Business Case'!G11*$C539*'Business Case'!G13*$D539-'Business Case'!G14*$E539)-MAX(0,(('Business Case'!G11*$C539*'Business Case'!G12*$B539)-'Business Case'!G11*$C539*'Business Case'!G13*$D539-'Business Case'!G14*$E539))*'Business Case'!$B$7-'Business Case'!$B$8*(('Business Case'!G11*$C539*'Business Case'!G12*$B539)-('Business Case'!F11*$C539*'Business Case'!F12*$B539))-'Business Case'!G15*$F539+'Business Case'!$B$8*('Business Case'!G11*$C539*'Business Case'!G12*$B539)</f>
        <v>930414050.730043</v>
      </c>
      <c r="N539" s="39" t="n">
        <f aca="false">IF(COUNT('Business Case'!B11:G11)=0,"",H539+NPV(G539,I539:M539))</f>
        <v>-574311080.871495</v>
      </c>
      <c r="P539" s="40" t="n">
        <f aca="true">RAND()</f>
        <v>0.269053591287957</v>
      </c>
      <c r="Q539" s="40" t="n">
        <f aca="true">RAND()</f>
        <v>0.996208941568085</v>
      </c>
      <c r="R539" s="40" t="n">
        <f aca="true">RAND()</f>
        <v>0.970022492342589</v>
      </c>
      <c r="S539" s="40" t="n">
        <f aca="true">RAND()</f>
        <v>0.992296547247168</v>
      </c>
      <c r="T539" s="40" t="n">
        <f aca="true">RAND()</f>
        <v>0.922890930898357</v>
      </c>
      <c r="U539" s="40" t="n">
        <f aca="true">RAND()</f>
        <v>0.119330607007135</v>
      </c>
    </row>
    <row r="540" customFormat="false" ht="15" hidden="false" customHeight="false" outlineLevel="0" collapsed="false">
      <c r="A540" s="36" t="n">
        <v>460</v>
      </c>
      <c r="B540" s="37" t="n">
        <f aca="false">1+IF($G$6=$E$6,$F$6,IF(P540&lt;($F$6-$E$6)/($G$6-$E$6),$E$6+SQRT(P540*($G$6-$E$6)*($F$6-$E$6)),$G$6-SQRT((1-P540)*($G$6-$E$6)*($G$6-$F$6))))</f>
        <v>1.00174201661337</v>
      </c>
      <c r="C540" s="37" t="n">
        <f aca="false">1+IF($G$7=$E$7,$F$7,IF(Q540&lt;($F$7-$E$7)/($G$7-$E$7),$E$7+SQRT(Q540*($G$7-$E$7)*($F$7-$E$7)),$G$7-SQRT((1-Q540)*($G$7-$E$7)*($G$7-$F$7))))</f>
        <v>0.949803500354531</v>
      </c>
      <c r="D540" s="37" t="n">
        <f aca="false">1+IF($G$8=$E$8,$F$8,IF(R540&lt;($F$8-$E$8)/($G$8-$E$8),$E$8+SQRT(R540*($G$8-$E$8)*($F$8-$E$8)),$G$8-SQRT((1-R540)*($G$8-$E$8)*($G$8-$F$8))))</f>
        <v>1.0383486936373</v>
      </c>
      <c r="E540" s="37" t="n">
        <f aca="false">1+IF($G$9=$E$9,$F$9,IF(S540&lt;($F$9-$E$9)/($G$9-$E$9),$E$9+SQRT(S540*($G$9-$E$9)*($F$9-$E$9)),$G$9-SQRT((1-S540)*($G$9-$E$9)*($G$9-$F$9))))</f>
        <v>1.00187540567261</v>
      </c>
      <c r="F540" s="37" t="n">
        <f aca="false">1+IF($G$10=$E$10,$F$10,IF(T540&lt;($F$10-$E$10)/($G$10-$E$10),$E$10+SQRT(T540*($G$10-$E$10)*($F$10-$E$10)),$G$10-SQRT((1-T540)*($G$10-$E$10)*($G$10-$F$10))))</f>
        <v>1.09862578668502</v>
      </c>
      <c r="G540" s="38" t="n">
        <f aca="false">IF($G$11=$E$11,$F$11,IF(U540&lt;($F$11-$E$11)/($G$11-$E$11),$E$11+SQRT(U540*($G$11-$E$11)*($F$11-$E$11)),$G$11-SQRT((1-U540)*($G$11-$E$11)*($G$11-$F$11))))</f>
        <v>0.100493950029501</v>
      </c>
      <c r="H540" s="39" t="n">
        <f aca="false">(('Business Case'!B11*$C540*'Business Case'!B12*$B540)-'Business Case'!B11*$C540*'Business Case'!B13*$D540-'Business Case'!B14*$E540)-MAX(0,(('Business Case'!B11*$C540*'Business Case'!B12*$B540)-'Business Case'!B11*$C540*'Business Case'!B13*$D540-'Business Case'!B14*$E540))*'Business Case'!$B$7-'Business Case'!$B$8*('Business Case'!B11*$C540*'Business Case'!B12*$B540)-'Business Case'!B15*$F540</f>
        <v>-2197251573.37005</v>
      </c>
      <c r="I540" s="39" t="n">
        <f aca="false">(('Business Case'!C11*$C540*'Business Case'!C12*$B540)-'Business Case'!C11*$C540*'Business Case'!C13*$D540-'Business Case'!C14*$E540)-MAX(0,(('Business Case'!C11*$C540*'Business Case'!C12*$B540)-'Business Case'!C11*$C540*'Business Case'!C13*$D540-'Business Case'!C14*$E540))*'Business Case'!$B$7-'Business Case'!$B$8*(('Business Case'!C11*$C540*'Business Case'!C12*$B540)-('Business Case'!B11*$C540*'Business Case'!B12*$B540))-'Business Case'!C15*$F540</f>
        <v>-27209620.8635842</v>
      </c>
      <c r="J540" s="39" t="n">
        <f aca="false">(('Business Case'!D11*$C540*'Business Case'!D12*$B540)-'Business Case'!D11*$C540*'Business Case'!D13*$D540-'Business Case'!D14*$E540)-MAX(0,(('Business Case'!D11*$C540*'Business Case'!D12*$B540)-'Business Case'!D11*$C540*'Business Case'!D13*$D540-'Business Case'!D14*$E540))*'Business Case'!$B$7-'Business Case'!$B$8*(('Business Case'!D11*$C540*'Business Case'!D12*$B540)-('Business Case'!C11*$C540*'Business Case'!C12*$B540))-'Business Case'!D15*$F540</f>
        <v>247233606.175408</v>
      </c>
      <c r="K540" s="39" t="n">
        <f aca="false">(('Business Case'!E11*$C540*'Business Case'!E12*$B540)-'Business Case'!E11*$C540*'Business Case'!E13*$D540-'Business Case'!E14*$E540)-MAX(0,(('Business Case'!E11*$C540*'Business Case'!E12*$B540)-'Business Case'!E11*$C540*'Business Case'!E13*$D540-'Business Case'!E14*$E540))*'Business Case'!$B$7-'Business Case'!$B$8*(('Business Case'!E11*$C540*'Business Case'!E12*$B540)-('Business Case'!D11*$C540*'Business Case'!D12*$B540))-'Business Case'!E15*$F540</f>
        <v>576608122.548652</v>
      </c>
      <c r="L540" s="39" t="n">
        <f aca="false">(('Business Case'!F11*$C540*'Business Case'!F12*$B540)-'Business Case'!F11*$C540*'Business Case'!F13*$D540-'Business Case'!F14*$E540)-MAX(0,(('Business Case'!F11*$C540*'Business Case'!F12*$B540)-'Business Case'!F11*$C540*'Business Case'!F13*$D540-'Business Case'!F14*$E540))*'Business Case'!$B$7-'Business Case'!$B$8*(('Business Case'!F11*$C540*'Business Case'!F12*$B540)-('Business Case'!E11*$C540*'Business Case'!E12*$B540))-'Business Case'!F15*$F540</f>
        <v>700971589.259936</v>
      </c>
      <c r="M540" s="39" t="n">
        <f aca="false">(('Business Case'!G11*$C540*'Business Case'!G12*$B540)-'Business Case'!G11*$C540*'Business Case'!G13*$D540-'Business Case'!G14*$E540)-MAX(0,(('Business Case'!G11*$C540*'Business Case'!G12*$B540)-'Business Case'!G11*$C540*'Business Case'!G13*$D540-'Business Case'!G14*$E540))*'Business Case'!$B$7-'Business Case'!$B$8*(('Business Case'!G11*$C540*'Business Case'!G12*$B540)-('Business Case'!F11*$C540*'Business Case'!F12*$B540))-'Business Case'!G15*$F540+'Business Case'!$B$8*('Business Case'!G11*$C540*'Business Case'!G12*$B540)</f>
        <v>881824739.933844</v>
      </c>
      <c r="N540" s="39" t="n">
        <f aca="false">IF(COUNT('Business Case'!B11:G11)=0,"",H540+NPV(G540,I540:M540))</f>
        <v>-560973326.000597</v>
      </c>
      <c r="P540" s="40" t="n">
        <f aca="true">RAND()</f>
        <v>0.69506806399755</v>
      </c>
      <c r="Q540" s="40" t="n">
        <f aca="true">RAND()</f>
        <v>0.32058698169243</v>
      </c>
      <c r="R540" s="40" t="n">
        <f aca="true">RAND()</f>
        <v>0.83318929598853</v>
      </c>
      <c r="S540" s="40" t="n">
        <f aca="true">RAND()</f>
        <v>0.358104265872338</v>
      </c>
      <c r="T540" s="40" t="n">
        <f aca="true">RAND()</f>
        <v>0.794465377495389</v>
      </c>
      <c r="U540" s="40" t="n">
        <f aca="true">RAND()</f>
        <v>0.365856690914016</v>
      </c>
    </row>
    <row r="541" customFormat="false" ht="15" hidden="false" customHeight="false" outlineLevel="0" collapsed="false">
      <c r="A541" s="36" t="n">
        <v>461</v>
      </c>
      <c r="B541" s="37" t="n">
        <f aca="false">1+IF($G$6=$E$6,$F$6,IF(P541&lt;($F$6-$E$6)/($G$6-$E$6),$E$6+SQRT(P541*($G$6-$E$6)*($F$6-$E$6)),$G$6-SQRT((1-P541)*($G$6-$E$6)*($G$6-$F$6))))</f>
        <v>0.997759620791246</v>
      </c>
      <c r="C541" s="37" t="n">
        <f aca="false">1+IF($G$7=$E$7,$F$7,IF(Q541&lt;($F$7-$E$7)/($G$7-$E$7),$E$7+SQRT(Q541*($G$7-$E$7)*($F$7-$E$7)),$G$7-SQRT((1-Q541)*($G$7-$E$7)*($G$7-$F$7))))</f>
        <v>0.992546856775266</v>
      </c>
      <c r="D541" s="37" t="n">
        <f aca="false">1+IF($G$8=$E$8,$F$8,IF(R541&lt;($F$8-$E$8)/($G$8-$E$8),$E$8+SQRT(R541*($G$8-$E$8)*($F$8-$E$8)),$G$8-SQRT((1-R541)*($G$8-$E$8)*($G$8-$F$8))))</f>
        <v>0.96202734291478</v>
      </c>
      <c r="E541" s="37" t="n">
        <f aca="false">1+IF($G$9=$E$9,$F$9,IF(S541&lt;($F$9-$E$9)/($G$9-$E$9),$E$9+SQRT(S541*($G$9-$E$9)*($F$9-$E$9)),$G$9-SQRT((1-S541)*($G$9-$E$9)*($G$9-$F$9))))</f>
        <v>1.03578130823014</v>
      </c>
      <c r="F541" s="37" t="n">
        <f aca="false">1+IF($G$10=$E$10,$F$10,IF(T541&lt;($F$10-$E$10)/($G$10-$E$10),$E$10+SQRT(T541*($G$10-$E$10)*($F$10-$E$10)),$G$10-SQRT((1-T541)*($G$10-$E$10)*($G$10-$F$10))))</f>
        <v>0.975345905937996</v>
      </c>
      <c r="G541" s="38" t="n">
        <f aca="false">IF($G$11=$E$11,$F$11,IF(U541&lt;($F$11-$E$11)/($G$11-$E$11),$E$11+SQRT(U541*($G$11-$E$11)*($F$11-$E$11)),$G$11-SQRT((1-U541)*($G$11-$E$11)*($G$11-$F$11))))</f>
        <v>0.0940645953979498</v>
      </c>
      <c r="H541" s="39" t="n">
        <f aca="false">(('Business Case'!B11*$C541*'Business Case'!B12*$B541)-'Business Case'!B11*$C541*'Business Case'!B13*$D541-'Business Case'!B14*$E541)-MAX(0,(('Business Case'!B11*$C541*'Business Case'!B12*$B541)-'Business Case'!B11*$C541*'Business Case'!B13*$D541-'Business Case'!B14*$E541))*'Business Case'!$B$7-'Business Case'!$B$8*('Business Case'!B11*$C541*'Business Case'!B12*$B541)-'Business Case'!B15*$F541</f>
        <v>-1950691811.87599</v>
      </c>
      <c r="I541" s="39" t="n">
        <f aca="false">(('Business Case'!C11*$C541*'Business Case'!C12*$B541)-'Business Case'!C11*$C541*'Business Case'!C13*$D541-'Business Case'!C14*$E541)-MAX(0,(('Business Case'!C11*$C541*'Business Case'!C12*$B541)-'Business Case'!C11*$C541*'Business Case'!C13*$D541-'Business Case'!C14*$E541))*'Business Case'!$B$7-'Business Case'!$B$8*(('Business Case'!C11*$C541*'Business Case'!C12*$B541)-('Business Case'!B11*$C541*'Business Case'!B12*$B541))-'Business Case'!C15*$F541</f>
        <v>26174432.2323329</v>
      </c>
      <c r="J541" s="39" t="n">
        <f aca="false">(('Business Case'!D11*$C541*'Business Case'!D12*$B541)-'Business Case'!D11*$C541*'Business Case'!D13*$D541-'Business Case'!D14*$E541)-MAX(0,(('Business Case'!D11*$C541*'Business Case'!D12*$B541)-'Business Case'!D11*$C541*'Business Case'!D13*$D541-'Business Case'!D14*$E541))*'Business Case'!$B$7-'Business Case'!$B$8*(('Business Case'!D11*$C541*'Business Case'!D12*$B541)-('Business Case'!C11*$C541*'Business Case'!C12*$B541))-'Business Case'!D15*$F541</f>
        <v>348509910.503271</v>
      </c>
      <c r="K541" s="39" t="n">
        <f aca="false">(('Business Case'!E11*$C541*'Business Case'!E12*$B541)-'Business Case'!E11*$C541*'Business Case'!E13*$D541-'Business Case'!E14*$E541)-MAX(0,(('Business Case'!E11*$C541*'Business Case'!E12*$B541)-'Business Case'!E11*$C541*'Business Case'!E13*$D541-'Business Case'!E14*$E541))*'Business Case'!$B$7-'Business Case'!$B$8*(('Business Case'!E11*$C541*'Business Case'!E12*$B541)-('Business Case'!D11*$C541*'Business Case'!D12*$B541))-'Business Case'!E15*$F541</f>
        <v>719612684.071108</v>
      </c>
      <c r="L541" s="39" t="n">
        <f aca="false">(('Business Case'!F11*$C541*'Business Case'!F12*$B541)-'Business Case'!F11*$C541*'Business Case'!F13*$D541-'Business Case'!F14*$E541)-MAX(0,(('Business Case'!F11*$C541*'Business Case'!F12*$B541)-'Business Case'!F11*$C541*'Business Case'!F13*$D541-'Business Case'!F14*$E541))*'Business Case'!$B$7-'Business Case'!$B$8*(('Business Case'!F11*$C541*'Business Case'!F12*$B541)-('Business Case'!E11*$C541*'Business Case'!E12*$B541))-'Business Case'!F15*$F541</f>
        <v>861283412.437741</v>
      </c>
      <c r="M541" s="39" t="n">
        <f aca="false">(('Business Case'!G11*$C541*'Business Case'!G12*$B541)-'Business Case'!G11*$C541*'Business Case'!G13*$D541-'Business Case'!G14*$E541)-MAX(0,(('Business Case'!G11*$C541*'Business Case'!G12*$B541)-'Business Case'!G11*$C541*'Business Case'!G13*$D541-'Business Case'!G14*$E541))*'Business Case'!$B$7-'Business Case'!$B$8*(('Business Case'!G11*$C541*'Business Case'!G12*$B541)-('Business Case'!F11*$C541*'Business Case'!F12*$B541))-'Business Case'!G15*$F541+'Business Case'!$B$8*('Business Case'!G11*$C541*'Business Case'!G12*$B541)</f>
        <v>1049524041.62417</v>
      </c>
      <c r="N541" s="39" t="n">
        <f aca="false">IF(COUNT('Business Case'!B11:G11)=0,"",H541+NPV(G541,I541:M541))</f>
        <v>184573013.320208</v>
      </c>
      <c r="P541" s="40" t="n">
        <f aca="true">RAND()</f>
        <v>0.629849856833165</v>
      </c>
      <c r="Q541" s="40" t="n">
        <f aca="true">RAND()</f>
        <v>0.52963274362907</v>
      </c>
      <c r="R541" s="40" t="n">
        <f aca="true">RAND()</f>
        <v>0.0222549196291856</v>
      </c>
      <c r="S541" s="40" t="n">
        <f aca="true">RAND()</f>
        <v>0.725063975157846</v>
      </c>
      <c r="T541" s="40" t="n">
        <f aca="true">RAND()</f>
        <v>0.0513931958254189</v>
      </c>
      <c r="U541" s="40" t="n">
        <f aca="true">RAND()</f>
        <v>0.0550697858301154</v>
      </c>
    </row>
    <row r="542" customFormat="false" ht="15" hidden="false" customHeight="false" outlineLevel="0" collapsed="false">
      <c r="A542" s="36" t="n">
        <v>462</v>
      </c>
      <c r="B542" s="37" t="n">
        <f aca="false">1+IF($G$6=$E$6,$F$6,IF(P542&lt;($F$6-$E$6)/($G$6-$E$6),$E$6+SQRT(P542*($G$6-$E$6)*($F$6-$E$6)),$G$6-SQRT((1-P542)*($G$6-$E$6)*($G$6-$F$6))))</f>
        <v>1.01011451778655</v>
      </c>
      <c r="C542" s="37" t="n">
        <f aca="false">1+IF($G$7=$E$7,$F$7,IF(Q542&lt;($F$7-$E$7)/($G$7-$E$7),$E$7+SQRT(Q542*($G$7-$E$7)*($F$7-$E$7)),$G$7-SQRT((1-Q542)*($G$7-$E$7)*($G$7-$F$7))))</f>
        <v>1.06758726064395</v>
      </c>
      <c r="D542" s="37" t="n">
        <f aca="false">1+IF($G$8=$E$8,$F$8,IF(R542&lt;($F$8-$E$8)/($G$8-$E$8),$E$8+SQRT(R542*($G$8-$E$8)*($F$8-$E$8)),$G$8-SQRT((1-R542)*($G$8-$E$8)*($G$8-$F$8))))</f>
        <v>0.97959244639494</v>
      </c>
      <c r="E542" s="37" t="n">
        <f aca="false">1+IF($G$9=$E$9,$F$9,IF(S542&lt;($F$9-$E$9)/($G$9-$E$9),$E$9+SQRT(S542*($G$9-$E$9)*($F$9-$E$9)),$G$9-SQRT((1-S542)*($G$9-$E$9)*($G$9-$F$9))))</f>
        <v>1.02528840882523</v>
      </c>
      <c r="F542" s="37" t="n">
        <f aca="false">1+IF($G$10=$E$10,$F$10,IF(T542&lt;($F$10-$E$10)/($G$10-$E$10),$E$10+SQRT(T542*($G$10-$E$10)*($F$10-$E$10)),$G$10-SQRT((1-T542)*($G$10-$E$10)*($G$10-$F$10))))</f>
        <v>1.07242564420966</v>
      </c>
      <c r="G542" s="38" t="n">
        <f aca="false">IF($G$11=$E$11,$F$11,IF(U542&lt;($F$11-$E$11)/($G$11-$E$11),$E$11+SQRT(U542*($G$11-$E$11)*($F$11-$E$11)),$G$11-SQRT((1-U542)*($G$11-$E$11)*($G$11-$F$11))))</f>
        <v>0.114069992382907</v>
      </c>
      <c r="H542" s="39" t="n">
        <f aca="false">(('Business Case'!B11*$C542*'Business Case'!B12*$B542)-'Business Case'!B11*$C542*'Business Case'!B13*$D542-'Business Case'!B14*$E542)-MAX(0,(('Business Case'!B11*$C542*'Business Case'!B12*$B542)-'Business Case'!B11*$C542*'Business Case'!B13*$D542-'Business Case'!B14*$E542))*'Business Case'!$B$7-'Business Case'!$B$8*('Business Case'!B11*$C542*'Business Case'!B12*$B542)-'Business Case'!B15*$F542</f>
        <v>-2144851288.41933</v>
      </c>
      <c r="I542" s="39" t="n">
        <f aca="false">(('Business Case'!C11*$C542*'Business Case'!C12*$B542)-'Business Case'!C11*$C542*'Business Case'!C13*$D542-'Business Case'!C14*$E542)-MAX(0,(('Business Case'!C11*$C542*'Business Case'!C12*$B542)-'Business Case'!C11*$C542*'Business Case'!C13*$D542-'Business Case'!C14*$E542))*'Business Case'!$B$7-'Business Case'!$B$8*(('Business Case'!C11*$C542*'Business Case'!C12*$B542)-('Business Case'!B11*$C542*'Business Case'!B12*$B542))-'Business Case'!C15*$F542</f>
        <v>38967054.9762249</v>
      </c>
      <c r="J542" s="39" t="n">
        <f aca="false">(('Business Case'!D11*$C542*'Business Case'!D12*$B542)-'Business Case'!D11*$C542*'Business Case'!D13*$D542-'Business Case'!D14*$E542)-MAX(0,(('Business Case'!D11*$C542*'Business Case'!D12*$B542)-'Business Case'!D11*$C542*'Business Case'!D13*$D542-'Business Case'!D14*$E542))*'Business Case'!$B$7-'Business Case'!$B$8*(('Business Case'!D11*$C542*'Business Case'!D12*$B542)-('Business Case'!C11*$C542*'Business Case'!C12*$B542))-'Business Case'!D15*$F542</f>
        <v>386876184.77679</v>
      </c>
      <c r="K542" s="39" t="n">
        <f aca="false">(('Business Case'!E11*$C542*'Business Case'!E12*$B542)-'Business Case'!E11*$C542*'Business Case'!E13*$D542-'Business Case'!E14*$E542)-MAX(0,(('Business Case'!E11*$C542*'Business Case'!E12*$B542)-'Business Case'!E11*$C542*'Business Case'!E13*$D542-'Business Case'!E14*$E542))*'Business Case'!$B$7-'Business Case'!$B$8*(('Business Case'!E11*$C542*'Business Case'!E12*$B542)-('Business Case'!D11*$C542*'Business Case'!D12*$B542))-'Business Case'!E15*$F542</f>
        <v>788406596.787838</v>
      </c>
      <c r="L542" s="39" t="n">
        <f aca="false">(('Business Case'!F11*$C542*'Business Case'!F12*$B542)-'Business Case'!F11*$C542*'Business Case'!F13*$D542-'Business Case'!F14*$E542)-MAX(0,(('Business Case'!F11*$C542*'Business Case'!F12*$B542)-'Business Case'!F11*$C542*'Business Case'!F13*$D542-'Business Case'!F14*$E542))*'Business Case'!$B$7-'Business Case'!$B$8*(('Business Case'!F11*$C542*'Business Case'!F12*$B542)-('Business Case'!E11*$C542*'Business Case'!E12*$B542))-'Business Case'!F15*$F542</f>
        <v>941645305.833644</v>
      </c>
      <c r="M542" s="39" t="n">
        <f aca="false">(('Business Case'!G11*$C542*'Business Case'!G12*$B542)-'Business Case'!G11*$C542*'Business Case'!G13*$D542-'Business Case'!G14*$E542)-MAX(0,(('Business Case'!G11*$C542*'Business Case'!G12*$B542)-'Business Case'!G11*$C542*'Business Case'!G13*$D542-'Business Case'!G14*$E542))*'Business Case'!$B$7-'Business Case'!$B$8*(('Business Case'!G11*$C542*'Business Case'!G12*$B542)-('Business Case'!F11*$C542*'Business Case'!F12*$B542))-'Business Case'!G15*$F542+'Business Case'!$B$8*('Business Case'!G11*$C542*'Business Case'!G12*$B542)</f>
        <v>1146624800.9512</v>
      </c>
      <c r="N542" s="39" t="n">
        <f aca="false">IF(COUNT('Business Case'!B11:G11)=0,"",H542+NPV(G542,I542:M542))</f>
        <v>51417388.3244674</v>
      </c>
      <c r="P542" s="40" t="n">
        <f aca="true">RAND()</f>
        <v>0.813928740181214</v>
      </c>
      <c r="Q542" s="40" t="n">
        <f aca="true">RAND()</f>
        <v>0.8706312455587</v>
      </c>
      <c r="R542" s="40" t="n">
        <f aca="true">RAND()</f>
        <v>0.134725059021136</v>
      </c>
      <c r="S542" s="40" t="n">
        <f aca="true">RAND()</f>
        <v>0.62787854294231</v>
      </c>
      <c r="T542" s="40" t="n">
        <f aca="true">RAND()</f>
        <v>0.674495674893619</v>
      </c>
      <c r="U542" s="40" t="n">
        <f aca="true">RAND()</f>
        <v>0.941391682768707</v>
      </c>
    </row>
    <row r="543" customFormat="false" ht="15" hidden="false" customHeight="false" outlineLevel="0" collapsed="false">
      <c r="A543" s="36" t="n">
        <v>463</v>
      </c>
      <c r="B543" s="37" t="n">
        <f aca="false">1+IF($G$6=$E$6,$F$6,IF(P543&lt;($F$6-$E$6)/($G$6-$E$6),$E$6+SQRT(P543*($G$6-$E$6)*($F$6-$E$6)),$G$6-SQRT((1-P543)*($G$6-$E$6)*($G$6-$F$6))))</f>
        <v>0.95745557242148</v>
      </c>
      <c r="C543" s="37" t="n">
        <f aca="false">1+IF($G$7=$E$7,$F$7,IF(Q543&lt;($F$7-$E$7)/($G$7-$E$7),$E$7+SQRT(Q543*($G$7-$E$7)*($F$7-$E$7)),$G$7-SQRT((1-Q543)*($G$7-$E$7)*($G$7-$F$7))))</f>
        <v>0.908250658472139</v>
      </c>
      <c r="D543" s="37" t="n">
        <f aca="false">1+IF($G$8=$E$8,$F$8,IF(R543&lt;($F$8-$E$8)/($G$8-$E$8),$E$8+SQRT(R543*($G$8-$E$8)*($F$8-$E$8)),$G$8-SQRT((1-R543)*($G$8-$E$8)*($G$8-$F$8))))</f>
        <v>0.981088210813097</v>
      </c>
      <c r="E543" s="37" t="n">
        <f aca="false">1+IF($G$9=$E$9,$F$9,IF(S543&lt;($F$9-$E$9)/($G$9-$E$9),$E$9+SQRT(S543*($G$9-$E$9)*($F$9-$E$9)),$G$9-SQRT((1-S543)*($G$9-$E$9)*($G$9-$F$9))))</f>
        <v>1.02992117798175</v>
      </c>
      <c r="F543" s="37" t="n">
        <f aca="false">1+IF($G$10=$E$10,$F$10,IF(T543&lt;($F$10-$E$10)/($G$10-$E$10),$E$10+SQRT(T543*($G$10-$E$10)*($F$10-$E$10)),$G$10-SQRT((1-T543)*($G$10-$E$10)*($G$10-$F$10))))</f>
        <v>1.06390598500679</v>
      </c>
      <c r="G543" s="38" t="n">
        <f aca="false">IF($G$11=$E$11,$F$11,IF(U543&lt;($F$11-$E$11)/($G$11-$E$11),$E$11+SQRT(U543*($G$11-$E$11)*($F$11-$E$11)),$G$11-SQRT((1-U543)*($G$11-$E$11)*($G$11-$F$11))))</f>
        <v>0.104798579215042</v>
      </c>
      <c r="H543" s="39" t="n">
        <f aca="false">(('Business Case'!B11*$C543*'Business Case'!B12*$B543)-'Business Case'!B11*$C543*'Business Case'!B13*$D543-'Business Case'!B14*$E543)-MAX(0,(('Business Case'!B11*$C543*'Business Case'!B12*$B543)-'Business Case'!B11*$C543*'Business Case'!B13*$D543-'Business Case'!B14*$E543))*'Business Case'!$B$7-'Business Case'!$B$8*('Business Case'!B11*$C543*'Business Case'!B12*$B543)-'Business Case'!B15*$F543</f>
        <v>-2127811970.01358</v>
      </c>
      <c r="I543" s="39" t="n">
        <f aca="false">(('Business Case'!C11*$C543*'Business Case'!C12*$B543)-'Business Case'!C11*$C543*'Business Case'!C13*$D543-'Business Case'!C14*$E543)-MAX(0,(('Business Case'!C11*$C543*'Business Case'!C12*$B543)-'Business Case'!C11*$C543*'Business Case'!C13*$D543-'Business Case'!C14*$E543))*'Business Case'!$B$7-'Business Case'!$B$8*(('Business Case'!C11*$C543*'Business Case'!C12*$B543)-('Business Case'!B11*$C543*'Business Case'!B12*$B543))-'Business Case'!C15*$F543</f>
        <v>-41811644.8537732</v>
      </c>
      <c r="J543" s="39" t="n">
        <f aca="false">(('Business Case'!D11*$C543*'Business Case'!D12*$B543)-'Business Case'!D11*$C543*'Business Case'!D13*$D543-'Business Case'!D14*$E543)-MAX(0,(('Business Case'!D11*$C543*'Business Case'!D12*$B543)-'Business Case'!D11*$C543*'Business Case'!D13*$D543-'Business Case'!D14*$E543))*'Business Case'!$B$7-'Business Case'!$B$8*(('Business Case'!D11*$C543*'Business Case'!D12*$B543)-('Business Case'!C11*$C543*'Business Case'!C12*$B543))-'Business Case'!D15*$F543</f>
        <v>214302664.77118</v>
      </c>
      <c r="K543" s="39" t="n">
        <f aca="false">(('Business Case'!E11*$C543*'Business Case'!E12*$B543)-'Business Case'!E11*$C543*'Business Case'!E13*$D543-'Business Case'!E14*$E543)-MAX(0,(('Business Case'!E11*$C543*'Business Case'!E12*$B543)-'Business Case'!E11*$C543*'Business Case'!E13*$D543-'Business Case'!E14*$E543))*'Business Case'!$B$7-'Business Case'!$B$8*(('Business Case'!E11*$C543*'Business Case'!E12*$B543)-('Business Case'!D11*$C543*'Business Case'!D12*$B543))-'Business Case'!E15*$F543</f>
        <v>523612273.646473</v>
      </c>
      <c r="L543" s="39" t="n">
        <f aca="false">(('Business Case'!F11*$C543*'Business Case'!F12*$B543)-'Business Case'!F11*$C543*'Business Case'!F13*$D543-'Business Case'!F14*$E543)-MAX(0,(('Business Case'!F11*$C543*'Business Case'!F12*$B543)-'Business Case'!F11*$C543*'Business Case'!F13*$D543-'Business Case'!F14*$E543))*'Business Case'!$B$7-'Business Case'!$B$8*(('Business Case'!F11*$C543*'Business Case'!F12*$B543)-('Business Case'!E11*$C543*'Business Case'!E12*$B543))-'Business Case'!F15*$F543</f>
        <v>639037419.834153</v>
      </c>
      <c r="M543" s="39" t="n">
        <f aca="false">(('Business Case'!G11*$C543*'Business Case'!G12*$B543)-'Business Case'!G11*$C543*'Business Case'!G13*$D543-'Business Case'!G14*$E543)-MAX(0,(('Business Case'!G11*$C543*'Business Case'!G12*$B543)-'Business Case'!G11*$C543*'Business Case'!G13*$D543-'Business Case'!G14*$E543))*'Business Case'!$B$7-'Business Case'!$B$8*(('Business Case'!G11*$C543*'Business Case'!G12*$B543)-('Business Case'!F11*$C543*'Business Case'!F12*$B543))-'Business Case'!G15*$F543+'Business Case'!$B$8*('Business Case'!G11*$C543*'Business Case'!G12*$B543)</f>
        <v>804332822.887311</v>
      </c>
      <c r="N543" s="39" t="n">
        <f aca="false">IF(COUNT('Business Case'!B11:G11)=0,"",H543+NPV(G543,I543:M543))</f>
        <v>-684176659.737098</v>
      </c>
      <c r="P543" s="40" t="n">
        <f aca="true">RAND()</f>
        <v>0.146137490147992</v>
      </c>
      <c r="Q543" s="40" t="n">
        <f aca="true">RAND()</f>
        <v>0.167402929423597</v>
      </c>
      <c r="R543" s="40" t="n">
        <f aca="true">RAND()</f>
        <v>0.148688746393782</v>
      </c>
      <c r="S543" s="40" t="n">
        <f aca="true">RAND()</f>
        <v>0.672597246968915</v>
      </c>
      <c r="T543" s="40" t="n">
        <f aca="true">RAND()</f>
        <v>0.629568381660563</v>
      </c>
      <c r="U543" s="40" t="n">
        <f aca="true">RAND()</f>
        <v>0.614861343531088</v>
      </c>
    </row>
    <row r="544" customFormat="false" ht="15" hidden="false" customHeight="false" outlineLevel="0" collapsed="false">
      <c r="A544" s="36" t="n">
        <v>464</v>
      </c>
      <c r="B544" s="37" t="n">
        <f aca="false">1+IF($G$6=$E$6,$F$6,IF(P544&lt;($F$6-$E$6)/($G$6-$E$6),$E$6+SQRT(P544*($G$6-$E$6)*($F$6-$E$6)),$G$6-SQRT((1-P544)*($G$6-$E$6)*($G$6-$F$6))))</f>
        <v>0.979701070440504</v>
      </c>
      <c r="C544" s="37" t="n">
        <f aca="false">1+IF($G$7=$E$7,$F$7,IF(Q544&lt;($F$7-$E$7)/($G$7-$E$7),$E$7+SQRT(Q544*($G$7-$E$7)*($F$7-$E$7)),$G$7-SQRT((1-Q544)*($G$7-$E$7)*($G$7-$F$7))))</f>
        <v>0.988873691412079</v>
      </c>
      <c r="D544" s="37" t="n">
        <f aca="false">1+IF($G$8=$E$8,$F$8,IF(R544&lt;($F$8-$E$8)/($G$8-$E$8),$E$8+SQRT(R544*($G$8-$E$8)*($F$8-$E$8)),$G$8-SQRT((1-R544)*($G$8-$E$8)*($G$8-$F$8))))</f>
        <v>1.04545556046119</v>
      </c>
      <c r="E544" s="37" t="n">
        <f aca="false">1+IF($G$9=$E$9,$F$9,IF(S544&lt;($F$9-$E$9)/($G$9-$E$9),$E$9+SQRT(S544*($G$9-$E$9)*($F$9-$E$9)),$G$9-SQRT((1-S544)*($G$9-$E$9)*($G$9-$F$9))))</f>
        <v>0.974941900451013</v>
      </c>
      <c r="F544" s="37" t="n">
        <f aca="false">1+IF($G$10=$E$10,$F$10,IF(T544&lt;($F$10-$E$10)/($G$10-$E$10),$E$10+SQRT(T544*($G$10-$E$10)*($F$10-$E$10)),$G$10-SQRT((1-T544)*($G$10-$E$10)*($G$10-$F$10))))</f>
        <v>0.999429024376271</v>
      </c>
      <c r="G544" s="38" t="n">
        <f aca="false">IF($G$11=$E$11,$F$11,IF(U544&lt;($F$11-$E$11)/($G$11-$E$11),$E$11+SQRT(U544*($G$11-$E$11)*($F$11-$E$11)),$G$11-SQRT((1-U544)*($G$11-$E$11)*($G$11-$F$11))))</f>
        <v>0.103438188537493</v>
      </c>
      <c r="H544" s="39" t="n">
        <f aca="false">(('Business Case'!B11*$C544*'Business Case'!B12*$B544)-'Business Case'!B11*$C544*'Business Case'!B13*$D544-'Business Case'!B14*$E544)-MAX(0,(('Business Case'!B11*$C544*'Business Case'!B12*$B544)-'Business Case'!B11*$C544*'Business Case'!B13*$D544-'Business Case'!B14*$E544))*'Business Case'!$B$7-'Business Case'!$B$8*('Business Case'!B11*$C544*'Business Case'!B12*$B544)-'Business Case'!B15*$F544</f>
        <v>-1998858048.75254</v>
      </c>
      <c r="I544" s="39" t="n">
        <f aca="false">(('Business Case'!C11*$C544*'Business Case'!C12*$B544)-'Business Case'!C11*$C544*'Business Case'!C13*$D544-'Business Case'!C14*$E544)-MAX(0,(('Business Case'!C11*$C544*'Business Case'!C12*$B544)-'Business Case'!C11*$C544*'Business Case'!C13*$D544-'Business Case'!C14*$E544))*'Business Case'!$B$7-'Business Case'!$B$8*(('Business Case'!C11*$C544*'Business Case'!C12*$B544)-('Business Case'!B11*$C544*'Business Case'!B12*$B544))-'Business Case'!C15*$F544</f>
        <v>-24519733.7477407</v>
      </c>
      <c r="J544" s="39" t="n">
        <f aca="false">(('Business Case'!D11*$C544*'Business Case'!D12*$B544)-'Business Case'!D11*$C544*'Business Case'!D13*$D544-'Business Case'!D14*$E544)-MAX(0,(('Business Case'!D11*$C544*'Business Case'!D12*$B544)-'Business Case'!D11*$C544*'Business Case'!D13*$D544-'Business Case'!D14*$E544))*'Business Case'!$B$7-'Business Case'!$B$8*(('Business Case'!D11*$C544*'Business Case'!D12*$B544)-('Business Case'!C11*$C544*'Business Case'!C12*$B544))-'Business Case'!D15*$F544</f>
        <v>239762797.016396</v>
      </c>
      <c r="K544" s="39" t="n">
        <f aca="false">(('Business Case'!E11*$C544*'Business Case'!E12*$B544)-'Business Case'!E11*$C544*'Business Case'!E13*$D544-'Business Case'!E14*$E544)-MAX(0,(('Business Case'!E11*$C544*'Business Case'!E12*$B544)-'Business Case'!E11*$C544*'Business Case'!E13*$D544-'Business Case'!E14*$E544))*'Business Case'!$B$7-'Business Case'!$B$8*(('Business Case'!E11*$C544*'Business Case'!E12*$B544)-('Business Case'!D11*$C544*'Business Case'!D12*$B544))-'Business Case'!E15*$F544</f>
        <v>554016778.999345</v>
      </c>
      <c r="L544" s="39" t="n">
        <f aca="false">(('Business Case'!F11*$C544*'Business Case'!F12*$B544)-'Business Case'!F11*$C544*'Business Case'!F13*$D544-'Business Case'!F14*$E544)-MAX(0,(('Business Case'!F11*$C544*'Business Case'!F12*$B544)-'Business Case'!F11*$C544*'Business Case'!F13*$D544-'Business Case'!F14*$E544))*'Business Case'!$B$7-'Business Case'!$B$8*(('Business Case'!F11*$C544*'Business Case'!F12*$B544)-('Business Case'!E11*$C544*'Business Case'!E12*$B544))-'Business Case'!F15*$F544</f>
        <v>675592705.140801</v>
      </c>
      <c r="M544" s="39" t="n">
        <f aca="false">(('Business Case'!G11*$C544*'Business Case'!G12*$B544)-'Business Case'!G11*$C544*'Business Case'!G13*$D544-'Business Case'!G14*$E544)-MAX(0,(('Business Case'!G11*$C544*'Business Case'!G12*$B544)-'Business Case'!G11*$C544*'Business Case'!G13*$D544-'Business Case'!G14*$E544))*'Business Case'!$B$7-'Business Case'!$B$8*(('Business Case'!G11*$C544*'Business Case'!G12*$B544)-('Business Case'!F11*$C544*'Business Case'!F12*$B544))-'Business Case'!G15*$F544+'Business Case'!$B$8*('Business Case'!G11*$C544*'Business Case'!G12*$B544)</f>
        <v>859742325.851226</v>
      </c>
      <c r="N544" s="39" t="n">
        <f aca="false">IF(COUNT('Business Case'!B11:G11)=0,"",H544+NPV(G544,I544:M544))</f>
        <v>-430517089.949956</v>
      </c>
      <c r="P544" s="40" t="n">
        <f aca="true">RAND()</f>
        <v>0.37127268872313</v>
      </c>
      <c r="Q544" s="40" t="n">
        <f aca="true">RAND()</f>
        <v>0.509618161537504</v>
      </c>
      <c r="R544" s="40" t="n">
        <f aca="true">RAND()</f>
        <v>0.885257855475934</v>
      </c>
      <c r="S544" s="40" t="n">
        <f aca="true">RAND()</f>
        <v>0.0829464530810964</v>
      </c>
      <c r="T544" s="40" t="n">
        <f aca="true">RAND()</f>
        <v>0.195458276063196</v>
      </c>
      <c r="U544" s="40" t="n">
        <f aca="true">RAND()</f>
        <v>0.542844001800641</v>
      </c>
    </row>
    <row r="545" customFormat="false" ht="15" hidden="false" customHeight="false" outlineLevel="0" collapsed="false">
      <c r="A545" s="36" t="n">
        <v>465</v>
      </c>
      <c r="B545" s="37" t="n">
        <f aca="false">1+IF($G$6=$E$6,$F$6,IF(P545&lt;($F$6-$E$6)/($G$6-$E$6),$E$6+SQRT(P545*($G$6-$E$6)*($F$6-$E$6)),$G$6-SQRT((1-P545)*($G$6-$E$6)*($G$6-$F$6))))</f>
        <v>0.986306114624788</v>
      </c>
      <c r="C545" s="37" t="n">
        <f aca="false">1+IF($G$7=$E$7,$F$7,IF(Q545&lt;($F$7-$E$7)/($G$7-$E$7),$E$7+SQRT(Q545*($G$7-$E$7)*($F$7-$E$7)),$G$7-SQRT((1-Q545)*($G$7-$E$7)*($G$7-$F$7))))</f>
        <v>0.964114502664231</v>
      </c>
      <c r="D545" s="37" t="n">
        <f aca="false">1+IF($G$8=$E$8,$F$8,IF(R545&lt;($F$8-$E$8)/($G$8-$E$8),$E$8+SQRT(R545*($G$8-$E$8)*($F$8-$E$8)),$G$8-SQRT((1-R545)*($G$8-$E$8)*($G$8-$F$8))))</f>
        <v>1.03698511788273</v>
      </c>
      <c r="E545" s="37" t="n">
        <f aca="false">1+IF($G$9=$E$9,$F$9,IF(S545&lt;($F$9-$E$9)/($G$9-$E$9),$E$9+SQRT(S545*($G$9-$E$9)*($F$9-$E$9)),$G$9-SQRT((1-S545)*($G$9-$E$9)*($G$9-$F$9))))</f>
        <v>1.07336730262958</v>
      </c>
      <c r="F545" s="37" t="n">
        <f aca="false">1+IF($G$10=$E$10,$F$10,IF(T545&lt;($F$10-$E$10)/($G$10-$E$10),$E$10+SQRT(T545*($G$10-$E$10)*($F$10-$E$10)),$G$10-SQRT((1-T545)*($G$10-$E$10)*($G$10-$F$10))))</f>
        <v>1.11640682143229</v>
      </c>
      <c r="G545" s="38" t="n">
        <f aca="false">IF($G$11=$E$11,$F$11,IF(U545&lt;($F$11-$E$11)/($G$11-$E$11),$E$11+SQRT(U545*($G$11-$E$11)*($F$11-$E$11)),$G$11-SQRT((1-U545)*($G$11-$E$11)*($G$11-$F$11))))</f>
        <v>0.0928556098999305</v>
      </c>
      <c r="H545" s="39" t="n">
        <f aca="false">(('Business Case'!B11*$C545*'Business Case'!B12*$B545)-'Business Case'!B11*$C545*'Business Case'!B13*$D545-'Business Case'!B14*$E545)-MAX(0,(('Business Case'!B11*$C545*'Business Case'!B12*$B545)-'Business Case'!B11*$C545*'Business Case'!B13*$D545-'Business Case'!B14*$E545))*'Business Case'!$B$7-'Business Case'!$B$8*('Business Case'!B11*$C545*'Business Case'!B12*$B545)-'Business Case'!B15*$F545</f>
        <v>-2232813642.86458</v>
      </c>
      <c r="I545" s="39" t="n">
        <f aca="false">(('Business Case'!C11*$C545*'Business Case'!C12*$B545)-'Business Case'!C11*$C545*'Business Case'!C13*$D545-'Business Case'!C14*$E545)-MAX(0,(('Business Case'!C11*$C545*'Business Case'!C12*$B545)-'Business Case'!C11*$C545*'Business Case'!C13*$D545-'Business Case'!C14*$E545))*'Business Case'!$B$7-'Business Case'!$B$8*(('Business Case'!C11*$C545*'Business Case'!C12*$B545)-('Business Case'!B11*$C545*'Business Case'!B12*$B545))-'Business Case'!C15*$F545</f>
        <v>-46506857.1102029</v>
      </c>
      <c r="J545" s="39" t="n">
        <f aca="false">(('Business Case'!D11*$C545*'Business Case'!D12*$B545)-'Business Case'!D11*$C545*'Business Case'!D13*$D545-'Business Case'!D14*$E545)-MAX(0,(('Business Case'!D11*$C545*'Business Case'!D12*$B545)-'Business Case'!D11*$C545*'Business Case'!D13*$D545-'Business Case'!D14*$E545))*'Business Case'!$B$7-'Business Case'!$B$8*(('Business Case'!D11*$C545*'Business Case'!D12*$B545)-('Business Case'!C11*$C545*'Business Case'!C12*$B545))-'Business Case'!D15*$F545</f>
        <v>220555077.949241</v>
      </c>
      <c r="K545" s="39" t="n">
        <f aca="false">(('Business Case'!E11*$C545*'Business Case'!E12*$B545)-'Business Case'!E11*$C545*'Business Case'!E13*$D545-'Business Case'!E14*$E545)-MAX(0,(('Business Case'!E11*$C545*'Business Case'!E12*$B545)-'Business Case'!E11*$C545*'Business Case'!E13*$D545-'Business Case'!E14*$E545))*'Business Case'!$B$7-'Business Case'!$B$8*(('Business Case'!E11*$C545*'Business Case'!E12*$B545)-('Business Case'!D11*$C545*'Business Case'!D12*$B545))-'Business Case'!E15*$F545</f>
        <v>543437354.0803</v>
      </c>
      <c r="L545" s="39" t="n">
        <f aca="false">(('Business Case'!F11*$C545*'Business Case'!F12*$B545)-'Business Case'!F11*$C545*'Business Case'!F13*$D545-'Business Case'!F14*$E545)-MAX(0,(('Business Case'!F11*$C545*'Business Case'!F12*$B545)-'Business Case'!F11*$C545*'Business Case'!F13*$D545-'Business Case'!F14*$E545))*'Business Case'!$B$7-'Business Case'!$B$8*(('Business Case'!F11*$C545*'Business Case'!F12*$B545)-('Business Case'!E11*$C545*'Business Case'!E12*$B545))-'Business Case'!F15*$F545</f>
        <v>665321518.828443</v>
      </c>
      <c r="M545" s="39" t="n">
        <f aca="false">(('Business Case'!G11*$C545*'Business Case'!G12*$B545)-'Business Case'!G11*$C545*'Business Case'!G13*$D545-'Business Case'!G14*$E545)-MAX(0,(('Business Case'!G11*$C545*'Business Case'!G12*$B545)-'Business Case'!G11*$C545*'Business Case'!G13*$D545-'Business Case'!G14*$E545))*'Business Case'!$B$7-'Business Case'!$B$8*(('Business Case'!G11*$C545*'Business Case'!G12*$B545)-('Business Case'!F11*$C545*'Business Case'!F12*$B545))-'Business Case'!G15*$F545+'Business Case'!$B$8*('Business Case'!G11*$C545*'Business Case'!G12*$B545)</f>
        <v>846070877.334249</v>
      </c>
      <c r="N545" s="39" t="n">
        <f aca="false">IF(COUNT('Business Case'!B11:G11)=0,"",H545+NPV(G545,I545:M545))</f>
        <v>-665183872.889464</v>
      </c>
      <c r="P545" s="40" t="n">
        <f aca="true">RAND()</f>
        <v>0.457968837149534</v>
      </c>
      <c r="Q545" s="40" t="n">
        <f aca="true">RAND()</f>
        <v>0.38476528549611</v>
      </c>
      <c r="R545" s="40" t="n">
        <f aca="true">RAND()</f>
        <v>0.822088453503631</v>
      </c>
      <c r="S545" s="40" t="n">
        <f aca="true">RAND()</f>
        <v>0.952713295385029</v>
      </c>
      <c r="T545" s="40" t="n">
        <f aca="true">RAND()</f>
        <v>0.860243609938931</v>
      </c>
      <c r="U545" s="40" t="n">
        <f aca="true">RAND()</f>
        <v>0.027181693001937</v>
      </c>
    </row>
    <row r="546" customFormat="false" ht="15" hidden="false" customHeight="false" outlineLevel="0" collapsed="false">
      <c r="A546" s="36" t="n">
        <v>466</v>
      </c>
      <c r="B546" s="37" t="n">
        <f aca="false">1+IF($G$6=$E$6,$F$6,IF(P546&lt;($F$6-$E$6)/($G$6-$E$6),$E$6+SQRT(P546*($G$6-$E$6)*($F$6-$E$6)),$G$6-SQRT((1-P546)*($G$6-$E$6)*($G$6-$F$6))))</f>
        <v>0.994387058010333</v>
      </c>
      <c r="C546" s="37" t="n">
        <f aca="false">1+IF($G$7=$E$7,$F$7,IF(Q546&lt;($F$7-$E$7)/($G$7-$E$7),$E$7+SQRT(Q546*($G$7-$E$7)*($F$7-$E$7)),$G$7-SQRT((1-Q546)*($G$7-$E$7)*($G$7-$F$7))))</f>
        <v>0.979888446382307</v>
      </c>
      <c r="D546" s="37" t="n">
        <f aca="false">1+IF($G$8=$E$8,$F$8,IF(R546&lt;($F$8-$E$8)/($G$8-$E$8),$E$8+SQRT(R546*($G$8-$E$8)*($F$8-$E$8)),$G$8-SQRT((1-R546)*($G$8-$E$8)*($G$8-$F$8))))</f>
        <v>1.02872200284399</v>
      </c>
      <c r="E546" s="37" t="n">
        <f aca="false">1+IF($G$9=$E$9,$F$9,IF(S546&lt;($F$9-$E$9)/($G$9-$E$9),$E$9+SQRT(S546*($G$9-$E$9)*($F$9-$E$9)),$G$9-SQRT((1-S546)*($G$9-$E$9)*($G$9-$F$9))))</f>
        <v>0.995291637099272</v>
      </c>
      <c r="F546" s="37" t="n">
        <f aca="false">1+IF($G$10=$E$10,$F$10,IF(T546&lt;($F$10-$E$10)/($G$10-$E$10),$E$10+SQRT(T546*($G$10-$E$10)*($F$10-$E$10)),$G$10-SQRT((1-T546)*($G$10-$E$10)*($G$10-$F$10))))</f>
        <v>1.11162743243083</v>
      </c>
      <c r="G546" s="38" t="n">
        <f aca="false">IF($G$11=$E$11,$F$11,IF(U546&lt;($F$11-$E$11)/($G$11-$E$11),$E$11+SQRT(U546*($G$11-$E$11)*($F$11-$E$11)),$G$11-SQRT((1-U546)*($G$11-$E$11)*($G$11-$F$11))))</f>
        <v>0.0973176028732213</v>
      </c>
      <c r="H546" s="39" t="n">
        <f aca="false">(('Business Case'!B11*$C546*'Business Case'!B12*$B546)-'Business Case'!B11*$C546*'Business Case'!B13*$D546-'Business Case'!B14*$E546)-MAX(0,(('Business Case'!B11*$C546*'Business Case'!B12*$B546)-'Business Case'!B11*$C546*'Business Case'!B13*$D546-'Business Case'!B14*$E546))*'Business Case'!$B$7-'Business Case'!$B$8*('Business Case'!B11*$C546*'Business Case'!B12*$B546)-'Business Case'!B15*$F546</f>
        <v>-2223254864.86167</v>
      </c>
      <c r="I546" s="39" t="n">
        <f aca="false">(('Business Case'!C11*$C546*'Business Case'!C12*$B546)-'Business Case'!C11*$C546*'Business Case'!C13*$D546-'Business Case'!C14*$E546)-MAX(0,(('Business Case'!C11*$C546*'Business Case'!C12*$B546)-'Business Case'!C11*$C546*'Business Case'!C13*$D546-'Business Case'!C14*$E546))*'Business Case'!$B$7-'Business Case'!$B$8*(('Business Case'!C11*$C546*'Business Case'!C12*$B546)-('Business Case'!B11*$C546*'Business Case'!B12*$B546))-'Business Case'!C15*$F546</f>
        <v>-21143414.8807002</v>
      </c>
      <c r="J546" s="39" t="n">
        <f aca="false">(('Business Case'!D11*$C546*'Business Case'!D12*$B546)-'Business Case'!D11*$C546*'Business Case'!D13*$D546-'Business Case'!D14*$E546)-MAX(0,(('Business Case'!D11*$C546*'Business Case'!D12*$B546)-'Business Case'!D11*$C546*'Business Case'!D13*$D546-'Business Case'!D14*$E546))*'Business Case'!$B$7-'Business Case'!$B$8*(('Business Case'!D11*$C546*'Business Case'!D12*$B546)-('Business Case'!C11*$C546*'Business Case'!C12*$B546))-'Business Case'!D15*$F546</f>
        <v>260918678.382473</v>
      </c>
      <c r="K546" s="39" t="n">
        <f aca="false">(('Business Case'!E11*$C546*'Business Case'!E12*$B546)-'Business Case'!E11*$C546*'Business Case'!E13*$D546-'Business Case'!E14*$E546)-MAX(0,(('Business Case'!E11*$C546*'Business Case'!E12*$B546)-'Business Case'!E11*$C546*'Business Case'!E13*$D546-'Business Case'!E14*$E546))*'Business Case'!$B$7-'Business Case'!$B$8*(('Business Case'!E11*$C546*'Business Case'!E12*$B546)-('Business Case'!D11*$C546*'Business Case'!D12*$B546))-'Business Case'!E15*$F546</f>
        <v>598562143.267188</v>
      </c>
      <c r="L546" s="39" t="n">
        <f aca="false">(('Business Case'!F11*$C546*'Business Case'!F12*$B546)-'Business Case'!F11*$C546*'Business Case'!F13*$D546-'Business Case'!F14*$E546)-MAX(0,(('Business Case'!F11*$C546*'Business Case'!F12*$B546)-'Business Case'!F11*$C546*'Business Case'!F13*$D546-'Business Case'!F14*$E546))*'Business Case'!$B$7-'Business Case'!$B$8*(('Business Case'!F11*$C546*'Business Case'!F12*$B546)-('Business Case'!E11*$C546*'Business Case'!E12*$B546))-'Business Case'!F15*$F546</f>
        <v>726257703.758428</v>
      </c>
      <c r="M546" s="39" t="n">
        <f aca="false">(('Business Case'!G11*$C546*'Business Case'!G12*$B546)-'Business Case'!G11*$C546*'Business Case'!G13*$D546-'Business Case'!G14*$E546)-MAX(0,(('Business Case'!G11*$C546*'Business Case'!G12*$B546)-'Business Case'!G11*$C546*'Business Case'!G13*$D546-'Business Case'!G14*$E546))*'Business Case'!$B$7-'Business Case'!$B$8*(('Business Case'!G11*$C546*'Business Case'!G12*$B546)-('Business Case'!F11*$C546*'Business Case'!F12*$B546))-'Business Case'!G15*$F546+'Business Case'!$B$8*('Business Case'!G11*$C546*'Business Case'!G12*$B546)</f>
        <v>911469448.811097</v>
      </c>
      <c r="N546" s="39" t="n">
        <f aca="false">IF(COUNT('Business Case'!B11:G11)=0,"",H546+NPV(G546,I546:M546))</f>
        <v>-499003741.965422</v>
      </c>
      <c r="P546" s="40" t="n">
        <f aca="true">RAND()</f>
        <v>0.576399416607564</v>
      </c>
      <c r="Q546" s="40" t="n">
        <f aca="true">RAND()</f>
        <v>0.462283616312001</v>
      </c>
      <c r="R546" s="40" t="n">
        <f aca="true">RAND()</f>
        <v>0.747169904583463</v>
      </c>
      <c r="S546" s="40" t="n">
        <f aca="true">RAND()</f>
        <v>0.273510985484286</v>
      </c>
      <c r="T546" s="40" t="n">
        <f aca="true">RAND()</f>
        <v>0.843805786024663</v>
      </c>
      <c r="U546" s="40" t="n">
        <f aca="true">RAND()</f>
        <v>0.178491039367254</v>
      </c>
    </row>
    <row r="547" customFormat="false" ht="15" hidden="false" customHeight="false" outlineLevel="0" collapsed="false">
      <c r="A547" s="36" t="n">
        <v>467</v>
      </c>
      <c r="B547" s="37" t="n">
        <f aca="false">1+IF($G$6=$E$6,$F$6,IF(P547&lt;($F$6-$E$6)/($G$6-$E$6),$E$6+SQRT(P547*($G$6-$E$6)*($F$6-$E$6)),$G$6-SQRT((1-P547)*($G$6-$E$6)*($G$6-$F$6))))</f>
        <v>0.998724963898204</v>
      </c>
      <c r="C547" s="37" t="n">
        <f aca="false">1+IF($G$7=$E$7,$F$7,IF(Q547&lt;($F$7-$E$7)/($G$7-$E$7),$E$7+SQRT(Q547*($G$7-$E$7)*($F$7-$E$7)),$G$7-SQRT((1-Q547)*($G$7-$E$7)*($G$7-$F$7))))</f>
        <v>0.974911190941252</v>
      </c>
      <c r="D547" s="37" t="n">
        <f aca="false">1+IF($G$8=$E$8,$F$8,IF(R547&lt;($F$8-$E$8)/($G$8-$E$8),$E$8+SQRT(R547*($G$8-$E$8)*($F$8-$E$8)),$G$8-SQRT((1-R547)*($G$8-$E$8)*($G$8-$F$8))))</f>
        <v>1.00879433643899</v>
      </c>
      <c r="E547" s="37" t="n">
        <f aca="false">1+IF($G$9=$E$9,$F$9,IF(S547&lt;($F$9-$E$9)/($G$9-$E$9),$E$9+SQRT(S547*($G$9-$E$9)*($F$9-$E$9)),$G$9-SQRT((1-S547)*($G$9-$E$9)*($G$9-$F$9))))</f>
        <v>1.09116639678824</v>
      </c>
      <c r="F547" s="37" t="n">
        <f aca="false">1+IF($G$10=$E$10,$F$10,IF(T547&lt;($F$10-$E$10)/($G$10-$E$10),$E$10+SQRT(T547*($G$10-$E$10)*($F$10-$E$10)),$G$10-SQRT((1-T547)*($G$10-$E$10)*($G$10-$F$10))))</f>
        <v>0.988065123651486</v>
      </c>
      <c r="G547" s="38" t="n">
        <f aca="false">IF($G$11=$E$11,$F$11,IF(U547&lt;($F$11-$E$11)/($G$11-$E$11),$E$11+SQRT(U547*($G$11-$E$11)*($F$11-$E$11)),$G$11-SQRT((1-U547)*($G$11-$E$11)*($G$11-$F$11))))</f>
        <v>0.0955787675619291</v>
      </c>
      <c r="H547" s="39" t="n">
        <f aca="false">(('Business Case'!B11*$C547*'Business Case'!B12*$B547)-'Business Case'!B11*$C547*'Business Case'!B13*$D547-'Business Case'!B14*$E547)-MAX(0,(('Business Case'!B11*$C547*'Business Case'!B12*$B547)-'Business Case'!B11*$C547*'Business Case'!B13*$D547-'Business Case'!B14*$E547))*'Business Case'!$B$7-'Business Case'!$B$8*('Business Case'!B11*$C547*'Business Case'!B12*$B547)-'Business Case'!B15*$F547</f>
        <v>-1976130247.30297</v>
      </c>
      <c r="I547" s="39" t="n">
        <f aca="false">(('Business Case'!C11*$C547*'Business Case'!C12*$B547)-'Business Case'!C11*$C547*'Business Case'!C13*$D547-'Business Case'!C14*$E547)-MAX(0,(('Business Case'!C11*$C547*'Business Case'!C12*$B547)-'Business Case'!C11*$C547*'Business Case'!C13*$D547-'Business Case'!C14*$E547))*'Business Case'!$B$7-'Business Case'!$B$8*(('Business Case'!C11*$C547*'Business Case'!C12*$B547)-('Business Case'!B11*$C547*'Business Case'!B12*$B547))-'Business Case'!C15*$F547</f>
        <v>-10406600.3895178</v>
      </c>
      <c r="J547" s="39" t="n">
        <f aca="false">(('Business Case'!D11*$C547*'Business Case'!D12*$B547)-'Business Case'!D11*$C547*'Business Case'!D13*$D547-'Business Case'!D14*$E547)-MAX(0,(('Business Case'!D11*$C547*'Business Case'!D12*$B547)-'Business Case'!D11*$C547*'Business Case'!D13*$D547-'Business Case'!D14*$E547))*'Business Case'!$B$7-'Business Case'!$B$8*(('Business Case'!D11*$C547*'Business Case'!D12*$B547)-('Business Case'!C11*$C547*'Business Case'!C12*$B547))-'Business Case'!D15*$F547</f>
        <v>283632129.793156</v>
      </c>
      <c r="K547" s="39" t="n">
        <f aca="false">(('Business Case'!E11*$C547*'Business Case'!E12*$B547)-'Business Case'!E11*$C547*'Business Case'!E13*$D547-'Business Case'!E14*$E547)-MAX(0,(('Business Case'!E11*$C547*'Business Case'!E12*$B547)-'Business Case'!E11*$C547*'Business Case'!E13*$D547-'Business Case'!E14*$E547))*'Business Case'!$B$7-'Business Case'!$B$8*(('Business Case'!E11*$C547*'Business Case'!E12*$B547)-('Business Case'!D11*$C547*'Business Case'!D12*$B547))-'Business Case'!E15*$F547</f>
        <v>627074116.158404</v>
      </c>
      <c r="L547" s="39" t="n">
        <f aca="false">(('Business Case'!F11*$C547*'Business Case'!F12*$B547)-'Business Case'!F11*$C547*'Business Case'!F13*$D547-'Business Case'!F14*$E547)-MAX(0,(('Business Case'!F11*$C547*'Business Case'!F12*$B547)-'Business Case'!F11*$C547*'Business Case'!F13*$D547-'Business Case'!F14*$E547))*'Business Case'!$B$7-'Business Case'!$B$8*(('Business Case'!F11*$C547*'Business Case'!F12*$B547)-('Business Case'!E11*$C547*'Business Case'!E12*$B547))-'Business Case'!F15*$F547</f>
        <v>758736997.275132</v>
      </c>
      <c r="M547" s="39" t="n">
        <f aca="false">(('Business Case'!G11*$C547*'Business Case'!G12*$B547)-'Business Case'!G11*$C547*'Business Case'!G13*$D547-'Business Case'!G14*$E547)-MAX(0,(('Business Case'!G11*$C547*'Business Case'!G12*$B547)-'Business Case'!G11*$C547*'Business Case'!G13*$D547-'Business Case'!G14*$E547))*'Business Case'!$B$7-'Business Case'!$B$8*(('Business Case'!G11*$C547*'Business Case'!G12*$B547)-('Business Case'!F11*$C547*'Business Case'!F12*$B547))-'Business Case'!G15*$F547+'Business Case'!$B$8*('Business Case'!G11*$C547*'Business Case'!G12*$B547)</f>
        <v>943811838.082234</v>
      </c>
      <c r="N547" s="39" t="n">
        <f aca="false">IF(COUNT('Business Case'!B11:G11)=0,"",H547+NPV(G547,I547:M547))</f>
        <v>-147872556.658437</v>
      </c>
      <c r="P547" s="40" t="n">
        <f aca="true">RAND()</f>
        <v>0.645585410497242</v>
      </c>
      <c r="Q547" s="40" t="n">
        <f aca="true">RAND()</f>
        <v>0.437056067378386</v>
      </c>
      <c r="R547" s="40" t="n">
        <f aca="true">RAND()</f>
        <v>0.512476295849624</v>
      </c>
      <c r="S547" s="40" t="n">
        <f aca="true">RAND()</f>
        <v>0.994797830286481</v>
      </c>
      <c r="T547" s="40" t="n">
        <f aca="true">RAND()</f>
        <v>0.115916291088232</v>
      </c>
      <c r="U547" s="40" t="n">
        <f aca="true">RAND()</f>
        <v>0.103742158366773</v>
      </c>
    </row>
    <row r="548" customFormat="false" ht="15" hidden="false" customHeight="false" outlineLevel="0" collapsed="false">
      <c r="A548" s="36" t="n">
        <v>468</v>
      </c>
      <c r="B548" s="37" t="n">
        <f aca="false">1+IF($G$6=$E$6,$F$6,IF(P548&lt;($F$6-$E$6)/($G$6-$E$6),$E$6+SQRT(P548*($G$6-$E$6)*($F$6-$E$6)),$G$6-SQRT((1-P548)*($G$6-$E$6)*($G$6-$F$6))))</f>
        <v>1.03205888233118</v>
      </c>
      <c r="C548" s="37" t="n">
        <f aca="false">1+IF($G$7=$E$7,$F$7,IF(Q548&lt;($F$7-$E$7)/($G$7-$E$7),$E$7+SQRT(Q548*($G$7-$E$7)*($F$7-$E$7)),$G$7-SQRT((1-Q548)*($G$7-$E$7)*($G$7-$F$7))))</f>
        <v>0.950214769904493</v>
      </c>
      <c r="D548" s="37" t="n">
        <f aca="false">1+IF($G$8=$E$8,$F$8,IF(R548&lt;($F$8-$E$8)/($G$8-$E$8),$E$8+SQRT(R548*($G$8-$E$8)*($F$8-$E$8)),$G$8-SQRT((1-R548)*($G$8-$E$8)*($G$8-$F$8))))</f>
        <v>1.0403675107747</v>
      </c>
      <c r="E548" s="37" t="n">
        <f aca="false">1+IF($G$9=$E$9,$F$9,IF(S548&lt;($F$9-$E$9)/($G$9-$E$9),$E$9+SQRT(S548*($G$9-$E$9)*($F$9-$E$9)),$G$9-SQRT((1-S548)*($G$9-$E$9)*($G$9-$F$9))))</f>
        <v>0.982934633170099</v>
      </c>
      <c r="F548" s="37" t="n">
        <f aca="false">1+IF($G$10=$E$10,$F$10,IF(T548&lt;($F$10-$E$10)/($G$10-$E$10),$E$10+SQRT(T548*($G$10-$E$10)*($F$10-$E$10)),$G$10-SQRT((1-T548)*($G$10-$E$10)*($G$10-$F$10))))</f>
        <v>1.02357324754444</v>
      </c>
      <c r="G548" s="38" t="n">
        <f aca="false">IF($G$11=$E$11,$F$11,IF(U548&lt;($F$11-$E$11)/($G$11-$E$11),$E$11+SQRT(U548*($G$11-$E$11)*($F$11-$E$11)),$G$11-SQRT((1-U548)*($G$11-$E$11)*($G$11-$F$11))))</f>
        <v>0.103602112643337</v>
      </c>
      <c r="H548" s="39" t="n">
        <f aca="false">(('Business Case'!B11*$C548*'Business Case'!B12*$B548)-'Business Case'!B11*$C548*'Business Case'!B13*$D548-'Business Case'!B14*$E548)-MAX(0,(('Business Case'!B11*$C548*'Business Case'!B12*$B548)-'Business Case'!B11*$C548*'Business Case'!B13*$D548-'Business Case'!B14*$E548))*'Business Case'!$B$7-'Business Case'!$B$8*('Business Case'!B11*$C548*'Business Case'!B12*$B548)-'Business Case'!B15*$F548</f>
        <v>-2047146495.08888</v>
      </c>
      <c r="I548" s="39" t="n">
        <f aca="false">(('Business Case'!C11*$C548*'Business Case'!C12*$B548)-'Business Case'!C11*$C548*'Business Case'!C13*$D548-'Business Case'!C14*$E548)-MAX(0,(('Business Case'!C11*$C548*'Business Case'!C12*$B548)-'Business Case'!C11*$C548*'Business Case'!C13*$D548-'Business Case'!C14*$E548))*'Business Case'!$B$7-'Business Case'!$B$8*(('Business Case'!C11*$C548*'Business Case'!C12*$B548)-('Business Case'!B11*$C548*'Business Case'!B12*$B548))-'Business Case'!C15*$F548</f>
        <v>4206529.22407205</v>
      </c>
      <c r="J548" s="39" t="n">
        <f aca="false">(('Business Case'!D11*$C548*'Business Case'!D12*$B548)-'Business Case'!D11*$C548*'Business Case'!D13*$D548-'Business Case'!D14*$E548)-MAX(0,(('Business Case'!D11*$C548*'Business Case'!D12*$B548)-'Business Case'!D11*$C548*'Business Case'!D13*$D548-'Business Case'!D14*$E548))*'Business Case'!$B$7-'Business Case'!$B$8*(('Business Case'!D11*$C548*'Business Case'!D12*$B548)-('Business Case'!C11*$C548*'Business Case'!C12*$B548))-'Business Case'!D15*$F548</f>
        <v>301382014.481347</v>
      </c>
      <c r="K548" s="39" t="n">
        <f aca="false">(('Business Case'!E11*$C548*'Business Case'!E12*$B548)-'Business Case'!E11*$C548*'Business Case'!E13*$D548-'Business Case'!E14*$E548)-MAX(0,(('Business Case'!E11*$C548*'Business Case'!E12*$B548)-'Business Case'!E11*$C548*'Business Case'!E13*$D548-'Business Case'!E14*$E548))*'Business Case'!$B$7-'Business Case'!$B$8*(('Business Case'!E11*$C548*'Business Case'!E12*$B548)-('Business Case'!D11*$C548*'Business Case'!D12*$B548))-'Business Case'!E15*$F548</f>
        <v>649736162.115843</v>
      </c>
      <c r="L548" s="39" t="n">
        <f aca="false">(('Business Case'!F11*$C548*'Business Case'!F12*$B548)-'Business Case'!F11*$C548*'Business Case'!F13*$D548-'Business Case'!F14*$E548)-MAX(0,(('Business Case'!F11*$C548*'Business Case'!F12*$B548)-'Business Case'!F11*$C548*'Business Case'!F13*$D548-'Business Case'!F14*$E548))*'Business Case'!$B$7-'Business Case'!$B$8*(('Business Case'!F11*$C548*'Business Case'!F12*$B548)-('Business Case'!E11*$C548*'Business Case'!E12*$B548))-'Business Case'!F15*$F548</f>
        <v>782686874.829581</v>
      </c>
      <c r="M548" s="39" t="n">
        <f aca="false">(('Business Case'!G11*$C548*'Business Case'!G12*$B548)-'Business Case'!G11*$C548*'Business Case'!G13*$D548-'Business Case'!G14*$E548)-MAX(0,(('Business Case'!G11*$C548*'Business Case'!G12*$B548)-'Business Case'!G11*$C548*'Business Case'!G13*$D548-'Business Case'!G14*$E548))*'Business Case'!$B$7-'Business Case'!$B$8*(('Business Case'!G11*$C548*'Business Case'!G12*$B548)-('Business Case'!F11*$C548*'Business Case'!F12*$B548))-'Business Case'!G15*$F548+'Business Case'!$B$8*('Business Case'!G11*$C548*'Business Case'!G12*$B548)</f>
        <v>969094071.783473</v>
      </c>
      <c r="N548" s="39" t="n">
        <f aca="false">IF(COUNT('Business Case'!B11:G11)=0,"",H548+NPV(G548,I548:M548))</f>
        <v>-192874859.378591</v>
      </c>
      <c r="P548" s="40" t="n">
        <f aca="true">RAND()</f>
        <v>0.986862218785402</v>
      </c>
      <c r="Q548" s="40" t="n">
        <f aca="true">RAND()</f>
        <v>0.322349672820853</v>
      </c>
      <c r="R548" s="40" t="n">
        <f aca="true">RAND()</f>
        <v>0.848967865173706</v>
      </c>
      <c r="S548" s="40" t="n">
        <f aca="true">RAND()</f>
        <v>0.144625341606527</v>
      </c>
      <c r="T548" s="40" t="n">
        <f aca="true">RAND()</f>
        <v>0.377472020359685</v>
      </c>
      <c r="U548" s="40" t="n">
        <f aca="true">RAND()</f>
        <v>0.551848817063666</v>
      </c>
    </row>
    <row r="549" customFormat="false" ht="15" hidden="false" customHeight="false" outlineLevel="0" collapsed="false">
      <c r="A549" s="36" t="n">
        <v>469</v>
      </c>
      <c r="B549" s="37" t="n">
        <f aca="false">1+IF($G$6=$E$6,$F$6,IF(P549&lt;($F$6-$E$6)/($G$6-$E$6),$E$6+SQRT(P549*($G$6-$E$6)*($F$6-$E$6)),$G$6-SQRT((1-P549)*($G$6-$E$6)*($G$6-$F$6))))</f>
        <v>0.963770678882078</v>
      </c>
      <c r="C549" s="37" t="n">
        <f aca="false">1+IF($G$7=$E$7,$F$7,IF(Q549&lt;($F$7-$E$7)/($G$7-$E$7),$E$7+SQRT(Q549*($G$7-$E$7)*($F$7-$E$7)),$G$7-SQRT((1-Q549)*($G$7-$E$7)*($G$7-$F$7))))</f>
        <v>1.12152740290801</v>
      </c>
      <c r="D549" s="37" t="n">
        <f aca="false">1+IF($G$8=$E$8,$F$8,IF(R549&lt;($F$8-$E$8)/($G$8-$E$8),$E$8+SQRT(R549*($G$8-$E$8)*($F$8-$E$8)),$G$8-SQRT((1-R549)*($G$8-$E$8)*($G$8-$F$8))))</f>
        <v>1.04699195245321</v>
      </c>
      <c r="E549" s="37" t="n">
        <f aca="false">1+IF($G$9=$E$9,$F$9,IF(S549&lt;($F$9-$E$9)/($G$9-$E$9),$E$9+SQRT(S549*($G$9-$E$9)*($F$9-$E$9)),$G$9-SQRT((1-S549)*($G$9-$E$9)*($G$9-$F$9))))</f>
        <v>1.05462679626006</v>
      </c>
      <c r="F549" s="37" t="n">
        <f aca="false">1+IF($G$10=$E$10,$F$10,IF(T549&lt;($F$10-$E$10)/($G$10-$E$10),$E$10+SQRT(T549*($G$10-$E$10)*($F$10-$E$10)),$G$10-SQRT((1-T549)*($G$10-$E$10)*($G$10-$F$10))))</f>
        <v>1.0347067336166</v>
      </c>
      <c r="G549" s="38" t="n">
        <f aca="false">IF($G$11=$E$11,$F$11,IF(U549&lt;($F$11-$E$11)/($G$11-$E$11),$E$11+SQRT(U549*($G$11-$E$11)*($F$11-$E$11)),$G$11-SQRT((1-U549)*($G$11-$E$11)*($G$11-$F$11))))</f>
        <v>0.101262228153292</v>
      </c>
      <c r="H549" s="39" t="n">
        <f aca="false">(('Business Case'!B11*$C549*'Business Case'!B12*$B549)-'Business Case'!B11*$C549*'Business Case'!B13*$D549-'Business Case'!B14*$E549)-MAX(0,(('Business Case'!B11*$C549*'Business Case'!B12*$B549)-'Business Case'!B11*$C549*'Business Case'!B13*$D549-'Business Case'!B14*$E549))*'Business Case'!$B$7-'Business Case'!$B$8*('Business Case'!B11*$C549*'Business Case'!B12*$B549)-'Business Case'!B15*$F549</f>
        <v>-2069413467.2332</v>
      </c>
      <c r="I549" s="39" t="n">
        <f aca="false">(('Business Case'!C11*$C549*'Business Case'!C12*$B549)-'Business Case'!C11*$C549*'Business Case'!C13*$D549-'Business Case'!C14*$E549)-MAX(0,(('Business Case'!C11*$C549*'Business Case'!C12*$B549)-'Business Case'!C11*$C549*'Business Case'!C13*$D549-'Business Case'!C14*$E549))*'Business Case'!$B$7-'Business Case'!$B$8*(('Business Case'!C11*$C549*'Business Case'!C12*$B549)-('Business Case'!B11*$C549*'Business Case'!B12*$B549))-'Business Case'!C15*$F549</f>
        <v>-25253103.6035132</v>
      </c>
      <c r="J549" s="39" t="n">
        <f aca="false">(('Business Case'!D11*$C549*'Business Case'!D12*$B549)-'Business Case'!D11*$C549*'Business Case'!D13*$D549-'Business Case'!D14*$E549)-MAX(0,(('Business Case'!D11*$C549*'Business Case'!D12*$B549)-'Business Case'!D11*$C549*'Business Case'!D13*$D549-'Business Case'!D14*$E549))*'Business Case'!$B$7-'Business Case'!$B$8*(('Business Case'!D11*$C549*'Business Case'!D12*$B549)-('Business Case'!C11*$C549*'Business Case'!C12*$B549))-'Business Case'!D15*$F549</f>
        <v>258966005.123823</v>
      </c>
      <c r="K549" s="39" t="n">
        <f aca="false">(('Business Case'!E11*$C549*'Business Case'!E12*$B549)-'Business Case'!E11*$C549*'Business Case'!E13*$D549-'Business Case'!E14*$E549)-MAX(0,(('Business Case'!E11*$C549*'Business Case'!E12*$B549)-'Business Case'!E11*$C549*'Business Case'!E13*$D549-'Business Case'!E14*$E549))*'Business Case'!$B$7-'Business Case'!$B$8*(('Business Case'!E11*$C549*'Business Case'!E12*$B549)-('Business Case'!D11*$C549*'Business Case'!D12*$B549))-'Business Case'!E15*$F549</f>
        <v>594920450.531989</v>
      </c>
      <c r="L549" s="39" t="n">
        <f aca="false">(('Business Case'!F11*$C549*'Business Case'!F12*$B549)-'Business Case'!F11*$C549*'Business Case'!F13*$D549-'Business Case'!F14*$E549)-MAX(0,(('Business Case'!F11*$C549*'Business Case'!F12*$B549)-'Business Case'!F11*$C549*'Business Case'!F13*$D549-'Business Case'!F14*$E549))*'Business Case'!$B$7-'Business Case'!$B$8*(('Business Case'!F11*$C549*'Business Case'!F12*$B549)-('Business Case'!E11*$C549*'Business Case'!E12*$B549))-'Business Case'!F15*$F549</f>
        <v>727015892.468442</v>
      </c>
      <c r="M549" s="39" t="n">
        <f aca="false">(('Business Case'!G11*$C549*'Business Case'!G12*$B549)-'Business Case'!G11*$C549*'Business Case'!G13*$D549-'Business Case'!G14*$E549)-MAX(0,(('Business Case'!G11*$C549*'Business Case'!G12*$B549)-'Business Case'!G11*$C549*'Business Case'!G13*$D549-'Business Case'!G14*$E549))*'Business Case'!$B$7-'Business Case'!$B$8*(('Business Case'!G11*$C549*'Business Case'!G12*$B549)-('Business Case'!F11*$C549*'Business Case'!F12*$B549))-'Business Case'!G15*$F549+'Business Case'!$B$8*('Business Case'!G11*$C549*'Business Case'!G12*$B549)</f>
        <v>932472457.118808</v>
      </c>
      <c r="N549" s="39" t="n">
        <f aca="false">IF(COUNT('Business Case'!B11:G11)=0,"",H549+NPV(G549,I549:M549))</f>
        <v>-363405459.022311</v>
      </c>
      <c r="P549" s="40" t="n">
        <f aca="true">RAND()</f>
        <v>0.199570034353953</v>
      </c>
      <c r="Q549" s="40" t="n">
        <f aca="true">RAND()</f>
        <v>0.984558308854047</v>
      </c>
      <c r="R549" s="40" t="n">
        <f aca="true">RAND()</f>
        <v>0.89523738434126</v>
      </c>
      <c r="S549" s="40" t="n">
        <f aca="true">RAND()</f>
        <v>0.862751492158278</v>
      </c>
      <c r="T549" s="40" t="n">
        <f aca="true">RAND()</f>
        <v>0.453562721766117</v>
      </c>
      <c r="U549" s="40" t="n">
        <f aca="true">RAND()</f>
        <v>0.414826510367835</v>
      </c>
    </row>
    <row r="550" customFormat="false" ht="15" hidden="false" customHeight="false" outlineLevel="0" collapsed="false">
      <c r="A550" s="36" t="n">
        <v>470</v>
      </c>
      <c r="B550" s="37" t="n">
        <f aca="false">1+IF($G$6=$E$6,$F$6,IF(P550&lt;($F$6-$E$6)/($G$6-$E$6),$E$6+SQRT(P550*($G$6-$E$6)*($F$6-$E$6)),$G$6-SQRT((1-P550)*($G$6-$E$6)*($G$6-$F$6))))</f>
        <v>1.01238142483733</v>
      </c>
      <c r="C550" s="37" t="n">
        <f aca="false">1+IF($G$7=$E$7,$F$7,IF(Q550&lt;($F$7-$E$7)/($G$7-$E$7),$E$7+SQRT(Q550*($G$7-$E$7)*($F$7-$E$7)),$G$7-SQRT((1-Q550)*($G$7-$E$7)*($G$7-$F$7))))</f>
        <v>1.00319503164888</v>
      </c>
      <c r="D550" s="37" t="n">
        <f aca="false">1+IF($G$8=$E$8,$F$8,IF(R550&lt;($F$8-$E$8)/($G$8-$E$8),$E$8+SQRT(R550*($G$8-$E$8)*($F$8-$E$8)),$G$8-SQRT((1-R550)*($G$8-$E$8)*($G$8-$F$8))))</f>
        <v>1.02101037806842</v>
      </c>
      <c r="E550" s="37" t="n">
        <f aca="false">1+IF($G$9=$E$9,$F$9,IF(S550&lt;($F$9-$E$9)/($G$9-$E$9),$E$9+SQRT(S550*($G$9-$E$9)*($F$9-$E$9)),$G$9-SQRT((1-S550)*($G$9-$E$9)*($G$9-$F$9))))</f>
        <v>0.999945650526485</v>
      </c>
      <c r="F550" s="37" t="n">
        <f aca="false">1+IF($G$10=$E$10,$F$10,IF(T550&lt;($F$10-$E$10)/($G$10-$E$10),$E$10+SQRT(T550*($G$10-$E$10)*($F$10-$E$10)),$G$10-SQRT((1-T550)*($G$10-$E$10)*($G$10-$F$10))))</f>
        <v>0.99542419620232</v>
      </c>
      <c r="G550" s="38" t="n">
        <f aca="false">IF($G$11=$E$11,$F$11,IF(U550&lt;($F$11-$E$11)/($G$11-$E$11),$E$11+SQRT(U550*($G$11-$E$11)*($F$11-$E$11)),$G$11-SQRT((1-U550)*($G$11-$E$11)*($G$11-$F$11))))</f>
        <v>0.0941470147817887</v>
      </c>
      <c r="H550" s="39" t="n">
        <f aca="false">(('Business Case'!B11*$C550*'Business Case'!B12*$B550)-'Business Case'!B11*$C550*'Business Case'!B13*$D550-'Business Case'!B14*$E550)-MAX(0,(('Business Case'!B11*$C550*'Business Case'!B12*$B550)-'Business Case'!B11*$C550*'Business Case'!B13*$D550-'Business Case'!B14*$E550))*'Business Case'!$B$7-'Business Case'!$B$8*('Business Case'!B11*$C550*'Business Case'!B12*$B550)-'Business Case'!B15*$F550</f>
        <v>-1990848392.40464</v>
      </c>
      <c r="I550" s="39" t="n">
        <f aca="false">(('Business Case'!C11*$C550*'Business Case'!C12*$B550)-'Business Case'!C11*$C550*'Business Case'!C13*$D550-'Business Case'!C14*$E550)-MAX(0,(('Business Case'!C11*$C550*'Business Case'!C12*$B550)-'Business Case'!C11*$C550*'Business Case'!C13*$D550-'Business Case'!C14*$E550))*'Business Case'!$B$7-'Business Case'!$B$8*(('Business Case'!C11*$C550*'Business Case'!C12*$B550)-('Business Case'!B11*$C550*'Business Case'!B12*$B550))-'Business Case'!C15*$F550</f>
        <v>13132817.7728546</v>
      </c>
      <c r="J550" s="39" t="n">
        <f aca="false">(('Business Case'!D11*$C550*'Business Case'!D12*$B550)-'Business Case'!D11*$C550*'Business Case'!D13*$D550-'Business Case'!D14*$E550)-MAX(0,(('Business Case'!D11*$C550*'Business Case'!D12*$B550)-'Business Case'!D11*$C550*'Business Case'!D13*$D550-'Business Case'!D14*$E550))*'Business Case'!$B$7-'Business Case'!$B$8*(('Business Case'!D11*$C550*'Business Case'!D12*$B550)-('Business Case'!C11*$C550*'Business Case'!C12*$B550))-'Business Case'!D15*$F550</f>
        <v>320649860.915905</v>
      </c>
      <c r="K550" s="39" t="n">
        <f aca="false">(('Business Case'!E11*$C550*'Business Case'!E12*$B550)-'Business Case'!E11*$C550*'Business Case'!E13*$D550-'Business Case'!E14*$E550)-MAX(0,(('Business Case'!E11*$C550*'Business Case'!E12*$B550)-'Business Case'!E11*$C550*'Business Case'!E13*$D550-'Business Case'!E14*$E550))*'Business Case'!$B$7-'Business Case'!$B$8*(('Business Case'!E11*$C550*'Business Case'!E12*$B550)-('Business Case'!D11*$C550*'Business Case'!D12*$B550))-'Business Case'!E15*$F550</f>
        <v>677938113.869071</v>
      </c>
      <c r="L550" s="39" t="n">
        <f aca="false">(('Business Case'!F11*$C550*'Business Case'!F12*$B550)-'Business Case'!F11*$C550*'Business Case'!F13*$D550-'Business Case'!F14*$E550)-MAX(0,(('Business Case'!F11*$C550*'Business Case'!F12*$B550)-'Business Case'!F11*$C550*'Business Case'!F13*$D550-'Business Case'!F14*$E550))*'Business Case'!$B$7-'Business Case'!$B$8*(('Business Case'!F11*$C550*'Business Case'!F12*$B550)-('Business Case'!E11*$C550*'Business Case'!E12*$B550))-'Business Case'!F15*$F550</f>
        <v>815543484.413486</v>
      </c>
      <c r="M550" s="39" t="n">
        <f aca="false">(('Business Case'!G11*$C550*'Business Case'!G12*$B550)-'Business Case'!G11*$C550*'Business Case'!G13*$D550-'Business Case'!G14*$E550)-MAX(0,(('Business Case'!G11*$C550*'Business Case'!G12*$B550)-'Business Case'!G11*$C550*'Business Case'!G13*$D550-'Business Case'!G14*$E550))*'Business Case'!$B$7-'Business Case'!$B$8*(('Business Case'!G11*$C550*'Business Case'!G12*$B550)-('Business Case'!F11*$C550*'Business Case'!F12*$B550))-'Business Case'!G15*$F550+'Business Case'!$B$8*('Business Case'!G11*$C550*'Business Case'!G12*$B550)</f>
        <v>1008591776.64551</v>
      </c>
      <c r="N550" s="39" t="n">
        <f aca="false">IF(COUNT('Business Case'!B11:G11)=0,"",H550+NPV(G550,I550:M550))</f>
        <v>18788535.1010826</v>
      </c>
      <c r="P550" s="40" t="n">
        <f aca="true">RAND()</f>
        <v>0.841086313746707</v>
      </c>
      <c r="Q550" s="40" t="n">
        <f aca="true">RAND()</f>
        <v>0.5894914527129</v>
      </c>
      <c r="R550" s="40" t="n">
        <f aca="true">RAND()</f>
        <v>0.665406202343165</v>
      </c>
      <c r="S550" s="40" t="n">
        <f aca="true">RAND()</f>
        <v>0.332609067535164</v>
      </c>
      <c r="T550" s="40" t="n">
        <f aca="true">RAND()</f>
        <v>0.165068608050147</v>
      </c>
      <c r="U550" s="40" t="n">
        <f aca="true">RAND()</f>
        <v>0.057325772001246</v>
      </c>
    </row>
    <row r="551" customFormat="false" ht="15" hidden="false" customHeight="false" outlineLevel="0" collapsed="false">
      <c r="A551" s="36" t="n">
        <v>471</v>
      </c>
      <c r="B551" s="37" t="n">
        <f aca="false">1+IF($G$6=$E$6,$F$6,IF(P551&lt;($F$6-$E$6)/($G$6-$E$6),$E$6+SQRT(P551*($G$6-$E$6)*($F$6-$E$6)),$G$6-SQRT((1-P551)*($G$6-$E$6)*($G$6-$F$6))))</f>
        <v>1.02287869034628</v>
      </c>
      <c r="C551" s="37" t="n">
        <f aca="false">1+IF($G$7=$E$7,$F$7,IF(Q551&lt;($F$7-$E$7)/($G$7-$E$7),$E$7+SQRT(Q551*($G$7-$E$7)*($F$7-$E$7)),$G$7-SQRT((1-Q551)*($G$7-$E$7)*($G$7-$F$7))))</f>
        <v>0.994702905559785</v>
      </c>
      <c r="D551" s="37" t="n">
        <f aca="false">1+IF($G$8=$E$8,$F$8,IF(R551&lt;($F$8-$E$8)/($G$8-$E$8),$E$8+SQRT(R551*($G$8-$E$8)*($F$8-$E$8)),$G$8-SQRT((1-R551)*($G$8-$E$8)*($G$8-$F$8))))</f>
        <v>0.962531935483974</v>
      </c>
      <c r="E551" s="37" t="n">
        <f aca="false">1+IF($G$9=$E$9,$F$9,IF(S551&lt;($F$9-$E$9)/($G$9-$E$9),$E$9+SQRT(S551*($G$9-$E$9)*($F$9-$E$9)),$G$9-SQRT((1-S551)*($G$9-$E$9)*($G$9-$F$9))))</f>
        <v>1.02872367753122</v>
      </c>
      <c r="F551" s="37" t="n">
        <f aca="false">1+IF($G$10=$E$10,$F$10,IF(T551&lt;($F$10-$E$10)/($G$10-$E$10),$E$10+SQRT(T551*($G$10-$E$10)*($F$10-$E$10)),$G$10-SQRT((1-T551)*($G$10-$E$10)*($G$10-$F$10))))</f>
        <v>0.992326391810309</v>
      </c>
      <c r="G551" s="38" t="n">
        <f aca="false">IF($G$11=$E$11,$F$11,IF(U551&lt;($F$11-$E$11)/($G$11-$E$11),$E$11+SQRT(U551*($G$11-$E$11)*($F$11-$E$11)),$G$11-SQRT((1-U551)*($G$11-$E$11)*($G$11-$F$11))))</f>
        <v>0.105692682000913</v>
      </c>
      <c r="H551" s="39" t="n">
        <f aca="false">(('Business Case'!B11*$C551*'Business Case'!B12*$B551)-'Business Case'!B11*$C551*'Business Case'!B13*$D551-'Business Case'!B14*$E551)-MAX(0,(('Business Case'!B11*$C551*'Business Case'!B12*$B551)-'Business Case'!B11*$C551*'Business Case'!B13*$D551-'Business Case'!B14*$E551))*'Business Case'!$B$7-'Business Case'!$B$8*('Business Case'!B11*$C551*'Business Case'!B12*$B551)-'Business Case'!B15*$F551</f>
        <v>-1984652783.62062</v>
      </c>
      <c r="I551" s="39" t="n">
        <f aca="false">(('Business Case'!C11*$C551*'Business Case'!C12*$B551)-'Business Case'!C11*$C551*'Business Case'!C13*$D551-'Business Case'!C14*$E551)-MAX(0,(('Business Case'!C11*$C551*'Business Case'!C12*$B551)-'Business Case'!C11*$C551*'Business Case'!C13*$D551-'Business Case'!C14*$E551))*'Business Case'!$B$7-'Business Case'!$B$8*(('Business Case'!C11*$C551*'Business Case'!C12*$B551)-('Business Case'!B11*$C551*'Business Case'!B12*$B551))-'Business Case'!C15*$F551</f>
        <v>44981774.0205235</v>
      </c>
      <c r="J551" s="39" t="n">
        <f aca="false">(('Business Case'!D11*$C551*'Business Case'!D12*$B551)-'Business Case'!D11*$C551*'Business Case'!D13*$D551-'Business Case'!D14*$E551)-MAX(0,(('Business Case'!D11*$C551*'Business Case'!D12*$B551)-'Business Case'!D11*$C551*'Business Case'!D13*$D551-'Business Case'!D14*$E551))*'Business Case'!$B$7-'Business Case'!$B$8*(('Business Case'!D11*$C551*'Business Case'!D12*$B551)-('Business Case'!C11*$C551*'Business Case'!C12*$B551))-'Business Case'!D15*$F551</f>
        <v>388225841.578943</v>
      </c>
      <c r="K551" s="39" t="n">
        <f aca="false">(('Business Case'!E11*$C551*'Business Case'!E12*$B551)-'Business Case'!E11*$C551*'Business Case'!E13*$D551-'Business Case'!E14*$E551)-MAX(0,(('Business Case'!E11*$C551*'Business Case'!E12*$B551)-'Business Case'!E11*$C551*'Business Case'!E13*$D551-'Business Case'!E14*$E551))*'Business Case'!$B$7-'Business Case'!$B$8*(('Business Case'!E11*$C551*'Business Case'!E12*$B551)-('Business Case'!D11*$C551*'Business Case'!D12*$B551))-'Business Case'!E15*$F551</f>
        <v>781086228.727877</v>
      </c>
      <c r="L551" s="39" t="n">
        <f aca="false">(('Business Case'!F11*$C551*'Business Case'!F12*$B551)-'Business Case'!F11*$C551*'Business Case'!F13*$D551-'Business Case'!F14*$E551)-MAX(0,(('Business Case'!F11*$C551*'Business Case'!F12*$B551)-'Business Case'!F11*$C551*'Business Case'!F13*$D551-'Business Case'!F14*$E551))*'Business Case'!$B$7-'Business Case'!$B$8*(('Business Case'!F11*$C551*'Business Case'!F12*$B551)-('Business Case'!E11*$C551*'Business Case'!E12*$B551))-'Business Case'!F15*$F551</f>
        <v>930664349.521967</v>
      </c>
      <c r="M551" s="39" t="n">
        <f aca="false">(('Business Case'!G11*$C551*'Business Case'!G12*$B551)-'Business Case'!G11*$C551*'Business Case'!G13*$D551-'Business Case'!G14*$E551)-MAX(0,(('Business Case'!G11*$C551*'Business Case'!G12*$B551)-'Business Case'!G11*$C551*'Business Case'!G13*$D551-'Business Case'!G14*$E551))*'Business Case'!$B$7-'Business Case'!$B$8*(('Business Case'!G11*$C551*'Business Case'!G12*$B551)-('Business Case'!F11*$C551*'Business Case'!F12*$B551))-'Business Case'!G15*$F551+'Business Case'!$B$8*('Business Case'!G11*$C551*'Business Case'!G12*$B551)</f>
        <v>1124063223.36569</v>
      </c>
      <c r="N551" s="39" t="n">
        <f aca="false">IF(COUNT('Business Case'!B11:G11)=0,"",H551+NPV(G551,I551:M551))</f>
        <v>254243830.240562</v>
      </c>
      <c r="P551" s="40" t="n">
        <f aca="true">RAND()</f>
        <v>0.938929324112822</v>
      </c>
      <c r="Q551" s="40" t="n">
        <f aca="true">RAND()</f>
        <v>0.541560306191748</v>
      </c>
      <c r="R551" s="40" t="n">
        <f aca="true">RAND()</f>
        <v>0.0241614472268436</v>
      </c>
      <c r="S551" s="40" t="n">
        <f aca="true">RAND()</f>
        <v>0.661312390355087</v>
      </c>
      <c r="T551" s="40" t="n">
        <f aca="true">RAND()</f>
        <v>0.143321875494383</v>
      </c>
      <c r="U551" s="40" t="n">
        <f aca="true">RAND()</f>
        <v>0.658834419454986</v>
      </c>
    </row>
    <row r="552" customFormat="false" ht="15" hidden="false" customHeight="false" outlineLevel="0" collapsed="false">
      <c r="A552" s="36" t="n">
        <v>472</v>
      </c>
      <c r="B552" s="37" t="n">
        <f aca="false">1+IF($G$6=$E$6,$F$6,IF(P552&lt;($F$6-$E$6)/($G$6-$E$6),$E$6+SQRT(P552*($G$6-$E$6)*($F$6-$E$6)),$G$6-SQRT((1-P552)*($G$6-$E$6)*($G$6-$F$6))))</f>
        <v>0.989351111643108</v>
      </c>
      <c r="C552" s="37" t="n">
        <f aca="false">1+IF($G$7=$E$7,$F$7,IF(Q552&lt;($F$7-$E$7)/($G$7-$E$7),$E$7+SQRT(Q552*($G$7-$E$7)*($F$7-$E$7)),$G$7-SQRT((1-Q552)*($G$7-$E$7)*($G$7-$F$7))))</f>
        <v>1.00039484957302</v>
      </c>
      <c r="D552" s="37" t="n">
        <f aca="false">1+IF($G$8=$E$8,$F$8,IF(R552&lt;($F$8-$E$8)/($G$8-$E$8),$E$8+SQRT(R552*($G$8-$E$8)*($F$8-$E$8)),$G$8-SQRT((1-R552)*($G$8-$E$8)*($G$8-$F$8))))</f>
        <v>1.01437761465049</v>
      </c>
      <c r="E552" s="37" t="n">
        <f aca="false">1+IF($G$9=$E$9,$F$9,IF(S552&lt;($F$9-$E$9)/($G$9-$E$9),$E$9+SQRT(S552*($G$9-$E$9)*($F$9-$E$9)),$G$9-SQRT((1-S552)*($G$9-$E$9)*($G$9-$F$9))))</f>
        <v>1.01130952482599</v>
      </c>
      <c r="F552" s="37" t="n">
        <f aca="false">1+IF($G$10=$E$10,$F$10,IF(T552&lt;($F$10-$E$10)/($G$10-$E$10),$E$10+SQRT(T552*($G$10-$E$10)*($F$10-$E$10)),$G$10-SQRT((1-T552)*($G$10-$E$10)*($G$10-$F$10))))</f>
        <v>0.986287863208294</v>
      </c>
      <c r="G552" s="38" t="n">
        <f aca="false">IF($G$11=$E$11,$F$11,IF(U552&lt;($F$11-$E$11)/($G$11-$E$11),$E$11+SQRT(U552*($G$11-$E$11)*($F$11-$E$11)),$G$11-SQRT((1-U552)*($G$11-$E$11)*($G$11-$F$11))))</f>
        <v>0.0949283136534675</v>
      </c>
      <c r="H552" s="39" t="n">
        <f aca="false">(('Business Case'!B11*$C552*'Business Case'!B12*$B552)-'Business Case'!B11*$C552*'Business Case'!B13*$D552-'Business Case'!B14*$E552)-MAX(0,(('Business Case'!B11*$C552*'Business Case'!B12*$B552)-'Business Case'!B11*$C552*'Business Case'!B13*$D552-'Business Case'!B14*$E552))*'Business Case'!$B$7-'Business Case'!$B$8*('Business Case'!B11*$C552*'Business Case'!B12*$B552)-'Business Case'!B15*$F552</f>
        <v>-1972575726.41659</v>
      </c>
      <c r="I552" s="39" t="n">
        <f aca="false">(('Business Case'!C11*$C552*'Business Case'!C12*$B552)-'Business Case'!C11*$C552*'Business Case'!C13*$D552-'Business Case'!C14*$E552)-MAX(0,(('Business Case'!C11*$C552*'Business Case'!C12*$B552)-'Business Case'!C11*$C552*'Business Case'!C13*$D552-'Business Case'!C14*$E552))*'Business Case'!$B$7-'Business Case'!$B$8*(('Business Case'!C11*$C552*'Business Case'!C12*$B552)-('Business Case'!B11*$C552*'Business Case'!B12*$B552))-'Business Case'!C15*$F552</f>
        <v>-2560679.47520739</v>
      </c>
      <c r="J552" s="39" t="n">
        <f aca="false">(('Business Case'!D11*$C552*'Business Case'!D12*$B552)-'Business Case'!D11*$C552*'Business Case'!D13*$D552-'Business Case'!D14*$E552)-MAX(0,(('Business Case'!D11*$C552*'Business Case'!D12*$B552)-'Business Case'!D11*$C552*'Business Case'!D13*$D552-'Business Case'!D14*$E552))*'Business Case'!$B$7-'Business Case'!$B$8*(('Business Case'!D11*$C552*'Business Case'!D12*$B552)-('Business Case'!C11*$C552*'Business Case'!C12*$B552))-'Business Case'!D15*$F552</f>
        <v>288623854.457998</v>
      </c>
      <c r="K552" s="39" t="n">
        <f aca="false">(('Business Case'!E11*$C552*'Business Case'!E12*$B552)-'Business Case'!E11*$C552*'Business Case'!E13*$D552-'Business Case'!E14*$E552)-MAX(0,(('Business Case'!E11*$C552*'Business Case'!E12*$B552)-'Business Case'!E11*$C552*'Business Case'!E13*$D552-'Business Case'!E14*$E552))*'Business Case'!$B$7-'Business Case'!$B$8*(('Business Case'!E11*$C552*'Business Case'!E12*$B552)-('Business Case'!D11*$C552*'Business Case'!D12*$B552))-'Business Case'!E15*$F552</f>
        <v>629122781.551619</v>
      </c>
      <c r="L552" s="39" t="n">
        <f aca="false">(('Business Case'!F11*$C552*'Business Case'!F12*$B552)-'Business Case'!F11*$C552*'Business Case'!F13*$D552-'Business Case'!F14*$E552)-MAX(0,(('Business Case'!F11*$C552*'Business Case'!F12*$B552)-'Business Case'!F11*$C552*'Business Case'!F13*$D552-'Business Case'!F14*$E552))*'Business Case'!$B$7-'Business Case'!$B$8*(('Business Case'!F11*$C552*'Business Case'!F12*$B552)-('Business Case'!E11*$C552*'Business Case'!E12*$B552))-'Business Case'!F15*$F552</f>
        <v>760389767.967573</v>
      </c>
      <c r="M552" s="39" t="n">
        <f aca="false">(('Business Case'!G11*$C552*'Business Case'!G12*$B552)-'Business Case'!G11*$C552*'Business Case'!G13*$D552-'Business Case'!G14*$E552)-MAX(0,(('Business Case'!G11*$C552*'Business Case'!G12*$B552)-'Business Case'!G11*$C552*'Business Case'!G13*$D552-'Business Case'!G14*$E552))*'Business Case'!$B$7-'Business Case'!$B$8*(('Business Case'!G11*$C552*'Business Case'!G12*$B552)-('Business Case'!F11*$C552*'Business Case'!F12*$B552))-'Business Case'!G15*$F552+'Business Case'!$B$8*('Business Case'!G11*$C552*'Business Case'!G12*$B552)</f>
        <v>948519881.044444</v>
      </c>
      <c r="N552" s="39" t="n">
        <f aca="false">IF(COUNT('Business Case'!B11:G11)=0,"",H552+NPV(G552,I552:M552))</f>
        <v>-123130068.276652</v>
      </c>
      <c r="P552" s="40" t="n">
        <f aca="true">RAND()</f>
        <v>0.500997571472379</v>
      </c>
      <c r="Q552" s="40" t="n">
        <f aca="true">RAND()</f>
        <v>0.573681885061342</v>
      </c>
      <c r="R552" s="40" t="n">
        <f aca="true">RAND()</f>
        <v>0.585932936638516</v>
      </c>
      <c r="S552" s="40" t="n">
        <f aca="true">RAND()</f>
        <v>0.475599974227187</v>
      </c>
      <c r="T552" s="40" t="n">
        <f aca="true">RAND()</f>
        <v>0.105344721297909</v>
      </c>
      <c r="U552" s="40" t="n">
        <f aca="true">RAND()</f>
        <v>0.0809609182231787</v>
      </c>
    </row>
    <row r="553" customFormat="false" ht="15" hidden="false" customHeight="false" outlineLevel="0" collapsed="false">
      <c r="A553" s="36" t="n">
        <v>473</v>
      </c>
      <c r="B553" s="37" t="n">
        <f aca="false">1+IF($G$6=$E$6,$F$6,IF(P553&lt;($F$6-$E$6)/($G$6-$E$6),$E$6+SQRT(P553*($G$6-$E$6)*($F$6-$E$6)),$G$6-SQRT((1-P553)*($G$6-$E$6)*($G$6-$F$6))))</f>
        <v>0.963184275107198</v>
      </c>
      <c r="C553" s="37" t="n">
        <f aca="false">1+IF($G$7=$E$7,$F$7,IF(Q553&lt;($F$7-$E$7)/($G$7-$E$7),$E$7+SQRT(Q553*($G$7-$E$7)*($F$7-$E$7)),$G$7-SQRT((1-Q553)*($G$7-$E$7)*($G$7-$F$7))))</f>
        <v>1.00953679935561</v>
      </c>
      <c r="D553" s="37" t="n">
        <f aca="false">1+IF($G$8=$E$8,$F$8,IF(R553&lt;($F$8-$E$8)/($G$8-$E$8),$E$8+SQRT(R553*($G$8-$E$8)*($F$8-$E$8)),$G$8-SQRT((1-R553)*($G$8-$E$8)*($G$8-$F$8))))</f>
        <v>1.05671922001684</v>
      </c>
      <c r="E553" s="37" t="n">
        <f aca="false">1+IF($G$9=$E$9,$F$9,IF(S553&lt;($F$9-$E$9)/($G$9-$E$9),$E$9+SQRT(S553*($G$9-$E$9)*($F$9-$E$9)),$G$9-SQRT((1-S553)*($G$9-$E$9)*($G$9-$F$9))))</f>
        <v>1.02859660511347</v>
      </c>
      <c r="F553" s="37" t="n">
        <f aca="false">1+IF($G$10=$E$10,$F$10,IF(T553&lt;($F$10-$E$10)/($G$10-$E$10),$E$10+SQRT(T553*($G$10-$E$10)*($F$10-$E$10)),$G$10-SQRT((1-T553)*($G$10-$E$10)*($G$10-$F$10))))</f>
        <v>1.16804615536278</v>
      </c>
      <c r="G553" s="38" t="n">
        <f aca="false">IF($G$11=$E$11,$F$11,IF(U553&lt;($F$11-$E$11)/($G$11-$E$11),$E$11+SQRT(U553*($G$11-$E$11)*($F$11-$E$11)),$G$11-SQRT((1-U553)*($G$11-$E$11)*($G$11-$F$11))))</f>
        <v>0.0982176223581829</v>
      </c>
      <c r="H553" s="39" t="n">
        <f aca="false">(('Business Case'!B11*$C553*'Business Case'!B12*$B553)-'Business Case'!B11*$C553*'Business Case'!B13*$D553-'Business Case'!B14*$E553)-MAX(0,(('Business Case'!B11*$C553*'Business Case'!B12*$B553)-'Business Case'!B11*$C553*'Business Case'!B13*$D553-'Business Case'!B14*$E553))*'Business Case'!$B$7-'Business Case'!$B$8*('Business Case'!B11*$C553*'Business Case'!B12*$B553)-'Business Case'!B15*$F553</f>
        <v>-2336092310.72556</v>
      </c>
      <c r="I553" s="39" t="n">
        <f aca="false">(('Business Case'!C11*$C553*'Business Case'!C12*$B553)-'Business Case'!C11*$C553*'Business Case'!C13*$D553-'Business Case'!C14*$E553)-MAX(0,(('Business Case'!C11*$C553*'Business Case'!C12*$B553)-'Business Case'!C11*$C553*'Business Case'!C13*$D553-'Business Case'!C14*$E553))*'Business Case'!$B$7-'Business Case'!$B$8*(('Business Case'!C11*$C553*'Business Case'!C12*$B553)-('Business Case'!B11*$C553*'Business Case'!B12*$B553))-'Business Case'!C15*$F553</f>
        <v>-63152384.8563554</v>
      </c>
      <c r="J553" s="39" t="n">
        <f aca="false">(('Business Case'!D11*$C553*'Business Case'!D12*$B553)-'Business Case'!D11*$C553*'Business Case'!D13*$D553-'Business Case'!D14*$E553)-MAX(0,(('Business Case'!D11*$C553*'Business Case'!D12*$B553)-'Business Case'!D11*$C553*'Business Case'!D13*$D553-'Business Case'!D14*$E553))*'Business Case'!$B$7-'Business Case'!$B$8*(('Business Case'!D11*$C553*'Business Case'!D12*$B553)-('Business Case'!C11*$C553*'Business Case'!C12*$B553))-'Business Case'!D15*$F553</f>
        <v>187173942.330089</v>
      </c>
      <c r="K553" s="39" t="n">
        <f aca="false">(('Business Case'!E11*$C553*'Business Case'!E12*$B553)-'Business Case'!E11*$C553*'Business Case'!E13*$D553-'Business Case'!E14*$E553)-MAX(0,(('Business Case'!E11*$C553*'Business Case'!E12*$B553)-'Business Case'!E11*$C553*'Business Case'!E13*$D553-'Business Case'!E14*$E553))*'Business Case'!$B$7-'Business Case'!$B$8*(('Business Case'!E11*$C553*'Business Case'!E12*$B553)-('Business Case'!D11*$C553*'Business Case'!D12*$B553))-'Business Case'!E15*$F553</f>
        <v>495902577.284672</v>
      </c>
      <c r="L553" s="39" t="n">
        <f aca="false">(('Business Case'!F11*$C553*'Business Case'!F12*$B553)-'Business Case'!F11*$C553*'Business Case'!F13*$D553-'Business Case'!F14*$E553)-MAX(0,(('Business Case'!F11*$C553*'Business Case'!F12*$B553)-'Business Case'!F11*$C553*'Business Case'!F13*$D553-'Business Case'!F14*$E553))*'Business Case'!$B$7-'Business Case'!$B$8*(('Business Case'!F11*$C553*'Business Case'!F12*$B553)-('Business Case'!E11*$C553*'Business Case'!E12*$B553))-'Business Case'!F15*$F553</f>
        <v>612949792.519745</v>
      </c>
      <c r="M553" s="39" t="n">
        <f aca="false">(('Business Case'!G11*$C553*'Business Case'!G12*$B553)-'Business Case'!G11*$C553*'Business Case'!G13*$D553-'Business Case'!G14*$E553)-MAX(0,(('Business Case'!G11*$C553*'Business Case'!G12*$B553)-'Business Case'!G11*$C553*'Business Case'!G13*$D553-'Business Case'!G14*$E553))*'Business Case'!$B$7-'Business Case'!$B$8*(('Business Case'!G11*$C553*'Business Case'!G12*$B553)-('Business Case'!F11*$C553*'Business Case'!F12*$B553))-'Business Case'!G15*$F553+'Business Case'!$B$8*('Business Case'!G11*$C553*'Business Case'!G12*$B553)</f>
        <v>797777876.470829</v>
      </c>
      <c r="N553" s="39" t="n">
        <f aca="false">IF(COUNT('Business Case'!B11:G11)=0,"",H553+NPV(G553,I553:M553))</f>
        <v>-943241518.308725</v>
      </c>
      <c r="P553" s="40" t="n">
        <f aca="true">RAND()</f>
        <v>0.194258501722311</v>
      </c>
      <c r="Q553" s="40" t="n">
        <f aca="true">RAND()</f>
        <v>0.624192176471135</v>
      </c>
      <c r="R553" s="40" t="n">
        <f aca="true">RAND()</f>
        <v>0.947885123401498</v>
      </c>
      <c r="S553" s="40" t="n">
        <f aca="true">RAND()</f>
        <v>0.660103679911864</v>
      </c>
      <c r="T553" s="40" t="n">
        <f aca="true">RAND()</f>
        <v>0.979579036258008</v>
      </c>
      <c r="U553" s="40" t="n">
        <f aca="true">RAND()</f>
        <v>0.22509772407236</v>
      </c>
    </row>
    <row r="554" customFormat="false" ht="15" hidden="false" customHeight="false" outlineLevel="0" collapsed="false">
      <c r="A554" s="36" t="n">
        <v>474</v>
      </c>
      <c r="B554" s="37" t="n">
        <f aca="false">1+IF($G$6=$E$6,$F$6,IF(P554&lt;($F$6-$E$6)/($G$6-$E$6),$E$6+SQRT(P554*($G$6-$E$6)*($F$6-$E$6)),$G$6-SQRT((1-P554)*($G$6-$E$6)*($G$6-$F$6))))</f>
        <v>1.01124623637029</v>
      </c>
      <c r="C554" s="37" t="n">
        <f aca="false">1+IF($G$7=$E$7,$F$7,IF(Q554&lt;($F$7-$E$7)/($G$7-$E$7),$E$7+SQRT(Q554*($G$7-$E$7)*($F$7-$E$7)),$G$7-SQRT((1-Q554)*($G$7-$E$7)*($G$7-$F$7))))</f>
        <v>1.04101749426366</v>
      </c>
      <c r="D554" s="37" t="n">
        <f aca="false">1+IF($G$8=$E$8,$F$8,IF(R554&lt;($F$8-$E$8)/($G$8-$E$8),$E$8+SQRT(R554*($G$8-$E$8)*($F$8-$E$8)),$G$8-SQRT((1-R554)*($G$8-$E$8)*($G$8-$F$8))))</f>
        <v>1.04375781245638</v>
      </c>
      <c r="E554" s="37" t="n">
        <f aca="false">1+IF($G$9=$E$9,$F$9,IF(S554&lt;($F$9-$E$9)/($G$9-$E$9),$E$9+SQRT(S554*($G$9-$E$9)*($F$9-$E$9)),$G$9-SQRT((1-S554)*($G$9-$E$9)*($G$9-$F$9))))</f>
        <v>1.05230804053998</v>
      </c>
      <c r="F554" s="37" t="n">
        <f aca="false">1+IF($G$10=$E$10,$F$10,IF(T554&lt;($F$10-$E$10)/($G$10-$E$10),$E$10+SQRT(T554*($G$10-$E$10)*($F$10-$E$10)),$G$10-SQRT((1-T554)*($G$10-$E$10)*($G$10-$F$10))))</f>
        <v>1.01472336851186</v>
      </c>
      <c r="G554" s="38" t="n">
        <f aca="false">IF($G$11=$E$11,$F$11,IF(U554&lt;($F$11-$E$11)/($G$11-$E$11),$E$11+SQRT(U554*($G$11-$E$11)*($F$11-$E$11)),$G$11-SQRT((1-U554)*($G$11-$E$11)*($G$11-$F$11))))</f>
        <v>0.100076243956232</v>
      </c>
      <c r="H554" s="39" t="n">
        <f aca="false">(('Business Case'!B11*$C554*'Business Case'!B12*$B554)-'Business Case'!B11*$C554*'Business Case'!B13*$D554-'Business Case'!B14*$E554)-MAX(0,(('Business Case'!B11*$C554*'Business Case'!B12*$B554)-'Business Case'!B11*$C554*'Business Case'!B13*$D554-'Business Case'!B14*$E554))*'Business Case'!$B$7-'Business Case'!$B$8*('Business Case'!B11*$C554*'Business Case'!B12*$B554)-'Business Case'!B15*$F554</f>
        <v>-2029446737.02372</v>
      </c>
      <c r="I554" s="39" t="n">
        <f aca="false">(('Business Case'!C11*$C554*'Business Case'!C12*$B554)-'Business Case'!C11*$C554*'Business Case'!C13*$D554-'Business Case'!C14*$E554)-MAX(0,(('Business Case'!C11*$C554*'Business Case'!C12*$B554)-'Business Case'!C11*$C554*'Business Case'!C13*$D554-'Business Case'!C14*$E554))*'Business Case'!$B$7-'Business Case'!$B$8*(('Business Case'!C11*$C554*'Business Case'!C12*$B554)-('Business Case'!B11*$C554*'Business Case'!B12*$B554))-'Business Case'!C15*$F554</f>
        <v>336797.31406033</v>
      </c>
      <c r="J554" s="39" t="n">
        <f aca="false">(('Business Case'!D11*$C554*'Business Case'!D12*$B554)-'Business Case'!D11*$C554*'Business Case'!D13*$D554-'Business Case'!D14*$E554)-MAX(0,(('Business Case'!D11*$C554*'Business Case'!D12*$B554)-'Business Case'!D11*$C554*'Business Case'!D13*$D554-'Business Case'!D14*$E554))*'Business Case'!$B$7-'Business Case'!$B$8*(('Business Case'!D11*$C554*'Business Case'!D12*$B554)-('Business Case'!C11*$C554*'Business Case'!C12*$B554))-'Business Case'!D15*$F554</f>
        <v>306357400.040028</v>
      </c>
      <c r="K554" s="39" t="n">
        <f aca="false">(('Business Case'!E11*$C554*'Business Case'!E12*$B554)-'Business Case'!E11*$C554*'Business Case'!E13*$D554-'Business Case'!E14*$E554)-MAX(0,(('Business Case'!E11*$C554*'Business Case'!E12*$B554)-'Business Case'!E11*$C554*'Business Case'!E13*$D554-'Business Case'!E14*$E554))*'Business Case'!$B$7-'Business Case'!$B$8*(('Business Case'!E11*$C554*'Business Case'!E12*$B554)-('Business Case'!D11*$C554*'Business Case'!D12*$B554))-'Business Case'!E15*$F554</f>
        <v>663114171.191588</v>
      </c>
      <c r="L554" s="39" t="n">
        <f aca="false">(('Business Case'!F11*$C554*'Business Case'!F12*$B554)-'Business Case'!F11*$C554*'Business Case'!F13*$D554-'Business Case'!F14*$E554)-MAX(0,(('Business Case'!F11*$C554*'Business Case'!F12*$B554)-'Business Case'!F11*$C554*'Business Case'!F13*$D554-'Business Case'!F14*$E554))*'Business Case'!$B$7-'Business Case'!$B$8*(('Business Case'!F11*$C554*'Business Case'!F12*$B554)-('Business Case'!E11*$C554*'Business Case'!E12*$B554))-'Business Case'!F15*$F554</f>
        <v>801503215.564201</v>
      </c>
      <c r="M554" s="39" t="n">
        <f aca="false">(('Business Case'!G11*$C554*'Business Case'!G12*$B554)-'Business Case'!G11*$C554*'Business Case'!G13*$D554-'Business Case'!G14*$E554)-MAX(0,(('Business Case'!G11*$C554*'Business Case'!G12*$B554)-'Business Case'!G11*$C554*'Business Case'!G13*$D554-'Business Case'!G14*$E554))*'Business Case'!$B$7-'Business Case'!$B$8*(('Business Case'!G11*$C554*'Business Case'!G12*$B554)-('Business Case'!F11*$C554*'Business Case'!F12*$B554))-'Business Case'!G15*$F554+'Business Case'!$B$8*('Business Case'!G11*$C554*'Business Case'!G12*$B554)</f>
        <v>1001605187.9493</v>
      </c>
      <c r="N554" s="39" t="n">
        <f aca="false">IF(COUNT('Business Case'!B11:G11)=0,"",H554+NPV(G554,I554:M554))</f>
        <v>-108895571.169441</v>
      </c>
      <c r="P554" s="40" t="n">
        <f aca="true">RAND()</f>
        <v>0.827754391068053</v>
      </c>
      <c r="Q554" s="40" t="n">
        <f aca="true">RAND()</f>
        <v>0.773767875112918</v>
      </c>
      <c r="R554" s="40" t="n">
        <f aca="true">RAND()</f>
        <v>0.873702292505074</v>
      </c>
      <c r="S554" s="40" t="n">
        <f aca="true">RAND()</f>
        <v>0.848365133524237</v>
      </c>
      <c r="T554" s="40" t="n">
        <f aca="true">RAND()</f>
        <v>0.313451396488169</v>
      </c>
      <c r="U554" s="40" t="n">
        <f aca="true">RAND()</f>
        <v>0.338406575180689</v>
      </c>
    </row>
    <row r="555" customFormat="false" ht="15" hidden="false" customHeight="false" outlineLevel="0" collapsed="false">
      <c r="A555" s="36" t="n">
        <v>475</v>
      </c>
      <c r="B555" s="37" t="n">
        <f aca="false">1+IF($G$6=$E$6,$F$6,IF(P555&lt;($F$6-$E$6)/($G$6-$E$6),$E$6+SQRT(P555*($G$6-$E$6)*($F$6-$E$6)),$G$6-SQRT((1-P555)*($G$6-$E$6)*($G$6-$F$6))))</f>
        <v>0.961727604415091</v>
      </c>
      <c r="C555" s="37" t="n">
        <f aca="false">1+IF($G$7=$E$7,$F$7,IF(Q555&lt;($F$7-$E$7)/($G$7-$E$7),$E$7+SQRT(Q555*($G$7-$E$7)*($F$7-$E$7)),$G$7-SQRT((1-Q555)*($G$7-$E$7)*($G$7-$F$7))))</f>
        <v>0.941695913514255</v>
      </c>
      <c r="D555" s="37" t="n">
        <f aca="false">1+IF($G$8=$E$8,$F$8,IF(R555&lt;($F$8-$E$8)/($G$8-$E$8),$E$8+SQRT(R555*($G$8-$E$8)*($F$8-$E$8)),$G$8-SQRT((1-R555)*($G$8-$E$8)*($G$8-$F$8))))</f>
        <v>0.982386264992213</v>
      </c>
      <c r="E555" s="37" t="n">
        <f aca="false">1+IF($G$9=$E$9,$F$9,IF(S555&lt;($F$9-$E$9)/($G$9-$E$9),$E$9+SQRT(S555*($G$9-$E$9)*($F$9-$E$9)),$G$9-SQRT((1-S555)*($G$9-$E$9)*($G$9-$F$9))))</f>
        <v>0.991912370450747</v>
      </c>
      <c r="F555" s="37" t="n">
        <f aca="false">1+IF($G$10=$E$10,$F$10,IF(T555&lt;($F$10-$E$10)/($G$10-$E$10),$E$10+SQRT(T555*($G$10-$E$10)*($F$10-$E$10)),$G$10-SQRT((1-T555)*($G$10-$E$10)*($G$10-$F$10))))</f>
        <v>1.03586739306671</v>
      </c>
      <c r="G555" s="38" t="n">
        <f aca="false">IF($G$11=$E$11,$F$11,IF(U555&lt;($F$11-$E$11)/($G$11-$E$11),$E$11+SQRT(U555*($G$11-$E$11)*($F$11-$E$11)),$G$11-SQRT((1-U555)*($G$11-$E$11)*($G$11-$F$11))))</f>
        <v>0.103788905288037</v>
      </c>
      <c r="H555" s="39" t="n">
        <f aca="false">(('Business Case'!B11*$C555*'Business Case'!B12*$B555)-'Business Case'!B11*$C555*'Business Case'!B13*$D555-'Business Case'!B14*$E555)-MAX(0,(('Business Case'!B11*$C555*'Business Case'!B12*$B555)-'Business Case'!B11*$C555*'Business Case'!B13*$D555-'Business Case'!B14*$E555))*'Business Case'!$B$7-'Business Case'!$B$8*('Business Case'!B11*$C555*'Business Case'!B12*$B555)-'Business Case'!B15*$F555</f>
        <v>-2071734786.13341</v>
      </c>
      <c r="I555" s="39" t="n">
        <f aca="false">(('Business Case'!C11*$C555*'Business Case'!C12*$B555)-'Business Case'!C11*$C555*'Business Case'!C13*$D555-'Business Case'!C14*$E555)-MAX(0,(('Business Case'!C11*$C555*'Business Case'!C12*$B555)-'Business Case'!C11*$C555*'Business Case'!C13*$D555-'Business Case'!C14*$E555))*'Business Case'!$B$7-'Business Case'!$B$8*(('Business Case'!C11*$C555*'Business Case'!C12*$B555)-('Business Case'!B11*$C555*'Business Case'!B12*$B555))-'Business Case'!C15*$F555</f>
        <v>-23371082.4188731</v>
      </c>
      <c r="J555" s="39" t="n">
        <f aca="false">(('Business Case'!D11*$C555*'Business Case'!D12*$B555)-'Business Case'!D11*$C555*'Business Case'!D13*$D555-'Business Case'!D14*$E555)-MAX(0,(('Business Case'!D11*$C555*'Business Case'!D12*$B555)-'Business Case'!D11*$C555*'Business Case'!D13*$D555-'Business Case'!D14*$E555))*'Business Case'!$B$7-'Business Case'!$B$8*(('Business Case'!D11*$C555*'Business Case'!D12*$B555)-('Business Case'!C11*$C555*'Business Case'!C12*$B555))-'Business Case'!D15*$F555</f>
        <v>244843666.413783</v>
      </c>
      <c r="K555" s="39" t="n">
        <f aca="false">(('Business Case'!E11*$C555*'Business Case'!E12*$B555)-'Business Case'!E11*$C555*'Business Case'!E13*$D555-'Business Case'!E14*$E555)-MAX(0,(('Business Case'!E11*$C555*'Business Case'!E12*$B555)-'Business Case'!E11*$C555*'Business Case'!E13*$D555-'Business Case'!E14*$E555))*'Business Case'!$B$7-'Business Case'!$B$8*(('Business Case'!E11*$C555*'Business Case'!E12*$B555)-('Business Case'!D11*$C555*'Business Case'!D12*$B555))-'Business Case'!E15*$F555</f>
        <v>564851784.899774</v>
      </c>
      <c r="L555" s="39" t="n">
        <f aca="false">(('Business Case'!F11*$C555*'Business Case'!F12*$B555)-'Business Case'!F11*$C555*'Business Case'!F13*$D555-'Business Case'!F14*$E555)-MAX(0,(('Business Case'!F11*$C555*'Business Case'!F12*$B555)-'Business Case'!F11*$C555*'Business Case'!F13*$D555-'Business Case'!F14*$E555))*'Business Case'!$B$7-'Business Case'!$B$8*(('Business Case'!F11*$C555*'Business Case'!F12*$B555)-('Business Case'!E11*$C555*'Business Case'!E12*$B555))-'Business Case'!F15*$F555</f>
        <v>685556136.421833</v>
      </c>
      <c r="M555" s="39" t="n">
        <f aca="false">(('Business Case'!G11*$C555*'Business Case'!G12*$B555)-'Business Case'!G11*$C555*'Business Case'!G13*$D555-'Business Case'!G14*$E555)-MAX(0,(('Business Case'!G11*$C555*'Business Case'!G12*$B555)-'Business Case'!G11*$C555*'Business Case'!G13*$D555-'Business Case'!G14*$E555))*'Business Case'!$B$7-'Business Case'!$B$8*(('Business Case'!G11*$C555*'Business Case'!G12*$B555)-('Business Case'!F11*$C555*'Business Case'!F12*$B555))-'Business Case'!G15*$F555+'Business Case'!$B$8*('Business Case'!G11*$C555*'Business Case'!G12*$B555)</f>
        <v>857703030.266626</v>
      </c>
      <c r="N555" s="39" t="n">
        <f aca="false">IF(COUNT('Business Case'!B11:G11)=0,"",H555+NPV(G555,I555:M555))</f>
        <v>-486582752.358181</v>
      </c>
      <c r="P555" s="40" t="n">
        <f aca="true">RAND()</f>
        <v>0.181374267731491</v>
      </c>
      <c r="Q555" s="40" t="n">
        <f aca="true">RAND()</f>
        <v>0.286824741523416</v>
      </c>
      <c r="R555" s="40" t="n">
        <f aca="true">RAND()</f>
        <v>0.161364640022436</v>
      </c>
      <c r="S555" s="40" t="n">
        <f aca="true">RAND()</f>
        <v>0.234219572906756</v>
      </c>
      <c r="T555" s="40" t="n">
        <f aca="true">RAND()</f>
        <v>0.461209746825621</v>
      </c>
      <c r="U555" s="40" t="n">
        <f aca="true">RAND()</f>
        <v>0.562000680399597</v>
      </c>
    </row>
    <row r="556" customFormat="false" ht="15" hidden="false" customHeight="false" outlineLevel="0" collapsed="false">
      <c r="A556" s="36" t="n">
        <v>476</v>
      </c>
      <c r="B556" s="37" t="n">
        <f aca="false">1+IF($G$6=$E$6,$F$6,IF(P556&lt;($F$6-$E$6)/($G$6-$E$6),$E$6+SQRT(P556*($G$6-$E$6)*($F$6-$E$6)),$G$6-SQRT((1-P556)*($G$6-$E$6)*($G$6-$F$6))))</f>
        <v>0.949608014257664</v>
      </c>
      <c r="C556" s="37" t="n">
        <f aca="false">1+IF($G$7=$E$7,$F$7,IF(Q556&lt;($F$7-$E$7)/($G$7-$E$7),$E$7+SQRT(Q556*($G$7-$E$7)*($F$7-$E$7)),$G$7-SQRT((1-Q556)*($G$7-$E$7)*($G$7-$F$7))))</f>
        <v>0.935852473468023</v>
      </c>
      <c r="D556" s="37" t="n">
        <f aca="false">1+IF($G$8=$E$8,$F$8,IF(R556&lt;($F$8-$E$8)/($G$8-$E$8),$E$8+SQRT(R556*($G$8-$E$8)*($F$8-$E$8)),$G$8-SQRT((1-R556)*($G$8-$E$8)*($G$8-$F$8))))</f>
        <v>0.973018344111437</v>
      </c>
      <c r="E556" s="37" t="n">
        <f aca="false">1+IF($G$9=$E$9,$F$9,IF(S556&lt;($F$9-$E$9)/($G$9-$E$9),$E$9+SQRT(S556*($G$9-$E$9)*($F$9-$E$9)),$G$9-SQRT((1-S556)*($G$9-$E$9)*($G$9-$F$9))))</f>
        <v>1.024992470501</v>
      </c>
      <c r="F556" s="37" t="n">
        <f aca="false">1+IF($G$10=$E$10,$F$10,IF(T556&lt;($F$10-$E$10)/($G$10-$E$10),$E$10+SQRT(T556*($G$10-$E$10)*($F$10-$E$10)),$G$10-SQRT((1-T556)*($G$10-$E$10)*($G$10-$F$10))))</f>
        <v>1.08826305319947</v>
      </c>
      <c r="G556" s="38" t="n">
        <f aca="false">IF($G$11=$E$11,$F$11,IF(U556&lt;($F$11-$E$11)/($G$11-$E$11),$E$11+SQRT(U556*($G$11-$E$11)*($F$11-$E$11)),$G$11-SQRT((1-U556)*($G$11-$E$11)*($G$11-$F$11))))</f>
        <v>0.107467976980872</v>
      </c>
      <c r="H556" s="39" t="n">
        <f aca="false">(('Business Case'!B11*$C556*'Business Case'!B12*$B556)-'Business Case'!B11*$C556*'Business Case'!B13*$D556-'Business Case'!B14*$E556)-MAX(0,(('Business Case'!B11*$C556*'Business Case'!B12*$B556)-'Business Case'!B11*$C556*'Business Case'!B13*$D556-'Business Case'!B14*$E556))*'Business Case'!$B$7-'Business Case'!$B$8*('Business Case'!B11*$C556*'Business Case'!B12*$B556)-'Business Case'!B15*$F556</f>
        <v>-2176526106.39894</v>
      </c>
      <c r="I556" s="39" t="n">
        <f aca="false">(('Business Case'!C11*$C556*'Business Case'!C12*$B556)-'Business Case'!C11*$C556*'Business Case'!C13*$D556-'Business Case'!C14*$E556)-MAX(0,(('Business Case'!C11*$C556*'Business Case'!C12*$B556)-'Business Case'!C11*$C556*'Business Case'!C13*$D556-'Business Case'!C14*$E556))*'Business Case'!$B$7-'Business Case'!$B$8*(('Business Case'!C11*$C556*'Business Case'!C12*$B556)-('Business Case'!B11*$C556*'Business Case'!B12*$B556))-'Business Case'!C15*$F556</f>
        <v>-38901703.3606773</v>
      </c>
      <c r="J556" s="39" t="n">
        <f aca="false">(('Business Case'!D11*$C556*'Business Case'!D12*$B556)-'Business Case'!D11*$C556*'Business Case'!D13*$D556-'Business Case'!D14*$E556)-MAX(0,(('Business Case'!D11*$C556*'Business Case'!D12*$B556)-'Business Case'!D11*$C556*'Business Case'!D13*$D556-'Business Case'!D14*$E556))*'Business Case'!$B$7-'Business Case'!$B$8*(('Business Case'!D11*$C556*'Business Case'!D12*$B556)-('Business Case'!C11*$C556*'Business Case'!C12*$B556))-'Business Case'!D15*$F556</f>
        <v>222846673.48874</v>
      </c>
      <c r="K556" s="39" t="n">
        <f aca="false">(('Business Case'!E11*$C556*'Business Case'!E12*$B556)-'Business Case'!E11*$C556*'Business Case'!E13*$D556-'Business Case'!E14*$E556)-MAX(0,(('Business Case'!E11*$C556*'Business Case'!E12*$B556)-'Business Case'!E11*$C556*'Business Case'!E13*$D556-'Business Case'!E14*$E556))*'Business Case'!$B$7-'Business Case'!$B$8*(('Business Case'!E11*$C556*'Business Case'!E12*$B556)-('Business Case'!D11*$C556*'Business Case'!D12*$B556))-'Business Case'!E15*$F556</f>
        <v>539008202.998131</v>
      </c>
      <c r="L556" s="39" t="n">
        <f aca="false">(('Business Case'!F11*$C556*'Business Case'!F12*$B556)-'Business Case'!F11*$C556*'Business Case'!F13*$D556-'Business Case'!F14*$E556)-MAX(0,(('Business Case'!F11*$C556*'Business Case'!F12*$B556)-'Business Case'!F11*$C556*'Business Case'!F13*$D556-'Business Case'!F14*$E556))*'Business Case'!$B$7-'Business Case'!$B$8*(('Business Case'!F11*$C556*'Business Case'!F12*$B556)-('Business Case'!E11*$C556*'Business Case'!E12*$B556))-'Business Case'!F15*$F556</f>
        <v>656970892.337874</v>
      </c>
      <c r="M556" s="39" t="n">
        <f aca="false">(('Business Case'!G11*$C556*'Business Case'!G12*$B556)-'Business Case'!G11*$C556*'Business Case'!G13*$D556-'Business Case'!G14*$E556)-MAX(0,(('Business Case'!G11*$C556*'Business Case'!G12*$B556)-'Business Case'!G11*$C556*'Business Case'!G13*$D556-'Business Case'!G14*$E556))*'Business Case'!$B$7-'Business Case'!$B$8*(('Business Case'!G11*$C556*'Business Case'!G12*$B556)-('Business Case'!F11*$C556*'Business Case'!F12*$B556))-'Business Case'!G15*$F556+'Business Case'!$B$8*('Business Case'!G11*$C556*'Business Case'!G12*$B556)</f>
        <v>825893659.482529</v>
      </c>
      <c r="N556" s="39" t="n">
        <f aca="false">IF(COUNT('Business Case'!B11:G11)=0,"",H556+NPV(G556,I556:M556))</f>
        <v>-700635148.209216</v>
      </c>
      <c r="P556" s="40" t="n">
        <f aca="true">RAND()</f>
        <v>0.0913160946127124</v>
      </c>
      <c r="Q556" s="40" t="n">
        <f aca="true">RAND()</f>
        <v>0.263655636391142</v>
      </c>
      <c r="R556" s="40" t="n">
        <f aca="true">RAND()</f>
        <v>0.0815144870203871</v>
      </c>
      <c r="S556" s="40" t="n">
        <f aca="true">RAND()</f>
        <v>0.624924701230425</v>
      </c>
      <c r="T556" s="40" t="n">
        <f aca="true">RAND()</f>
        <v>0.75029709439391</v>
      </c>
      <c r="U556" s="40" t="n">
        <f aca="true">RAND()</f>
        <v>0.738247331746746</v>
      </c>
    </row>
    <row r="557" customFormat="false" ht="15" hidden="false" customHeight="false" outlineLevel="0" collapsed="false">
      <c r="A557" s="36" t="n">
        <v>477</v>
      </c>
      <c r="B557" s="37" t="n">
        <f aca="false">1+IF($G$6=$E$6,$F$6,IF(P557&lt;($F$6-$E$6)/($G$6-$E$6),$E$6+SQRT(P557*($G$6-$E$6)*($F$6-$E$6)),$G$6-SQRT((1-P557)*($G$6-$E$6)*($G$6-$F$6))))</f>
        <v>0.983981529628706</v>
      </c>
      <c r="C557" s="37" t="n">
        <f aca="false">1+IF($G$7=$E$7,$F$7,IF(Q557&lt;($F$7-$E$7)/($G$7-$E$7),$E$7+SQRT(Q557*($G$7-$E$7)*($F$7-$E$7)),$G$7-SQRT((1-Q557)*($G$7-$E$7)*($G$7-$F$7))))</f>
        <v>1.01499874988691</v>
      </c>
      <c r="D557" s="37" t="n">
        <f aca="false">1+IF($G$8=$E$8,$F$8,IF(R557&lt;($F$8-$E$8)/($G$8-$E$8),$E$8+SQRT(R557*($G$8-$E$8)*($F$8-$E$8)),$G$8-SQRT((1-R557)*($G$8-$E$8)*($G$8-$F$8))))</f>
        <v>1.01177349620136</v>
      </c>
      <c r="E557" s="37" t="n">
        <f aca="false">1+IF($G$9=$E$9,$F$9,IF(S557&lt;($F$9-$E$9)/($G$9-$E$9),$E$9+SQRT(S557*($G$9-$E$9)*($F$9-$E$9)),$G$9-SQRT((1-S557)*($G$9-$E$9)*($G$9-$F$9))))</f>
        <v>1.04832197189766</v>
      </c>
      <c r="F557" s="37" t="n">
        <f aca="false">1+IF($G$10=$E$10,$F$10,IF(T557&lt;($F$10-$E$10)/($G$10-$E$10),$E$10+SQRT(T557*($G$10-$E$10)*($F$10-$E$10)),$G$10-SQRT((1-T557)*($G$10-$E$10)*($G$10-$F$10))))</f>
        <v>1.05443044881201</v>
      </c>
      <c r="G557" s="38" t="n">
        <f aca="false">IF($G$11=$E$11,$F$11,IF(U557&lt;($F$11-$E$11)/($G$11-$E$11),$E$11+SQRT(U557*($G$11-$E$11)*($F$11-$E$11)),$G$11-SQRT((1-U557)*($G$11-$E$11)*($G$11-$F$11))))</f>
        <v>0.104298534375968</v>
      </c>
      <c r="H557" s="39" t="n">
        <f aca="false">(('Business Case'!B11*$C557*'Business Case'!B12*$B557)-'Business Case'!B11*$C557*'Business Case'!B13*$D557-'Business Case'!B14*$E557)-MAX(0,(('Business Case'!B11*$C557*'Business Case'!B12*$B557)-'Business Case'!B11*$C557*'Business Case'!B13*$D557-'Business Case'!B14*$E557))*'Business Case'!$B$7-'Business Case'!$B$8*('Business Case'!B11*$C557*'Business Case'!B12*$B557)-'Business Case'!B15*$F557</f>
        <v>-2108860897.62402</v>
      </c>
      <c r="I557" s="39" t="n">
        <f aca="false">(('Business Case'!C11*$C557*'Business Case'!C12*$B557)-'Business Case'!C11*$C557*'Business Case'!C13*$D557-'Business Case'!C14*$E557)-MAX(0,(('Business Case'!C11*$C557*'Business Case'!C12*$B557)-'Business Case'!C11*$C557*'Business Case'!C13*$D557-'Business Case'!C14*$E557))*'Business Case'!$B$7-'Business Case'!$B$8*(('Business Case'!C11*$C557*'Business Case'!C12*$B557)-('Business Case'!B11*$C557*'Business Case'!B12*$B557))-'Business Case'!C15*$F557</f>
        <v>-13964771.3594769</v>
      </c>
      <c r="J557" s="39" t="n">
        <f aca="false">(('Business Case'!D11*$C557*'Business Case'!D12*$B557)-'Business Case'!D11*$C557*'Business Case'!D13*$D557-'Business Case'!D14*$E557)-MAX(0,(('Business Case'!D11*$C557*'Business Case'!D12*$B557)-'Business Case'!D11*$C557*'Business Case'!D13*$D557-'Business Case'!D14*$E557))*'Business Case'!$B$7-'Business Case'!$B$8*(('Business Case'!D11*$C557*'Business Case'!D12*$B557)-('Business Case'!C11*$C557*'Business Case'!C12*$B557))-'Business Case'!D15*$F557</f>
        <v>278359569.331714</v>
      </c>
      <c r="K557" s="39" t="n">
        <f aca="false">(('Business Case'!E11*$C557*'Business Case'!E12*$B557)-'Business Case'!E11*$C557*'Business Case'!E13*$D557-'Business Case'!E14*$E557)-MAX(0,(('Business Case'!E11*$C557*'Business Case'!E12*$B557)-'Business Case'!E11*$C557*'Business Case'!E13*$D557-'Business Case'!E14*$E557))*'Business Case'!$B$7-'Business Case'!$B$8*(('Business Case'!E11*$C557*'Business Case'!E12*$B557)-('Business Case'!D11*$C557*'Business Case'!D12*$B557))-'Business Case'!E15*$F557</f>
        <v>623405432.463505</v>
      </c>
      <c r="L557" s="39" t="n">
        <f aca="false">(('Business Case'!F11*$C557*'Business Case'!F12*$B557)-'Business Case'!F11*$C557*'Business Case'!F13*$D557-'Business Case'!F14*$E557)-MAX(0,(('Business Case'!F11*$C557*'Business Case'!F12*$B557)-'Business Case'!F11*$C557*'Business Case'!F13*$D557-'Business Case'!F14*$E557))*'Business Case'!$B$7-'Business Case'!$B$8*(('Business Case'!F11*$C557*'Business Case'!F12*$B557)-('Business Case'!E11*$C557*'Business Case'!E12*$B557))-'Business Case'!F15*$F557</f>
        <v>755363334.537648</v>
      </c>
      <c r="M557" s="39" t="n">
        <f aca="false">(('Business Case'!G11*$C557*'Business Case'!G12*$B557)-'Business Case'!G11*$C557*'Business Case'!G13*$D557-'Business Case'!G14*$E557)-MAX(0,(('Business Case'!G11*$C557*'Business Case'!G12*$B557)-'Business Case'!G11*$C557*'Business Case'!G13*$D557-'Business Case'!G14*$E557))*'Business Case'!$B$7-'Business Case'!$B$8*(('Business Case'!G11*$C557*'Business Case'!G12*$B557)-('Business Case'!F11*$C557*'Business Case'!F12*$B557))-'Business Case'!G15*$F557+'Business Case'!$B$8*('Business Case'!G11*$C557*'Business Case'!G12*$B557)</f>
        <v>945203838.011586</v>
      </c>
      <c r="N557" s="39" t="n">
        <f aca="false">IF(COUNT('Business Case'!B11:G11)=0,"",H557+NPV(G557,I557:M557))</f>
        <v>-346819224.434605</v>
      </c>
      <c r="P557" s="40" t="n">
        <f aca="true">RAND()</f>
        <v>0.426420430586353</v>
      </c>
      <c r="Q557" s="40" t="n">
        <f aca="true">RAND()</f>
        <v>0.652850713674322</v>
      </c>
      <c r="R557" s="40" t="n">
        <f aca="true">RAND()</f>
        <v>0.552417709559098</v>
      </c>
      <c r="S557" s="40" t="n">
        <f aca="true">RAND()</f>
        <v>0.821958760763571</v>
      </c>
      <c r="T557" s="40" t="n">
        <f aca="true">RAND()</f>
        <v>0.576190115338546</v>
      </c>
      <c r="U557" s="40" t="n">
        <f aca="true">RAND()</f>
        <v>0.589106628762249</v>
      </c>
    </row>
    <row r="558" customFormat="false" ht="15" hidden="false" customHeight="false" outlineLevel="0" collapsed="false">
      <c r="A558" s="36" t="n">
        <v>478</v>
      </c>
      <c r="B558" s="37" t="n">
        <f aca="false">1+IF($G$6=$E$6,$F$6,IF(P558&lt;($F$6-$E$6)/($G$6-$E$6),$E$6+SQRT(P558*($G$6-$E$6)*($F$6-$E$6)),$G$6-SQRT((1-P558)*($G$6-$E$6)*($G$6-$F$6))))</f>
        <v>1.00102889553762</v>
      </c>
      <c r="C558" s="37" t="n">
        <f aca="false">1+IF($G$7=$E$7,$F$7,IF(Q558&lt;($F$7-$E$7)/($G$7-$E$7),$E$7+SQRT(Q558*($G$7-$E$7)*($F$7-$E$7)),$G$7-SQRT((1-Q558)*($G$7-$E$7)*($G$7-$F$7))))</f>
        <v>1.0622158267439</v>
      </c>
      <c r="D558" s="37" t="n">
        <f aca="false">1+IF($G$8=$E$8,$F$8,IF(R558&lt;($F$8-$E$8)/($G$8-$E$8),$E$8+SQRT(R558*($G$8-$E$8)*($F$8-$E$8)),$G$8-SQRT((1-R558)*($G$8-$E$8)*($G$8-$F$8))))</f>
        <v>0.982670905773084</v>
      </c>
      <c r="E558" s="37" t="n">
        <f aca="false">1+IF($G$9=$E$9,$F$9,IF(S558&lt;($F$9-$E$9)/($G$9-$E$9),$E$9+SQRT(S558*($G$9-$E$9)*($F$9-$E$9)),$G$9-SQRT((1-S558)*($G$9-$E$9)*($G$9-$F$9))))</f>
        <v>1.01372038595247</v>
      </c>
      <c r="F558" s="37" t="n">
        <f aca="false">1+IF($G$10=$E$10,$F$10,IF(T558&lt;($F$10-$E$10)/($G$10-$E$10),$E$10+SQRT(T558*($G$10-$E$10)*($F$10-$E$10)),$G$10-SQRT((1-T558)*($G$10-$E$10)*($G$10-$F$10))))</f>
        <v>1.1465615563676</v>
      </c>
      <c r="G558" s="38" t="n">
        <f aca="false">IF($G$11=$E$11,$F$11,IF(U558&lt;($F$11-$E$11)/($G$11-$E$11),$E$11+SQRT(U558*($G$11-$E$11)*($F$11-$E$11)),$G$11-SQRT((1-U558)*($G$11-$E$11)*($G$11-$F$11))))</f>
        <v>0.115174394227339</v>
      </c>
      <c r="H558" s="39" t="n">
        <f aca="false">(('Business Case'!B11*$C558*'Business Case'!B12*$B558)-'Business Case'!B11*$C558*'Business Case'!B13*$D558-'Business Case'!B14*$E558)-MAX(0,(('Business Case'!B11*$C558*'Business Case'!B12*$B558)-'Business Case'!B11*$C558*'Business Case'!B13*$D558-'Business Case'!B14*$E558))*'Business Case'!$B$7-'Business Case'!$B$8*('Business Case'!B11*$C558*'Business Case'!B12*$B558)-'Business Case'!B15*$F558</f>
        <v>-2293123112.73519</v>
      </c>
      <c r="I558" s="39" t="n">
        <f aca="false">(('Business Case'!C11*$C558*'Business Case'!C12*$B558)-'Business Case'!C11*$C558*'Business Case'!C13*$D558-'Business Case'!C14*$E558)-MAX(0,(('Business Case'!C11*$C558*'Business Case'!C12*$B558)-'Business Case'!C11*$C558*'Business Case'!C13*$D558-'Business Case'!C14*$E558))*'Business Case'!$B$7-'Business Case'!$B$8*(('Business Case'!C11*$C558*'Business Case'!C12*$B558)-('Business Case'!B11*$C558*'Business Case'!B12*$B558))-'Business Case'!C15*$F558</f>
        <v>22650800.8457977</v>
      </c>
      <c r="J558" s="39" t="n">
        <f aca="false">(('Business Case'!D11*$C558*'Business Case'!D12*$B558)-'Business Case'!D11*$C558*'Business Case'!D13*$D558-'Business Case'!D14*$E558)-MAX(0,(('Business Case'!D11*$C558*'Business Case'!D12*$B558)-'Business Case'!D11*$C558*'Business Case'!D13*$D558-'Business Case'!D14*$E558))*'Business Case'!$B$7-'Business Case'!$B$8*(('Business Case'!D11*$C558*'Business Case'!D12*$B558)-('Business Case'!C11*$C558*'Business Case'!C12*$B558))-'Business Case'!D15*$F558</f>
        <v>359230721.078195</v>
      </c>
      <c r="K558" s="39" t="n">
        <f aca="false">(('Business Case'!E11*$C558*'Business Case'!E12*$B558)-'Business Case'!E11*$C558*'Business Case'!E13*$D558-'Business Case'!E14*$E558)-MAX(0,(('Business Case'!E11*$C558*'Business Case'!E12*$B558)-'Business Case'!E11*$C558*'Business Case'!E13*$D558-'Business Case'!E14*$E558))*'Business Case'!$B$7-'Business Case'!$B$8*(('Business Case'!E11*$C558*'Business Case'!E12*$B558)-('Business Case'!D11*$C558*'Business Case'!D12*$B558))-'Business Case'!E15*$F558</f>
        <v>753138719.128971</v>
      </c>
      <c r="L558" s="39" t="n">
        <f aca="false">(('Business Case'!F11*$C558*'Business Case'!F12*$B558)-'Business Case'!F11*$C558*'Business Case'!F13*$D558-'Business Case'!F14*$E558)-MAX(0,(('Business Case'!F11*$C558*'Business Case'!F12*$B558)-'Business Case'!F11*$C558*'Business Case'!F13*$D558-'Business Case'!F14*$E558))*'Business Case'!$B$7-'Business Case'!$B$8*(('Business Case'!F11*$C558*'Business Case'!F12*$B558)-('Business Case'!E11*$C558*'Business Case'!E12*$B558))-'Business Case'!F15*$F558</f>
        <v>902079975.784702</v>
      </c>
      <c r="M558" s="39" t="n">
        <f aca="false">(('Business Case'!G11*$C558*'Business Case'!G12*$B558)-'Business Case'!G11*$C558*'Business Case'!G13*$D558-'Business Case'!G14*$E558)-MAX(0,(('Business Case'!G11*$C558*'Business Case'!G12*$B558)-'Business Case'!G11*$C558*'Business Case'!G13*$D558-'Business Case'!G14*$E558))*'Business Case'!$B$7-'Business Case'!$B$8*(('Business Case'!G11*$C558*'Business Case'!G12*$B558)-('Business Case'!F11*$C558*'Business Case'!F12*$B558))-'Business Case'!G15*$F558+'Business Case'!$B$8*('Business Case'!G11*$C558*'Business Case'!G12*$B558)</f>
        <v>1104193700.2985</v>
      </c>
      <c r="N558" s="39" t="n">
        <f aca="false">IF(COUNT('Business Case'!B11:G11)=0,"",H558+NPV(G558,I558:M558))</f>
        <v>-217394080.592476</v>
      </c>
      <c r="P558" s="40" t="n">
        <f aca="true">RAND()</f>
        <v>0.683594378537897</v>
      </c>
      <c r="Q558" s="40" t="n">
        <f aca="true">RAND()</f>
        <v>0.85321788429986</v>
      </c>
      <c r="R558" s="40" t="n">
        <f aca="true">RAND()</f>
        <v>0.164213551389804</v>
      </c>
      <c r="S558" s="40" t="n">
        <f aca="true">RAND()</f>
        <v>0.503721879987299</v>
      </c>
      <c r="T558" s="40" t="n">
        <f aca="true">RAND()</f>
        <v>0.94288665484293</v>
      </c>
      <c r="U558" s="40" t="n">
        <f aca="true">RAND()</f>
        <v>0.961189214878093</v>
      </c>
    </row>
    <row r="559" customFormat="false" ht="15" hidden="false" customHeight="false" outlineLevel="0" collapsed="false">
      <c r="A559" s="36" t="n">
        <v>479</v>
      </c>
      <c r="B559" s="37" t="n">
        <f aca="false">1+IF($G$6=$E$6,$F$6,IF(P559&lt;($F$6-$E$6)/($G$6-$E$6),$E$6+SQRT(P559*($G$6-$E$6)*($F$6-$E$6)),$G$6-SQRT((1-P559)*($G$6-$E$6)*($G$6-$F$6))))</f>
        <v>0.972782167370108</v>
      </c>
      <c r="C559" s="37" t="n">
        <f aca="false">1+IF($G$7=$E$7,$F$7,IF(Q559&lt;($F$7-$E$7)/($G$7-$E$7),$E$7+SQRT(Q559*($G$7-$E$7)*($F$7-$E$7)),$G$7-SQRT((1-Q559)*($G$7-$E$7)*($G$7-$F$7))))</f>
        <v>1.06395323846889</v>
      </c>
      <c r="D559" s="37" t="n">
        <f aca="false">1+IF($G$8=$E$8,$F$8,IF(R559&lt;($F$8-$E$8)/($G$8-$E$8),$E$8+SQRT(R559*($G$8-$E$8)*($F$8-$E$8)),$G$8-SQRT((1-R559)*($G$8-$E$8)*($G$8-$F$8))))</f>
        <v>1.05439733103473</v>
      </c>
      <c r="E559" s="37" t="n">
        <f aca="false">1+IF($G$9=$E$9,$F$9,IF(S559&lt;($F$9-$E$9)/($G$9-$E$9),$E$9+SQRT(S559*($G$9-$E$9)*($F$9-$E$9)),$G$9-SQRT((1-S559)*($G$9-$E$9)*($G$9-$F$9))))</f>
        <v>1.00432263935852</v>
      </c>
      <c r="F559" s="37" t="n">
        <f aca="false">1+IF($G$10=$E$10,$F$10,IF(T559&lt;($F$10-$E$10)/($G$10-$E$10),$E$10+SQRT(T559*($G$10-$E$10)*($F$10-$E$10)),$G$10-SQRT((1-T559)*($G$10-$E$10)*($G$10-$F$10))))</f>
        <v>1.15444989857379</v>
      </c>
      <c r="G559" s="38" t="n">
        <f aca="false">IF($G$11=$E$11,$F$11,IF(U559&lt;($F$11-$E$11)/($G$11-$E$11),$E$11+SQRT(U559*($G$11-$E$11)*($F$11-$E$11)),$G$11-SQRT((1-U559)*($G$11-$E$11)*($G$11-$F$11))))</f>
        <v>0.101635289151364</v>
      </c>
      <c r="H559" s="39" t="n">
        <f aca="false">(('Business Case'!B11*$C559*'Business Case'!B12*$B559)-'Business Case'!B11*$C559*'Business Case'!B13*$D559-'Business Case'!B14*$E559)-MAX(0,(('Business Case'!B11*$C559*'Business Case'!B12*$B559)-'Business Case'!B11*$C559*'Business Case'!B13*$D559-'Business Case'!B14*$E559))*'Business Case'!$B$7-'Business Case'!$B$8*('Business Case'!B11*$C559*'Business Case'!B12*$B559)-'Business Case'!B15*$F559</f>
        <v>-2308899797.14757</v>
      </c>
      <c r="I559" s="39" t="n">
        <f aca="false">(('Business Case'!C11*$C559*'Business Case'!C12*$B559)-'Business Case'!C11*$C559*'Business Case'!C13*$D559-'Business Case'!C14*$E559)-MAX(0,(('Business Case'!C11*$C559*'Business Case'!C12*$B559)-'Business Case'!C11*$C559*'Business Case'!C13*$D559-'Business Case'!C14*$E559))*'Business Case'!$B$7-'Business Case'!$B$8*(('Business Case'!C11*$C559*'Business Case'!C12*$B559)-('Business Case'!B11*$C559*'Business Case'!B12*$B559))-'Business Case'!C15*$F559</f>
        <v>-38465521.4845046</v>
      </c>
      <c r="J559" s="39" t="n">
        <f aca="false">(('Business Case'!D11*$C559*'Business Case'!D12*$B559)-'Business Case'!D11*$C559*'Business Case'!D13*$D559-'Business Case'!D14*$E559)-MAX(0,(('Business Case'!D11*$C559*'Business Case'!D12*$B559)-'Business Case'!D11*$C559*'Business Case'!D13*$D559-'Business Case'!D14*$E559))*'Business Case'!$B$7-'Business Case'!$B$8*(('Business Case'!D11*$C559*'Business Case'!D12*$B559)-('Business Case'!C11*$C559*'Business Case'!C12*$B559))-'Business Case'!D15*$F559</f>
        <v>234982753.386691</v>
      </c>
      <c r="K559" s="39" t="n">
        <f aca="false">(('Business Case'!E11*$C559*'Business Case'!E12*$B559)-'Business Case'!E11*$C559*'Business Case'!E13*$D559-'Business Case'!E14*$E559)-MAX(0,(('Business Case'!E11*$C559*'Business Case'!E12*$B559)-'Business Case'!E11*$C559*'Business Case'!E13*$D559-'Business Case'!E14*$E559))*'Business Case'!$B$7-'Business Case'!$B$8*(('Business Case'!E11*$C559*'Business Case'!E12*$B559)-('Business Case'!D11*$C559*'Business Case'!D12*$B559))-'Business Case'!E15*$F559</f>
        <v>566153523.186576</v>
      </c>
      <c r="L559" s="39" t="n">
        <f aca="false">(('Business Case'!F11*$C559*'Business Case'!F12*$B559)-'Business Case'!F11*$C559*'Business Case'!F13*$D559-'Business Case'!F14*$E559)-MAX(0,(('Business Case'!F11*$C559*'Business Case'!F12*$B559)-'Business Case'!F11*$C559*'Business Case'!F13*$D559-'Business Case'!F14*$E559))*'Business Case'!$B$7-'Business Case'!$B$8*(('Business Case'!F11*$C559*'Business Case'!F12*$B559)-('Business Case'!E11*$C559*'Business Case'!E12*$B559))-'Business Case'!F15*$F559</f>
        <v>693072366.264669</v>
      </c>
      <c r="M559" s="39" t="n">
        <f aca="false">(('Business Case'!G11*$C559*'Business Case'!G12*$B559)-'Business Case'!G11*$C559*'Business Case'!G13*$D559-'Business Case'!G14*$E559)-MAX(0,(('Business Case'!G11*$C559*'Business Case'!G12*$B559)-'Business Case'!G11*$C559*'Business Case'!G13*$D559-'Business Case'!G14*$E559))*'Business Case'!$B$7-'Business Case'!$B$8*(('Business Case'!G11*$C559*'Business Case'!G12*$B559)-('Business Case'!F11*$C559*'Business Case'!F12*$B559))-'Business Case'!G15*$F559+'Business Case'!$B$8*('Business Case'!G11*$C559*'Business Case'!G12*$B559)</f>
        <v>889804165.930314</v>
      </c>
      <c r="N559" s="39" t="n">
        <f aca="false">IF(COUNT('Business Case'!B11:G11)=0,"",H559+NPV(G559,I559:M559))</f>
        <v>-707740871.259946</v>
      </c>
      <c r="P559" s="40" t="n">
        <f aca="true">RAND()</f>
        <v>0.290203874196468</v>
      </c>
      <c r="Q559" s="40" t="n">
        <f aca="true">RAND()</f>
        <v>0.858970568190649</v>
      </c>
      <c r="R559" s="40" t="n">
        <f aca="true">RAND()</f>
        <v>0.936971475178343</v>
      </c>
      <c r="S559" s="40" t="n">
        <f aca="true">RAND()</f>
        <v>0.389722844045406</v>
      </c>
      <c r="T559" s="40" t="n">
        <f aca="true">RAND()</f>
        <v>0.958503765201233</v>
      </c>
      <c r="U559" s="40" t="n">
        <f aca="true">RAND()</f>
        <v>0.437895659076646</v>
      </c>
    </row>
    <row r="560" customFormat="false" ht="15" hidden="false" customHeight="false" outlineLevel="0" collapsed="false">
      <c r="A560" s="36" t="n">
        <v>480</v>
      </c>
      <c r="B560" s="37" t="n">
        <f aca="false">1+IF($G$6=$E$6,$F$6,IF(P560&lt;($F$6-$E$6)/($G$6-$E$6),$E$6+SQRT(P560*($G$6-$E$6)*($F$6-$E$6)),$G$6-SQRT((1-P560)*($G$6-$E$6)*($G$6-$F$6))))</f>
        <v>1.02089961340411</v>
      </c>
      <c r="C560" s="37" t="n">
        <f aca="false">1+IF($G$7=$E$7,$F$7,IF(Q560&lt;($F$7-$E$7)/($G$7-$E$7),$E$7+SQRT(Q560*($G$7-$E$7)*($F$7-$E$7)),$G$7-SQRT((1-Q560)*($G$7-$E$7)*($G$7-$F$7))))</f>
        <v>0.925533161128274</v>
      </c>
      <c r="D560" s="37" t="n">
        <f aca="false">1+IF($G$8=$E$8,$F$8,IF(R560&lt;($F$8-$E$8)/($G$8-$E$8),$E$8+SQRT(R560*($G$8-$E$8)*($F$8-$E$8)),$G$8-SQRT((1-R560)*($G$8-$E$8)*($G$8-$F$8))))</f>
        <v>1.01327246855457</v>
      </c>
      <c r="E560" s="37" t="n">
        <f aca="false">1+IF($G$9=$E$9,$F$9,IF(S560&lt;($F$9-$E$9)/($G$9-$E$9),$E$9+SQRT(S560*($G$9-$E$9)*($F$9-$E$9)),$G$9-SQRT((1-S560)*($G$9-$E$9)*($G$9-$F$9))))</f>
        <v>0.992719101367708</v>
      </c>
      <c r="F560" s="37" t="n">
        <f aca="false">1+IF($G$10=$E$10,$F$10,IF(T560&lt;($F$10-$E$10)/($G$10-$E$10),$E$10+SQRT(T560*($G$10-$E$10)*($F$10-$E$10)),$G$10-SQRT((1-T560)*($G$10-$E$10)*($G$10-$F$10))))</f>
        <v>1.12268616733667</v>
      </c>
      <c r="G560" s="38" t="n">
        <f aca="false">IF($G$11=$E$11,$F$11,IF(U560&lt;($F$11-$E$11)/($G$11-$E$11),$E$11+SQRT(U560*($G$11-$E$11)*($F$11-$E$11)),$G$11-SQRT((1-U560)*($G$11-$E$11)*($G$11-$F$11))))</f>
        <v>0.098253101730914</v>
      </c>
      <c r="H560" s="39" t="n">
        <f aca="false">(('Business Case'!B11*$C560*'Business Case'!B12*$B560)-'Business Case'!B11*$C560*'Business Case'!B13*$D560-'Business Case'!B14*$E560)-MAX(0,(('Business Case'!B11*$C560*'Business Case'!B12*$B560)-'Business Case'!B11*$C560*'Business Case'!B13*$D560-'Business Case'!B14*$E560))*'Business Case'!$B$7-'Business Case'!$B$8*('Business Case'!B11*$C560*'Business Case'!B12*$B560)-'Business Case'!B15*$F560</f>
        <v>-2245372334.67334</v>
      </c>
      <c r="I560" s="39" t="n">
        <f aca="false">(('Business Case'!C11*$C560*'Business Case'!C12*$B560)-'Business Case'!C11*$C560*'Business Case'!C13*$D560-'Business Case'!C14*$E560)-MAX(0,(('Business Case'!C11*$C560*'Business Case'!C12*$B560)-'Business Case'!C11*$C560*'Business Case'!C13*$D560-'Business Case'!C14*$E560))*'Business Case'!$B$7-'Business Case'!$B$8*(('Business Case'!C11*$C560*'Business Case'!C12*$B560)-('Business Case'!B11*$C560*'Business Case'!B12*$B560))-'Business Case'!C15*$F560</f>
        <v>-8581244.55455531</v>
      </c>
      <c r="J560" s="39" t="n">
        <f aca="false">(('Business Case'!D11*$C560*'Business Case'!D12*$B560)-'Business Case'!D11*$C560*'Business Case'!D13*$D560-'Business Case'!D14*$E560)-MAX(0,(('Business Case'!D11*$C560*'Business Case'!D12*$B560)-'Business Case'!D11*$C560*'Business Case'!D13*$D560-'Business Case'!D14*$E560))*'Business Case'!$B$7-'Business Case'!$B$8*(('Business Case'!D11*$C560*'Business Case'!D12*$B560)-('Business Case'!C11*$C560*'Business Case'!C12*$B560))-'Business Case'!D15*$F560</f>
        <v>285253178.819826</v>
      </c>
      <c r="K560" s="39" t="n">
        <f aca="false">(('Business Case'!E11*$C560*'Business Case'!E12*$B560)-'Business Case'!E11*$C560*'Business Case'!E13*$D560-'Business Case'!E14*$E560)-MAX(0,(('Business Case'!E11*$C560*'Business Case'!E12*$B560)-'Business Case'!E11*$C560*'Business Case'!E13*$D560-'Business Case'!E14*$E560))*'Business Case'!$B$7-'Business Case'!$B$8*(('Business Case'!E11*$C560*'Business Case'!E12*$B560)-('Business Case'!D11*$C560*'Business Case'!D12*$B560))-'Business Case'!E15*$F560</f>
        <v>635221910.561042</v>
      </c>
      <c r="L560" s="39" t="n">
        <f aca="false">(('Business Case'!F11*$C560*'Business Case'!F12*$B560)-'Business Case'!F11*$C560*'Business Case'!F13*$D560-'Business Case'!F14*$E560)-MAX(0,(('Business Case'!F11*$C560*'Business Case'!F12*$B560)-'Business Case'!F11*$C560*'Business Case'!F13*$D560-'Business Case'!F14*$E560))*'Business Case'!$B$7-'Business Case'!$B$8*(('Business Case'!F11*$C560*'Business Case'!F12*$B560)-('Business Case'!E11*$C560*'Business Case'!E12*$B560))-'Business Case'!F15*$F560</f>
        <v>765821648.33969</v>
      </c>
      <c r="M560" s="39" t="n">
        <f aca="false">(('Business Case'!G11*$C560*'Business Case'!G12*$B560)-'Business Case'!G11*$C560*'Business Case'!G13*$D560-'Business Case'!G14*$E560)-MAX(0,(('Business Case'!G11*$C560*'Business Case'!G12*$B560)-'Business Case'!G11*$C560*'Business Case'!G13*$D560-'Business Case'!G14*$E560))*'Business Case'!$B$7-'Business Case'!$B$8*(('Business Case'!G11*$C560*'Business Case'!G12*$B560)-('Business Case'!F11*$C560*'Business Case'!F12*$B560))-'Business Case'!G15*$F560+'Business Case'!$B$8*('Business Case'!G11*$C560*'Business Case'!G12*$B560)</f>
        <v>945423763.269224</v>
      </c>
      <c r="N560" s="39" t="n">
        <f aca="false">IF(COUNT('Business Case'!B11:G11)=0,"",H560+NPV(G560,I560:M560))</f>
        <v>-419036462.765946</v>
      </c>
      <c r="P560" s="40" t="n">
        <f aca="true">RAND()</f>
        <v>0.923994839976598</v>
      </c>
      <c r="Q560" s="40" t="n">
        <f aca="true">RAND()</f>
        <v>0.22512249346939</v>
      </c>
      <c r="R560" s="40" t="n">
        <f aca="true">RAND()</f>
        <v>0.571868898769134</v>
      </c>
      <c r="S560" s="40" t="n">
        <f aca="true">RAND()</f>
        <v>0.243322882888597</v>
      </c>
      <c r="T560" s="40" t="n">
        <f aca="true">RAND()</f>
        <v>0.880451425578129</v>
      </c>
      <c r="U560" s="40" t="n">
        <f aca="true">RAND()</f>
        <v>0.227045627269387</v>
      </c>
    </row>
    <row r="561" customFormat="false" ht="15" hidden="false" customHeight="false" outlineLevel="0" collapsed="false">
      <c r="A561" s="36" t="n">
        <v>481</v>
      </c>
      <c r="B561" s="37" t="n">
        <f aca="false">1+IF($G$6=$E$6,$F$6,IF(P561&lt;($F$6-$E$6)/($G$6-$E$6),$E$6+SQRT(P561*($G$6-$E$6)*($F$6-$E$6)),$G$6-SQRT((1-P561)*($G$6-$E$6)*($G$6-$F$6))))</f>
        <v>1.01384360848761</v>
      </c>
      <c r="C561" s="37" t="n">
        <f aca="false">1+IF($G$7=$E$7,$F$7,IF(Q561&lt;($F$7-$E$7)/($G$7-$E$7),$E$7+SQRT(Q561*($G$7-$E$7)*($F$7-$E$7)),$G$7-SQRT((1-Q561)*($G$7-$E$7)*($G$7-$F$7))))</f>
        <v>1.01314801246246</v>
      </c>
      <c r="D561" s="37" t="n">
        <f aca="false">1+IF($G$8=$E$8,$F$8,IF(R561&lt;($F$8-$E$8)/($G$8-$E$8),$E$8+SQRT(R561*($G$8-$E$8)*($F$8-$E$8)),$G$8-SQRT((1-R561)*($G$8-$E$8)*($G$8-$F$8))))</f>
        <v>1.01479574942655</v>
      </c>
      <c r="E561" s="37" t="n">
        <f aca="false">1+IF($G$9=$E$9,$F$9,IF(S561&lt;($F$9-$E$9)/($G$9-$E$9),$E$9+SQRT(S561*($G$9-$E$9)*($F$9-$E$9)),$G$9-SQRT((1-S561)*($G$9-$E$9)*($G$9-$F$9))))</f>
        <v>0.960212179378058</v>
      </c>
      <c r="F561" s="37" t="n">
        <f aca="false">1+IF($G$10=$E$10,$F$10,IF(T561&lt;($F$10-$E$10)/($G$10-$E$10),$E$10+SQRT(T561*($G$10-$E$10)*($F$10-$E$10)),$G$10-SQRT((1-T561)*($G$10-$E$10)*($G$10-$F$10))))</f>
        <v>1.06678829453553</v>
      </c>
      <c r="G561" s="38" t="n">
        <f aca="false">IF($G$11=$E$11,$F$11,IF(U561&lt;($F$11-$E$11)/($G$11-$E$11),$E$11+SQRT(U561*($G$11-$E$11)*($F$11-$E$11)),$G$11-SQRT((1-U561)*($G$11-$E$11)*($G$11-$F$11))))</f>
        <v>0.101884883982882</v>
      </c>
      <c r="H561" s="39" t="n">
        <f aca="false">(('Business Case'!B11*$C561*'Business Case'!B12*$B561)-'Business Case'!B11*$C561*'Business Case'!B13*$D561-'Business Case'!B14*$E561)-MAX(0,(('Business Case'!B11*$C561*'Business Case'!B12*$B561)-'Business Case'!B11*$C561*'Business Case'!B13*$D561-'Business Case'!B14*$E561))*'Business Case'!$B$7-'Business Case'!$B$8*('Business Case'!B11*$C561*'Business Case'!B12*$B561)-'Business Case'!B15*$F561</f>
        <v>-2133576589.07106</v>
      </c>
      <c r="I561" s="39" t="n">
        <f aca="false">(('Business Case'!C11*$C561*'Business Case'!C12*$B561)-'Business Case'!C11*$C561*'Business Case'!C13*$D561-'Business Case'!C14*$E561)-MAX(0,(('Business Case'!C11*$C561*'Business Case'!C12*$B561)-'Business Case'!C11*$C561*'Business Case'!C13*$D561-'Business Case'!C14*$E561))*'Business Case'!$B$7-'Business Case'!$B$8*(('Business Case'!C11*$C561*'Business Case'!C12*$B561)-('Business Case'!B11*$C561*'Business Case'!B12*$B561))-'Business Case'!C15*$F561</f>
        <v>18534925.6262186</v>
      </c>
      <c r="J561" s="39" t="n">
        <f aca="false">(('Business Case'!D11*$C561*'Business Case'!D12*$B561)-'Business Case'!D11*$C561*'Business Case'!D13*$D561-'Business Case'!D14*$E561)-MAX(0,(('Business Case'!D11*$C561*'Business Case'!D12*$B561)-'Business Case'!D11*$C561*'Business Case'!D13*$D561-'Business Case'!D14*$E561))*'Business Case'!$B$7-'Business Case'!$B$8*(('Business Case'!D11*$C561*'Business Case'!D12*$B561)-('Business Case'!C11*$C561*'Business Case'!C12*$B561))-'Business Case'!D15*$F561</f>
        <v>333539533.949771</v>
      </c>
      <c r="K561" s="39" t="n">
        <f aca="false">(('Business Case'!E11*$C561*'Business Case'!E12*$B561)-'Business Case'!E11*$C561*'Business Case'!E13*$D561-'Business Case'!E14*$E561)-MAX(0,(('Business Case'!E11*$C561*'Business Case'!E12*$B561)-'Business Case'!E11*$C561*'Business Case'!E13*$D561-'Business Case'!E14*$E561))*'Business Case'!$B$7-'Business Case'!$B$8*(('Business Case'!E11*$C561*'Business Case'!E12*$B561)-('Business Case'!D11*$C561*'Business Case'!D12*$B561))-'Business Case'!E15*$F561</f>
        <v>701883557.000101</v>
      </c>
      <c r="L561" s="39" t="n">
        <f aca="false">(('Business Case'!F11*$C561*'Business Case'!F12*$B561)-'Business Case'!F11*$C561*'Business Case'!F13*$D561-'Business Case'!F14*$E561)-MAX(0,(('Business Case'!F11*$C561*'Business Case'!F12*$B561)-'Business Case'!F11*$C561*'Business Case'!F13*$D561-'Business Case'!F14*$E561))*'Business Case'!$B$7-'Business Case'!$B$8*(('Business Case'!F11*$C561*'Business Case'!F12*$B561)-('Business Case'!E11*$C561*'Business Case'!E12*$B561))-'Business Case'!F15*$F561</f>
        <v>842384213.998766</v>
      </c>
      <c r="M561" s="39" t="n">
        <f aca="false">(('Business Case'!G11*$C561*'Business Case'!G12*$B561)-'Business Case'!G11*$C561*'Business Case'!G13*$D561-'Business Case'!G14*$E561)-MAX(0,(('Business Case'!G11*$C561*'Business Case'!G12*$B561)-'Business Case'!G11*$C561*'Business Case'!G13*$D561-'Business Case'!G14*$E561))*'Business Case'!$B$7-'Business Case'!$B$8*(('Business Case'!G11*$C561*'Business Case'!G12*$B561)-('Business Case'!F11*$C561*'Business Case'!F12*$B561))-'Business Case'!G15*$F561+'Business Case'!$B$8*('Business Case'!G11*$C561*'Business Case'!G12*$B561)</f>
        <v>1037629378.89824</v>
      </c>
      <c r="N561" s="39" t="n">
        <f aca="false">IF(COUNT('Business Case'!B11:G11)=0,"",H561+NPV(G561,I561:M561))</f>
        <v>-107183826.729634</v>
      </c>
      <c r="P561" s="40" t="n">
        <f aca="true">RAND()</f>
        <v>0.857467329802169</v>
      </c>
      <c r="Q561" s="40" t="n">
        <f aca="true">RAND()</f>
        <v>0.643267304895701</v>
      </c>
      <c r="R561" s="40" t="n">
        <f aca="true">RAND()</f>
        <v>0.591192856457158</v>
      </c>
      <c r="S561" s="40" t="n">
        <f aca="true">RAND()</f>
        <v>0.0139051476866163</v>
      </c>
      <c r="T561" s="40" t="n">
        <f aca="true">RAND()</f>
        <v>0.645092830544957</v>
      </c>
      <c r="U561" s="40" t="n">
        <f aca="true">RAND()</f>
        <v>0.453070952810568</v>
      </c>
    </row>
    <row r="562" customFormat="false" ht="15" hidden="false" customHeight="false" outlineLevel="0" collapsed="false">
      <c r="A562" s="36" t="n">
        <v>482</v>
      </c>
      <c r="B562" s="37" t="n">
        <f aca="false">1+IF($G$6=$E$6,$F$6,IF(P562&lt;($F$6-$E$6)/($G$6-$E$6),$E$6+SQRT(P562*($G$6-$E$6)*($F$6-$E$6)),$G$6-SQRT((1-P562)*($G$6-$E$6)*($G$6-$F$6))))</f>
        <v>1.01499302582797</v>
      </c>
      <c r="C562" s="37" t="n">
        <f aca="false">1+IF($G$7=$E$7,$F$7,IF(Q562&lt;($F$7-$E$7)/($G$7-$E$7),$E$7+SQRT(Q562*($G$7-$E$7)*($F$7-$E$7)),$G$7-SQRT((1-Q562)*($G$7-$E$7)*($G$7-$F$7))))</f>
        <v>0.893201332358952</v>
      </c>
      <c r="D562" s="37" t="n">
        <f aca="false">1+IF($G$8=$E$8,$F$8,IF(R562&lt;($F$8-$E$8)/($G$8-$E$8),$E$8+SQRT(R562*($G$8-$E$8)*($F$8-$E$8)),$G$8-SQRT((1-R562)*($G$8-$E$8)*($G$8-$F$8))))</f>
        <v>0.974210666892943</v>
      </c>
      <c r="E562" s="37" t="n">
        <f aca="false">1+IF($G$9=$E$9,$F$9,IF(S562&lt;($F$9-$E$9)/($G$9-$E$9),$E$9+SQRT(S562*($G$9-$E$9)*($F$9-$E$9)),$G$9-SQRT((1-S562)*($G$9-$E$9)*($G$9-$F$9))))</f>
        <v>0.985681556989702</v>
      </c>
      <c r="F562" s="37" t="n">
        <f aca="false">1+IF($G$10=$E$10,$F$10,IF(T562&lt;($F$10-$E$10)/($G$10-$E$10),$E$10+SQRT(T562*($G$10-$E$10)*($F$10-$E$10)),$G$10-SQRT((1-T562)*($G$10-$E$10)*($G$10-$F$10))))</f>
        <v>1.01311680173528</v>
      </c>
      <c r="G562" s="38" t="n">
        <f aca="false">IF($G$11=$E$11,$F$11,IF(U562&lt;($F$11-$E$11)/($G$11-$E$11),$E$11+SQRT(U562*($G$11-$E$11)*($F$11-$E$11)),$G$11-SQRT((1-U562)*($G$11-$E$11)*($G$11-$F$11))))</f>
        <v>0.109535853595388</v>
      </c>
      <c r="H562" s="39" t="n">
        <f aca="false">(('Business Case'!B11*$C562*'Business Case'!B12*$B562)-'Business Case'!B11*$C562*'Business Case'!B13*$D562-'Business Case'!B14*$E562)-MAX(0,(('Business Case'!B11*$C562*'Business Case'!B12*$B562)-'Business Case'!B11*$C562*'Business Case'!B13*$D562-'Business Case'!B14*$E562))*'Business Case'!$B$7-'Business Case'!$B$8*('Business Case'!B11*$C562*'Business Case'!B12*$B562)-'Business Case'!B15*$F562</f>
        <v>-2026233603.47055</v>
      </c>
      <c r="I562" s="39" t="n">
        <f aca="false">(('Business Case'!C11*$C562*'Business Case'!C12*$B562)-'Business Case'!C11*$C562*'Business Case'!C13*$D562-'Business Case'!C14*$E562)-MAX(0,(('Business Case'!C11*$C562*'Business Case'!C12*$B562)-'Business Case'!C11*$C562*'Business Case'!C13*$D562-'Business Case'!C14*$E562))*'Business Case'!$B$7-'Business Case'!$B$8*(('Business Case'!C11*$C562*'Business Case'!C12*$B562)-('Business Case'!B11*$C562*'Business Case'!B12*$B562))-'Business Case'!C15*$F562</f>
        <v>8636142.65129976</v>
      </c>
      <c r="J562" s="39" t="n">
        <f aca="false">(('Business Case'!D11*$C562*'Business Case'!D12*$B562)-'Business Case'!D11*$C562*'Business Case'!D13*$D562-'Business Case'!D14*$E562)-MAX(0,(('Business Case'!D11*$C562*'Business Case'!D12*$B562)-'Business Case'!D11*$C562*'Business Case'!D13*$D562-'Business Case'!D14*$E562))*'Business Case'!$B$7-'Business Case'!$B$8*(('Business Case'!D11*$C562*'Business Case'!D12*$B562)-('Business Case'!C11*$C562*'Business Case'!C12*$B562))-'Business Case'!D15*$F562</f>
        <v>305745670.376621</v>
      </c>
      <c r="K562" s="39" t="n">
        <f aca="false">(('Business Case'!E11*$C562*'Business Case'!E12*$B562)-'Business Case'!E11*$C562*'Business Case'!E13*$D562-'Business Case'!E14*$E562)-MAX(0,(('Business Case'!E11*$C562*'Business Case'!E12*$B562)-'Business Case'!E11*$C562*'Business Case'!E13*$D562-'Business Case'!E14*$E562))*'Business Case'!$B$7-'Business Case'!$B$8*(('Business Case'!E11*$C562*'Business Case'!E12*$B562)-('Business Case'!D11*$C562*'Business Case'!D12*$B562))-'Business Case'!E15*$F562</f>
        <v>653511038.188705</v>
      </c>
      <c r="L562" s="39" t="n">
        <f aca="false">(('Business Case'!F11*$C562*'Business Case'!F12*$B562)-'Business Case'!F11*$C562*'Business Case'!F13*$D562-'Business Case'!F14*$E562)-MAX(0,(('Business Case'!F11*$C562*'Business Case'!F12*$B562)-'Business Case'!F11*$C562*'Business Case'!F13*$D562-'Business Case'!F14*$E562))*'Business Case'!$B$7-'Business Case'!$B$8*(('Business Case'!F11*$C562*'Business Case'!F12*$B562)-('Business Case'!E11*$C562*'Business Case'!E12*$B562))-'Business Case'!F15*$F562</f>
        <v>783879405.761517</v>
      </c>
      <c r="M562" s="39" t="n">
        <f aca="false">(('Business Case'!G11*$C562*'Business Case'!G12*$B562)-'Business Case'!G11*$C562*'Business Case'!G13*$D562-'Business Case'!G14*$E562)-MAX(0,(('Business Case'!G11*$C562*'Business Case'!G12*$B562)-'Business Case'!G11*$C562*'Business Case'!G13*$D562-'Business Case'!G14*$E562))*'Business Case'!$B$7-'Business Case'!$B$8*(('Business Case'!G11*$C562*'Business Case'!G12*$B562)-('Business Case'!F11*$C562*'Business Case'!F12*$B562))-'Business Case'!G15*$F562+'Business Case'!$B$8*('Business Case'!G11*$C562*'Business Case'!G12*$B562)</f>
        <v>956204626.582229</v>
      </c>
      <c r="N562" s="39" t="n">
        <f aca="false">IF(COUNT('Business Case'!B11:G11)=0,"",H562+NPV(G562,I562:M562))</f>
        <v>-205771733.246774</v>
      </c>
      <c r="P562" s="40" t="n">
        <f aca="true">RAND()</f>
        <v>0.869719008908202</v>
      </c>
      <c r="Q562" s="40" t="n">
        <f aca="true">RAND()</f>
        <v>0.124092690764055</v>
      </c>
      <c r="R562" s="40" t="n">
        <f aca="true">RAND()</f>
        <v>0.0901779063693925</v>
      </c>
      <c r="S562" s="40" t="n">
        <f aca="true">RAND()</f>
        <v>0.169756467894578</v>
      </c>
      <c r="T562" s="40" t="n">
        <f aca="true">RAND()</f>
        <v>0.301493404126961</v>
      </c>
      <c r="U562" s="40" t="n">
        <f aca="true">RAND()</f>
        <v>0.817502733371398</v>
      </c>
    </row>
    <row r="563" customFormat="false" ht="15" hidden="false" customHeight="false" outlineLevel="0" collapsed="false">
      <c r="A563" s="36" t="n">
        <v>483</v>
      </c>
      <c r="B563" s="37" t="n">
        <f aca="false">1+IF($G$6=$E$6,$F$6,IF(P563&lt;($F$6-$E$6)/($G$6-$E$6),$E$6+SQRT(P563*($G$6-$E$6)*($F$6-$E$6)),$G$6-SQRT((1-P563)*($G$6-$E$6)*($G$6-$F$6))))</f>
        <v>0.970055997417987</v>
      </c>
      <c r="C563" s="37" t="n">
        <f aca="false">1+IF($G$7=$E$7,$F$7,IF(Q563&lt;($F$7-$E$7)/($G$7-$E$7),$E$7+SQRT(Q563*($G$7-$E$7)*($F$7-$E$7)),$G$7-SQRT((1-Q563)*($G$7-$E$7)*($G$7-$F$7))))</f>
        <v>0.855404669990377</v>
      </c>
      <c r="D563" s="37" t="n">
        <f aca="false">1+IF($G$8=$E$8,$F$8,IF(R563&lt;($F$8-$E$8)/($G$8-$E$8),$E$8+SQRT(R563*($G$8-$E$8)*($F$8-$E$8)),$G$8-SQRT((1-R563)*($G$8-$E$8)*($G$8-$F$8))))</f>
        <v>1.03380891857046</v>
      </c>
      <c r="E563" s="37" t="n">
        <f aca="false">1+IF($G$9=$E$9,$F$9,IF(S563&lt;($F$9-$E$9)/($G$9-$E$9),$E$9+SQRT(S563*($G$9-$E$9)*($F$9-$E$9)),$G$9-SQRT((1-S563)*($G$9-$E$9)*($G$9-$F$9))))</f>
        <v>0.959050872281864</v>
      </c>
      <c r="F563" s="37" t="n">
        <f aca="false">1+IF($G$10=$E$10,$F$10,IF(T563&lt;($F$10-$E$10)/($G$10-$E$10),$E$10+SQRT(T563*($G$10-$E$10)*($F$10-$E$10)),$G$10-SQRT((1-T563)*($G$10-$E$10)*($G$10-$F$10))))</f>
        <v>1.12214297625214</v>
      </c>
      <c r="G563" s="38" t="n">
        <f aca="false">IF($G$11=$E$11,$F$11,IF(U563&lt;($F$11-$E$11)/($G$11-$E$11),$E$11+SQRT(U563*($G$11-$E$11)*($F$11-$E$11)),$G$11-SQRT((1-U563)*($G$11-$E$11)*($G$11-$F$11))))</f>
        <v>0.107306963401426</v>
      </c>
      <c r="H563" s="39" t="n">
        <f aca="false">(('Business Case'!B11*$C563*'Business Case'!B12*$B563)-'Business Case'!B11*$C563*'Business Case'!B13*$D563-'Business Case'!B14*$E563)-MAX(0,(('Business Case'!B11*$C563*'Business Case'!B12*$B563)-'Business Case'!B11*$C563*'Business Case'!B13*$D563-'Business Case'!B14*$E563))*'Business Case'!$B$7-'Business Case'!$B$8*('Business Case'!B11*$C563*'Business Case'!B12*$B563)-'Business Case'!B15*$F563</f>
        <v>-2244285952.50428</v>
      </c>
      <c r="I563" s="39" t="n">
        <f aca="false">(('Business Case'!C11*$C563*'Business Case'!C12*$B563)-'Business Case'!C11*$C563*'Business Case'!C13*$D563-'Business Case'!C14*$E563)-MAX(0,(('Business Case'!C11*$C563*'Business Case'!C12*$B563)-'Business Case'!C11*$C563*'Business Case'!C13*$D563-'Business Case'!C14*$E563))*'Business Case'!$B$7-'Business Case'!$B$8*(('Business Case'!C11*$C563*'Business Case'!C12*$B563)-('Business Case'!B11*$C563*'Business Case'!B12*$B563))-'Business Case'!C15*$F563</f>
        <v>-64653202.3455431</v>
      </c>
      <c r="J563" s="39" t="n">
        <f aca="false">(('Business Case'!D11*$C563*'Business Case'!D12*$B563)-'Business Case'!D11*$C563*'Business Case'!D13*$D563-'Business Case'!D14*$E563)-MAX(0,(('Business Case'!D11*$C563*'Business Case'!D12*$B563)-'Business Case'!D11*$C563*'Business Case'!D13*$D563-'Business Case'!D14*$E563))*'Business Case'!$B$7-'Business Case'!$B$8*(('Business Case'!D11*$C563*'Business Case'!D12*$B563)-('Business Case'!C11*$C563*'Business Case'!C12*$B563))-'Business Case'!D15*$F563</f>
        <v>162301262.881617</v>
      </c>
      <c r="K563" s="39" t="n">
        <f aca="false">(('Business Case'!E11*$C563*'Business Case'!E12*$B563)-'Business Case'!E11*$C563*'Business Case'!E13*$D563-'Business Case'!E14*$E563)-MAX(0,(('Business Case'!E11*$C563*'Business Case'!E12*$B563)-'Business Case'!E11*$C563*'Business Case'!E13*$D563-'Business Case'!E14*$E563))*'Business Case'!$B$7-'Business Case'!$B$8*(('Business Case'!E11*$C563*'Business Case'!E12*$B563)-('Business Case'!D11*$C563*'Business Case'!D12*$B563))-'Business Case'!E15*$F563</f>
        <v>445362876.921383</v>
      </c>
      <c r="L563" s="39" t="n">
        <f aca="false">(('Business Case'!F11*$C563*'Business Case'!F12*$B563)-'Business Case'!F11*$C563*'Business Case'!F13*$D563-'Business Case'!F14*$E563)-MAX(0,(('Business Case'!F11*$C563*'Business Case'!F12*$B563)-'Business Case'!F11*$C563*'Business Case'!F13*$D563-'Business Case'!F14*$E563))*'Business Case'!$B$7-'Business Case'!$B$8*(('Business Case'!F11*$C563*'Business Case'!F12*$B563)-('Business Case'!E11*$C563*'Business Case'!E12*$B563))-'Business Case'!F15*$F563</f>
        <v>549691922.603108</v>
      </c>
      <c r="M563" s="39" t="n">
        <f aca="false">(('Business Case'!G11*$C563*'Business Case'!G12*$B563)-'Business Case'!G11*$C563*'Business Case'!G13*$D563-'Business Case'!G14*$E563)-MAX(0,(('Business Case'!G11*$C563*'Business Case'!G12*$B563)-'Business Case'!G11*$C563*'Business Case'!G13*$D563-'Business Case'!G14*$E563))*'Business Case'!$B$7-'Business Case'!$B$8*(('Business Case'!G11*$C563*'Business Case'!G12*$B563)-('Business Case'!F11*$C563*'Business Case'!F12*$B563))-'Business Case'!G15*$F563+'Business Case'!$B$8*('Business Case'!G11*$C563*'Business Case'!G12*$B563)</f>
        <v>707418487.602804</v>
      </c>
      <c r="N563" s="39" t="n">
        <f aca="false">IF(COUNT('Business Case'!B11:G11)=0,"",H563+NPV(G563,I563:M563))</f>
        <v>-1051694623.61447</v>
      </c>
      <c r="P563" s="40" t="n">
        <f aca="true">RAND()</f>
        <v>0.261000299740573</v>
      </c>
      <c r="Q563" s="40" t="n">
        <f aca="true">RAND()</f>
        <v>0.0438525350963229</v>
      </c>
      <c r="R563" s="40" t="n">
        <f aca="true">RAND()</f>
        <v>0.79484461503558</v>
      </c>
      <c r="S563" s="40" t="n">
        <f aca="true">RAND()</f>
        <v>0.010922438541682</v>
      </c>
      <c r="T563" s="40" t="n">
        <f aca="true">RAND()</f>
        <v>0.878765677062495</v>
      </c>
      <c r="U563" s="40" t="n">
        <f aca="true">RAND()</f>
        <v>0.731478036512096</v>
      </c>
    </row>
    <row r="564" customFormat="false" ht="15" hidden="false" customHeight="false" outlineLevel="0" collapsed="false">
      <c r="A564" s="36" t="n">
        <v>484</v>
      </c>
      <c r="B564" s="37" t="n">
        <f aca="false">1+IF($G$6=$E$6,$F$6,IF(P564&lt;($F$6-$E$6)/($G$6-$E$6),$E$6+SQRT(P564*($G$6-$E$6)*($F$6-$E$6)),$G$6-SQRT((1-P564)*($G$6-$E$6)*($G$6-$F$6))))</f>
        <v>0.982692032710526</v>
      </c>
      <c r="C564" s="37" t="n">
        <f aca="false">1+IF($G$7=$E$7,$F$7,IF(Q564&lt;($F$7-$E$7)/($G$7-$E$7),$E$7+SQRT(Q564*($G$7-$E$7)*($F$7-$E$7)),$G$7-SQRT((1-Q564)*($G$7-$E$7)*($G$7-$F$7))))</f>
        <v>0.844945749819166</v>
      </c>
      <c r="D564" s="37" t="n">
        <f aca="false">1+IF($G$8=$E$8,$F$8,IF(R564&lt;($F$8-$E$8)/($G$8-$E$8),$E$8+SQRT(R564*($G$8-$E$8)*($F$8-$E$8)),$G$8-SQRT((1-R564)*($G$8-$E$8)*($G$8-$F$8))))</f>
        <v>1.03310930817587</v>
      </c>
      <c r="E564" s="37" t="n">
        <f aca="false">1+IF($G$9=$E$9,$F$9,IF(S564&lt;($F$9-$E$9)/($G$9-$E$9),$E$9+SQRT(S564*($G$9-$E$9)*($F$9-$E$9)),$G$9-SQRT((1-S564)*($G$9-$E$9)*($G$9-$F$9))))</f>
        <v>1.02771248085102</v>
      </c>
      <c r="F564" s="37" t="n">
        <f aca="false">1+IF($G$10=$E$10,$F$10,IF(T564&lt;($F$10-$E$10)/($G$10-$E$10),$E$10+SQRT(T564*($G$10-$E$10)*($F$10-$E$10)),$G$10-SQRT((1-T564)*($G$10-$E$10)*($G$10-$F$10))))</f>
        <v>1.07938320724294</v>
      </c>
      <c r="G564" s="38" t="n">
        <f aca="false">IF($G$11=$E$11,$F$11,IF(U564&lt;($F$11-$E$11)/($G$11-$E$11),$E$11+SQRT(U564*($G$11-$E$11)*($F$11-$E$11)),$G$11-SQRT((1-U564)*($G$11-$E$11)*($G$11-$F$11))))</f>
        <v>0.102539281252889</v>
      </c>
      <c r="H564" s="39" t="n">
        <f aca="false">(('Business Case'!B11*$C564*'Business Case'!B12*$B564)-'Business Case'!B11*$C564*'Business Case'!B13*$D564-'Business Case'!B14*$E564)-MAX(0,(('Business Case'!B11*$C564*'Business Case'!B12*$B564)-'Business Case'!B11*$C564*'Business Case'!B13*$D564-'Business Case'!B14*$E564))*'Business Case'!$B$7-'Business Case'!$B$8*('Business Case'!B11*$C564*'Business Case'!B12*$B564)-'Business Case'!B15*$F564</f>
        <v>-2158766414.48587</v>
      </c>
      <c r="I564" s="39" t="n">
        <f aca="false">(('Business Case'!C11*$C564*'Business Case'!C12*$B564)-'Business Case'!C11*$C564*'Business Case'!C13*$D564-'Business Case'!C14*$E564)-MAX(0,(('Business Case'!C11*$C564*'Business Case'!C12*$B564)-'Business Case'!C11*$C564*'Business Case'!C13*$D564-'Business Case'!C14*$E564))*'Business Case'!$B$7-'Business Case'!$B$8*(('Business Case'!C11*$C564*'Business Case'!C12*$B564)-('Business Case'!B11*$C564*'Business Case'!B12*$B564))-'Business Case'!C15*$F564</f>
        <v>-63895725.493232</v>
      </c>
      <c r="J564" s="39" t="n">
        <f aca="false">(('Business Case'!D11*$C564*'Business Case'!D12*$B564)-'Business Case'!D11*$C564*'Business Case'!D13*$D564-'Business Case'!D14*$E564)-MAX(0,(('Business Case'!D11*$C564*'Business Case'!D12*$B564)-'Business Case'!D11*$C564*'Business Case'!D13*$D564-'Business Case'!D14*$E564))*'Business Case'!$B$7-'Business Case'!$B$8*(('Business Case'!D11*$C564*'Business Case'!D12*$B564)-('Business Case'!C11*$C564*'Business Case'!C12*$B564))-'Business Case'!D15*$F564</f>
        <v>169331448.815653</v>
      </c>
      <c r="K564" s="39" t="n">
        <f aca="false">(('Business Case'!E11*$C564*'Business Case'!E12*$B564)-'Business Case'!E11*$C564*'Business Case'!E13*$D564-'Business Case'!E14*$E564)-MAX(0,(('Business Case'!E11*$C564*'Business Case'!E12*$B564)-'Business Case'!E11*$C564*'Business Case'!E13*$D564-'Business Case'!E14*$E564))*'Business Case'!$B$7-'Business Case'!$B$8*(('Business Case'!E11*$C564*'Business Case'!E12*$B564)-('Business Case'!D11*$C564*'Business Case'!D12*$B564))-'Business Case'!E15*$F564</f>
        <v>456527783.486686</v>
      </c>
      <c r="L564" s="39" t="n">
        <f aca="false">(('Business Case'!F11*$C564*'Business Case'!F12*$B564)-'Business Case'!F11*$C564*'Business Case'!F13*$D564-'Business Case'!F14*$E564)-MAX(0,(('Business Case'!F11*$C564*'Business Case'!F12*$B564)-'Business Case'!F11*$C564*'Business Case'!F13*$D564-'Business Case'!F14*$E564))*'Business Case'!$B$7-'Business Case'!$B$8*(('Business Case'!F11*$C564*'Business Case'!F12*$B564)-('Business Case'!E11*$C564*'Business Case'!E12*$B564))-'Business Case'!F15*$F564</f>
        <v>562966084.456853</v>
      </c>
      <c r="M564" s="39" t="n">
        <f aca="false">(('Business Case'!G11*$C564*'Business Case'!G12*$B564)-'Business Case'!G11*$C564*'Business Case'!G13*$D564-'Business Case'!G14*$E564)-MAX(0,(('Business Case'!G11*$C564*'Business Case'!G12*$B564)-'Business Case'!G11*$C564*'Business Case'!G13*$D564-'Business Case'!G14*$E564))*'Business Case'!$B$7-'Business Case'!$B$8*(('Business Case'!G11*$C564*'Business Case'!G12*$B564)-('Business Case'!F11*$C564*'Business Case'!F12*$B564))-'Business Case'!G15*$F564+'Business Case'!$B$8*('Business Case'!G11*$C564*'Business Case'!G12*$B564)</f>
        <v>720793586.893151</v>
      </c>
      <c r="N564" s="39" t="n">
        <f aca="false">IF(COUNT('Business Case'!B11:G11)=0,"",H564+NPV(G564,I564:M564))</f>
        <v>-913379310.437503</v>
      </c>
      <c r="P564" s="40" t="n">
        <f aca="true">RAND()</f>
        <v>0.409405308893501</v>
      </c>
      <c r="Q564" s="40" t="n">
        <f aca="true">RAND()</f>
        <v>0.0288588632401011</v>
      </c>
      <c r="R564" s="40" t="n">
        <f aca="true">RAND()</f>
        <v>0.788582982716756</v>
      </c>
      <c r="S564" s="40" t="n">
        <f aca="true">RAND()</f>
        <v>0.651634305019064</v>
      </c>
      <c r="T564" s="40" t="n">
        <f aca="true">RAND()</f>
        <v>0.709031786099996</v>
      </c>
      <c r="U564" s="40" t="n">
        <f aca="true">RAND()</f>
        <v>0.491872168057152</v>
      </c>
    </row>
    <row r="565" customFormat="false" ht="15" hidden="false" customHeight="false" outlineLevel="0" collapsed="false">
      <c r="A565" s="36" t="n">
        <v>485</v>
      </c>
      <c r="B565" s="37" t="n">
        <f aca="false">1+IF($G$6=$E$6,$F$6,IF(P565&lt;($F$6-$E$6)/($G$6-$E$6),$E$6+SQRT(P565*($G$6-$E$6)*($F$6-$E$6)),$G$6-SQRT((1-P565)*($G$6-$E$6)*($G$6-$F$6))))</f>
        <v>0.981188551008547</v>
      </c>
      <c r="C565" s="37" t="n">
        <f aca="false">1+IF($G$7=$E$7,$F$7,IF(Q565&lt;($F$7-$E$7)/($G$7-$E$7),$E$7+SQRT(Q565*($G$7-$E$7)*($F$7-$E$7)),$G$7-SQRT((1-Q565)*($G$7-$E$7)*($G$7-$F$7))))</f>
        <v>0.876307380699749</v>
      </c>
      <c r="D565" s="37" t="n">
        <f aca="false">1+IF($G$8=$E$8,$F$8,IF(R565&lt;($F$8-$E$8)/($G$8-$E$8),$E$8+SQRT(R565*($G$8-$E$8)*($F$8-$E$8)),$G$8-SQRT((1-R565)*($G$8-$E$8)*($G$8-$F$8))))</f>
        <v>1.03437532911712</v>
      </c>
      <c r="E565" s="37" t="n">
        <f aca="false">1+IF($G$9=$E$9,$F$9,IF(S565&lt;($F$9-$E$9)/($G$9-$E$9),$E$9+SQRT(S565*($G$9-$E$9)*($F$9-$E$9)),$G$9-SQRT((1-S565)*($G$9-$E$9)*($G$9-$F$9))))</f>
        <v>1.0044715174703</v>
      </c>
      <c r="F565" s="37" t="n">
        <f aca="false">1+IF($G$10=$E$10,$F$10,IF(T565&lt;($F$10-$E$10)/($G$10-$E$10),$E$10+SQRT(T565*($G$10-$E$10)*($F$10-$E$10)),$G$10-SQRT((1-T565)*($G$10-$E$10)*($G$10-$F$10))))</f>
        <v>1.03215745276998</v>
      </c>
      <c r="G565" s="38" t="n">
        <f aca="false">IF($G$11=$E$11,$F$11,IF(U565&lt;($F$11-$E$11)/($G$11-$E$11),$E$11+SQRT(U565*($G$11-$E$11)*($F$11-$E$11)),$G$11-SQRT((1-U565)*($G$11-$E$11)*($G$11-$F$11))))</f>
        <v>0.117724670847056</v>
      </c>
      <c r="H565" s="39" t="n">
        <f aca="false">(('Business Case'!B11*$C565*'Business Case'!B12*$B565)-'Business Case'!B11*$C565*'Business Case'!B13*$D565-'Business Case'!B14*$E565)-MAX(0,(('Business Case'!B11*$C565*'Business Case'!B12*$B565)-'Business Case'!B11*$C565*'Business Case'!B13*$D565-'Business Case'!B14*$E565))*'Business Case'!$B$7-'Business Case'!$B$8*('Business Case'!B11*$C565*'Business Case'!B12*$B565)-'Business Case'!B15*$F565</f>
        <v>-2064314905.53995</v>
      </c>
      <c r="I565" s="39" t="n">
        <f aca="false">(('Business Case'!C11*$C565*'Business Case'!C12*$B565)-'Business Case'!C11*$C565*'Business Case'!C13*$D565-'Business Case'!C14*$E565)-MAX(0,(('Business Case'!C11*$C565*'Business Case'!C12*$B565)-'Business Case'!C11*$C565*'Business Case'!C13*$D565-'Business Case'!C14*$E565))*'Business Case'!$B$7-'Business Case'!$B$8*(('Business Case'!C11*$C565*'Business Case'!C12*$B565)-('Business Case'!B11*$C565*'Business Case'!B12*$B565))-'Business Case'!C15*$F565</f>
        <v>-50388074.2983979</v>
      </c>
      <c r="J565" s="39" t="n">
        <f aca="false">(('Business Case'!D11*$C565*'Business Case'!D12*$B565)-'Business Case'!D11*$C565*'Business Case'!D13*$D565-'Business Case'!D14*$E565)-MAX(0,(('Business Case'!D11*$C565*'Business Case'!D12*$B565)-'Business Case'!D11*$C565*'Business Case'!D13*$D565-'Business Case'!D14*$E565))*'Business Case'!$B$7-'Business Case'!$B$8*(('Business Case'!D11*$C565*'Business Case'!D12*$B565)-('Business Case'!C11*$C565*'Business Case'!C12*$B565))-'Business Case'!D15*$F565</f>
        <v>189848658.814979</v>
      </c>
      <c r="K565" s="39" t="n">
        <f aca="false">(('Business Case'!E11*$C565*'Business Case'!E12*$B565)-'Business Case'!E11*$C565*'Business Case'!E13*$D565-'Business Case'!E14*$E565)-MAX(0,(('Business Case'!E11*$C565*'Business Case'!E12*$B565)-'Business Case'!E11*$C565*'Business Case'!E13*$D565-'Business Case'!E14*$E565))*'Business Case'!$B$7-'Business Case'!$B$8*(('Business Case'!E11*$C565*'Business Case'!E12*$B565)-('Business Case'!D11*$C565*'Business Case'!D12*$B565))-'Business Case'!E15*$F565</f>
        <v>481693264.566855</v>
      </c>
      <c r="L565" s="39" t="n">
        <f aca="false">(('Business Case'!F11*$C565*'Business Case'!F12*$B565)-'Business Case'!F11*$C565*'Business Case'!F13*$D565-'Business Case'!F14*$E565)-MAX(0,(('Business Case'!F11*$C565*'Business Case'!F12*$B565)-'Business Case'!F11*$C565*'Business Case'!F13*$D565-'Business Case'!F14*$E565))*'Business Case'!$B$7-'Business Case'!$B$8*(('Business Case'!F11*$C565*'Business Case'!F12*$B565)-('Business Case'!E11*$C565*'Business Case'!E12*$B565))-'Business Case'!F15*$F565</f>
        <v>591487650.504981</v>
      </c>
      <c r="M565" s="39" t="n">
        <f aca="false">(('Business Case'!G11*$C565*'Business Case'!G12*$B565)-'Business Case'!G11*$C565*'Business Case'!G13*$D565-'Business Case'!G14*$E565)-MAX(0,(('Business Case'!G11*$C565*'Business Case'!G12*$B565)-'Business Case'!G11*$C565*'Business Case'!G13*$D565-'Business Case'!G14*$E565))*'Business Case'!$B$7-'Business Case'!$B$8*(('Business Case'!G11*$C565*'Business Case'!G12*$B565)-('Business Case'!F11*$C565*'Business Case'!F12*$B565))-'Business Case'!G15*$F565+'Business Case'!$B$8*('Business Case'!G11*$C565*'Business Case'!G12*$B565)</f>
        <v>754922762.456817</v>
      </c>
      <c r="N565" s="39" t="n">
        <f aca="false">IF(COUNT('Business Case'!B11:G11)=0,"",H565+NPV(G565,I565:M565))</f>
        <v>-800762366.01976</v>
      </c>
      <c r="P565" s="40" t="n">
        <f aca="true">RAND()</f>
        <v>0.390004039013084</v>
      </c>
      <c r="Q565" s="40" t="n">
        <f aca="true">RAND()</f>
        <v>0.0831830907036625</v>
      </c>
      <c r="R565" s="40" t="n">
        <f aca="true">RAND()</f>
        <v>0.799845135272</v>
      </c>
      <c r="S565" s="40" t="n">
        <f aca="true">RAND()</f>
        <v>0.391620601704856</v>
      </c>
      <c r="T565" s="40" t="n">
        <f aca="true">RAND()</f>
        <v>0.436577586786751</v>
      </c>
      <c r="U565" s="40" t="n">
        <f aca="true">RAND()</f>
        <v>0.991371462076275</v>
      </c>
    </row>
    <row r="566" customFormat="false" ht="15" hidden="false" customHeight="false" outlineLevel="0" collapsed="false">
      <c r="A566" s="36" t="n">
        <v>486</v>
      </c>
      <c r="B566" s="37" t="n">
        <f aca="false">1+IF($G$6=$E$6,$F$6,IF(P566&lt;($F$6-$E$6)/($G$6-$E$6),$E$6+SQRT(P566*($G$6-$E$6)*($F$6-$E$6)),$G$6-SQRT((1-P566)*($G$6-$E$6)*($G$6-$F$6))))</f>
        <v>0.961726197809759</v>
      </c>
      <c r="C566" s="37" t="n">
        <f aca="false">1+IF($G$7=$E$7,$F$7,IF(Q566&lt;($F$7-$E$7)/($G$7-$E$7),$E$7+SQRT(Q566*($G$7-$E$7)*($F$7-$E$7)),$G$7-SQRT((1-Q566)*($G$7-$E$7)*($G$7-$F$7))))</f>
        <v>0.932443186507885</v>
      </c>
      <c r="D566" s="37" t="n">
        <f aca="false">1+IF($G$8=$E$8,$F$8,IF(R566&lt;($F$8-$E$8)/($G$8-$E$8),$E$8+SQRT(R566*($G$8-$E$8)*($F$8-$E$8)),$G$8-SQRT((1-R566)*($G$8-$E$8)*($G$8-$F$8))))</f>
        <v>1.00476872641072</v>
      </c>
      <c r="E566" s="37" t="n">
        <f aca="false">1+IF($G$9=$E$9,$F$9,IF(S566&lt;($F$9-$E$9)/($G$9-$E$9),$E$9+SQRT(S566*($G$9-$E$9)*($F$9-$E$9)),$G$9-SQRT((1-S566)*($G$9-$E$9)*($G$9-$F$9))))</f>
        <v>1.0107974442076</v>
      </c>
      <c r="F566" s="37" t="n">
        <f aca="false">1+IF($G$10=$E$10,$F$10,IF(T566&lt;($F$10-$E$10)/($G$10-$E$10),$E$10+SQRT(T566*($G$10-$E$10)*($F$10-$E$10)),$G$10-SQRT((1-T566)*($G$10-$E$10)*($G$10-$F$10))))</f>
        <v>0.998024010326129</v>
      </c>
      <c r="G566" s="38" t="n">
        <f aca="false">IF($G$11=$E$11,$F$11,IF(U566&lt;($F$11-$E$11)/($G$11-$E$11),$E$11+SQRT(U566*($G$11-$E$11)*($F$11-$E$11)),$G$11-SQRT((1-U566)*($G$11-$E$11)*($G$11-$F$11))))</f>
        <v>0.115011005115047</v>
      </c>
      <c r="H566" s="39" t="n">
        <f aca="false">(('Business Case'!B11*$C566*'Business Case'!B12*$B566)-'Business Case'!B11*$C566*'Business Case'!B13*$D566-'Business Case'!B14*$E566)-MAX(0,(('Business Case'!B11*$C566*'Business Case'!B12*$B566)-'Business Case'!B11*$C566*'Business Case'!B13*$D566-'Business Case'!B14*$E566))*'Business Case'!$B$7-'Business Case'!$B$8*('Business Case'!B11*$C566*'Business Case'!B12*$B566)-'Business Case'!B15*$F566</f>
        <v>-1996048020.65226</v>
      </c>
      <c r="I566" s="39" t="n">
        <f aca="false">(('Business Case'!C11*$C566*'Business Case'!C12*$B566)-'Business Case'!C11*$C566*'Business Case'!C13*$D566-'Business Case'!C14*$E566)-MAX(0,(('Business Case'!C11*$C566*'Business Case'!C12*$B566)-'Business Case'!C11*$C566*'Business Case'!C13*$D566-'Business Case'!C14*$E566))*'Business Case'!$B$7-'Business Case'!$B$8*(('Business Case'!C11*$C566*'Business Case'!C12*$B566)-('Business Case'!B11*$C566*'Business Case'!B12*$B566))-'Business Case'!C15*$F566</f>
        <v>-35131236.7509941</v>
      </c>
      <c r="J566" s="39" t="n">
        <f aca="false">(('Business Case'!D11*$C566*'Business Case'!D12*$B566)-'Business Case'!D11*$C566*'Business Case'!D13*$D566-'Business Case'!D14*$E566)-MAX(0,(('Business Case'!D11*$C566*'Business Case'!D12*$B566)-'Business Case'!D11*$C566*'Business Case'!D13*$D566-'Business Case'!D14*$E566))*'Business Case'!$B$7-'Business Case'!$B$8*(('Business Case'!D11*$C566*'Business Case'!D12*$B566)-('Business Case'!C11*$C566*'Business Case'!C12*$B566))-'Business Case'!D15*$F566</f>
        <v>219763105.393036</v>
      </c>
      <c r="K566" s="39" t="n">
        <f aca="false">(('Business Case'!E11*$C566*'Business Case'!E12*$B566)-'Business Case'!E11*$C566*'Business Case'!E13*$D566-'Business Case'!E14*$E566)-MAX(0,(('Business Case'!E11*$C566*'Business Case'!E12*$B566)-'Business Case'!E11*$C566*'Business Case'!E13*$D566-'Business Case'!E14*$E566))*'Business Case'!$B$7-'Business Case'!$B$8*(('Business Case'!E11*$C566*'Business Case'!E12*$B566)-('Business Case'!D11*$C566*'Business Case'!D12*$B566))-'Business Case'!E15*$F566</f>
        <v>524558648.053373</v>
      </c>
      <c r="L566" s="39" t="n">
        <f aca="false">(('Business Case'!F11*$C566*'Business Case'!F12*$B566)-'Business Case'!F11*$C566*'Business Case'!F13*$D566-'Business Case'!F14*$E566)-MAX(0,(('Business Case'!F11*$C566*'Business Case'!F12*$B566)-'Business Case'!F11*$C566*'Business Case'!F13*$D566-'Business Case'!F14*$E566))*'Business Case'!$B$7-'Business Case'!$B$8*(('Business Case'!F11*$C566*'Business Case'!F12*$B566)-('Business Case'!E11*$C566*'Business Case'!E12*$B566))-'Business Case'!F15*$F566</f>
        <v>640515282.965443</v>
      </c>
      <c r="M566" s="39" t="n">
        <f aca="false">(('Business Case'!G11*$C566*'Business Case'!G12*$B566)-'Business Case'!G11*$C566*'Business Case'!G13*$D566-'Business Case'!G14*$E566)-MAX(0,(('Business Case'!G11*$C566*'Business Case'!G12*$B566)-'Business Case'!G11*$C566*'Business Case'!G13*$D566-'Business Case'!G14*$E566))*'Business Case'!$B$7-'Business Case'!$B$8*(('Business Case'!G11*$C566*'Business Case'!G12*$B566)-('Business Case'!F11*$C566*'Business Case'!F12*$B566))-'Business Case'!G15*$F566+'Business Case'!$B$8*('Business Case'!G11*$C566*'Business Case'!G12*$B566)</f>
        <v>810970481.051108</v>
      </c>
      <c r="N566" s="39" t="n">
        <f aca="false">IF(COUNT('Business Case'!B11:G11)=0,"",H566+NPV(G566,I566:M566))</f>
        <v>-587438465.316792</v>
      </c>
      <c r="P566" s="40" t="n">
        <f aca="true">RAND()</f>
        <v>0.181362039964495</v>
      </c>
      <c r="Q566" s="40" t="n">
        <f aca="true">RAND()</f>
        <v>0.250588537890891</v>
      </c>
      <c r="R566" s="40" t="n">
        <f aca="true">RAND()</f>
        <v>0.455793795589927</v>
      </c>
      <c r="S566" s="40" t="n">
        <f aca="true">RAND()</f>
        <v>0.469526936006921</v>
      </c>
      <c r="T566" s="40" t="n">
        <f aca="true">RAND()</f>
        <v>0.184504445424328</v>
      </c>
      <c r="U566" s="40" t="n">
        <f aca="true">RAND()</f>
        <v>0.958516550063182</v>
      </c>
    </row>
    <row r="567" customFormat="false" ht="15" hidden="false" customHeight="false" outlineLevel="0" collapsed="false">
      <c r="A567" s="36" t="n">
        <v>487</v>
      </c>
      <c r="B567" s="37" t="n">
        <f aca="false">1+IF($G$6=$E$6,$F$6,IF(P567&lt;($F$6-$E$6)/($G$6-$E$6),$E$6+SQRT(P567*($G$6-$E$6)*($F$6-$E$6)),$G$6-SQRT((1-P567)*($G$6-$E$6)*($G$6-$F$6))))</f>
        <v>0.99678561494803</v>
      </c>
      <c r="C567" s="37" t="n">
        <f aca="false">1+IF($G$7=$E$7,$F$7,IF(Q567&lt;($F$7-$E$7)/($G$7-$E$7),$E$7+SQRT(Q567*($G$7-$E$7)*($F$7-$E$7)),$G$7-SQRT((1-Q567)*($G$7-$E$7)*($G$7-$F$7))))</f>
        <v>0.836229354366768</v>
      </c>
      <c r="D567" s="37" t="n">
        <f aca="false">1+IF($G$8=$E$8,$F$8,IF(R567&lt;($F$8-$E$8)/($G$8-$E$8),$E$8+SQRT(R567*($G$8-$E$8)*($F$8-$E$8)),$G$8-SQRT((1-R567)*($G$8-$E$8)*($G$8-$F$8))))</f>
        <v>1.05796679797985</v>
      </c>
      <c r="E567" s="37" t="n">
        <f aca="false">1+IF($G$9=$E$9,$F$9,IF(S567&lt;($F$9-$E$9)/($G$9-$E$9),$E$9+SQRT(S567*($G$9-$E$9)*($F$9-$E$9)),$G$9-SQRT((1-S567)*($G$9-$E$9)*($G$9-$F$9))))</f>
        <v>1.02847502085856</v>
      </c>
      <c r="F567" s="37" t="n">
        <f aca="false">1+IF($G$10=$E$10,$F$10,IF(T567&lt;($F$10-$E$10)/($G$10-$E$10),$E$10+SQRT(T567*($G$10-$E$10)*($F$10-$E$10)),$G$10-SQRT((1-T567)*($G$10-$E$10)*($G$10-$F$10))))</f>
        <v>1.08286240219918</v>
      </c>
      <c r="G567" s="38" t="n">
        <f aca="false">IF($G$11=$E$11,$F$11,IF(U567&lt;($F$11-$E$11)/($G$11-$E$11),$E$11+SQRT(U567*($G$11-$E$11)*($F$11-$E$11)),$G$11-SQRT((1-U567)*($G$11-$E$11)*($G$11-$F$11))))</f>
        <v>0.0997606548202261</v>
      </c>
      <c r="H567" s="39" t="n">
        <f aca="false">(('Business Case'!B11*$C567*'Business Case'!B12*$B567)-'Business Case'!B11*$C567*'Business Case'!B13*$D567-'Business Case'!B14*$E567)-MAX(0,(('Business Case'!B11*$C567*'Business Case'!B12*$B567)-'Business Case'!B11*$C567*'Business Case'!B13*$D567-'Business Case'!B14*$E567))*'Business Case'!$B$7-'Business Case'!$B$8*('Business Case'!B11*$C567*'Business Case'!B12*$B567)-'Business Case'!B15*$F567</f>
        <v>-2165724804.39836</v>
      </c>
      <c r="I567" s="39" t="n">
        <f aca="false">(('Business Case'!C11*$C567*'Business Case'!C12*$B567)-'Business Case'!C11*$C567*'Business Case'!C13*$D567-'Business Case'!C14*$E567)-MAX(0,(('Business Case'!C11*$C567*'Business Case'!C12*$B567)-'Business Case'!C11*$C567*'Business Case'!C13*$D567-'Business Case'!C14*$E567))*'Business Case'!$B$7-'Business Case'!$B$8*(('Business Case'!C11*$C567*'Business Case'!C12*$B567)-('Business Case'!B11*$C567*'Business Case'!B12*$B567))-'Business Case'!C15*$F567</f>
        <v>-67912864.1954557</v>
      </c>
      <c r="J567" s="39" t="n">
        <f aca="false">(('Business Case'!D11*$C567*'Business Case'!D12*$B567)-'Business Case'!D11*$C567*'Business Case'!D13*$D567-'Business Case'!D14*$E567)-MAX(0,(('Business Case'!D11*$C567*'Business Case'!D12*$B567)-'Business Case'!D11*$C567*'Business Case'!D13*$D567-'Business Case'!D14*$E567))*'Business Case'!$B$7-'Business Case'!$B$8*(('Business Case'!D11*$C567*'Business Case'!D12*$B567)-('Business Case'!C11*$C567*'Business Case'!C12*$B567))-'Business Case'!D15*$F567</f>
        <v>161920445.51646</v>
      </c>
      <c r="K567" s="39" t="n">
        <f aca="false">(('Business Case'!E11*$C567*'Business Case'!E12*$B567)-'Business Case'!E11*$C567*'Business Case'!E13*$D567-'Business Case'!E14*$E567)-MAX(0,(('Business Case'!E11*$C567*'Business Case'!E12*$B567)-'Business Case'!E11*$C567*'Business Case'!E13*$D567-'Business Case'!E14*$E567))*'Business Case'!$B$7-'Business Case'!$B$8*(('Business Case'!E11*$C567*'Business Case'!E12*$B567)-('Business Case'!D11*$C567*'Business Case'!D12*$B567))-'Business Case'!E15*$F567</f>
        <v>445896875.338335</v>
      </c>
      <c r="L567" s="39" t="n">
        <f aca="false">(('Business Case'!F11*$C567*'Business Case'!F12*$B567)-'Business Case'!F11*$C567*'Business Case'!F13*$D567-'Business Case'!F14*$E567)-MAX(0,(('Business Case'!F11*$C567*'Business Case'!F12*$B567)-'Business Case'!F11*$C567*'Business Case'!F13*$D567-'Business Case'!F14*$E567))*'Business Case'!$B$7-'Business Case'!$B$8*(('Business Case'!F11*$C567*'Business Case'!F12*$B567)-('Business Case'!E11*$C567*'Business Case'!E12*$B567))-'Business Case'!F15*$F567</f>
        <v>551315169.056552</v>
      </c>
      <c r="M567" s="39" t="n">
        <f aca="false">(('Business Case'!G11*$C567*'Business Case'!G12*$B567)-'Business Case'!G11*$C567*'Business Case'!G13*$D567-'Business Case'!G14*$E567)-MAX(0,(('Business Case'!G11*$C567*'Business Case'!G12*$B567)-'Business Case'!G11*$C567*'Business Case'!G13*$D567-'Business Case'!G14*$E567))*'Business Case'!$B$7-'Business Case'!$B$8*(('Business Case'!G11*$C567*'Business Case'!G12*$B567)-('Business Case'!F11*$C567*'Business Case'!F12*$B567))-'Business Case'!G15*$F567+'Business Case'!$B$8*('Business Case'!G11*$C567*'Business Case'!G12*$B567)</f>
        <v>709754716.701564</v>
      </c>
      <c r="N567" s="39" t="n">
        <f aca="false">IF(COUNT('Business Case'!B11:G11)=0,"",H567+NPV(G567,I567:M567))</f>
        <v>-940307511.971432</v>
      </c>
      <c r="P567" s="40" t="n">
        <f aca="true">RAND()</f>
        <v>0.614169860723661</v>
      </c>
      <c r="Q567" s="40" t="n">
        <f aca="true">RAND()</f>
        <v>0.0187509445404693</v>
      </c>
      <c r="R567" s="40" t="n">
        <f aca="true">RAND()</f>
        <v>0.953320962378756</v>
      </c>
      <c r="S567" s="40" t="n">
        <f aca="true">RAND()</f>
        <v>0.65894515725442</v>
      </c>
      <c r="T567" s="40" t="n">
        <f aca="true">RAND()</f>
        <v>0.725575663629065</v>
      </c>
      <c r="U567" s="40" t="n">
        <f aca="true">RAND()</f>
        <v>0.317567941732009</v>
      </c>
    </row>
    <row r="568" customFormat="false" ht="15" hidden="false" customHeight="false" outlineLevel="0" collapsed="false">
      <c r="A568" s="36" t="n">
        <v>488</v>
      </c>
      <c r="B568" s="37" t="n">
        <f aca="false">1+IF($G$6=$E$6,$F$6,IF(P568&lt;($F$6-$E$6)/($G$6-$E$6),$E$6+SQRT(P568*($G$6-$E$6)*($F$6-$E$6)),$G$6-SQRT((1-P568)*($G$6-$E$6)*($G$6-$F$6))))</f>
        <v>0.960726459611533</v>
      </c>
      <c r="C568" s="37" t="n">
        <f aca="false">1+IF($G$7=$E$7,$F$7,IF(Q568&lt;($F$7-$E$7)/($G$7-$E$7),$E$7+SQRT(Q568*($G$7-$E$7)*($F$7-$E$7)),$G$7-SQRT((1-Q568)*($G$7-$E$7)*($G$7-$F$7))))</f>
        <v>1.05916642593268</v>
      </c>
      <c r="D568" s="37" t="n">
        <f aca="false">1+IF($G$8=$E$8,$F$8,IF(R568&lt;($F$8-$E$8)/($G$8-$E$8),$E$8+SQRT(R568*($G$8-$E$8)*($F$8-$E$8)),$G$8-SQRT((1-R568)*($G$8-$E$8)*($G$8-$F$8))))</f>
        <v>1.04277528550357</v>
      </c>
      <c r="E568" s="37" t="n">
        <f aca="false">1+IF($G$9=$E$9,$F$9,IF(S568&lt;($F$9-$E$9)/($G$9-$E$9),$E$9+SQRT(S568*($G$9-$E$9)*($F$9-$E$9)),$G$9-SQRT((1-S568)*($G$9-$E$9)*($G$9-$F$9))))</f>
        <v>1.05105451389048</v>
      </c>
      <c r="F568" s="37" t="n">
        <f aca="false">1+IF($G$10=$E$10,$F$10,IF(T568&lt;($F$10-$E$10)/($G$10-$E$10),$E$10+SQRT(T568*($G$10-$E$10)*($F$10-$E$10)),$G$10-SQRT((1-T568)*($G$10-$E$10)*($G$10-$F$10))))</f>
        <v>1.0839619679146</v>
      </c>
      <c r="G568" s="38" t="n">
        <f aca="false">IF($G$11=$E$11,$F$11,IF(U568&lt;($F$11-$E$11)/($G$11-$E$11),$E$11+SQRT(U568*($G$11-$E$11)*($F$11-$E$11)),$G$11-SQRT((1-U568)*($G$11-$E$11)*($G$11-$F$11))))</f>
        <v>0.107096809720373</v>
      </c>
      <c r="H568" s="39" t="n">
        <f aca="false">(('Business Case'!B11*$C568*'Business Case'!B12*$B568)-'Business Case'!B11*$C568*'Business Case'!B13*$D568-'Business Case'!B14*$E568)-MAX(0,(('Business Case'!B11*$C568*'Business Case'!B12*$B568)-'Business Case'!B11*$C568*'Business Case'!B13*$D568-'Business Case'!B14*$E568))*'Business Case'!$B$7-'Business Case'!$B$8*('Business Case'!B11*$C568*'Business Case'!B12*$B568)-'Business Case'!B15*$F568</f>
        <v>-2167923935.82919</v>
      </c>
      <c r="I568" s="39" t="n">
        <f aca="false">(('Business Case'!C11*$C568*'Business Case'!C12*$B568)-'Business Case'!C11*$C568*'Business Case'!C13*$D568-'Business Case'!C14*$E568)-MAX(0,(('Business Case'!C11*$C568*'Business Case'!C12*$B568)-'Business Case'!C11*$C568*'Business Case'!C13*$D568-'Business Case'!C14*$E568))*'Business Case'!$B$7-'Business Case'!$B$8*(('Business Case'!C11*$C568*'Business Case'!C12*$B568)-('Business Case'!B11*$C568*'Business Case'!B12*$B568))-'Business Case'!C15*$F568</f>
        <v>-42546087.2961</v>
      </c>
      <c r="J568" s="39" t="n">
        <f aca="false">(('Business Case'!D11*$C568*'Business Case'!D12*$B568)-'Business Case'!D11*$C568*'Business Case'!D13*$D568-'Business Case'!D14*$E568)-MAX(0,(('Business Case'!D11*$C568*'Business Case'!D12*$B568)-'Business Case'!D11*$C568*'Business Case'!D13*$D568-'Business Case'!D14*$E568))*'Business Case'!$B$7-'Business Case'!$B$8*(('Business Case'!D11*$C568*'Business Case'!D12*$B568)-('Business Case'!C11*$C568*'Business Case'!C12*$B568))-'Business Case'!D15*$F568</f>
        <v>225514761.948139</v>
      </c>
      <c r="K568" s="39" t="n">
        <f aca="false">(('Business Case'!E11*$C568*'Business Case'!E12*$B568)-'Business Case'!E11*$C568*'Business Case'!E13*$D568-'Business Case'!E14*$E568)-MAX(0,(('Business Case'!E11*$C568*'Business Case'!E12*$B568)-'Business Case'!E11*$C568*'Business Case'!E13*$D568-'Business Case'!E14*$E568))*'Business Case'!$B$7-'Business Case'!$B$8*(('Business Case'!E11*$C568*'Business Case'!E12*$B568)-('Business Case'!D11*$C568*'Business Case'!D12*$B568))-'Business Case'!E15*$F568</f>
        <v>547773709.588107</v>
      </c>
      <c r="L568" s="39" t="n">
        <f aca="false">(('Business Case'!F11*$C568*'Business Case'!F12*$B568)-'Business Case'!F11*$C568*'Business Case'!F13*$D568-'Business Case'!F14*$E568)-MAX(0,(('Business Case'!F11*$C568*'Business Case'!F12*$B568)-'Business Case'!F11*$C568*'Business Case'!F13*$D568-'Business Case'!F14*$E568))*'Business Case'!$B$7-'Business Case'!$B$8*(('Business Case'!F11*$C568*'Business Case'!F12*$B568)-('Business Case'!E11*$C568*'Business Case'!E12*$B568))-'Business Case'!F15*$F568</f>
        <v>672294517.918622</v>
      </c>
      <c r="M568" s="39" t="n">
        <f aca="false">(('Business Case'!G11*$C568*'Business Case'!G12*$B568)-'Business Case'!G11*$C568*'Business Case'!G13*$D568-'Business Case'!G14*$E568)-MAX(0,(('Business Case'!G11*$C568*'Business Case'!G12*$B568)-'Business Case'!G11*$C568*'Business Case'!G13*$D568-'Business Case'!G14*$E568))*'Business Case'!$B$7-'Business Case'!$B$8*(('Business Case'!G11*$C568*'Business Case'!G12*$B568)-('Business Case'!F11*$C568*'Business Case'!F12*$B568))-'Business Case'!G15*$F568+'Business Case'!$B$8*('Business Case'!G11*$C568*'Business Case'!G12*$B568)</f>
        <v>865714073.455347</v>
      </c>
      <c r="N568" s="39" t="n">
        <f aca="false">IF(COUNT('Business Case'!B11:G11)=0,"",H568+NPV(G568,I568:M568))</f>
        <v>-650617833.085182</v>
      </c>
      <c r="P568" s="40" t="n">
        <f aca="true">RAND()</f>
        <v>0.172775470051023</v>
      </c>
      <c r="Q568" s="40" t="n">
        <f aca="true">RAND()</f>
        <v>0.842843082326789</v>
      </c>
      <c r="R568" s="40" t="n">
        <f aca="true">RAND()</f>
        <v>0.86676159910186</v>
      </c>
      <c r="S568" s="40" t="n">
        <f aca="true">RAND()</f>
        <v>0.840289292633537</v>
      </c>
      <c r="T568" s="40" t="n">
        <f aca="true">RAND()</f>
        <v>0.730703502194933</v>
      </c>
      <c r="U568" s="40" t="n">
        <f aca="true">RAND()</f>
        <v>0.722512801012911</v>
      </c>
    </row>
    <row r="569" customFormat="false" ht="15" hidden="false" customHeight="false" outlineLevel="0" collapsed="false">
      <c r="A569" s="36" t="n">
        <v>489</v>
      </c>
      <c r="B569" s="37" t="n">
        <f aca="false">1+IF($G$6=$E$6,$F$6,IF(P569&lt;($F$6-$E$6)/($G$6-$E$6),$E$6+SQRT(P569*($G$6-$E$6)*($F$6-$E$6)),$G$6-SQRT((1-P569)*($G$6-$E$6)*($G$6-$F$6))))</f>
        <v>1.00665103448258</v>
      </c>
      <c r="C569" s="37" t="n">
        <f aca="false">1+IF($G$7=$E$7,$F$7,IF(Q569&lt;($F$7-$E$7)/($G$7-$E$7),$E$7+SQRT(Q569*($G$7-$E$7)*($F$7-$E$7)),$G$7-SQRT((1-Q569)*($G$7-$E$7)*($G$7-$F$7))))</f>
        <v>0.987202831524293</v>
      </c>
      <c r="D569" s="37" t="n">
        <f aca="false">1+IF($G$8=$E$8,$F$8,IF(R569&lt;($F$8-$E$8)/($G$8-$E$8),$E$8+SQRT(R569*($G$8-$E$8)*($F$8-$E$8)),$G$8-SQRT((1-R569)*($G$8-$E$8)*($G$8-$F$8))))</f>
        <v>1.00681294532315</v>
      </c>
      <c r="E569" s="37" t="n">
        <f aca="false">1+IF($G$9=$E$9,$F$9,IF(S569&lt;($F$9-$E$9)/($G$9-$E$9),$E$9+SQRT(S569*($G$9-$E$9)*($F$9-$E$9)),$G$9-SQRT((1-S569)*($G$9-$E$9)*($G$9-$F$9))))</f>
        <v>1.04970461963514</v>
      </c>
      <c r="F569" s="37" t="n">
        <f aca="false">1+IF($G$10=$E$10,$F$10,IF(T569&lt;($F$10-$E$10)/($G$10-$E$10),$E$10+SQRT(T569*($G$10-$E$10)*($F$10-$E$10)),$G$10-SQRT((1-T569)*($G$10-$E$10)*($G$10-$F$10))))</f>
        <v>1.10668037512685</v>
      </c>
      <c r="G569" s="38" t="n">
        <f aca="false">IF($G$11=$E$11,$F$11,IF(U569&lt;($F$11-$E$11)/($G$11-$E$11),$E$11+SQRT(U569*($G$11-$E$11)*($F$11-$E$11)),$G$11-SQRT((1-U569)*($G$11-$E$11)*($G$11-$F$11))))</f>
        <v>0.112818741569144</v>
      </c>
      <c r="H569" s="39" t="n">
        <f aca="false">(('Business Case'!B11*$C569*'Business Case'!B12*$B569)-'Business Case'!B11*$C569*'Business Case'!B13*$D569-'Business Case'!B14*$E569)-MAX(0,(('Business Case'!B11*$C569*'Business Case'!B12*$B569)-'Business Case'!B11*$C569*'Business Case'!B13*$D569-'Business Case'!B14*$E569))*'Business Case'!$B$7-'Business Case'!$B$8*('Business Case'!B11*$C569*'Business Case'!B12*$B569)-'Business Case'!B15*$F569</f>
        <v>-2213360750.2537</v>
      </c>
      <c r="I569" s="39" t="n">
        <f aca="false">(('Business Case'!C11*$C569*'Business Case'!C12*$B569)-'Business Case'!C11*$C569*'Business Case'!C13*$D569-'Business Case'!C14*$E569)-MAX(0,(('Business Case'!C11*$C569*'Business Case'!C12*$B569)-'Business Case'!C11*$C569*'Business Case'!C13*$D569-'Business Case'!C14*$E569))*'Business Case'!$B$7-'Business Case'!$B$8*(('Business Case'!C11*$C569*'Business Case'!C12*$B569)-('Business Case'!B11*$C569*'Business Case'!B12*$B569))-'Business Case'!C15*$F569</f>
        <v>-6296771.61590716</v>
      </c>
      <c r="J569" s="39" t="n">
        <f aca="false">(('Business Case'!D11*$C569*'Business Case'!D12*$B569)-'Business Case'!D11*$C569*'Business Case'!D13*$D569-'Business Case'!D14*$E569)-MAX(0,(('Business Case'!D11*$C569*'Business Case'!D12*$B569)-'Business Case'!D11*$C569*'Business Case'!D13*$D569-'Business Case'!D14*$E569))*'Business Case'!$B$7-'Business Case'!$B$8*(('Business Case'!D11*$C569*'Business Case'!D12*$B569)-('Business Case'!C11*$C569*'Business Case'!C12*$B569))-'Business Case'!D15*$F569</f>
        <v>298859463.275831</v>
      </c>
      <c r="K569" s="39" t="n">
        <f aca="false">(('Business Case'!E11*$C569*'Business Case'!E12*$B569)-'Business Case'!E11*$C569*'Business Case'!E13*$D569-'Business Case'!E14*$E569)-MAX(0,(('Business Case'!E11*$C569*'Business Case'!E12*$B569)-'Business Case'!E11*$C569*'Business Case'!E13*$D569-'Business Case'!E14*$E569))*'Business Case'!$B$7-'Business Case'!$B$8*(('Business Case'!E11*$C569*'Business Case'!E12*$B569)-('Business Case'!D11*$C569*'Business Case'!D12*$B569))-'Business Case'!E15*$F569</f>
        <v>659349716.923912</v>
      </c>
      <c r="L569" s="39" t="n">
        <f aca="false">(('Business Case'!F11*$C569*'Business Case'!F12*$B569)-'Business Case'!F11*$C569*'Business Case'!F13*$D569-'Business Case'!F14*$E569)-MAX(0,(('Business Case'!F11*$C569*'Business Case'!F12*$B569)-'Business Case'!F11*$C569*'Business Case'!F13*$D569-'Business Case'!F14*$E569))*'Business Case'!$B$7-'Business Case'!$B$8*(('Business Case'!F11*$C569*'Business Case'!F12*$B569)-('Business Case'!E11*$C569*'Business Case'!E12*$B569))-'Business Case'!F15*$F569</f>
        <v>795413109.943054</v>
      </c>
      <c r="M569" s="39" t="n">
        <f aca="false">(('Business Case'!G11*$C569*'Business Case'!G12*$B569)-'Business Case'!G11*$C569*'Business Case'!G13*$D569-'Business Case'!G14*$E569)-MAX(0,(('Business Case'!G11*$C569*'Business Case'!G12*$B569)-'Business Case'!G11*$C569*'Business Case'!G13*$D569-'Business Case'!G14*$E569))*'Business Case'!$B$7-'Business Case'!$B$8*(('Business Case'!G11*$C569*'Business Case'!G12*$B569)-('Business Case'!F11*$C569*'Business Case'!F12*$B569))-'Business Case'!G15*$F569+'Business Case'!$B$8*('Business Case'!G11*$C569*'Business Case'!G12*$B569)</f>
        <v>984308674.246814</v>
      </c>
      <c r="N569" s="39" t="n">
        <f aca="false">IF(COUNT('Business Case'!B11:G11)=0,"",H569+NPV(G569,I569:M569))</f>
        <v>-403775500.553665</v>
      </c>
      <c r="P569" s="40" t="n">
        <f aca="true">RAND()</f>
        <v>0.768301353941203</v>
      </c>
      <c r="Q569" s="40" t="n">
        <f aca="true">RAND()</f>
        <v>0.500641430438756</v>
      </c>
      <c r="R569" s="40" t="n">
        <f aca="true">RAND()</f>
        <v>0.484966829589178</v>
      </c>
      <c r="S569" s="40" t="n">
        <f aca="true">RAND()</f>
        <v>0.831358314263617</v>
      </c>
      <c r="T569" s="40" t="n">
        <f aca="true">RAND()</f>
        <v>0.825828952270695</v>
      </c>
      <c r="U569" s="40" t="n">
        <f aca="true">RAND()</f>
        <v>0.91404921224877</v>
      </c>
    </row>
    <row r="570" customFormat="false" ht="15" hidden="false" customHeight="false" outlineLevel="0" collapsed="false">
      <c r="A570" s="36" t="n">
        <v>490</v>
      </c>
      <c r="B570" s="37" t="n">
        <f aca="false">1+IF($G$6=$E$6,$F$6,IF(P570&lt;($F$6-$E$6)/($G$6-$E$6),$E$6+SQRT(P570*($G$6-$E$6)*($F$6-$E$6)),$G$6-SQRT((1-P570)*($G$6-$E$6)*($G$6-$F$6))))</f>
        <v>0.962422097293481</v>
      </c>
      <c r="C570" s="37" t="n">
        <f aca="false">1+IF($G$7=$E$7,$F$7,IF(Q570&lt;($F$7-$E$7)/($G$7-$E$7),$E$7+SQRT(Q570*($G$7-$E$7)*($F$7-$E$7)),$G$7-SQRT((1-Q570)*($G$7-$E$7)*($G$7-$F$7))))</f>
        <v>1.03345947997243</v>
      </c>
      <c r="D570" s="37" t="n">
        <f aca="false">1+IF($G$8=$E$8,$F$8,IF(R570&lt;($F$8-$E$8)/($G$8-$E$8),$E$8+SQRT(R570*($G$8-$E$8)*($F$8-$E$8)),$G$8-SQRT((1-R570)*($G$8-$E$8)*($G$8-$F$8))))</f>
        <v>0.992030215995739</v>
      </c>
      <c r="E570" s="37" t="n">
        <f aca="false">1+IF($G$9=$E$9,$F$9,IF(S570&lt;($F$9-$E$9)/($G$9-$E$9),$E$9+SQRT(S570*($G$9-$E$9)*($F$9-$E$9)),$G$9-SQRT((1-S570)*($G$9-$E$9)*($G$9-$F$9))))</f>
        <v>0.975263103221764</v>
      </c>
      <c r="F570" s="37" t="n">
        <f aca="false">1+IF($G$10=$E$10,$F$10,IF(T570&lt;($F$10-$E$10)/($G$10-$E$10),$E$10+SQRT(T570*($G$10-$E$10)*($F$10-$E$10)),$G$10-SQRT((1-T570)*($G$10-$E$10)*($G$10-$F$10))))</f>
        <v>1.01330084861215</v>
      </c>
      <c r="G570" s="38" t="n">
        <f aca="false">IF($G$11=$E$11,$F$11,IF(U570&lt;($F$11-$E$11)/($G$11-$E$11),$E$11+SQRT(U570*($G$11-$E$11)*($F$11-$E$11)),$G$11-SQRT((1-U570)*($G$11-$E$11)*($G$11-$F$11))))</f>
        <v>0.0930464393110643</v>
      </c>
      <c r="H570" s="39" t="n">
        <f aca="false">(('Business Case'!B11*$C570*'Business Case'!B12*$B570)-'Business Case'!B11*$C570*'Business Case'!B13*$D570-'Business Case'!B14*$E570)-MAX(0,(('Business Case'!B11*$C570*'Business Case'!B12*$B570)-'Business Case'!B11*$C570*'Business Case'!B13*$D570-'Business Case'!B14*$E570))*'Business Case'!$B$7-'Business Case'!$B$8*('Business Case'!B11*$C570*'Business Case'!B12*$B570)-'Business Case'!B15*$F570</f>
        <v>-2026601697.22431</v>
      </c>
      <c r="I570" s="39" t="n">
        <f aca="false">(('Business Case'!C11*$C570*'Business Case'!C12*$B570)-'Business Case'!C11*$C570*'Business Case'!C13*$D570-'Business Case'!C14*$E570)-MAX(0,(('Business Case'!C11*$C570*'Business Case'!C12*$B570)-'Business Case'!C11*$C570*'Business Case'!C13*$D570-'Business Case'!C14*$E570))*'Business Case'!$B$7-'Business Case'!$B$8*(('Business Case'!C11*$C570*'Business Case'!C12*$B570)-('Business Case'!B11*$C570*'Business Case'!B12*$B570))-'Business Case'!C15*$F570</f>
        <v>-1737127.19648005</v>
      </c>
      <c r="J570" s="39" t="n">
        <f aca="false">(('Business Case'!D11*$C570*'Business Case'!D12*$B570)-'Business Case'!D11*$C570*'Business Case'!D13*$D570-'Business Case'!D14*$E570)-MAX(0,(('Business Case'!D11*$C570*'Business Case'!D12*$B570)-'Business Case'!D11*$C570*'Business Case'!D13*$D570-'Business Case'!D14*$E570))*'Business Case'!$B$7-'Business Case'!$B$8*(('Business Case'!D11*$C570*'Business Case'!D12*$B570)-('Business Case'!C11*$C570*'Business Case'!C12*$B570))-'Business Case'!D15*$F570</f>
        <v>288099564.357472</v>
      </c>
      <c r="K570" s="39" t="n">
        <f aca="false">(('Business Case'!E11*$C570*'Business Case'!E12*$B570)-'Business Case'!E11*$C570*'Business Case'!E13*$D570-'Business Case'!E14*$E570)-MAX(0,(('Business Case'!E11*$C570*'Business Case'!E12*$B570)-'Business Case'!E11*$C570*'Business Case'!E13*$D570-'Business Case'!E14*$E570))*'Business Case'!$B$7-'Business Case'!$B$8*(('Business Case'!E11*$C570*'Business Case'!E12*$B570)-('Business Case'!D11*$C570*'Business Case'!D12*$B570))-'Business Case'!E15*$F570</f>
        <v>628601298.342031</v>
      </c>
      <c r="L570" s="39" t="n">
        <f aca="false">(('Business Case'!F11*$C570*'Business Case'!F12*$B570)-'Business Case'!F11*$C570*'Business Case'!F13*$D570-'Business Case'!F14*$E570)-MAX(0,(('Business Case'!F11*$C570*'Business Case'!F12*$B570)-'Business Case'!F11*$C570*'Business Case'!F13*$D570-'Business Case'!F14*$E570))*'Business Case'!$B$7-'Business Case'!$B$8*(('Business Case'!F11*$C570*'Business Case'!F12*$B570)-('Business Case'!E11*$C570*'Business Case'!E12*$B570))-'Business Case'!F15*$F570</f>
        <v>759587742.600736</v>
      </c>
      <c r="M570" s="39" t="n">
        <f aca="false">(('Business Case'!G11*$C570*'Business Case'!G12*$B570)-'Business Case'!G11*$C570*'Business Case'!G13*$D570-'Business Case'!G14*$E570)-MAX(0,(('Business Case'!G11*$C570*'Business Case'!G12*$B570)-'Business Case'!G11*$C570*'Business Case'!G13*$D570-'Business Case'!G14*$E570))*'Business Case'!$B$7-'Business Case'!$B$8*(('Business Case'!G11*$C570*'Business Case'!G12*$B570)-('Business Case'!F11*$C570*'Business Case'!F12*$B570))-'Business Case'!G15*$F570+'Business Case'!$B$8*('Business Case'!G11*$C570*'Business Case'!G12*$B570)</f>
        <v>948645918.174701</v>
      </c>
      <c r="N570" s="39" t="n">
        <f aca="false">IF(COUNT('Business Case'!B11:G11)=0,"",H570+NPV(G570,I570:M570))</f>
        <v>-165557281.985964</v>
      </c>
      <c r="P570" s="40" t="n">
        <f aca="true">RAND()</f>
        <v>0.187461910289332</v>
      </c>
      <c r="Q570" s="40" t="n">
        <f aca="true">RAND()</f>
        <v>0.741301089365789</v>
      </c>
      <c r="R570" s="40" t="n">
        <f aca="true">RAND()</f>
        <v>0.271775239484376</v>
      </c>
      <c r="S570" s="40" t="n">
        <f aca="true">RAND()</f>
        <v>0.0850965845858002</v>
      </c>
      <c r="T570" s="40" t="n">
        <f aca="true">RAND()</f>
        <v>0.30286853742117</v>
      </c>
      <c r="U570" s="40" t="n">
        <f aca="true">RAND()</f>
        <v>0.0309359749199939</v>
      </c>
    </row>
    <row r="571" customFormat="false" ht="15" hidden="false" customHeight="false" outlineLevel="0" collapsed="false">
      <c r="A571" s="36" t="n">
        <v>491</v>
      </c>
      <c r="B571" s="37" t="n">
        <f aca="false">1+IF($G$6=$E$6,$F$6,IF(P571&lt;($F$6-$E$6)/($G$6-$E$6),$E$6+SQRT(P571*($G$6-$E$6)*($F$6-$E$6)),$G$6-SQRT((1-P571)*($G$6-$E$6)*($G$6-$F$6))))</f>
        <v>0.938353272512398</v>
      </c>
      <c r="C571" s="37" t="n">
        <f aca="false">1+IF($G$7=$E$7,$F$7,IF(Q571&lt;($F$7-$E$7)/($G$7-$E$7),$E$7+SQRT(Q571*($G$7-$E$7)*($F$7-$E$7)),$G$7-SQRT((1-Q571)*($G$7-$E$7)*($G$7-$F$7))))</f>
        <v>0.88480351281328</v>
      </c>
      <c r="D571" s="37" t="n">
        <f aca="false">1+IF($G$8=$E$8,$F$8,IF(R571&lt;($F$8-$E$8)/($G$8-$E$8),$E$8+SQRT(R571*($G$8-$E$8)*($F$8-$E$8)),$G$8-SQRT((1-R571)*($G$8-$E$8)*($G$8-$F$8))))</f>
        <v>1.04794190924773</v>
      </c>
      <c r="E571" s="37" t="n">
        <f aca="false">1+IF($G$9=$E$9,$F$9,IF(S571&lt;($F$9-$E$9)/($G$9-$E$9),$E$9+SQRT(S571*($G$9-$E$9)*($F$9-$E$9)),$G$9-SQRT((1-S571)*($G$9-$E$9)*($G$9-$F$9))))</f>
        <v>0.989876475019366</v>
      </c>
      <c r="F571" s="37" t="n">
        <f aca="false">1+IF($G$10=$E$10,$F$10,IF(T571&lt;($F$10-$E$10)/($G$10-$E$10),$E$10+SQRT(T571*($G$10-$E$10)*($F$10-$E$10)),$G$10-SQRT((1-T571)*($G$10-$E$10)*($G$10-$F$10))))</f>
        <v>1.02773196776084</v>
      </c>
      <c r="G571" s="38" t="n">
        <f aca="false">IF($G$11=$E$11,$F$11,IF(U571&lt;($F$11-$E$11)/($G$11-$E$11),$E$11+SQRT(U571*($G$11-$E$11)*($F$11-$E$11)),$G$11-SQRT((1-U571)*($G$11-$E$11)*($G$11-$F$11))))</f>
        <v>0.11016987093887</v>
      </c>
      <c r="H571" s="39" t="n">
        <f aca="false">(('Business Case'!B11*$C571*'Business Case'!B12*$B571)-'Business Case'!B11*$C571*'Business Case'!B13*$D571-'Business Case'!B14*$E571)-MAX(0,(('Business Case'!B11*$C571*'Business Case'!B12*$B571)-'Business Case'!B11*$C571*'Business Case'!B13*$D571-'Business Case'!B14*$E571))*'Business Case'!$B$7-'Business Case'!$B$8*('Business Case'!B11*$C571*'Business Case'!B12*$B571)-'Business Case'!B15*$F571</f>
        <v>-2055463935.52169</v>
      </c>
      <c r="I571" s="39" t="n">
        <f aca="false">(('Business Case'!C11*$C571*'Business Case'!C12*$B571)-'Business Case'!C11*$C571*'Business Case'!C13*$D571-'Business Case'!C14*$E571)-MAX(0,(('Business Case'!C11*$C571*'Business Case'!C12*$B571)-'Business Case'!C11*$C571*'Business Case'!C13*$D571-'Business Case'!C14*$E571))*'Business Case'!$B$7-'Business Case'!$B$8*(('Business Case'!C11*$C571*'Business Case'!C12*$B571)-('Business Case'!B11*$C571*'Business Case'!B12*$B571))-'Business Case'!C15*$F571</f>
        <v>-81196752.7894829</v>
      </c>
      <c r="J571" s="39" t="n">
        <f aca="false">(('Business Case'!D11*$C571*'Business Case'!D12*$B571)-'Business Case'!D11*$C571*'Business Case'!D13*$D571-'Business Case'!D14*$E571)-MAX(0,(('Business Case'!D11*$C571*'Business Case'!D12*$B571)-'Business Case'!D11*$C571*'Business Case'!D13*$D571-'Business Case'!D14*$E571))*'Business Case'!$B$7-'Business Case'!$B$8*(('Business Case'!D11*$C571*'Business Case'!D12*$B571)-('Business Case'!C11*$C571*'Business Case'!C12*$B571))-'Business Case'!D15*$F571</f>
        <v>124180714.753886</v>
      </c>
      <c r="K571" s="39" t="n">
        <f aca="false">(('Business Case'!E11*$C571*'Business Case'!E12*$B571)-'Business Case'!E11*$C571*'Business Case'!E13*$D571-'Business Case'!E14*$E571)-MAX(0,(('Business Case'!E11*$C571*'Business Case'!E12*$B571)-'Business Case'!E11*$C571*'Business Case'!E13*$D571-'Business Case'!E14*$E571))*'Business Case'!$B$7-'Business Case'!$B$8*(('Business Case'!E11*$C571*'Business Case'!E12*$B571)-('Business Case'!D11*$C571*'Business Case'!D12*$B571))-'Business Case'!E15*$F571</f>
        <v>380944780.685297</v>
      </c>
      <c r="L571" s="39" t="n">
        <f aca="false">(('Business Case'!F11*$C571*'Business Case'!F12*$B571)-'Business Case'!F11*$C571*'Business Case'!F13*$D571-'Business Case'!F14*$E571)-MAX(0,(('Business Case'!F11*$C571*'Business Case'!F12*$B571)-'Business Case'!F11*$C571*'Business Case'!F13*$D571-'Business Case'!F14*$E571))*'Business Case'!$B$7-'Business Case'!$B$8*(('Business Case'!F11*$C571*'Business Case'!F12*$B571)-('Business Case'!E11*$C571*'Business Case'!E12*$B571))-'Business Case'!F15*$F571</f>
        <v>478097662.405762</v>
      </c>
      <c r="M571" s="39" t="n">
        <f aca="false">(('Business Case'!G11*$C571*'Business Case'!G12*$B571)-'Business Case'!G11*$C571*'Business Case'!G13*$D571-'Business Case'!G14*$E571)-MAX(0,(('Business Case'!G11*$C571*'Business Case'!G12*$B571)-'Business Case'!G11*$C571*'Business Case'!G13*$D571-'Business Case'!G14*$E571))*'Business Case'!$B$7-'Business Case'!$B$8*(('Business Case'!G11*$C571*'Business Case'!G12*$B571)-('Business Case'!F11*$C571*'Business Case'!F12*$B571))-'Business Case'!G15*$F571+'Business Case'!$B$8*('Business Case'!G11*$C571*'Business Case'!G12*$B571)</f>
        <v>635913154.705478</v>
      </c>
      <c r="N571" s="39" t="n">
        <f aca="false">IF(COUNT('Business Case'!B11:G11)=0,"",H571+NPV(G571,I571:M571))</f>
        <v>-1057590365.62662</v>
      </c>
      <c r="P571" s="40" t="n">
        <f aca="true">RAND()</f>
        <v>0.0350877720744112</v>
      </c>
      <c r="Q571" s="40" t="n">
        <f aca="true">RAND()</f>
        <v>0.102737654078174</v>
      </c>
      <c r="R571" s="40" t="n">
        <f aca="true">RAND()</f>
        <v>0.901180655511477</v>
      </c>
      <c r="S571" s="40" t="n">
        <f aca="true">RAND()</f>
        <v>0.212017767996019</v>
      </c>
      <c r="T571" s="40" t="n">
        <f aca="true">RAND()</f>
        <v>0.406474501368985</v>
      </c>
      <c r="U571" s="40" t="n">
        <f aca="true">RAND()</f>
        <v>0.838947604402531</v>
      </c>
    </row>
    <row r="572" customFormat="false" ht="15" hidden="false" customHeight="false" outlineLevel="0" collapsed="false">
      <c r="A572" s="36" t="n">
        <v>492</v>
      </c>
      <c r="B572" s="37" t="n">
        <f aca="false">1+IF($G$6=$E$6,$F$6,IF(P572&lt;($F$6-$E$6)/($G$6-$E$6),$E$6+SQRT(P572*($G$6-$E$6)*($F$6-$E$6)),$G$6-SQRT((1-P572)*($G$6-$E$6)*($G$6-$F$6))))</f>
        <v>0.965192849556862</v>
      </c>
      <c r="C572" s="37" t="n">
        <f aca="false">1+IF($G$7=$E$7,$F$7,IF(Q572&lt;($F$7-$E$7)/($G$7-$E$7),$E$7+SQRT(Q572*($G$7-$E$7)*($F$7-$E$7)),$G$7-SQRT((1-Q572)*($G$7-$E$7)*($G$7-$F$7))))</f>
        <v>0.997388430263979</v>
      </c>
      <c r="D572" s="37" t="n">
        <f aca="false">1+IF($G$8=$E$8,$F$8,IF(R572&lt;($F$8-$E$8)/($G$8-$E$8),$E$8+SQRT(R572*($G$8-$E$8)*($F$8-$E$8)),$G$8-SQRT((1-R572)*($G$8-$E$8)*($G$8-$F$8))))</f>
        <v>0.999057272118765</v>
      </c>
      <c r="E572" s="37" t="n">
        <f aca="false">1+IF($G$9=$E$9,$F$9,IF(S572&lt;($F$9-$E$9)/($G$9-$E$9),$E$9+SQRT(S572*($G$9-$E$9)*($F$9-$E$9)),$G$9-SQRT((1-S572)*($G$9-$E$9)*($G$9-$F$9))))</f>
        <v>0.969232409549001</v>
      </c>
      <c r="F572" s="37" t="n">
        <f aca="false">1+IF($G$10=$E$10,$F$10,IF(T572&lt;($F$10-$E$10)/($G$10-$E$10),$E$10+SQRT(T572*($G$10-$E$10)*($F$10-$E$10)),$G$10-SQRT((1-T572)*($G$10-$E$10)*($G$10-$F$10))))</f>
        <v>1.04926724154022</v>
      </c>
      <c r="G572" s="38" t="n">
        <f aca="false">IF($G$11=$E$11,$F$11,IF(U572&lt;($F$11-$E$11)/($G$11-$E$11),$E$11+SQRT(U572*($G$11-$E$11)*($F$11-$E$11)),$G$11-SQRT((1-U572)*($G$11-$E$11)*($G$11-$F$11))))</f>
        <v>0.10908626348216</v>
      </c>
      <c r="H572" s="39" t="n">
        <f aca="false">(('Business Case'!B11*$C572*'Business Case'!B12*$B572)-'Business Case'!B11*$C572*'Business Case'!B13*$D572-'Business Case'!B14*$E572)-MAX(0,(('Business Case'!B11*$C572*'Business Case'!B12*$B572)-'Business Case'!B11*$C572*'Business Case'!B13*$D572-'Business Case'!B14*$E572))*'Business Case'!$B$7-'Business Case'!$B$8*('Business Case'!B11*$C572*'Business Case'!B12*$B572)-'Business Case'!B15*$F572</f>
        <v>-2098534483.08044</v>
      </c>
      <c r="I572" s="39" t="n">
        <f aca="false">(('Business Case'!C11*$C572*'Business Case'!C12*$B572)-'Business Case'!C11*$C572*'Business Case'!C13*$D572-'Business Case'!C14*$E572)-MAX(0,(('Business Case'!C11*$C572*'Business Case'!C12*$B572)-'Business Case'!C11*$C572*'Business Case'!C13*$D572-'Business Case'!C14*$E572))*'Business Case'!$B$7-'Business Case'!$B$8*(('Business Case'!C11*$C572*'Business Case'!C12*$B572)-('Business Case'!B11*$C572*'Business Case'!B12*$B572))-'Business Case'!C15*$F572</f>
        <v>-14260414.2362638</v>
      </c>
      <c r="J572" s="39" t="n">
        <f aca="false">(('Business Case'!D11*$C572*'Business Case'!D12*$B572)-'Business Case'!D11*$C572*'Business Case'!D13*$D572-'Business Case'!D14*$E572)-MAX(0,(('Business Case'!D11*$C572*'Business Case'!D12*$B572)-'Business Case'!D11*$C572*'Business Case'!D13*$D572-'Business Case'!D14*$E572))*'Business Case'!$B$7-'Business Case'!$B$8*(('Business Case'!D11*$C572*'Business Case'!D12*$B572)-('Business Case'!C11*$C572*'Business Case'!C12*$B572))-'Business Case'!D15*$F572</f>
        <v>264135670.188703</v>
      </c>
      <c r="K572" s="39" t="n">
        <f aca="false">(('Business Case'!E11*$C572*'Business Case'!E12*$B572)-'Business Case'!E11*$C572*'Business Case'!E13*$D572-'Business Case'!E14*$E572)-MAX(0,(('Business Case'!E11*$C572*'Business Case'!E12*$B572)-'Business Case'!E11*$C572*'Business Case'!E13*$D572-'Business Case'!E14*$E572))*'Business Case'!$B$7-'Business Case'!$B$8*(('Business Case'!E11*$C572*'Business Case'!E12*$B572)-('Business Case'!D11*$C572*'Business Case'!D12*$B572))-'Business Case'!E15*$F572</f>
        <v>594995116.690681</v>
      </c>
      <c r="L572" s="39" t="n">
        <f aca="false">(('Business Case'!F11*$C572*'Business Case'!F12*$B572)-'Business Case'!F11*$C572*'Business Case'!F13*$D572-'Business Case'!F14*$E572)-MAX(0,(('Business Case'!F11*$C572*'Business Case'!F12*$B572)-'Business Case'!F11*$C572*'Business Case'!F13*$D572-'Business Case'!F14*$E572))*'Business Case'!$B$7-'Business Case'!$B$8*(('Business Case'!F11*$C572*'Business Case'!F12*$B572)-('Business Case'!E11*$C572*'Business Case'!E12*$B572))-'Business Case'!F15*$F572</f>
        <v>721063762.078563</v>
      </c>
      <c r="M572" s="39" t="n">
        <f aca="false">(('Business Case'!G11*$C572*'Business Case'!G12*$B572)-'Business Case'!G11*$C572*'Business Case'!G13*$D572-'Business Case'!G14*$E572)-MAX(0,(('Business Case'!G11*$C572*'Business Case'!G12*$B572)-'Business Case'!G11*$C572*'Business Case'!G13*$D572-'Business Case'!G14*$E572))*'Business Case'!$B$7-'Business Case'!$B$8*(('Business Case'!G11*$C572*'Business Case'!G12*$B572)-('Business Case'!F11*$C572*'Business Case'!F12*$B572))-'Business Case'!G15*$F572+'Business Case'!$B$8*('Business Case'!G11*$C572*'Business Case'!G12*$B572)</f>
        <v>904048490.266145</v>
      </c>
      <c r="N572" s="39" t="n">
        <f aca="false">IF(COUNT('Business Case'!B11:G11)=0,"",H572+NPV(G572,I572:M572))</f>
        <v>-445252259.329167</v>
      </c>
      <c r="P572" s="40" t="n">
        <f aca="true">RAND()</f>
        <v>0.21274933865304</v>
      </c>
      <c r="Q572" s="40" t="n">
        <f aca="true">RAND()</f>
        <v>0.556602748601109</v>
      </c>
      <c r="R572" s="40" t="n">
        <f aca="true">RAND()</f>
        <v>0.370248607343784</v>
      </c>
      <c r="S572" s="40" t="n">
        <f aca="true">RAND()</f>
        <v>0.0493180769414001</v>
      </c>
      <c r="T572" s="40" t="n">
        <f aca="true">RAND()</f>
        <v>0.545592710542121</v>
      </c>
      <c r="U572" s="40" t="n">
        <f aca="true">RAND()</f>
        <v>0.801483925365258</v>
      </c>
    </row>
    <row r="573" customFormat="false" ht="15" hidden="false" customHeight="false" outlineLevel="0" collapsed="false">
      <c r="A573" s="36" t="n">
        <v>493</v>
      </c>
      <c r="B573" s="37" t="n">
        <f aca="false">1+IF($G$6=$E$6,$F$6,IF(P573&lt;($F$6-$E$6)/($G$6-$E$6),$E$6+SQRT(P573*($G$6-$E$6)*($F$6-$E$6)),$G$6-SQRT((1-P573)*($G$6-$E$6)*($G$6-$F$6))))</f>
        <v>0.953586978583126</v>
      </c>
      <c r="C573" s="37" t="n">
        <f aca="false">1+IF($G$7=$E$7,$F$7,IF(Q573&lt;($F$7-$E$7)/($G$7-$E$7),$E$7+SQRT(Q573*($G$7-$E$7)*($F$7-$E$7)),$G$7-SQRT((1-Q573)*($G$7-$E$7)*($G$7-$F$7))))</f>
        <v>0.981531475229988</v>
      </c>
      <c r="D573" s="37" t="n">
        <f aca="false">1+IF($G$8=$E$8,$F$8,IF(R573&lt;($F$8-$E$8)/($G$8-$E$8),$E$8+SQRT(R573*($G$8-$E$8)*($F$8-$E$8)),$G$8-SQRT((1-R573)*($G$8-$E$8)*($G$8-$F$8))))</f>
        <v>1.03600878043726</v>
      </c>
      <c r="E573" s="37" t="n">
        <f aca="false">1+IF($G$9=$E$9,$F$9,IF(S573&lt;($F$9-$E$9)/($G$9-$E$9),$E$9+SQRT(S573*($G$9-$E$9)*($F$9-$E$9)),$G$9-SQRT((1-S573)*($G$9-$E$9)*($G$9-$F$9))))</f>
        <v>1.06359639508745</v>
      </c>
      <c r="F573" s="37" t="n">
        <f aca="false">1+IF($G$10=$E$10,$F$10,IF(T573&lt;($F$10-$E$10)/($G$10-$E$10),$E$10+SQRT(T573*($G$10-$E$10)*($F$10-$E$10)),$G$10-SQRT((1-T573)*($G$10-$E$10)*($G$10-$F$10))))</f>
        <v>1.07797852602931</v>
      </c>
      <c r="G573" s="38" t="n">
        <f aca="false">IF($G$11=$E$11,$F$11,IF(U573&lt;($F$11-$E$11)/($G$11-$E$11),$E$11+SQRT(U573*($G$11-$E$11)*($F$11-$E$11)),$G$11-SQRT((1-U573)*($G$11-$E$11)*($G$11-$F$11))))</f>
        <v>0.099145054143517</v>
      </c>
      <c r="H573" s="39" t="n">
        <f aca="false">(('Business Case'!B11*$C573*'Business Case'!B12*$B573)-'Business Case'!B11*$C573*'Business Case'!B13*$D573-'Business Case'!B14*$E573)-MAX(0,(('Business Case'!B11*$C573*'Business Case'!B12*$B573)-'Business Case'!B11*$C573*'Business Case'!B13*$D573-'Business Case'!B14*$E573))*'Business Case'!$B$7-'Business Case'!$B$8*('Business Case'!B11*$C573*'Business Case'!B12*$B573)-'Business Case'!B15*$F573</f>
        <v>-2155957052.05862</v>
      </c>
      <c r="I573" s="39" t="n">
        <f aca="false">(('Business Case'!C11*$C573*'Business Case'!C12*$B573)-'Business Case'!C11*$C573*'Business Case'!C13*$D573-'Business Case'!C14*$E573)-MAX(0,(('Business Case'!C11*$C573*'Business Case'!C12*$B573)-'Business Case'!C11*$C573*'Business Case'!C13*$D573-'Business Case'!C14*$E573))*'Business Case'!$B$7-'Business Case'!$B$8*(('Business Case'!C11*$C573*'Business Case'!C12*$B573)-('Business Case'!B11*$C573*'Business Case'!B12*$B573))-'Business Case'!C15*$F573</f>
        <v>-61489568.4834211</v>
      </c>
      <c r="J573" s="39" t="n">
        <f aca="false">(('Business Case'!D11*$C573*'Business Case'!D12*$B573)-'Business Case'!D11*$C573*'Business Case'!D13*$D573-'Business Case'!D14*$E573)-MAX(0,(('Business Case'!D11*$C573*'Business Case'!D12*$B573)-'Business Case'!D11*$C573*'Business Case'!D13*$D573-'Business Case'!D14*$E573))*'Business Case'!$B$7-'Business Case'!$B$8*(('Business Case'!D11*$C573*'Business Case'!D12*$B573)-('Business Case'!C11*$C573*'Business Case'!C12*$B573))-'Business Case'!D15*$F573</f>
        <v>184583099.876246</v>
      </c>
      <c r="K573" s="39" t="n">
        <f aca="false">(('Business Case'!E11*$C573*'Business Case'!E12*$B573)-'Business Case'!E11*$C573*'Business Case'!E13*$D573-'Business Case'!E14*$E573)-MAX(0,(('Business Case'!E11*$C573*'Business Case'!E12*$B573)-'Business Case'!E11*$C573*'Business Case'!E13*$D573-'Business Case'!E14*$E573))*'Business Case'!$B$7-'Business Case'!$B$8*(('Business Case'!E11*$C573*'Business Case'!E12*$B573)-('Business Case'!D11*$C573*'Business Case'!D12*$B573))-'Business Case'!E15*$F573</f>
        <v>484554694.537379</v>
      </c>
      <c r="L573" s="39" t="n">
        <f aca="false">(('Business Case'!F11*$C573*'Business Case'!F12*$B573)-'Business Case'!F11*$C573*'Business Case'!F13*$D573-'Business Case'!F14*$E573)-MAX(0,(('Business Case'!F11*$C573*'Business Case'!F12*$B573)-'Business Case'!F11*$C573*'Business Case'!F13*$D573-'Business Case'!F14*$E573))*'Business Case'!$B$7-'Business Case'!$B$8*(('Business Case'!F11*$C573*'Business Case'!F12*$B573)-('Business Case'!E11*$C573*'Business Case'!E12*$B573))-'Business Case'!F15*$F573</f>
        <v>598926235.229749</v>
      </c>
      <c r="M573" s="39" t="n">
        <f aca="false">(('Business Case'!G11*$C573*'Business Case'!G12*$B573)-'Business Case'!G11*$C573*'Business Case'!G13*$D573-'Business Case'!G14*$E573)-MAX(0,(('Business Case'!G11*$C573*'Business Case'!G12*$B573)-'Business Case'!G11*$C573*'Business Case'!G13*$D573-'Business Case'!G14*$E573))*'Business Case'!$B$7-'Business Case'!$B$8*(('Business Case'!G11*$C573*'Business Case'!G12*$B573)-('Business Case'!F11*$C573*'Business Case'!F12*$B573))-'Business Case'!G15*$F573+'Business Case'!$B$8*('Business Case'!G11*$C573*'Business Case'!G12*$B573)</f>
        <v>776836483.71173</v>
      </c>
      <c r="N573" s="39" t="n">
        <f aca="false">IF(COUNT('Business Case'!B11:G11)=0,"",H573+NPV(G573,I573:M573))</f>
        <v>-799629308.352031</v>
      </c>
      <c r="P573" s="40" t="n">
        <f aca="true">RAND()</f>
        <v>0.117508867744099</v>
      </c>
      <c r="Q573" s="40" t="n">
        <f aca="true">RAND()</f>
        <v>0.470766807131083</v>
      </c>
      <c r="R573" s="40" t="n">
        <f aca="true">RAND()</f>
        <v>0.813920442440659</v>
      </c>
      <c r="S573" s="40" t="n">
        <f aca="true">RAND()</f>
        <v>0.91165183662473</v>
      </c>
      <c r="T573" s="40" t="n">
        <f aca="true">RAND()</f>
        <v>0.702215197800413</v>
      </c>
      <c r="U573" s="40" t="n">
        <f aca="true">RAND()</f>
        <v>0.278773384292858</v>
      </c>
    </row>
    <row r="574" customFormat="false" ht="15" hidden="false" customHeight="false" outlineLevel="0" collapsed="false">
      <c r="A574" s="36" t="n">
        <v>494</v>
      </c>
      <c r="B574" s="37" t="n">
        <f aca="false">1+IF($G$6=$E$6,$F$6,IF(P574&lt;($F$6-$E$6)/($G$6-$E$6),$E$6+SQRT(P574*($G$6-$E$6)*($F$6-$E$6)),$G$6-SQRT((1-P574)*($G$6-$E$6)*($G$6-$F$6))))</f>
        <v>0.925519361424143</v>
      </c>
      <c r="C574" s="37" t="n">
        <f aca="false">1+IF($G$7=$E$7,$F$7,IF(Q574&lt;($F$7-$E$7)/($G$7-$E$7),$E$7+SQRT(Q574*($G$7-$E$7)*($F$7-$E$7)),$G$7-SQRT((1-Q574)*($G$7-$E$7)*($G$7-$F$7))))</f>
        <v>1.02195706521535</v>
      </c>
      <c r="D574" s="37" t="n">
        <f aca="false">1+IF($G$8=$E$8,$F$8,IF(R574&lt;($F$8-$E$8)/($G$8-$E$8),$E$8+SQRT(R574*($G$8-$E$8)*($F$8-$E$8)),$G$8-SQRT((1-R574)*($G$8-$E$8)*($G$8-$F$8))))</f>
        <v>1.06892757911358</v>
      </c>
      <c r="E574" s="37" t="n">
        <f aca="false">1+IF($G$9=$E$9,$F$9,IF(S574&lt;($F$9-$E$9)/($G$9-$E$9),$E$9+SQRT(S574*($G$9-$E$9)*($F$9-$E$9)),$G$9-SQRT((1-S574)*($G$9-$E$9)*($G$9-$F$9))))</f>
        <v>1.0342553708414</v>
      </c>
      <c r="F574" s="37" t="n">
        <f aca="false">1+IF($G$10=$E$10,$F$10,IF(T574&lt;($F$10-$E$10)/($G$10-$E$10),$E$10+SQRT(T574*($G$10-$E$10)*($F$10-$E$10)),$G$10-SQRT((1-T574)*($G$10-$E$10)*($G$10-$F$10))))</f>
        <v>1.15768978929734</v>
      </c>
      <c r="G574" s="38" t="n">
        <f aca="false">IF($G$11=$E$11,$F$11,IF(U574&lt;($F$11-$E$11)/($G$11-$E$11),$E$11+SQRT(U574*($G$11-$E$11)*($F$11-$E$11)),$G$11-SQRT((1-U574)*($G$11-$E$11)*($G$11-$F$11))))</f>
        <v>0.110480063675021</v>
      </c>
      <c r="H574" s="39" t="n">
        <f aca="false">(('Business Case'!B11*$C574*'Business Case'!B12*$B574)-'Business Case'!B11*$C574*'Business Case'!B13*$D574-'Business Case'!B14*$E574)-MAX(0,(('Business Case'!B11*$C574*'Business Case'!B12*$B574)-'Business Case'!B11*$C574*'Business Case'!B13*$D574-'Business Case'!B14*$E574))*'Business Case'!$B$7-'Business Case'!$B$8*('Business Case'!B11*$C574*'Business Case'!B12*$B574)-'Business Case'!B15*$F574</f>
        <v>-2315379578.59469</v>
      </c>
      <c r="I574" s="39" t="n">
        <f aca="false">(('Business Case'!C11*$C574*'Business Case'!C12*$B574)-'Business Case'!C11*$C574*'Business Case'!C13*$D574-'Business Case'!C14*$E574)-MAX(0,(('Business Case'!C11*$C574*'Business Case'!C12*$B574)-'Business Case'!C11*$C574*'Business Case'!C13*$D574-'Business Case'!C14*$E574))*'Business Case'!$B$7-'Business Case'!$B$8*(('Business Case'!C11*$C574*'Business Case'!C12*$B574)-('Business Case'!B11*$C574*'Business Case'!B12*$B574))-'Business Case'!C15*$F574</f>
        <v>-96381002.9742632</v>
      </c>
      <c r="J574" s="39" t="n">
        <f aca="false">(('Business Case'!D11*$C574*'Business Case'!D12*$B574)-'Business Case'!D11*$C574*'Business Case'!D13*$D574-'Business Case'!D14*$E574)-MAX(0,(('Business Case'!D11*$C574*'Business Case'!D12*$B574)-'Business Case'!D11*$C574*'Business Case'!D13*$D574-'Business Case'!D14*$E574))*'Business Case'!$B$7-'Business Case'!$B$8*(('Business Case'!D11*$C574*'Business Case'!D12*$B574)-('Business Case'!C11*$C574*'Business Case'!C12*$B574))-'Business Case'!D15*$F574</f>
        <v>119110486.767643</v>
      </c>
      <c r="K574" s="39" t="n">
        <f aca="false">(('Business Case'!E11*$C574*'Business Case'!E12*$B574)-'Business Case'!E11*$C574*'Business Case'!E13*$D574-'Business Case'!E14*$E574)-MAX(0,(('Business Case'!E11*$C574*'Business Case'!E12*$B574)-'Business Case'!E11*$C574*'Business Case'!E13*$D574-'Business Case'!E14*$E574))*'Business Case'!$B$7-'Business Case'!$B$8*(('Business Case'!E11*$C574*'Business Case'!E12*$B574)-('Business Case'!D11*$C574*'Business Case'!D12*$B574))-'Business Case'!E15*$F574</f>
        <v>392486465.974417</v>
      </c>
      <c r="L574" s="39" t="n">
        <f aca="false">(('Business Case'!F11*$C574*'Business Case'!F12*$B574)-'Business Case'!F11*$C574*'Business Case'!F13*$D574-'Business Case'!F14*$E574)-MAX(0,(('Business Case'!F11*$C574*'Business Case'!F12*$B574)-'Business Case'!F11*$C574*'Business Case'!F13*$D574-'Business Case'!F14*$E574))*'Business Case'!$B$7-'Business Case'!$B$8*(('Business Case'!F11*$C574*'Business Case'!F12*$B574)-('Business Case'!E11*$C574*'Business Case'!E12*$B574))-'Business Case'!F15*$F574</f>
        <v>497005229.256911</v>
      </c>
      <c r="M574" s="39" t="n">
        <f aca="false">(('Business Case'!G11*$C574*'Business Case'!G12*$B574)-'Business Case'!G11*$C574*'Business Case'!G13*$D574-'Business Case'!G14*$E574)-MAX(0,(('Business Case'!G11*$C574*'Business Case'!G12*$B574)-'Business Case'!G11*$C574*'Business Case'!G13*$D574-'Business Case'!G14*$E574))*'Business Case'!$B$7-'Business Case'!$B$8*(('Business Case'!G11*$C574*'Business Case'!G12*$B574)-('Business Case'!F11*$C574*'Business Case'!F12*$B574))-'Business Case'!G15*$F574+'Business Case'!$B$8*('Business Case'!G11*$C574*'Business Case'!G12*$B574)</f>
        <v>676790696.117135</v>
      </c>
      <c r="N574" s="39" t="n">
        <f aca="false">IF(COUNT('Business Case'!B11:G11)=0,"",H574+NPV(G574,I574:M574))</f>
        <v>-1291369998.44252</v>
      </c>
      <c r="P574" s="40" t="n">
        <f aca="true">RAND()</f>
        <v>0.00317326568024125</v>
      </c>
      <c r="Q574" s="40" t="n">
        <f aca="true">RAND()</f>
        <v>0.68771441622352</v>
      </c>
      <c r="R574" s="40" t="n">
        <f aca="true">RAND()</f>
        <v>0.988211682280199</v>
      </c>
      <c r="S574" s="40" t="n">
        <f aca="true">RAND()</f>
        <v>0.711842915786566</v>
      </c>
      <c r="T574" s="40" t="n">
        <f aca="true">RAND()</f>
        <v>0.964196921405936</v>
      </c>
      <c r="U574" s="40" t="n">
        <f aca="true">RAND()</f>
        <v>0.848951353947233</v>
      </c>
    </row>
    <row r="575" customFormat="false" ht="15" hidden="false" customHeight="false" outlineLevel="0" collapsed="false">
      <c r="A575" s="36" t="n">
        <v>495</v>
      </c>
      <c r="B575" s="37" t="n">
        <f aca="false">1+IF($G$6=$E$6,$F$6,IF(P575&lt;($F$6-$E$6)/($G$6-$E$6),$E$6+SQRT(P575*($G$6-$E$6)*($F$6-$E$6)),$G$6-SQRT((1-P575)*($G$6-$E$6)*($G$6-$F$6))))</f>
        <v>0.996324193054726</v>
      </c>
      <c r="C575" s="37" t="n">
        <f aca="false">1+IF($G$7=$E$7,$F$7,IF(Q575&lt;($F$7-$E$7)/($G$7-$E$7),$E$7+SQRT(Q575*($G$7-$E$7)*($F$7-$E$7)),$G$7-SQRT((1-Q575)*($G$7-$E$7)*($G$7-$F$7))))</f>
        <v>0.881570708573314</v>
      </c>
      <c r="D575" s="37" t="n">
        <f aca="false">1+IF($G$8=$E$8,$F$8,IF(R575&lt;($F$8-$E$8)/($G$8-$E$8),$E$8+SQRT(R575*($G$8-$E$8)*($F$8-$E$8)),$G$8-SQRT((1-R575)*($G$8-$E$8)*($G$8-$F$8))))</f>
        <v>1.0627860126744</v>
      </c>
      <c r="E575" s="37" t="n">
        <f aca="false">1+IF($G$9=$E$9,$F$9,IF(S575&lt;($F$9-$E$9)/($G$9-$E$9),$E$9+SQRT(S575*($G$9-$E$9)*($F$9-$E$9)),$G$9-SQRT((1-S575)*($G$9-$E$9)*($G$9-$F$9))))</f>
        <v>1.01478301731536</v>
      </c>
      <c r="F575" s="37" t="n">
        <f aca="false">1+IF($G$10=$E$10,$F$10,IF(T575&lt;($F$10-$E$10)/($G$10-$E$10),$E$10+SQRT(T575*($G$10-$E$10)*($F$10-$E$10)),$G$10-SQRT((1-T575)*($G$10-$E$10)*($G$10-$F$10))))</f>
        <v>1.04855195256217</v>
      </c>
      <c r="G575" s="38" t="n">
        <f aca="false">IF($G$11=$E$11,$F$11,IF(U575&lt;($F$11-$E$11)/($G$11-$E$11),$E$11+SQRT(U575*($G$11-$E$11)*($F$11-$E$11)),$G$11-SQRT((1-U575)*($G$11-$E$11)*($G$11-$F$11))))</f>
        <v>0.117640454649132</v>
      </c>
      <c r="H575" s="39" t="n">
        <f aca="false">(('Business Case'!B11*$C575*'Business Case'!B12*$B575)-'Business Case'!B11*$C575*'Business Case'!B13*$D575-'Business Case'!B14*$E575)-MAX(0,(('Business Case'!B11*$C575*'Business Case'!B12*$B575)-'Business Case'!B11*$C575*'Business Case'!B13*$D575-'Business Case'!B14*$E575))*'Business Case'!$B$7-'Business Case'!$B$8*('Business Case'!B11*$C575*'Business Case'!B12*$B575)-'Business Case'!B15*$F575</f>
        <v>-2097103905.12434</v>
      </c>
      <c r="I575" s="39" t="n">
        <f aca="false">(('Business Case'!C11*$C575*'Business Case'!C12*$B575)-'Business Case'!C11*$C575*'Business Case'!C13*$D575-'Business Case'!C14*$E575)-MAX(0,(('Business Case'!C11*$C575*'Business Case'!C12*$B575)-'Business Case'!C11*$C575*'Business Case'!C13*$D575-'Business Case'!C14*$E575))*'Business Case'!$B$7-'Business Case'!$B$8*(('Business Case'!C11*$C575*'Business Case'!C12*$B575)-('Business Case'!B11*$C575*'Business Case'!B12*$B575))-'Business Case'!C15*$F575</f>
        <v>-54902892.9192169</v>
      </c>
      <c r="J575" s="39" t="n">
        <f aca="false">(('Business Case'!D11*$C575*'Business Case'!D12*$B575)-'Business Case'!D11*$C575*'Business Case'!D13*$D575-'Business Case'!D14*$E575)-MAX(0,(('Business Case'!D11*$C575*'Business Case'!D12*$B575)-'Business Case'!D11*$C575*'Business Case'!D13*$D575-'Business Case'!D14*$E575))*'Business Case'!$B$7-'Business Case'!$B$8*(('Business Case'!D11*$C575*'Business Case'!D12*$B575)-('Business Case'!C11*$C575*'Business Case'!C12*$B575))-'Business Case'!D15*$F575</f>
        <v>184884193.335733</v>
      </c>
      <c r="K575" s="39" t="n">
        <f aca="false">(('Business Case'!E11*$C575*'Business Case'!E12*$B575)-'Business Case'!E11*$C575*'Business Case'!E13*$D575-'Business Case'!E14*$E575)-MAX(0,(('Business Case'!E11*$C575*'Business Case'!E12*$B575)-'Business Case'!E11*$C575*'Business Case'!E13*$D575-'Business Case'!E14*$E575))*'Business Case'!$B$7-'Business Case'!$B$8*(('Business Case'!E11*$C575*'Business Case'!E12*$B575)-('Business Case'!D11*$C575*'Business Case'!D12*$B575))-'Business Case'!E15*$F575</f>
        <v>477098877.218791</v>
      </c>
      <c r="L575" s="39" t="n">
        <f aca="false">(('Business Case'!F11*$C575*'Business Case'!F12*$B575)-'Business Case'!F11*$C575*'Business Case'!F13*$D575-'Business Case'!F14*$E575)-MAX(0,(('Business Case'!F11*$C575*'Business Case'!F12*$B575)-'Business Case'!F11*$C575*'Business Case'!F13*$D575-'Business Case'!F14*$E575))*'Business Case'!$B$7-'Business Case'!$B$8*(('Business Case'!F11*$C575*'Business Case'!F12*$B575)-('Business Case'!E11*$C575*'Business Case'!E12*$B575))-'Business Case'!F15*$F575</f>
        <v>587382998.540912</v>
      </c>
      <c r="M575" s="39" t="n">
        <f aca="false">(('Business Case'!G11*$C575*'Business Case'!G12*$B575)-'Business Case'!G11*$C575*'Business Case'!G13*$D575-'Business Case'!G14*$E575)-MAX(0,(('Business Case'!G11*$C575*'Business Case'!G12*$B575)-'Business Case'!G11*$C575*'Business Case'!G13*$D575-'Business Case'!G14*$E575))*'Business Case'!$B$7-'Business Case'!$B$8*(('Business Case'!G11*$C575*'Business Case'!G12*$B575)-('Business Case'!F11*$C575*'Business Case'!F12*$B575))-'Business Case'!G15*$F575+'Business Case'!$B$8*('Business Case'!G11*$C575*'Business Case'!G12*$B575)</f>
        <v>754336007.678497</v>
      </c>
      <c r="N575" s="39" t="n">
        <f aca="false">IF(COUNT('Business Case'!B11:G11)=0,"",H575+NPV(G575,I575:M575))</f>
        <v>-847448640.589524</v>
      </c>
      <c r="P575" s="40" t="n">
        <f aca="true">RAND()</f>
        <v>0.606810671401577</v>
      </c>
      <c r="Q575" s="40" t="n">
        <f aca="true">RAND()</f>
        <v>0.0950540071021793</v>
      </c>
      <c r="R575" s="40" t="n">
        <f aca="true">RAND()</f>
        <v>0.971507561572508</v>
      </c>
      <c r="S575" s="40" t="n">
        <f aca="true">RAND()</f>
        <v>0.515871057475097</v>
      </c>
      <c r="T575" s="40" t="n">
        <f aca="true">RAND()</f>
        <v>0.54126977854538</v>
      </c>
      <c r="U575" s="40" t="n">
        <f aca="true">RAND()</f>
        <v>0.990720909561996</v>
      </c>
    </row>
    <row r="576" customFormat="false" ht="15" hidden="false" customHeight="false" outlineLevel="0" collapsed="false">
      <c r="A576" s="36" t="n">
        <v>496</v>
      </c>
      <c r="B576" s="37" t="n">
        <f aca="false">1+IF($G$6=$E$6,$F$6,IF(P576&lt;($F$6-$E$6)/($G$6-$E$6),$E$6+SQRT(P576*($G$6-$E$6)*($F$6-$E$6)),$G$6-SQRT((1-P576)*($G$6-$E$6)*($G$6-$F$6))))</f>
        <v>0.984619402338889</v>
      </c>
      <c r="C576" s="37" t="n">
        <f aca="false">1+IF($G$7=$E$7,$F$7,IF(Q576&lt;($F$7-$E$7)/($G$7-$E$7),$E$7+SQRT(Q576*($G$7-$E$7)*($F$7-$E$7)),$G$7-SQRT((1-Q576)*($G$7-$E$7)*($G$7-$F$7))))</f>
        <v>0.954132940072047</v>
      </c>
      <c r="D576" s="37" t="n">
        <f aca="false">1+IF($G$8=$E$8,$F$8,IF(R576&lt;($F$8-$E$8)/($G$8-$E$8),$E$8+SQRT(R576*($G$8-$E$8)*($F$8-$E$8)),$G$8-SQRT((1-R576)*($G$8-$E$8)*($G$8-$F$8))))</f>
        <v>1.02277463935989</v>
      </c>
      <c r="E576" s="37" t="n">
        <f aca="false">1+IF($G$9=$E$9,$F$9,IF(S576&lt;($F$9-$E$9)/($G$9-$E$9),$E$9+SQRT(S576*($G$9-$E$9)*($F$9-$E$9)),$G$9-SQRT((1-S576)*($G$9-$E$9)*($G$9-$F$9))))</f>
        <v>1.05779693406206</v>
      </c>
      <c r="F576" s="37" t="n">
        <f aca="false">1+IF($G$10=$E$10,$F$10,IF(T576&lt;($F$10-$E$10)/($G$10-$E$10),$E$10+SQRT(T576*($G$10-$E$10)*($F$10-$E$10)),$G$10-SQRT((1-T576)*($G$10-$E$10)*($G$10-$F$10))))</f>
        <v>1.11115157791012</v>
      </c>
      <c r="G576" s="38" t="n">
        <f aca="false">IF($G$11=$E$11,$F$11,IF(U576&lt;($F$11-$E$11)/($G$11-$E$11),$E$11+SQRT(U576*($G$11-$E$11)*($F$11-$E$11)),$G$11-SQRT((1-U576)*($G$11-$E$11)*($G$11-$F$11))))</f>
        <v>0.100415154002986</v>
      </c>
      <c r="H576" s="39" t="n">
        <f aca="false">(('Business Case'!B11*$C576*'Business Case'!B12*$B576)-'Business Case'!B11*$C576*'Business Case'!B13*$D576-'Business Case'!B14*$E576)-MAX(0,(('Business Case'!B11*$C576*'Business Case'!B12*$B576)-'Business Case'!B11*$C576*'Business Case'!B13*$D576-'Business Case'!B14*$E576))*'Business Case'!$B$7-'Business Case'!$B$8*('Business Case'!B11*$C576*'Business Case'!B12*$B576)-'Business Case'!B15*$F576</f>
        <v>-2222303155.82024</v>
      </c>
      <c r="I576" s="39" t="n">
        <f aca="false">(('Business Case'!C11*$C576*'Business Case'!C12*$B576)-'Business Case'!C11*$C576*'Business Case'!C13*$D576-'Business Case'!C14*$E576)-MAX(0,(('Business Case'!C11*$C576*'Business Case'!C12*$B576)-'Business Case'!C11*$C576*'Business Case'!C13*$D576-'Business Case'!C14*$E576))*'Business Case'!$B$7-'Business Case'!$B$8*(('Business Case'!C11*$C576*'Business Case'!C12*$B576)-('Business Case'!B11*$C576*'Business Case'!B12*$B576))-'Business Case'!C15*$F576</f>
        <v>-40315564.4992442</v>
      </c>
      <c r="J576" s="39" t="n">
        <f aca="false">(('Business Case'!D11*$C576*'Business Case'!D12*$B576)-'Business Case'!D11*$C576*'Business Case'!D13*$D576-'Business Case'!D14*$E576)-MAX(0,(('Business Case'!D11*$C576*'Business Case'!D12*$B576)-'Business Case'!D11*$C576*'Business Case'!D13*$D576-'Business Case'!D14*$E576))*'Business Case'!$B$7-'Business Case'!$B$8*(('Business Case'!D11*$C576*'Business Case'!D12*$B576)-('Business Case'!C11*$C576*'Business Case'!C12*$B576))-'Business Case'!D15*$F576</f>
        <v>229604245.438005</v>
      </c>
      <c r="K576" s="39" t="n">
        <f aca="false">(('Business Case'!E11*$C576*'Business Case'!E12*$B576)-'Business Case'!E11*$C576*'Business Case'!E13*$D576-'Business Case'!E14*$E576)-MAX(0,(('Business Case'!E11*$C576*'Business Case'!E12*$B576)-'Business Case'!E11*$C576*'Business Case'!E13*$D576-'Business Case'!E14*$E576))*'Business Case'!$B$7-'Business Case'!$B$8*(('Business Case'!E11*$C576*'Business Case'!E12*$B576)-('Business Case'!D11*$C576*'Business Case'!D12*$B576))-'Business Case'!E15*$F576</f>
        <v>555081634.270761</v>
      </c>
      <c r="L576" s="39" t="n">
        <f aca="false">(('Business Case'!F11*$C576*'Business Case'!F12*$B576)-'Business Case'!F11*$C576*'Business Case'!F13*$D576-'Business Case'!F14*$E576)-MAX(0,(('Business Case'!F11*$C576*'Business Case'!F12*$B576)-'Business Case'!F11*$C576*'Business Case'!F13*$D576-'Business Case'!F14*$E576))*'Business Case'!$B$7-'Business Case'!$B$8*(('Business Case'!F11*$C576*'Business Case'!F12*$B576)-('Business Case'!E11*$C576*'Business Case'!E12*$B576))-'Business Case'!F15*$F576</f>
        <v>677522565.997749</v>
      </c>
      <c r="M576" s="39" t="n">
        <f aca="false">(('Business Case'!G11*$C576*'Business Case'!G12*$B576)-'Business Case'!G11*$C576*'Business Case'!G13*$D576-'Business Case'!G14*$E576)-MAX(0,(('Business Case'!G11*$C576*'Business Case'!G12*$B576)-'Business Case'!G11*$C576*'Business Case'!G13*$D576-'Business Case'!G14*$E576))*'Business Case'!$B$7-'Business Case'!$B$8*(('Business Case'!G11*$C576*'Business Case'!G12*$B576)-('Business Case'!F11*$C576*'Business Case'!F12*$B576))-'Business Case'!G15*$F576+'Business Case'!$B$8*('Business Case'!G11*$C576*'Business Case'!G12*$B576)</f>
        <v>856094705.611227</v>
      </c>
      <c r="N576" s="39" t="n">
        <f aca="false">IF(COUNT('Business Case'!B11:G11)=0,"",H576+NPV(G576,I576:M576))</f>
        <v>-660133628.100805</v>
      </c>
      <c r="P576" s="40" t="n">
        <f aca="true">RAND()</f>
        <v>0.4349653290245</v>
      </c>
      <c r="Q576" s="40" t="n">
        <f aca="true">RAND()</f>
        <v>0.339385188789332</v>
      </c>
      <c r="R576" s="40" t="n">
        <f aca="true">RAND()</f>
        <v>0.685120971116331</v>
      </c>
      <c r="S576" s="40" t="n">
        <f aca="true">RAND()</f>
        <v>0.881260081695834</v>
      </c>
      <c r="T576" s="40" t="n">
        <f aca="true">RAND()</f>
        <v>0.842119157842772</v>
      </c>
      <c r="U576" s="40" t="n">
        <f aca="true">RAND()</f>
        <v>0.360723012122052</v>
      </c>
    </row>
    <row r="577" customFormat="false" ht="15" hidden="false" customHeight="false" outlineLevel="0" collapsed="false">
      <c r="A577" s="36" t="n">
        <v>497</v>
      </c>
      <c r="B577" s="37" t="n">
        <f aca="false">1+IF($G$6=$E$6,$F$6,IF(P577&lt;($F$6-$E$6)/($G$6-$E$6),$E$6+SQRT(P577*($G$6-$E$6)*($F$6-$E$6)),$G$6-SQRT((1-P577)*($G$6-$E$6)*($G$6-$F$6))))</f>
        <v>0.967222586533061</v>
      </c>
      <c r="C577" s="37" t="n">
        <f aca="false">1+IF($G$7=$E$7,$F$7,IF(Q577&lt;($F$7-$E$7)/($G$7-$E$7),$E$7+SQRT(Q577*($G$7-$E$7)*($F$7-$E$7)),$G$7-SQRT((1-Q577)*($G$7-$E$7)*($G$7-$F$7))))</f>
        <v>1.0597191368303</v>
      </c>
      <c r="D577" s="37" t="n">
        <f aca="false">1+IF($G$8=$E$8,$F$8,IF(R577&lt;($F$8-$E$8)/($G$8-$E$8),$E$8+SQRT(R577*($G$8-$E$8)*($F$8-$E$8)),$G$8-SQRT((1-R577)*($G$8-$E$8)*($G$8-$F$8))))</f>
        <v>1.04175592306569</v>
      </c>
      <c r="E577" s="37" t="n">
        <f aca="false">1+IF($G$9=$E$9,$F$9,IF(S577&lt;($F$9-$E$9)/($G$9-$E$9),$E$9+SQRT(S577*($G$9-$E$9)*($F$9-$E$9)),$G$9-SQRT((1-S577)*($G$9-$E$9)*($G$9-$F$9))))</f>
        <v>1.016556087926</v>
      </c>
      <c r="F577" s="37" t="n">
        <f aca="false">1+IF($G$10=$E$10,$F$10,IF(T577&lt;($F$10-$E$10)/($G$10-$E$10),$E$10+SQRT(T577*($G$10-$E$10)*($F$10-$E$10)),$G$10-SQRT((1-T577)*($G$10-$E$10)*($G$10-$F$10))))</f>
        <v>1.05223789420593</v>
      </c>
      <c r="G577" s="38" t="n">
        <f aca="false">IF($G$11=$E$11,$F$11,IF(U577&lt;($F$11-$E$11)/($G$11-$E$11),$E$11+SQRT(U577*($G$11-$E$11)*($F$11-$E$11)),$G$11-SQRT((1-U577)*($G$11-$E$11)*($G$11-$F$11))))</f>
        <v>0.102102210901024</v>
      </c>
      <c r="H577" s="39" t="n">
        <f aca="false">(('Business Case'!B11*$C577*'Business Case'!B12*$B577)-'Business Case'!B11*$C577*'Business Case'!B13*$D577-'Business Case'!B14*$E577)-MAX(0,(('Business Case'!B11*$C577*'Business Case'!B12*$B577)-'Business Case'!B11*$C577*'Business Case'!B13*$D577-'Business Case'!B14*$E577))*'Business Case'!$B$7-'Business Case'!$B$8*('Business Case'!B11*$C577*'Business Case'!B12*$B577)-'Business Case'!B15*$F577</f>
        <v>-2104475788.41186</v>
      </c>
      <c r="I577" s="39" t="n">
        <f aca="false">(('Business Case'!C11*$C577*'Business Case'!C12*$B577)-'Business Case'!C11*$C577*'Business Case'!C13*$D577-'Business Case'!C14*$E577)-MAX(0,(('Business Case'!C11*$C577*'Business Case'!C12*$B577)-'Business Case'!C11*$C577*'Business Case'!C13*$D577-'Business Case'!C14*$E577))*'Business Case'!$B$7-'Business Case'!$B$8*(('Business Case'!C11*$C577*'Business Case'!C12*$B577)-('Business Case'!B11*$C577*'Business Case'!B12*$B577))-'Business Case'!C15*$F577</f>
        <v>-28520973.0855223</v>
      </c>
      <c r="J577" s="39" t="n">
        <f aca="false">(('Business Case'!D11*$C577*'Business Case'!D12*$B577)-'Business Case'!D11*$C577*'Business Case'!D13*$D577-'Business Case'!D14*$E577)-MAX(0,(('Business Case'!D11*$C577*'Business Case'!D12*$B577)-'Business Case'!D11*$C577*'Business Case'!D13*$D577-'Business Case'!D14*$E577))*'Business Case'!$B$7-'Business Case'!$B$8*(('Business Case'!D11*$C577*'Business Case'!D12*$B577)-('Business Case'!C11*$C577*'Business Case'!C12*$B577))-'Business Case'!D15*$F577</f>
        <v>245871304.262328</v>
      </c>
      <c r="K577" s="39" t="n">
        <f aca="false">(('Business Case'!E11*$C577*'Business Case'!E12*$B577)-'Business Case'!E11*$C577*'Business Case'!E13*$D577-'Business Case'!E14*$E577)-MAX(0,(('Business Case'!E11*$C577*'Business Case'!E12*$B577)-'Business Case'!E11*$C577*'Business Case'!E13*$D577-'Business Case'!E14*$E577))*'Business Case'!$B$7-'Business Case'!$B$8*(('Business Case'!E11*$C577*'Business Case'!E12*$B577)-('Business Case'!D11*$C577*'Business Case'!D12*$B577))-'Business Case'!E15*$F577</f>
        <v>572875476.320476</v>
      </c>
      <c r="L577" s="39" t="n">
        <f aca="false">(('Business Case'!F11*$C577*'Business Case'!F12*$B577)-'Business Case'!F11*$C577*'Business Case'!F13*$D577-'Business Case'!F14*$E577)-MAX(0,(('Business Case'!F11*$C577*'Business Case'!F12*$B577)-'Business Case'!F11*$C577*'Business Case'!F13*$D577-'Business Case'!F14*$E577))*'Business Case'!$B$7-'Business Case'!$B$8*(('Business Case'!F11*$C577*'Business Case'!F12*$B577)-('Business Case'!E11*$C577*'Business Case'!E12*$B577))-'Business Case'!F15*$F577</f>
        <v>699763025.642894</v>
      </c>
      <c r="M577" s="39" t="n">
        <f aca="false">(('Business Case'!G11*$C577*'Business Case'!G12*$B577)-'Business Case'!G11*$C577*'Business Case'!G13*$D577-'Business Case'!G14*$E577)-MAX(0,(('Business Case'!G11*$C577*'Business Case'!G12*$B577)-'Business Case'!G11*$C577*'Business Case'!G13*$D577-'Business Case'!G14*$E577))*'Business Case'!$B$7-'Business Case'!$B$8*(('Business Case'!G11*$C577*'Business Case'!G12*$B577)-('Business Case'!F11*$C577*'Business Case'!F12*$B577))-'Business Case'!G15*$F577+'Business Case'!$B$8*('Business Case'!G11*$C577*'Business Case'!G12*$B577)</f>
        <v>894592038.445138</v>
      </c>
      <c r="N577" s="39" t="n">
        <f aca="false">IF(COUNT('Business Case'!B11:G11)=0,"",H577+NPV(G577,I577:M577))</f>
        <v>-475472867.676057</v>
      </c>
      <c r="P577" s="40" t="n">
        <f aca="true">RAND()</f>
        <v>0.232288820715882</v>
      </c>
      <c r="Q577" s="40" t="n">
        <f aca="true">RAND()</f>
        <v>0.844749823720658</v>
      </c>
      <c r="R577" s="40" t="n">
        <f aca="true">RAND()</f>
        <v>0.85936447879253</v>
      </c>
      <c r="S577" s="40" t="n">
        <f aca="true">RAND()</f>
        <v>0.535807569185771</v>
      </c>
      <c r="T577" s="40" t="n">
        <f aca="true">RAND()</f>
        <v>0.563327201826028</v>
      </c>
      <c r="U577" s="40" t="n">
        <f aca="true">RAND()</f>
        <v>0.466115242280933</v>
      </c>
    </row>
    <row r="578" customFormat="false" ht="15" hidden="false" customHeight="false" outlineLevel="0" collapsed="false">
      <c r="A578" s="36" t="n">
        <v>498</v>
      </c>
      <c r="B578" s="37" t="n">
        <f aca="false">1+IF($G$6=$E$6,$F$6,IF(P578&lt;($F$6-$E$6)/($G$6-$E$6),$E$6+SQRT(P578*($G$6-$E$6)*($F$6-$E$6)),$G$6-SQRT((1-P578)*($G$6-$E$6)*($G$6-$F$6))))</f>
        <v>1.00175354816588</v>
      </c>
      <c r="C578" s="37" t="n">
        <f aca="false">1+IF($G$7=$E$7,$F$7,IF(Q578&lt;($F$7-$E$7)/($G$7-$E$7),$E$7+SQRT(Q578*($G$7-$E$7)*($F$7-$E$7)),$G$7-SQRT((1-Q578)*($G$7-$E$7)*($G$7-$F$7))))</f>
        <v>0.995939389819346</v>
      </c>
      <c r="D578" s="37" t="n">
        <f aca="false">1+IF($G$8=$E$8,$F$8,IF(R578&lt;($F$8-$E$8)/($G$8-$E$8),$E$8+SQRT(R578*($G$8-$E$8)*($F$8-$E$8)),$G$8-SQRT((1-R578)*($G$8-$E$8)*($G$8-$F$8))))</f>
        <v>1.05314708922715</v>
      </c>
      <c r="E578" s="37" t="n">
        <f aca="false">1+IF($G$9=$E$9,$F$9,IF(S578&lt;($F$9-$E$9)/($G$9-$E$9),$E$9+SQRT(S578*($G$9-$E$9)*($F$9-$E$9)),$G$9-SQRT((1-S578)*($G$9-$E$9)*($G$9-$F$9))))</f>
        <v>1.07523754917801</v>
      </c>
      <c r="F578" s="37" t="n">
        <f aca="false">1+IF($G$10=$E$10,$F$10,IF(T578&lt;($F$10-$E$10)/($G$10-$E$10),$E$10+SQRT(T578*($G$10-$E$10)*($F$10-$E$10)),$G$10-SQRT((1-T578)*($G$10-$E$10)*($G$10-$F$10))))</f>
        <v>0.955019252436741</v>
      </c>
      <c r="G578" s="38" t="n">
        <f aca="false">IF($G$11=$E$11,$F$11,IF(U578&lt;($F$11-$E$11)/($G$11-$E$11),$E$11+SQRT(U578*($G$11-$E$11)*($F$11-$E$11)),$G$11-SQRT((1-U578)*($G$11-$E$11)*($G$11-$F$11))))</f>
        <v>0.111752483074511</v>
      </c>
      <c r="H578" s="39" t="n">
        <f aca="false">(('Business Case'!B11*$C578*'Business Case'!B12*$B578)-'Business Case'!B11*$C578*'Business Case'!B13*$D578-'Business Case'!B14*$E578)-MAX(0,(('Business Case'!B11*$C578*'Business Case'!B12*$B578)-'Business Case'!B11*$C578*'Business Case'!B13*$D578-'Business Case'!B14*$E578))*'Business Case'!$B$7-'Business Case'!$B$8*('Business Case'!B11*$C578*'Business Case'!B12*$B578)-'Business Case'!B15*$F578</f>
        <v>-1910038504.87348</v>
      </c>
      <c r="I578" s="39" t="n">
        <f aca="false">(('Business Case'!C11*$C578*'Business Case'!C12*$B578)-'Business Case'!C11*$C578*'Business Case'!C13*$D578-'Business Case'!C14*$E578)-MAX(0,(('Business Case'!C11*$C578*'Business Case'!C12*$B578)-'Business Case'!C11*$C578*'Business Case'!C13*$D578-'Business Case'!C14*$E578))*'Business Case'!$B$7-'Business Case'!$B$8*(('Business Case'!C11*$C578*'Business Case'!C12*$B578)-('Business Case'!B11*$C578*'Business Case'!B12*$B578))-'Business Case'!C15*$F578</f>
        <v>-19882092.6943157</v>
      </c>
      <c r="J578" s="39" t="n">
        <f aca="false">(('Business Case'!D11*$C578*'Business Case'!D12*$B578)-'Business Case'!D11*$C578*'Business Case'!D13*$D578-'Business Case'!D14*$E578)-MAX(0,(('Business Case'!D11*$C578*'Business Case'!D12*$B578)-'Business Case'!D11*$C578*'Business Case'!D13*$D578-'Business Case'!D14*$E578))*'Business Case'!$B$7-'Business Case'!$B$8*(('Business Case'!D11*$C578*'Business Case'!D12*$B578)-('Business Case'!C11*$C578*'Business Case'!C12*$B578))-'Business Case'!D15*$F578</f>
        <v>260356552.127858</v>
      </c>
      <c r="K578" s="39" t="n">
        <f aca="false">(('Business Case'!E11*$C578*'Business Case'!E12*$B578)-'Business Case'!E11*$C578*'Business Case'!E13*$D578-'Business Case'!E14*$E578)-MAX(0,(('Business Case'!E11*$C578*'Business Case'!E12*$B578)-'Business Case'!E11*$C578*'Business Case'!E13*$D578-'Business Case'!E14*$E578))*'Business Case'!$B$7-'Business Case'!$B$8*(('Business Case'!E11*$C578*'Business Case'!E12*$B578)-('Business Case'!D11*$C578*'Business Case'!D12*$B578))-'Business Case'!E15*$F578</f>
        <v>588346159.57187</v>
      </c>
      <c r="L578" s="39" t="n">
        <f aca="false">(('Business Case'!F11*$C578*'Business Case'!F12*$B578)-'Business Case'!F11*$C578*'Business Case'!F13*$D578-'Business Case'!F14*$E578)-MAX(0,(('Business Case'!F11*$C578*'Business Case'!F12*$B578)-'Business Case'!F11*$C578*'Business Case'!F13*$D578-'Business Case'!F14*$E578))*'Business Case'!$B$7-'Business Case'!$B$8*(('Business Case'!F11*$C578*'Business Case'!F12*$B578)-('Business Case'!E11*$C578*'Business Case'!E12*$B578))-'Business Case'!F15*$F578</f>
        <v>716239063.032396</v>
      </c>
      <c r="M578" s="39" t="n">
        <f aca="false">(('Business Case'!G11*$C578*'Business Case'!G12*$B578)-'Business Case'!G11*$C578*'Business Case'!G13*$D578-'Business Case'!G14*$E578)-MAX(0,(('Business Case'!G11*$C578*'Business Case'!G12*$B578)-'Business Case'!G11*$C578*'Business Case'!G13*$D578-'Business Case'!G14*$E578))*'Business Case'!$B$7-'Business Case'!$B$8*(('Business Case'!G11*$C578*'Business Case'!G12*$B578)-('Business Case'!F11*$C578*'Business Case'!F12*$B578))-'Business Case'!G15*$F578+'Business Case'!$B$8*('Business Case'!G11*$C578*'Business Case'!G12*$B578)</f>
        <v>905879183.224637</v>
      </c>
      <c r="N578" s="39" t="n">
        <f aca="false">IF(COUNT('Business Case'!B11:G11)=0,"",H578+NPV(G578,I578:M578))</f>
        <v>-286901636.292439</v>
      </c>
      <c r="P578" s="40" t="n">
        <f aca="true">RAND()</f>
        <v>0.695251858770825</v>
      </c>
      <c r="Q578" s="40" t="n">
        <f aca="true">RAND()</f>
        <v>0.548460635468253</v>
      </c>
      <c r="R578" s="40" t="n">
        <f aca="true">RAND()</f>
        <v>0.930665498367841</v>
      </c>
      <c r="S578" s="40" t="n">
        <f aca="true">RAND()</f>
        <v>0.959121401952578</v>
      </c>
      <c r="T578" s="40" t="n">
        <f aca="true">RAND()</f>
        <v>0.00201543160189834</v>
      </c>
      <c r="U578" s="40" t="n">
        <f aca="true">RAND()</f>
        <v>0.886630774272955</v>
      </c>
    </row>
    <row r="579" customFormat="false" ht="15" hidden="false" customHeight="false" outlineLevel="0" collapsed="false">
      <c r="A579" s="36" t="n">
        <v>499</v>
      </c>
      <c r="B579" s="37" t="n">
        <f aca="false">1+IF($G$6=$E$6,$F$6,IF(P579&lt;($F$6-$E$6)/($G$6-$E$6),$E$6+SQRT(P579*($G$6-$E$6)*($F$6-$E$6)),$G$6-SQRT((1-P579)*($G$6-$E$6)*($G$6-$F$6))))</f>
        <v>1.01390296002392</v>
      </c>
      <c r="C579" s="37" t="n">
        <f aca="false">1+IF($G$7=$E$7,$F$7,IF(Q579&lt;($F$7-$E$7)/($G$7-$E$7),$E$7+SQRT(Q579*($G$7-$E$7)*($F$7-$E$7)),$G$7-SQRT((1-Q579)*($G$7-$E$7)*($G$7-$F$7))))</f>
        <v>0.923082783741085</v>
      </c>
      <c r="D579" s="37" t="n">
        <f aca="false">1+IF($G$8=$E$8,$F$8,IF(R579&lt;($F$8-$E$8)/($G$8-$E$8),$E$8+SQRT(R579*($G$8-$E$8)*($F$8-$E$8)),$G$8-SQRT((1-R579)*($G$8-$E$8)*($G$8-$F$8))))</f>
        <v>0.998983796458414</v>
      </c>
      <c r="E579" s="37" t="n">
        <f aca="false">1+IF($G$9=$E$9,$F$9,IF(S579&lt;($F$9-$E$9)/($G$9-$E$9),$E$9+SQRT(S579*($G$9-$E$9)*($F$9-$E$9)),$G$9-SQRT((1-S579)*($G$9-$E$9)*($G$9-$F$9))))</f>
        <v>1.08270191369025</v>
      </c>
      <c r="F579" s="37" t="n">
        <f aca="false">1+IF($G$10=$E$10,$F$10,IF(T579&lt;($F$10-$E$10)/($G$10-$E$10),$E$10+SQRT(T579*($G$10-$E$10)*($F$10-$E$10)),$G$10-SQRT((1-T579)*($G$10-$E$10)*($G$10-$F$10))))</f>
        <v>0.979977691441368</v>
      </c>
      <c r="G579" s="38" t="n">
        <f aca="false">IF($G$11=$E$11,$F$11,IF(U579&lt;($F$11-$E$11)/($G$11-$E$11),$E$11+SQRT(U579*($G$11-$E$11)*($F$11-$E$11)),$G$11-SQRT((1-U579)*($G$11-$E$11)*($G$11-$F$11))))</f>
        <v>0.109952356486023</v>
      </c>
      <c r="H579" s="39" t="n">
        <f aca="false">(('Business Case'!B11*$C579*'Business Case'!B12*$B579)-'Business Case'!B11*$C579*'Business Case'!B13*$D579-'Business Case'!B14*$E579)-MAX(0,(('Business Case'!B11*$C579*'Business Case'!B12*$B579)-'Business Case'!B11*$C579*'Business Case'!B13*$D579-'Business Case'!B14*$E579))*'Business Case'!$B$7-'Business Case'!$B$8*('Business Case'!B11*$C579*'Business Case'!B12*$B579)-'Business Case'!B15*$F579</f>
        <v>-1959955382.88274</v>
      </c>
      <c r="I579" s="39" t="n">
        <f aca="false">(('Business Case'!C11*$C579*'Business Case'!C12*$B579)-'Business Case'!C11*$C579*'Business Case'!C13*$D579-'Business Case'!C14*$E579)-MAX(0,(('Business Case'!C11*$C579*'Business Case'!C12*$B579)-'Business Case'!C11*$C579*'Business Case'!C13*$D579-'Business Case'!C14*$E579))*'Business Case'!$B$7-'Business Case'!$B$8*(('Business Case'!C11*$C579*'Business Case'!C12*$B579)-('Business Case'!B11*$C579*'Business Case'!B12*$B579))-'Business Case'!C15*$F579</f>
        <v>-5957332.57084423</v>
      </c>
      <c r="J579" s="39" t="n">
        <f aca="false">(('Business Case'!D11*$C579*'Business Case'!D12*$B579)-'Business Case'!D11*$C579*'Business Case'!D13*$D579-'Business Case'!D14*$E579)-MAX(0,(('Business Case'!D11*$C579*'Business Case'!D12*$B579)-'Business Case'!D11*$C579*'Business Case'!D13*$D579-'Business Case'!D14*$E579))*'Business Case'!$B$7-'Business Case'!$B$8*(('Business Case'!D11*$C579*'Business Case'!D12*$B579)-('Business Case'!C11*$C579*'Business Case'!C12*$B579))-'Business Case'!D15*$F579</f>
        <v>288561220.583191</v>
      </c>
      <c r="K579" s="39" t="n">
        <f aca="false">(('Business Case'!E11*$C579*'Business Case'!E12*$B579)-'Business Case'!E11*$C579*'Business Case'!E13*$D579-'Business Case'!E14*$E579)-MAX(0,(('Business Case'!E11*$C579*'Business Case'!E12*$B579)-'Business Case'!E11*$C579*'Business Case'!E13*$D579-'Business Case'!E14*$E579))*'Business Case'!$B$7-'Business Case'!$B$8*(('Business Case'!E11*$C579*'Business Case'!E12*$B579)-('Business Case'!D11*$C579*'Business Case'!D12*$B579))-'Business Case'!E15*$F579</f>
        <v>632078658.309295</v>
      </c>
      <c r="L579" s="39" t="n">
        <f aca="false">(('Business Case'!F11*$C579*'Business Case'!F12*$B579)-'Business Case'!F11*$C579*'Business Case'!F13*$D579-'Business Case'!F14*$E579)-MAX(0,(('Business Case'!F11*$C579*'Business Case'!F12*$B579)-'Business Case'!F11*$C579*'Business Case'!F13*$D579-'Business Case'!F14*$E579))*'Business Case'!$B$7-'Business Case'!$B$8*(('Business Case'!F11*$C579*'Business Case'!F12*$B579)-('Business Case'!E11*$C579*'Business Case'!E12*$B579))-'Business Case'!F15*$F579</f>
        <v>762596778.996633</v>
      </c>
      <c r="M579" s="39" t="n">
        <f aca="false">(('Business Case'!G11*$C579*'Business Case'!G12*$B579)-'Business Case'!G11*$C579*'Business Case'!G13*$D579-'Business Case'!G14*$E579)-MAX(0,(('Business Case'!G11*$C579*'Business Case'!G12*$B579)-'Business Case'!G11*$C579*'Business Case'!G13*$D579-'Business Case'!G14*$E579))*'Business Case'!$B$7-'Business Case'!$B$8*(('Business Case'!G11*$C579*'Business Case'!G12*$B579)-('Business Case'!F11*$C579*'Business Case'!F12*$B579))-'Business Case'!G15*$F579+'Business Case'!$B$8*('Business Case'!G11*$C579*'Business Case'!G12*$B579)</f>
        <v>940495761.994595</v>
      </c>
      <c r="N579" s="39" t="n">
        <f aca="false">IF(COUNT('Business Case'!B11:G11)=0,"",H579+NPV(G579,I579:M579))</f>
        <v>-208179096.899627</v>
      </c>
      <c r="P579" s="40" t="n">
        <f aca="true">RAND()</f>
        <v>0.858113438434772</v>
      </c>
      <c r="Q579" s="40" t="n">
        <f aca="true">RAND()</f>
        <v>0.216419595049353</v>
      </c>
      <c r="R579" s="40" t="n">
        <f aca="true">RAND()</f>
        <v>0.369140356227593</v>
      </c>
      <c r="S579" s="40" t="n">
        <f aca="true">RAND()</f>
        <v>0.980051747334687</v>
      </c>
      <c r="T579" s="40" t="n">
        <f aca="true">RAND()</f>
        <v>0.0718929587323089</v>
      </c>
      <c r="U579" s="40" t="n">
        <f aca="true">RAND()</f>
        <v>0.831741433026725</v>
      </c>
    </row>
    <row r="580" customFormat="false" ht="15" hidden="false" customHeight="false" outlineLevel="0" collapsed="false">
      <c r="A580" s="36" t="n">
        <v>500</v>
      </c>
      <c r="B580" s="37" t="n">
        <f aca="false">1+IF($G$6=$E$6,$F$6,IF(P580&lt;($F$6-$E$6)/($G$6-$E$6),$E$6+SQRT(P580*($G$6-$E$6)*($F$6-$E$6)),$G$6-SQRT((1-P580)*($G$6-$E$6)*($G$6-$F$6))))</f>
        <v>0.977717661120462</v>
      </c>
      <c r="C580" s="37" t="n">
        <f aca="false">1+IF($G$7=$E$7,$F$7,IF(Q580&lt;($F$7-$E$7)/($G$7-$E$7),$E$7+SQRT(Q580*($G$7-$E$7)*($F$7-$E$7)),$G$7-SQRT((1-Q580)*($G$7-$E$7)*($G$7-$F$7))))</f>
        <v>1.04824609933464</v>
      </c>
      <c r="D580" s="37" t="n">
        <f aca="false">1+IF($G$8=$E$8,$F$8,IF(R580&lt;($F$8-$E$8)/($G$8-$E$8),$E$8+SQRT(R580*($G$8-$E$8)*($F$8-$E$8)),$G$8-SQRT((1-R580)*($G$8-$E$8)*($G$8-$F$8))))</f>
        <v>0.987686008037179</v>
      </c>
      <c r="E580" s="37" t="n">
        <f aca="false">1+IF($G$9=$E$9,$F$9,IF(S580&lt;($F$9-$E$9)/($G$9-$E$9),$E$9+SQRT(S580*($G$9-$E$9)*($F$9-$E$9)),$G$9-SQRT((1-S580)*($G$9-$E$9)*($G$9-$F$9))))</f>
        <v>1.04671228674619</v>
      </c>
      <c r="F580" s="37" t="n">
        <f aca="false">1+IF($G$10=$E$10,$F$10,IF(T580&lt;($F$10-$E$10)/($G$10-$E$10),$E$10+SQRT(T580*($G$10-$E$10)*($F$10-$E$10)),$G$10-SQRT((1-T580)*($G$10-$E$10)*($G$10-$F$10))))</f>
        <v>0.997717053039604</v>
      </c>
      <c r="G580" s="38" t="n">
        <f aca="false">IF($G$11=$E$11,$F$11,IF(U580&lt;($F$11-$E$11)/($G$11-$E$11),$E$11+SQRT(U580*($G$11-$E$11)*($F$11-$E$11)),$G$11-SQRT((1-U580)*($G$11-$E$11)*($G$11-$F$11))))</f>
        <v>0.100289860170603</v>
      </c>
      <c r="H580" s="39" t="n">
        <f aca="false">(('Business Case'!B11*$C580*'Business Case'!B12*$B580)-'Business Case'!B11*$C580*'Business Case'!B13*$D580-'Business Case'!B14*$E580)-MAX(0,(('Business Case'!B11*$C580*'Business Case'!B12*$B580)-'Business Case'!B11*$C580*'Business Case'!B13*$D580-'Business Case'!B14*$E580))*'Business Case'!$B$7-'Business Case'!$B$8*('Business Case'!B11*$C580*'Business Case'!B12*$B580)-'Business Case'!B15*$F580</f>
        <v>-1995434106.07921</v>
      </c>
      <c r="I580" s="39" t="n">
        <f aca="false">(('Business Case'!C11*$C580*'Business Case'!C12*$B580)-'Business Case'!C11*$C580*'Business Case'!C13*$D580-'Business Case'!C14*$E580)-MAX(0,(('Business Case'!C11*$C580*'Business Case'!C12*$B580)-'Business Case'!C11*$C580*'Business Case'!C13*$D580-'Business Case'!C14*$E580))*'Business Case'!$B$7-'Business Case'!$B$8*(('Business Case'!C11*$C580*'Business Case'!C12*$B580)-('Business Case'!B11*$C580*'Business Case'!B12*$B580))-'Business Case'!C15*$F580</f>
        <v>7703001.74247277</v>
      </c>
      <c r="J580" s="39" t="n">
        <f aca="false">(('Business Case'!D11*$C580*'Business Case'!D12*$B580)-'Business Case'!D11*$C580*'Business Case'!D13*$D580-'Business Case'!D14*$E580)-MAX(0,(('Business Case'!D11*$C580*'Business Case'!D12*$B580)-'Business Case'!D11*$C580*'Business Case'!D13*$D580-'Business Case'!D14*$E580))*'Business Case'!$B$7-'Business Case'!$B$8*(('Business Case'!D11*$C580*'Business Case'!D12*$B580)-('Business Case'!C11*$C580*'Business Case'!C12*$B580))-'Business Case'!D15*$F580</f>
        <v>317150427.443336</v>
      </c>
      <c r="K580" s="39" t="n">
        <f aca="false">(('Business Case'!E11*$C580*'Business Case'!E12*$B580)-'Business Case'!E11*$C580*'Business Case'!E13*$D580-'Business Case'!E14*$E580)-MAX(0,(('Business Case'!E11*$C580*'Business Case'!E12*$B580)-'Business Case'!E11*$C580*'Business Case'!E13*$D580-'Business Case'!E14*$E580))*'Business Case'!$B$7-'Business Case'!$B$8*(('Business Case'!E11*$C580*'Business Case'!E12*$B580)-('Business Case'!D11*$C580*'Business Case'!D12*$B580))-'Business Case'!E15*$F580</f>
        <v>676483705.79618</v>
      </c>
      <c r="L580" s="39" t="n">
        <f aca="false">(('Business Case'!F11*$C580*'Business Case'!F12*$B580)-'Business Case'!F11*$C580*'Business Case'!F13*$D580-'Business Case'!F14*$E580)-MAX(0,(('Business Case'!F11*$C580*'Business Case'!F12*$B580)-'Business Case'!F11*$C580*'Business Case'!F13*$D580-'Business Case'!F14*$E580))*'Business Case'!$B$7-'Business Case'!$B$8*(('Business Case'!F11*$C580*'Business Case'!F12*$B580)-('Business Case'!E11*$C580*'Business Case'!E12*$B580))-'Business Case'!F15*$F580</f>
        <v>815053002.015884</v>
      </c>
      <c r="M580" s="39" t="n">
        <f aca="false">(('Business Case'!G11*$C580*'Business Case'!G12*$B580)-'Business Case'!G11*$C580*'Business Case'!G13*$D580-'Business Case'!G14*$E580)-MAX(0,(('Business Case'!G11*$C580*'Business Case'!G12*$B580)-'Business Case'!G11*$C580*'Business Case'!G13*$D580-'Business Case'!G14*$E580))*'Business Case'!$B$7-'Business Case'!$B$8*(('Business Case'!G11*$C580*'Business Case'!G12*$B580)-('Business Case'!F11*$C580*'Business Case'!F12*$B580))-'Business Case'!G15*$F580+'Business Case'!$B$8*('Business Case'!G11*$C580*'Business Case'!G12*$B580)</f>
        <v>1009863850.77267</v>
      </c>
      <c r="N580" s="39" t="n">
        <f aca="false">IF(COUNT('Business Case'!B11:G11)=0,"",H580+NPV(G580,I580:M580))</f>
        <v>-36286598.5352454</v>
      </c>
      <c r="P580" s="40" t="n">
        <f aca="true">RAND()</f>
        <v>0.347013375543379</v>
      </c>
      <c r="Q580" s="40" t="n">
        <f aca="true">RAND()</f>
        <v>0.80278368951207</v>
      </c>
      <c r="R580" s="40" t="n">
        <f aca="true">RAND()</f>
        <v>0.218497723350507</v>
      </c>
      <c r="S580" s="40" t="n">
        <f aca="true">RAND()</f>
        <v>0.810694641078634</v>
      </c>
      <c r="T580" s="40" t="n">
        <f aca="true">RAND()</f>
        <v>0.182153372062753</v>
      </c>
      <c r="U580" s="40" t="n">
        <f aca="true">RAND()</f>
        <v>0.352517313176051</v>
      </c>
    </row>
    <row r="581" customFormat="false" ht="15" hidden="false" customHeight="false" outlineLevel="0" collapsed="false">
      <c r="A581" s="36" t="n">
        <v>501</v>
      </c>
      <c r="B581" s="37" t="n">
        <f aca="false">1+IF($G$6=$E$6,$F$6,IF(P581&lt;($F$6-$E$6)/($G$6-$E$6),$E$6+SQRT(P581*($G$6-$E$6)*($F$6-$E$6)),$G$6-SQRT((1-P581)*($G$6-$E$6)*($G$6-$F$6))))</f>
        <v>0.942787448179757</v>
      </c>
      <c r="C581" s="37" t="n">
        <f aca="false">1+IF($G$7=$E$7,$F$7,IF(Q581&lt;($F$7-$E$7)/($G$7-$E$7),$E$7+SQRT(Q581*($G$7-$E$7)*($F$7-$E$7)),$G$7-SQRT((1-Q581)*($G$7-$E$7)*($G$7-$F$7))))</f>
        <v>0.952541681336618</v>
      </c>
      <c r="D581" s="37" t="n">
        <f aca="false">1+IF($G$8=$E$8,$F$8,IF(R581&lt;($F$8-$E$8)/($G$8-$E$8),$E$8+SQRT(R581*($G$8-$E$8)*($F$8-$E$8)),$G$8-SQRT((1-R581)*($G$8-$E$8)*($G$8-$F$8))))</f>
        <v>1.02868313346634</v>
      </c>
      <c r="E581" s="37" t="n">
        <f aca="false">1+IF($G$9=$E$9,$F$9,IF(S581&lt;($F$9-$E$9)/($G$9-$E$9),$E$9+SQRT(S581*($G$9-$E$9)*($F$9-$E$9)),$G$9-SQRT((1-S581)*($G$9-$E$9)*($G$9-$F$9))))</f>
        <v>0.987950799411815</v>
      </c>
      <c r="F581" s="37" t="n">
        <f aca="false">1+IF($G$10=$E$10,$F$10,IF(T581&lt;($F$10-$E$10)/($G$10-$E$10),$E$10+SQRT(T581*($G$10-$E$10)*($F$10-$E$10)),$G$10-SQRT((1-T581)*($G$10-$E$10)*($G$10-$F$10))))</f>
        <v>1.07285627246749</v>
      </c>
      <c r="G581" s="38" t="n">
        <f aca="false">IF($G$11=$E$11,$F$11,IF(U581&lt;($F$11-$E$11)/($G$11-$E$11),$E$11+SQRT(U581*($G$11-$E$11)*($F$11-$E$11)),$G$11-SQRT((1-U581)*($G$11-$E$11)*($G$11-$F$11))))</f>
        <v>0.105009691421061</v>
      </c>
      <c r="H581" s="39" t="n">
        <f aca="false">(('Business Case'!B11*$C581*'Business Case'!B12*$B581)-'Business Case'!B11*$C581*'Business Case'!B13*$D581-'Business Case'!B14*$E581)-MAX(0,(('Business Case'!B11*$C581*'Business Case'!B12*$B581)-'Business Case'!B11*$C581*'Business Case'!B13*$D581-'Business Case'!B14*$E581))*'Business Case'!$B$7-'Business Case'!$B$8*('Business Case'!B11*$C581*'Business Case'!B12*$B581)-'Business Case'!B15*$F581</f>
        <v>-2145712544.93498</v>
      </c>
      <c r="I581" s="39" t="n">
        <f aca="false">(('Business Case'!C11*$C581*'Business Case'!C12*$B581)-'Business Case'!C11*$C581*'Business Case'!C13*$D581-'Business Case'!C14*$E581)-MAX(0,(('Business Case'!C11*$C581*'Business Case'!C12*$B581)-'Business Case'!C11*$C581*'Business Case'!C13*$D581-'Business Case'!C14*$E581))*'Business Case'!$B$7-'Business Case'!$B$8*(('Business Case'!C11*$C581*'Business Case'!C12*$B581)-('Business Case'!B11*$C581*'Business Case'!B12*$B581))-'Business Case'!C15*$F581</f>
        <v>-60375629.4748684</v>
      </c>
      <c r="J581" s="39" t="n">
        <f aca="false">(('Business Case'!D11*$C581*'Business Case'!D12*$B581)-'Business Case'!D11*$C581*'Business Case'!D13*$D581-'Business Case'!D14*$E581)-MAX(0,(('Business Case'!D11*$C581*'Business Case'!D12*$B581)-'Business Case'!D11*$C581*'Business Case'!D13*$D581-'Business Case'!D14*$E581))*'Business Case'!$B$7-'Business Case'!$B$8*(('Business Case'!D11*$C581*'Business Case'!D12*$B581)-('Business Case'!C11*$C581*'Business Case'!C12*$B581))-'Business Case'!D15*$F581</f>
        <v>173575590.612481</v>
      </c>
      <c r="K581" s="39" t="n">
        <f aca="false">(('Business Case'!E11*$C581*'Business Case'!E12*$B581)-'Business Case'!E11*$C581*'Business Case'!E13*$D581-'Business Case'!E14*$E581)-MAX(0,(('Business Case'!E11*$C581*'Business Case'!E12*$B581)-'Business Case'!E11*$C581*'Business Case'!E13*$D581-'Business Case'!E14*$E581))*'Business Case'!$B$7-'Business Case'!$B$8*(('Business Case'!E11*$C581*'Business Case'!E12*$B581)-('Business Case'!D11*$C581*'Business Case'!D12*$B581))-'Business Case'!E15*$F581</f>
        <v>461169624.323206</v>
      </c>
      <c r="L581" s="39" t="n">
        <f aca="false">(('Business Case'!F11*$C581*'Business Case'!F12*$B581)-'Business Case'!F11*$C581*'Business Case'!F13*$D581-'Business Case'!F14*$E581)-MAX(0,(('Business Case'!F11*$C581*'Business Case'!F12*$B581)-'Business Case'!F11*$C581*'Business Case'!F13*$D581-'Business Case'!F14*$E581))*'Business Case'!$B$7-'Business Case'!$B$8*(('Business Case'!F11*$C581*'Business Case'!F12*$B581)-('Business Case'!E11*$C581*'Business Case'!E12*$B581))-'Business Case'!F15*$F581</f>
        <v>570189776.778396</v>
      </c>
      <c r="M581" s="39" t="n">
        <f aca="false">(('Business Case'!G11*$C581*'Business Case'!G12*$B581)-'Business Case'!G11*$C581*'Business Case'!G13*$D581-'Business Case'!G14*$E581)-MAX(0,(('Business Case'!G11*$C581*'Business Case'!G12*$B581)-'Business Case'!G11*$C581*'Business Case'!G13*$D581-'Business Case'!G14*$E581))*'Business Case'!$B$7-'Business Case'!$B$8*(('Business Case'!G11*$C581*'Business Case'!G12*$B581)-('Business Case'!F11*$C581*'Business Case'!F12*$B581))-'Business Case'!G15*$F581+'Business Case'!$B$8*('Business Case'!G11*$C581*'Business Case'!G12*$B581)</f>
        <v>740890045.121798</v>
      </c>
      <c r="N581" s="39" t="n">
        <f aca="false">IF(COUNT('Business Case'!B11:G11)=0,"",H581+NPV(G581,I581:M581))</f>
        <v>-884271868.804023</v>
      </c>
      <c r="P581" s="40" t="n">
        <f aca="true">RAND()</f>
        <v>0.0540903952651142</v>
      </c>
      <c r="Q581" s="40" t="n">
        <f aca="true">RAND()</f>
        <v>0.332413779214321</v>
      </c>
      <c r="R581" s="40" t="n">
        <f aca="true">RAND()</f>
        <v>0.74678646241989</v>
      </c>
      <c r="S581" s="40" t="n">
        <f aca="true">RAND()</f>
        <v>0.192035090132777</v>
      </c>
      <c r="T581" s="40" t="n">
        <f aca="true">RAND()</f>
        <v>0.676689450982764</v>
      </c>
      <c r="U581" s="40" t="n">
        <f aca="true">RAND()</f>
        <v>0.625484414513656</v>
      </c>
    </row>
    <row r="582" customFormat="false" ht="15" hidden="false" customHeight="false" outlineLevel="0" collapsed="false">
      <c r="A582" s="36" t="n">
        <v>502</v>
      </c>
      <c r="B582" s="37" t="n">
        <f aca="false">1+IF($G$6=$E$6,$F$6,IF(P582&lt;($F$6-$E$6)/($G$6-$E$6),$E$6+SQRT(P582*($G$6-$E$6)*($F$6-$E$6)),$G$6-SQRT((1-P582)*($G$6-$E$6)*($G$6-$F$6))))</f>
        <v>1.0048618970165</v>
      </c>
      <c r="C582" s="37" t="n">
        <f aca="false">1+IF($G$7=$E$7,$F$7,IF(Q582&lt;($F$7-$E$7)/($G$7-$E$7),$E$7+SQRT(Q582*($G$7-$E$7)*($F$7-$E$7)),$G$7-SQRT((1-Q582)*($G$7-$E$7)*($G$7-$F$7))))</f>
        <v>1.06233729991946</v>
      </c>
      <c r="D582" s="37" t="n">
        <f aca="false">1+IF($G$8=$E$8,$F$8,IF(R582&lt;($F$8-$E$8)/($G$8-$E$8),$E$8+SQRT(R582*($G$8-$E$8)*($F$8-$E$8)),$G$8-SQRT((1-R582)*($G$8-$E$8)*($G$8-$F$8))))</f>
        <v>1.04754924953507</v>
      </c>
      <c r="E582" s="37" t="n">
        <f aca="false">1+IF($G$9=$E$9,$F$9,IF(S582&lt;($F$9-$E$9)/($G$9-$E$9),$E$9+SQRT(S582*($G$9-$E$9)*($F$9-$E$9)),$G$9-SQRT((1-S582)*($G$9-$E$9)*($G$9-$F$9))))</f>
        <v>0.986630264430961</v>
      </c>
      <c r="F582" s="37" t="n">
        <f aca="false">1+IF($G$10=$E$10,$F$10,IF(T582&lt;($F$10-$E$10)/($G$10-$E$10),$E$10+SQRT(T582*($G$10-$E$10)*($F$10-$E$10)),$G$10-SQRT((1-T582)*($G$10-$E$10)*($G$10-$F$10))))</f>
        <v>1.06422273766143</v>
      </c>
      <c r="G582" s="38" t="n">
        <f aca="false">IF($G$11=$E$11,$F$11,IF(U582&lt;($F$11-$E$11)/($G$11-$E$11),$E$11+SQRT(U582*($G$11-$E$11)*($F$11-$E$11)),$G$11-SQRT((1-U582)*($G$11-$E$11)*($G$11-$F$11))))</f>
        <v>0.10426218241417</v>
      </c>
      <c r="H582" s="39" t="n">
        <f aca="false">(('Business Case'!B11*$C582*'Business Case'!B12*$B582)-'Business Case'!B11*$C582*'Business Case'!B13*$D582-'Business Case'!B14*$E582)-MAX(0,(('Business Case'!B11*$C582*'Business Case'!B12*$B582)-'Business Case'!B11*$C582*'Business Case'!B13*$D582-'Business Case'!B14*$E582))*'Business Case'!$B$7-'Business Case'!$B$8*('Business Case'!B11*$C582*'Business Case'!B12*$B582)-'Business Case'!B15*$F582</f>
        <v>-2128445475.32286</v>
      </c>
      <c r="I582" s="39" t="n">
        <f aca="false">(('Business Case'!C11*$C582*'Business Case'!C12*$B582)-'Business Case'!C11*$C582*'Business Case'!C13*$D582-'Business Case'!C14*$E582)-MAX(0,(('Business Case'!C11*$C582*'Business Case'!C12*$B582)-'Business Case'!C11*$C582*'Business Case'!C13*$D582-'Business Case'!C14*$E582))*'Business Case'!$B$7-'Business Case'!$B$8*(('Business Case'!C11*$C582*'Business Case'!C12*$B582)-('Business Case'!B11*$C582*'Business Case'!B12*$B582))-'Business Case'!C15*$F582</f>
        <v>2610307.39078265</v>
      </c>
      <c r="J582" s="39" t="n">
        <f aca="false">(('Business Case'!D11*$C582*'Business Case'!D12*$B582)-'Business Case'!D11*$C582*'Business Case'!D13*$D582-'Business Case'!D14*$E582)-MAX(0,(('Business Case'!D11*$C582*'Business Case'!D12*$B582)-'Business Case'!D11*$C582*'Business Case'!D13*$D582-'Business Case'!D14*$E582))*'Business Case'!$B$7-'Business Case'!$B$8*(('Business Case'!D11*$C582*'Business Case'!D12*$B582)-('Business Case'!C11*$C582*'Business Case'!C12*$B582))-'Business Case'!D15*$F582</f>
        <v>307281030.058235</v>
      </c>
      <c r="K582" s="39" t="n">
        <f aca="false">(('Business Case'!E11*$C582*'Business Case'!E12*$B582)-'Business Case'!E11*$C582*'Business Case'!E13*$D582-'Business Case'!E14*$E582)-MAX(0,(('Business Case'!E11*$C582*'Business Case'!E12*$B582)-'Business Case'!E11*$C582*'Business Case'!E13*$D582-'Business Case'!E14*$E582))*'Business Case'!$B$7-'Business Case'!$B$8*(('Business Case'!E11*$C582*'Business Case'!E12*$B582)-('Business Case'!D11*$C582*'Business Case'!D12*$B582))-'Business Case'!E15*$F582</f>
        <v>665162889.60876</v>
      </c>
      <c r="L582" s="39" t="n">
        <f aca="false">(('Business Case'!F11*$C582*'Business Case'!F12*$B582)-'Business Case'!F11*$C582*'Business Case'!F13*$D582-'Business Case'!F14*$E582)-MAX(0,(('Business Case'!F11*$C582*'Business Case'!F12*$B582)-'Business Case'!F11*$C582*'Business Case'!F13*$D582-'Business Case'!F14*$E582))*'Business Case'!$B$7-'Business Case'!$B$8*(('Business Case'!F11*$C582*'Business Case'!F12*$B582)-('Business Case'!E11*$C582*'Business Case'!E12*$B582))-'Business Case'!F15*$F582</f>
        <v>803612675.770207</v>
      </c>
      <c r="M582" s="39" t="n">
        <f aca="false">(('Business Case'!G11*$C582*'Business Case'!G12*$B582)-'Business Case'!G11*$C582*'Business Case'!G13*$D582-'Business Case'!G14*$E582)-MAX(0,(('Business Case'!G11*$C582*'Business Case'!G12*$B582)-'Business Case'!G11*$C582*'Business Case'!G13*$D582-'Business Case'!G14*$E582))*'Business Case'!$B$7-'Business Case'!$B$8*(('Business Case'!G11*$C582*'Business Case'!G12*$B582)-('Business Case'!F11*$C582*'Business Case'!F12*$B582))-'Business Case'!G15*$F582+'Business Case'!$B$8*('Business Case'!G11*$C582*'Business Case'!G12*$B582)</f>
        <v>1006523508.10117</v>
      </c>
      <c r="N582" s="39" t="n">
        <f aca="false">IF(COUNT('Business Case'!B11:G11)=0,"",H582+NPV(G582,I582:M582))</f>
        <v>-226648106.924266</v>
      </c>
      <c r="P582" s="40" t="n">
        <f aca="true">RAND()</f>
        <v>0.74277369140015</v>
      </c>
      <c r="Q582" s="40" t="n">
        <f aca="true">RAND()</f>
        <v>0.853623828849329</v>
      </c>
      <c r="R582" s="40" t="n">
        <f aca="true">RAND()</f>
        <v>0.898745076371403</v>
      </c>
      <c r="S582" s="40" t="n">
        <f aca="true">RAND()</f>
        <v>0.178903502970954</v>
      </c>
      <c r="T582" s="40" t="n">
        <f aca="true">RAND()</f>
        <v>0.631290700636854</v>
      </c>
      <c r="U582" s="40" t="n">
        <f aca="true">RAND()</f>
        <v>0.587201829391878</v>
      </c>
    </row>
    <row r="583" customFormat="false" ht="15" hidden="false" customHeight="false" outlineLevel="0" collapsed="false">
      <c r="A583" s="36" t="n">
        <v>503</v>
      </c>
      <c r="B583" s="37" t="n">
        <f aca="false">1+IF($G$6=$E$6,$F$6,IF(P583&lt;($F$6-$E$6)/($G$6-$E$6),$E$6+SQRT(P583*($G$6-$E$6)*($F$6-$E$6)),$G$6-SQRT((1-P583)*($G$6-$E$6)*($G$6-$F$6))))</f>
        <v>1.0005522603877</v>
      </c>
      <c r="C583" s="37" t="n">
        <f aca="false">1+IF($G$7=$E$7,$F$7,IF(Q583&lt;($F$7-$E$7)/($G$7-$E$7),$E$7+SQRT(Q583*($G$7-$E$7)*($F$7-$E$7)),$G$7-SQRT((1-Q583)*($G$7-$E$7)*($G$7-$F$7))))</f>
        <v>1.08207189236054</v>
      </c>
      <c r="D583" s="37" t="n">
        <f aca="false">1+IF($G$8=$E$8,$F$8,IF(R583&lt;($F$8-$E$8)/($G$8-$E$8),$E$8+SQRT(R583*($G$8-$E$8)*($F$8-$E$8)),$G$8-SQRT((1-R583)*($G$8-$E$8)*($G$8-$F$8))))</f>
        <v>1.06459726618766</v>
      </c>
      <c r="E583" s="37" t="n">
        <f aca="false">1+IF($G$9=$E$9,$F$9,IF(S583&lt;($F$9-$E$9)/($G$9-$E$9),$E$9+SQRT(S583*($G$9-$E$9)*($F$9-$E$9)),$G$9-SQRT((1-S583)*($G$9-$E$9)*($G$9-$F$9))))</f>
        <v>1.03304641168443</v>
      </c>
      <c r="F583" s="37" t="n">
        <f aca="false">1+IF($G$10=$E$10,$F$10,IF(T583&lt;($F$10-$E$10)/($G$10-$E$10),$E$10+SQRT(T583*($G$10-$E$10)*($F$10-$E$10)),$G$10-SQRT((1-T583)*($G$10-$E$10)*($G$10-$F$10))))</f>
        <v>1.1887633466123</v>
      </c>
      <c r="G583" s="38" t="n">
        <f aca="false">IF($G$11=$E$11,$F$11,IF(U583&lt;($F$11-$E$11)/($G$11-$E$11),$E$11+SQRT(U583*($G$11-$E$11)*($F$11-$E$11)),$G$11-SQRT((1-U583)*($G$11-$E$11)*($G$11-$F$11))))</f>
        <v>0.0970893560758052</v>
      </c>
      <c r="H583" s="39" t="n">
        <f aca="false">(('Business Case'!B11*$C583*'Business Case'!B12*$B583)-'Business Case'!B11*$C583*'Business Case'!B13*$D583-'Business Case'!B14*$E583)-MAX(0,(('Business Case'!B11*$C583*'Business Case'!B12*$B583)-'Business Case'!B11*$C583*'Business Case'!B13*$D583-'Business Case'!B14*$E583))*'Business Case'!$B$7-'Business Case'!$B$8*('Business Case'!B11*$C583*'Business Case'!B12*$B583)-'Business Case'!B15*$F583</f>
        <v>-2377526693.22459</v>
      </c>
      <c r="I583" s="39" t="n">
        <f aca="false">(('Business Case'!C11*$C583*'Business Case'!C12*$B583)-'Business Case'!C11*$C583*'Business Case'!C13*$D583-'Business Case'!C14*$E583)-MAX(0,(('Business Case'!C11*$C583*'Business Case'!C12*$B583)-'Business Case'!C11*$C583*'Business Case'!C13*$D583-'Business Case'!C14*$E583))*'Business Case'!$B$7-'Business Case'!$B$8*(('Business Case'!C11*$C583*'Business Case'!C12*$B583)-('Business Case'!B11*$C583*'Business Case'!B12*$B583))-'Business Case'!C15*$F583</f>
        <v>-24833746.5003506</v>
      </c>
      <c r="J583" s="39" t="n">
        <f aca="false">(('Business Case'!D11*$C583*'Business Case'!D12*$B583)-'Business Case'!D11*$C583*'Business Case'!D13*$D583-'Business Case'!D14*$E583)-MAX(0,(('Business Case'!D11*$C583*'Business Case'!D12*$B583)-'Business Case'!D11*$C583*'Business Case'!D13*$D583-'Business Case'!D14*$E583))*'Business Case'!$B$7-'Business Case'!$B$8*(('Business Case'!D11*$C583*'Business Case'!D12*$B583)-('Business Case'!C11*$C583*'Business Case'!C12*$B583))-'Business Case'!D15*$F583</f>
        <v>272233627.131379</v>
      </c>
      <c r="K583" s="39" t="n">
        <f aca="false">(('Business Case'!E11*$C583*'Business Case'!E12*$B583)-'Business Case'!E11*$C583*'Business Case'!E13*$D583-'Business Case'!E14*$E583)-MAX(0,(('Business Case'!E11*$C583*'Business Case'!E12*$B583)-'Business Case'!E11*$C583*'Business Case'!E13*$D583-'Business Case'!E14*$E583))*'Business Case'!$B$7-'Business Case'!$B$8*(('Business Case'!E11*$C583*'Business Case'!E12*$B583)-('Business Case'!D11*$C583*'Business Case'!D12*$B583))-'Business Case'!E15*$F583</f>
        <v>628739168.093723</v>
      </c>
      <c r="L583" s="39" t="n">
        <f aca="false">(('Business Case'!F11*$C583*'Business Case'!F12*$B583)-'Business Case'!F11*$C583*'Business Case'!F13*$D583-'Business Case'!F14*$E583)-MAX(0,(('Business Case'!F11*$C583*'Business Case'!F12*$B583)-'Business Case'!F11*$C583*'Business Case'!F13*$D583-'Business Case'!F14*$E583))*'Business Case'!$B$7-'Business Case'!$B$8*(('Business Case'!F11*$C583*'Business Case'!F12*$B583)-('Business Case'!E11*$C583*'Business Case'!E12*$B583))-'Business Case'!F15*$F583</f>
        <v>765178683.12385</v>
      </c>
      <c r="M583" s="39" t="n">
        <f aca="false">(('Business Case'!G11*$C583*'Business Case'!G12*$B583)-'Business Case'!G11*$C583*'Business Case'!G13*$D583-'Business Case'!G14*$E583)-MAX(0,(('Business Case'!G11*$C583*'Business Case'!G12*$B583)-'Business Case'!G11*$C583*'Business Case'!G13*$D583-'Business Case'!G14*$E583))*'Business Case'!$B$7-'Business Case'!$B$8*(('Business Case'!G11*$C583*'Business Case'!G12*$B583)-('Business Case'!F11*$C583*'Business Case'!F12*$B583))-'Business Case'!G15*$F583+'Business Case'!$B$8*('Business Case'!G11*$C583*'Business Case'!G12*$B583)</f>
        <v>970972497.464709</v>
      </c>
      <c r="N583" s="39" t="n">
        <f aca="false">IF(COUNT('Business Case'!B11:G11)=0,"",H583+NPV(G583,I583:M583))</f>
        <v>-558696684.820007</v>
      </c>
      <c r="P583" s="40" t="n">
        <f aca="true">RAND()</f>
        <v>0.675807466558372</v>
      </c>
      <c r="Q583" s="40" t="n">
        <f aca="true">RAND()</f>
        <v>0.912109946524234</v>
      </c>
      <c r="R583" s="40" t="n">
        <f aca="true">RAND()</f>
        <v>0.977188056837147</v>
      </c>
      <c r="S583" s="40" t="n">
        <f aca="true">RAND()</f>
        <v>0.701147800777899</v>
      </c>
      <c r="T583" s="40" t="n">
        <f aca="true">RAND()</f>
        <v>0.997474752412892</v>
      </c>
      <c r="U583" s="40" t="n">
        <f aca="true">RAND()</f>
        <v>0.167529898565187</v>
      </c>
    </row>
    <row r="584" customFormat="false" ht="15" hidden="false" customHeight="false" outlineLevel="0" collapsed="false">
      <c r="A584" s="36" t="n">
        <v>504</v>
      </c>
      <c r="B584" s="37" t="n">
        <f aca="false">1+IF($G$6=$E$6,$F$6,IF(P584&lt;($F$6-$E$6)/($G$6-$E$6),$E$6+SQRT(P584*($G$6-$E$6)*($F$6-$E$6)),$G$6-SQRT((1-P584)*($G$6-$E$6)*($G$6-$F$6))))</f>
        <v>0.978728541017079</v>
      </c>
      <c r="C584" s="37" t="n">
        <f aca="false">1+IF($G$7=$E$7,$F$7,IF(Q584&lt;($F$7-$E$7)/($G$7-$E$7),$E$7+SQRT(Q584*($G$7-$E$7)*($F$7-$E$7)),$G$7-SQRT((1-Q584)*($G$7-$E$7)*($G$7-$F$7))))</f>
        <v>0.868325827275294</v>
      </c>
      <c r="D584" s="37" t="n">
        <f aca="false">1+IF($G$8=$E$8,$F$8,IF(R584&lt;($F$8-$E$8)/($G$8-$E$8),$E$8+SQRT(R584*($G$8-$E$8)*($F$8-$E$8)),$G$8-SQRT((1-R584)*($G$8-$E$8)*($G$8-$F$8))))</f>
        <v>1.06993264719126</v>
      </c>
      <c r="E584" s="37" t="n">
        <f aca="false">1+IF($G$9=$E$9,$F$9,IF(S584&lt;($F$9-$E$9)/($G$9-$E$9),$E$9+SQRT(S584*($G$9-$E$9)*($F$9-$E$9)),$G$9-SQRT((1-S584)*($G$9-$E$9)*($G$9-$F$9))))</f>
        <v>0.973880160825031</v>
      </c>
      <c r="F584" s="37" t="n">
        <f aca="false">1+IF($G$10=$E$10,$F$10,IF(T584&lt;($F$10-$E$10)/($G$10-$E$10),$E$10+SQRT(T584*($G$10-$E$10)*($F$10-$E$10)),$G$10-SQRT((1-T584)*($G$10-$E$10)*($G$10-$F$10))))</f>
        <v>1.0193387097179</v>
      </c>
      <c r="G584" s="38" t="n">
        <f aca="false">IF($G$11=$E$11,$F$11,IF(U584&lt;($F$11-$E$11)/($G$11-$E$11),$E$11+SQRT(U584*($G$11-$E$11)*($F$11-$E$11)),$G$11-SQRT((1-U584)*($G$11-$E$11)*($G$11-$F$11))))</f>
        <v>0.115516005340658</v>
      </c>
      <c r="H584" s="39" t="n">
        <f aca="false">(('Business Case'!B11*$C584*'Business Case'!B12*$B584)-'Business Case'!B11*$C584*'Business Case'!B13*$D584-'Business Case'!B14*$E584)-MAX(0,(('Business Case'!B11*$C584*'Business Case'!B12*$B584)-'Business Case'!B11*$C584*'Business Case'!B13*$D584-'Business Case'!B14*$E584))*'Business Case'!$B$7-'Business Case'!$B$8*('Business Case'!B11*$C584*'Business Case'!B12*$B584)-'Business Case'!B15*$F584</f>
        <v>-2038677419.4358</v>
      </c>
      <c r="I584" s="39" t="n">
        <f aca="false">(('Business Case'!C11*$C584*'Business Case'!C12*$B584)-'Business Case'!C11*$C584*'Business Case'!C13*$D584-'Business Case'!C14*$E584)-MAX(0,(('Business Case'!C11*$C584*'Business Case'!C12*$B584)-'Business Case'!C11*$C584*'Business Case'!C13*$D584-'Business Case'!C14*$E584))*'Business Case'!$B$7-'Business Case'!$B$8*(('Business Case'!C11*$C584*'Business Case'!C12*$B584)-('Business Case'!B11*$C584*'Business Case'!B12*$B584))-'Business Case'!C15*$F584</f>
        <v>-63982824.5855781</v>
      </c>
      <c r="J584" s="39" t="n">
        <f aca="false">(('Business Case'!D11*$C584*'Business Case'!D12*$B584)-'Business Case'!D11*$C584*'Business Case'!D13*$D584-'Business Case'!D14*$E584)-MAX(0,(('Business Case'!D11*$C584*'Business Case'!D12*$B584)-'Business Case'!D11*$C584*'Business Case'!D13*$D584-'Business Case'!D14*$E584))*'Business Case'!$B$7-'Business Case'!$B$8*(('Business Case'!D11*$C584*'Business Case'!D12*$B584)-('Business Case'!C11*$C584*'Business Case'!C12*$B584))-'Business Case'!D15*$F584</f>
        <v>156510477.869687</v>
      </c>
      <c r="K584" s="39" t="n">
        <f aca="false">(('Business Case'!E11*$C584*'Business Case'!E12*$B584)-'Business Case'!E11*$C584*'Business Case'!E13*$D584-'Business Case'!E14*$E584)-MAX(0,(('Business Case'!E11*$C584*'Business Case'!E12*$B584)-'Business Case'!E11*$C584*'Business Case'!E13*$D584-'Business Case'!E14*$E584))*'Business Case'!$B$7-'Business Case'!$B$8*(('Business Case'!E11*$C584*'Business Case'!E12*$B584)-('Business Case'!D11*$C584*'Business Case'!D12*$B584))-'Business Case'!E15*$F584</f>
        <v>427970715.810847</v>
      </c>
      <c r="L584" s="39" t="n">
        <f aca="false">(('Business Case'!F11*$C584*'Business Case'!F12*$B584)-'Business Case'!F11*$C584*'Business Case'!F13*$D584-'Business Case'!F14*$E584)-MAX(0,(('Business Case'!F11*$C584*'Business Case'!F12*$B584)-'Business Case'!F11*$C584*'Business Case'!F13*$D584-'Business Case'!F14*$E584))*'Business Case'!$B$7-'Business Case'!$B$8*(('Business Case'!F11*$C584*'Business Case'!F12*$B584)-('Business Case'!E11*$C584*'Business Case'!E12*$B584))-'Business Case'!F15*$F584</f>
        <v>530839481.429092</v>
      </c>
      <c r="M584" s="39" t="n">
        <f aca="false">(('Business Case'!G11*$C584*'Business Case'!G12*$B584)-'Business Case'!G11*$C584*'Business Case'!G13*$D584-'Business Case'!G14*$E584)-MAX(0,(('Business Case'!G11*$C584*'Business Case'!G12*$B584)-'Business Case'!G11*$C584*'Business Case'!G13*$D584-'Business Case'!G14*$E584))*'Business Case'!$B$7-'Business Case'!$B$8*(('Business Case'!G11*$C584*'Business Case'!G12*$B584)-('Business Case'!F11*$C584*'Business Case'!F12*$B584))-'Business Case'!G15*$F584+'Business Case'!$B$8*('Business Case'!G11*$C584*'Business Case'!G12*$B584)</f>
        <v>692379971.16145</v>
      </c>
      <c r="N584" s="39" t="n">
        <f aca="false">IF(COUNT('Business Case'!B11:G11)=0,"",H584+NPV(G584,I584:M584))</f>
        <v>-918301014.241619</v>
      </c>
      <c r="P584" s="40" t="n">
        <f aca="true">RAND()</f>
        <v>0.359275159374453</v>
      </c>
      <c r="Q584" s="40" t="n">
        <f aca="true">RAND()</f>
        <v>0.0666916953264766</v>
      </c>
      <c r="R584" s="40" t="n">
        <f aca="true">RAND()</f>
        <v>0.990254654560032</v>
      </c>
      <c r="S584" s="40" t="n">
        <f aca="true">RAND()</f>
        <v>0.0760349441372474</v>
      </c>
      <c r="T584" s="40" t="n">
        <f aca="true">RAND()</f>
        <v>0.347229963872126</v>
      </c>
      <c r="U584" s="40" t="n">
        <f aca="true">RAND()</f>
        <v>0.966489653158315</v>
      </c>
    </row>
    <row r="585" customFormat="false" ht="15" hidden="false" customHeight="false" outlineLevel="0" collapsed="false">
      <c r="A585" s="36" t="n">
        <v>505</v>
      </c>
      <c r="B585" s="37" t="n">
        <f aca="false">1+IF($G$6=$E$6,$F$6,IF(P585&lt;($F$6-$E$6)/($G$6-$E$6),$E$6+SQRT(P585*($G$6-$E$6)*($F$6-$E$6)),$G$6-SQRT((1-P585)*($G$6-$E$6)*($G$6-$F$6))))</f>
        <v>0.984960032508122</v>
      </c>
      <c r="C585" s="37" t="n">
        <f aca="false">1+IF($G$7=$E$7,$F$7,IF(Q585&lt;($F$7-$E$7)/($G$7-$E$7),$E$7+SQRT(Q585*($G$7-$E$7)*($F$7-$E$7)),$G$7-SQRT((1-Q585)*($G$7-$E$7)*($G$7-$F$7))))</f>
        <v>1.00677074627808</v>
      </c>
      <c r="D585" s="37" t="n">
        <f aca="false">1+IF($G$8=$E$8,$F$8,IF(R585&lt;($F$8-$E$8)/($G$8-$E$8),$E$8+SQRT(R585*($G$8-$E$8)*($F$8-$E$8)),$G$8-SQRT((1-R585)*($G$8-$E$8)*($G$8-$F$8))))</f>
        <v>0.994816896844444</v>
      </c>
      <c r="E585" s="37" t="n">
        <f aca="false">1+IF($G$9=$E$9,$F$9,IF(S585&lt;($F$9-$E$9)/($G$9-$E$9),$E$9+SQRT(S585*($G$9-$E$9)*($F$9-$E$9)),$G$9-SQRT((1-S585)*($G$9-$E$9)*($G$9-$F$9))))</f>
        <v>0.968997293699023</v>
      </c>
      <c r="F585" s="37" t="n">
        <f aca="false">1+IF($G$10=$E$10,$F$10,IF(T585&lt;($F$10-$E$10)/($G$10-$E$10),$E$10+SQRT(T585*($G$10-$E$10)*($F$10-$E$10)),$G$10-SQRT((1-T585)*($G$10-$E$10)*($G$10-$F$10))))</f>
        <v>1.11995369358755</v>
      </c>
      <c r="G585" s="38" t="n">
        <f aca="false">IF($G$11=$E$11,$F$11,IF(U585&lt;($F$11-$E$11)/($G$11-$E$11),$E$11+SQRT(U585*($G$11-$E$11)*($F$11-$E$11)),$G$11-SQRT((1-U585)*($G$11-$E$11)*($G$11-$F$11))))</f>
        <v>0.117118783210295</v>
      </c>
      <c r="H585" s="39" t="n">
        <f aca="false">(('Business Case'!B11*$C585*'Business Case'!B12*$B585)-'Business Case'!B11*$C585*'Business Case'!B13*$D585-'Business Case'!B14*$E585)-MAX(0,(('Business Case'!B11*$C585*'Business Case'!B12*$B585)-'Business Case'!B11*$C585*'Business Case'!B13*$D585-'Business Case'!B14*$E585))*'Business Case'!$B$7-'Business Case'!$B$8*('Business Case'!B11*$C585*'Business Case'!B12*$B585)-'Business Case'!B15*$F585</f>
        <v>-2239907387.17511</v>
      </c>
      <c r="I585" s="39" t="n">
        <f aca="false">(('Business Case'!C11*$C585*'Business Case'!C12*$B585)-'Business Case'!C11*$C585*'Business Case'!C13*$D585-'Business Case'!C14*$E585)-MAX(0,(('Business Case'!C11*$C585*'Business Case'!C12*$B585)-'Business Case'!C11*$C585*'Business Case'!C13*$D585-'Business Case'!C14*$E585))*'Business Case'!$B$7-'Business Case'!$B$8*(('Business Case'!C11*$C585*'Business Case'!C12*$B585)-('Business Case'!B11*$C585*'Business Case'!B12*$B585))-'Business Case'!C15*$F585</f>
        <v>-1692105.48649029</v>
      </c>
      <c r="J585" s="39" t="n">
        <f aca="false">(('Business Case'!D11*$C585*'Business Case'!D12*$B585)-'Business Case'!D11*$C585*'Business Case'!D13*$D585-'Business Case'!D14*$E585)-MAX(0,(('Business Case'!D11*$C585*'Business Case'!D12*$B585)-'Business Case'!D11*$C585*'Business Case'!D13*$D585-'Business Case'!D14*$E585))*'Business Case'!$B$7-'Business Case'!$B$8*(('Business Case'!D11*$C585*'Business Case'!D12*$B585)-('Business Case'!C11*$C585*'Business Case'!C12*$B585))-'Business Case'!D15*$F585</f>
        <v>297808618.161337</v>
      </c>
      <c r="K585" s="39" t="n">
        <f aca="false">(('Business Case'!E11*$C585*'Business Case'!E12*$B585)-'Business Case'!E11*$C585*'Business Case'!E13*$D585-'Business Case'!E14*$E585)-MAX(0,(('Business Case'!E11*$C585*'Business Case'!E12*$B585)-'Business Case'!E11*$C585*'Business Case'!E13*$D585-'Business Case'!E14*$E585))*'Business Case'!$B$7-'Business Case'!$B$8*(('Business Case'!E11*$C585*'Business Case'!E12*$B585)-('Business Case'!D11*$C585*'Business Case'!D12*$B585))-'Business Case'!E15*$F585</f>
        <v>653307026.488542</v>
      </c>
      <c r="L585" s="39" t="n">
        <f aca="false">(('Business Case'!F11*$C585*'Business Case'!F12*$B585)-'Business Case'!F11*$C585*'Business Case'!F13*$D585-'Business Case'!F14*$E585)-MAX(0,(('Business Case'!F11*$C585*'Business Case'!F12*$B585)-'Business Case'!F11*$C585*'Business Case'!F13*$D585-'Business Case'!F14*$E585))*'Business Case'!$B$7-'Business Case'!$B$8*(('Business Case'!F11*$C585*'Business Case'!F12*$B585)-('Business Case'!E11*$C585*'Business Case'!E12*$B585))-'Business Case'!F15*$F585</f>
        <v>787411297.445526</v>
      </c>
      <c r="M585" s="39" t="n">
        <f aca="false">(('Business Case'!G11*$C585*'Business Case'!G12*$B585)-'Business Case'!G11*$C585*'Business Case'!G13*$D585-'Business Case'!G14*$E585)-MAX(0,(('Business Case'!G11*$C585*'Business Case'!G12*$B585)-'Business Case'!G11*$C585*'Business Case'!G13*$D585-'Business Case'!G14*$E585))*'Business Case'!$B$7-'Business Case'!$B$8*(('Business Case'!G11*$C585*'Business Case'!G12*$B585)-('Business Case'!F11*$C585*'Business Case'!F12*$B585))-'Business Case'!G15*$F585+'Business Case'!$B$8*('Business Case'!G11*$C585*'Business Case'!G12*$B585)</f>
        <v>975900127.687918</v>
      </c>
      <c r="N585" s="39" t="n">
        <f aca="false">IF(COUNT('Business Case'!B11:G11)=0,"",H585+NPV(G585,I585:M585))</f>
        <v>-467639731.584373</v>
      </c>
      <c r="P585" s="40" t="n">
        <f aca="true">RAND()</f>
        <v>0.439563106610022</v>
      </c>
      <c r="Q585" s="40" t="n">
        <f aca="true">RAND()</f>
        <v>0.609245350062113</v>
      </c>
      <c r="R585" s="40" t="n">
        <f aca="true">RAND()</f>
        <v>0.309008345040857</v>
      </c>
      <c r="S585" s="40" t="n">
        <f aca="true">RAND()</f>
        <v>0.0481196223849244</v>
      </c>
      <c r="T585" s="40" t="n">
        <f aca="true">RAND()</f>
        <v>0.871851776594498</v>
      </c>
      <c r="U585" s="40" t="n">
        <f aca="true">RAND()</f>
        <v>0.986164316351205</v>
      </c>
    </row>
    <row r="586" customFormat="false" ht="15" hidden="false" customHeight="false" outlineLevel="0" collapsed="false">
      <c r="A586" s="36" t="n">
        <v>506</v>
      </c>
      <c r="B586" s="37" t="n">
        <f aca="false">1+IF($G$6=$E$6,$F$6,IF(P586&lt;($F$6-$E$6)/($G$6-$E$6),$E$6+SQRT(P586*($G$6-$E$6)*($F$6-$E$6)),$G$6-SQRT((1-P586)*($G$6-$E$6)*($G$6-$F$6))))</f>
        <v>1.00781385598507</v>
      </c>
      <c r="C586" s="37" t="n">
        <f aca="false">1+IF($G$7=$E$7,$F$7,IF(Q586&lt;($F$7-$E$7)/($G$7-$E$7),$E$7+SQRT(Q586*($G$7-$E$7)*($F$7-$E$7)),$G$7-SQRT((1-Q586)*($G$7-$E$7)*($G$7-$F$7))))</f>
        <v>1.00976924304399</v>
      </c>
      <c r="D586" s="37" t="n">
        <f aca="false">1+IF($G$8=$E$8,$F$8,IF(R586&lt;($F$8-$E$8)/($G$8-$E$8),$E$8+SQRT(R586*($G$8-$E$8)*($F$8-$E$8)),$G$8-SQRT((1-R586)*($G$8-$E$8)*($G$8-$F$8))))</f>
        <v>0.985784581476275</v>
      </c>
      <c r="E586" s="37" t="n">
        <f aca="false">1+IF($G$9=$E$9,$F$9,IF(S586&lt;($F$9-$E$9)/($G$9-$E$9),$E$9+SQRT(S586*($G$9-$E$9)*($F$9-$E$9)),$G$9-SQRT((1-S586)*($G$9-$E$9)*($G$9-$F$9))))</f>
        <v>1.0010870103405</v>
      </c>
      <c r="F586" s="37" t="n">
        <f aca="false">1+IF($G$10=$E$10,$F$10,IF(T586&lt;($F$10-$E$10)/($G$10-$E$10),$E$10+SQRT(T586*($G$10-$E$10)*($F$10-$E$10)),$G$10-SQRT((1-T586)*($G$10-$E$10)*($G$10-$F$10))))</f>
        <v>1.13744761711865</v>
      </c>
      <c r="G586" s="38" t="n">
        <f aca="false">IF($G$11=$E$11,$F$11,IF(U586&lt;($F$11-$E$11)/($G$11-$E$11),$E$11+SQRT(U586*($G$11-$E$11)*($F$11-$E$11)),$G$11-SQRT((1-U586)*($G$11-$E$11)*($G$11-$F$11))))</f>
        <v>0.110783895420579</v>
      </c>
      <c r="H586" s="39" t="n">
        <f aca="false">(('Business Case'!B11*$C586*'Business Case'!B12*$B586)-'Business Case'!B11*$C586*'Business Case'!B13*$D586-'Business Case'!B14*$E586)-MAX(0,(('Business Case'!B11*$C586*'Business Case'!B12*$B586)-'Business Case'!B11*$C586*'Business Case'!B13*$D586-'Business Case'!B14*$E586))*'Business Case'!$B$7-'Business Case'!$B$8*('Business Case'!B11*$C586*'Business Case'!B12*$B586)-'Business Case'!B15*$F586</f>
        <v>-2274895234.2373</v>
      </c>
      <c r="I586" s="39" t="n">
        <f aca="false">(('Business Case'!C11*$C586*'Business Case'!C12*$B586)-'Business Case'!C11*$C586*'Business Case'!C13*$D586-'Business Case'!C14*$E586)-MAX(0,(('Business Case'!C11*$C586*'Business Case'!C12*$B586)-'Business Case'!C11*$C586*'Business Case'!C13*$D586-'Business Case'!C14*$E586))*'Business Case'!$B$7-'Business Case'!$B$8*(('Business Case'!C11*$C586*'Business Case'!C12*$B586)-('Business Case'!B11*$C586*'Business Case'!B12*$B586))-'Business Case'!C15*$F586</f>
        <v>15108727.1257509</v>
      </c>
      <c r="J586" s="39" t="n">
        <f aca="false">(('Business Case'!D11*$C586*'Business Case'!D12*$B586)-'Business Case'!D11*$C586*'Business Case'!D13*$D586-'Business Case'!D14*$E586)-MAX(0,(('Business Case'!D11*$C586*'Business Case'!D12*$B586)-'Business Case'!D11*$C586*'Business Case'!D13*$D586-'Business Case'!D14*$E586))*'Business Case'!$B$7-'Business Case'!$B$8*(('Business Case'!D11*$C586*'Business Case'!D12*$B586)-('Business Case'!C11*$C586*'Business Case'!C12*$B586))-'Business Case'!D15*$F586</f>
        <v>339072253.917607</v>
      </c>
      <c r="K586" s="39" t="n">
        <f aca="false">(('Business Case'!E11*$C586*'Business Case'!E12*$B586)-'Business Case'!E11*$C586*'Business Case'!E13*$D586-'Business Case'!E14*$E586)-MAX(0,(('Business Case'!E11*$C586*'Business Case'!E12*$B586)-'Business Case'!E11*$C586*'Business Case'!E13*$D586-'Business Case'!E14*$E586))*'Business Case'!$B$7-'Business Case'!$B$8*(('Business Case'!E11*$C586*'Business Case'!E12*$B586)-('Business Case'!D11*$C586*'Business Case'!D12*$B586))-'Business Case'!E15*$F586</f>
        <v>719908161.565397</v>
      </c>
      <c r="L586" s="39" t="n">
        <f aca="false">(('Business Case'!F11*$C586*'Business Case'!F12*$B586)-'Business Case'!F11*$C586*'Business Case'!F13*$D586-'Business Case'!F14*$E586)-MAX(0,(('Business Case'!F11*$C586*'Business Case'!F12*$B586)-'Business Case'!F11*$C586*'Business Case'!F13*$D586-'Business Case'!F14*$E586))*'Business Case'!$B$7-'Business Case'!$B$8*(('Business Case'!F11*$C586*'Business Case'!F12*$B586)-('Business Case'!E11*$C586*'Business Case'!E12*$B586))-'Business Case'!F15*$F586</f>
        <v>863066313.885229</v>
      </c>
      <c r="M586" s="39" t="n">
        <f aca="false">(('Business Case'!G11*$C586*'Business Case'!G12*$B586)-'Business Case'!G11*$C586*'Business Case'!G13*$D586-'Business Case'!G14*$E586)-MAX(0,(('Business Case'!G11*$C586*'Business Case'!G12*$B586)-'Business Case'!G11*$C586*'Business Case'!G13*$D586-'Business Case'!G14*$E586))*'Business Case'!$B$7-'Business Case'!$B$8*(('Business Case'!G11*$C586*'Business Case'!G12*$B586)-('Business Case'!F11*$C586*'Business Case'!F12*$B586))-'Business Case'!G15*$F586+'Business Case'!$B$8*('Business Case'!G11*$C586*'Business Case'!G12*$B586)</f>
        <v>1056503019.19257</v>
      </c>
      <c r="N586" s="39" t="n">
        <f aca="false">IF(COUNT('Business Case'!B11:G11)=0,"",H586+NPV(G586,I586:M586))</f>
        <v>-269506800.551062</v>
      </c>
      <c r="P586" s="40" t="n">
        <f aca="true">RAND()</f>
        <v>0.784177527802136</v>
      </c>
      <c r="Q586" s="40" t="n">
        <f aca="true">RAND()</f>
        <v>0.625434948638936</v>
      </c>
      <c r="R586" s="40" t="n">
        <f aca="true">RAND()</f>
        <v>0.197005580220333</v>
      </c>
      <c r="S586" s="40" t="n">
        <f aca="true">RAND()</f>
        <v>0.347748031774665</v>
      </c>
      <c r="T586" s="40" t="n">
        <f aca="true">RAND()</f>
        <v>0.9217439879173</v>
      </c>
      <c r="U586" s="40" t="n">
        <f aca="true">RAND()</f>
        <v>0.858439027301968</v>
      </c>
    </row>
    <row r="587" customFormat="false" ht="15" hidden="false" customHeight="false" outlineLevel="0" collapsed="false">
      <c r="A587" s="36" t="n">
        <v>507</v>
      </c>
      <c r="B587" s="37" t="n">
        <f aca="false">1+IF($G$6=$E$6,$F$6,IF(P587&lt;($F$6-$E$6)/($G$6-$E$6),$E$6+SQRT(P587*($G$6-$E$6)*($F$6-$E$6)),$G$6-SQRT((1-P587)*($G$6-$E$6)*($G$6-$F$6))))</f>
        <v>1.0015569195576</v>
      </c>
      <c r="C587" s="37" t="n">
        <f aca="false">1+IF($G$7=$E$7,$F$7,IF(Q587&lt;($F$7-$E$7)/($G$7-$E$7),$E$7+SQRT(Q587*($G$7-$E$7)*($F$7-$E$7)),$G$7-SQRT((1-Q587)*($G$7-$E$7)*($G$7-$F$7))))</f>
        <v>0.89290651677267</v>
      </c>
      <c r="D587" s="37" t="n">
        <f aca="false">1+IF($G$8=$E$8,$F$8,IF(R587&lt;($F$8-$E$8)/($G$8-$E$8),$E$8+SQRT(R587*($G$8-$E$8)*($F$8-$E$8)),$G$8-SQRT((1-R587)*($G$8-$E$8)*($G$8-$F$8))))</f>
        <v>1.00883310145074</v>
      </c>
      <c r="E587" s="37" t="n">
        <f aca="false">1+IF($G$9=$E$9,$F$9,IF(S587&lt;($F$9-$E$9)/($G$9-$E$9),$E$9+SQRT(S587*($G$9-$E$9)*($F$9-$E$9)),$G$9-SQRT((1-S587)*($G$9-$E$9)*($G$9-$F$9))))</f>
        <v>1.0000553162969</v>
      </c>
      <c r="F587" s="37" t="n">
        <f aca="false">1+IF($G$10=$E$10,$F$10,IF(T587&lt;($F$10-$E$10)/($G$10-$E$10),$E$10+SQRT(T587*($G$10-$E$10)*($F$10-$E$10)),$G$10-SQRT((1-T587)*($G$10-$E$10)*($G$10-$F$10))))</f>
        <v>1.04652777679487</v>
      </c>
      <c r="G587" s="38" t="n">
        <f aca="false">IF($G$11=$E$11,$F$11,IF(U587&lt;($F$11-$E$11)/($G$11-$E$11),$E$11+SQRT(U587*($G$11-$E$11)*($F$11-$E$11)),$G$11-SQRT((1-U587)*($G$11-$E$11)*($G$11-$F$11))))</f>
        <v>0.108750520853694</v>
      </c>
      <c r="H587" s="39" t="n">
        <f aca="false">(('Business Case'!B11*$C587*'Business Case'!B12*$B587)-'Business Case'!B11*$C587*'Business Case'!B13*$D587-'Business Case'!B14*$E587)-MAX(0,(('Business Case'!B11*$C587*'Business Case'!B12*$B587)-'Business Case'!B11*$C587*'Business Case'!B13*$D587-'Business Case'!B14*$E587))*'Business Case'!$B$7-'Business Case'!$B$8*('Business Case'!B11*$C587*'Business Case'!B12*$B587)-'Business Case'!B15*$F587</f>
        <v>-2093055553.58973</v>
      </c>
      <c r="I587" s="39" t="n">
        <f aca="false">(('Business Case'!C11*$C587*'Business Case'!C12*$B587)-'Business Case'!C11*$C587*'Business Case'!C13*$D587-'Business Case'!C14*$E587)-MAX(0,(('Business Case'!C11*$C587*'Business Case'!C12*$B587)-'Business Case'!C11*$C587*'Business Case'!C13*$D587-'Business Case'!C14*$E587))*'Business Case'!$B$7-'Business Case'!$B$8*(('Business Case'!C11*$C587*'Business Case'!C12*$B587)-('Business Case'!B11*$C587*'Business Case'!B12*$B587))-'Business Case'!C15*$F587</f>
        <v>-21861883.2480322</v>
      </c>
      <c r="J587" s="39" t="n">
        <f aca="false">(('Business Case'!D11*$C587*'Business Case'!D12*$B587)-'Business Case'!D11*$C587*'Business Case'!D13*$D587-'Business Case'!D14*$E587)-MAX(0,(('Business Case'!D11*$C587*'Business Case'!D12*$B587)-'Business Case'!D11*$C587*'Business Case'!D13*$D587-'Business Case'!D14*$E587))*'Business Case'!$B$7-'Business Case'!$B$8*(('Business Case'!D11*$C587*'Business Case'!D12*$B587)-('Business Case'!C11*$C587*'Business Case'!C12*$B587))-'Business Case'!D15*$F587</f>
        <v>249497218.109149</v>
      </c>
      <c r="K587" s="39" t="n">
        <f aca="false">(('Business Case'!E11*$C587*'Business Case'!E12*$B587)-'Business Case'!E11*$C587*'Business Case'!E13*$D587-'Business Case'!E14*$E587)-MAX(0,(('Business Case'!E11*$C587*'Business Case'!E12*$B587)-'Business Case'!E11*$C587*'Business Case'!E13*$D587-'Business Case'!E14*$E587))*'Business Case'!$B$7-'Business Case'!$B$8*(('Business Case'!E11*$C587*'Business Case'!E12*$B587)-('Business Case'!D11*$C587*'Business Case'!D12*$B587))-'Business Case'!E15*$F587</f>
        <v>573182708.306074</v>
      </c>
      <c r="L587" s="39" t="n">
        <f aca="false">(('Business Case'!F11*$C587*'Business Case'!F12*$B587)-'Business Case'!F11*$C587*'Business Case'!F13*$D587-'Business Case'!F14*$E587)-MAX(0,(('Business Case'!F11*$C587*'Business Case'!F12*$B587)-'Business Case'!F11*$C587*'Business Case'!F13*$D587-'Business Case'!F14*$E587))*'Business Case'!$B$7-'Business Case'!$B$8*(('Business Case'!F11*$C587*'Business Case'!F12*$B587)-('Business Case'!E11*$C587*'Business Case'!E12*$B587))-'Business Case'!F15*$F587</f>
        <v>694542636.05734</v>
      </c>
      <c r="M587" s="39" t="n">
        <f aca="false">(('Business Case'!G11*$C587*'Business Case'!G12*$B587)-'Business Case'!G11*$C587*'Business Case'!G13*$D587-'Business Case'!G14*$E587)-MAX(0,(('Business Case'!G11*$C587*'Business Case'!G12*$B587)-'Business Case'!G11*$C587*'Business Case'!G13*$D587-'Business Case'!G14*$E587))*'Business Case'!$B$7-'Business Case'!$B$8*(('Business Case'!G11*$C587*'Business Case'!G12*$B587)-('Business Case'!F11*$C587*'Business Case'!F12*$B587))-'Business Case'!G15*$F587+'Business Case'!$B$8*('Business Case'!G11*$C587*'Business Case'!G12*$B587)</f>
        <v>864530552.867802</v>
      </c>
      <c r="N587" s="39" t="n">
        <f aca="false">IF(COUNT('Business Case'!B11:G11)=0,"",H587+NPV(G587,I587:M587))</f>
        <v>-513757388.900782</v>
      </c>
      <c r="P587" s="40" t="n">
        <f aca="true">RAND()</f>
        <v>0.692110326270645</v>
      </c>
      <c r="Q587" s="40" t="n">
        <f aca="true">RAND()</f>
        <v>0.123308869411863</v>
      </c>
      <c r="R587" s="40" t="n">
        <f aca="true">RAND()</f>
        <v>0.513006976046125</v>
      </c>
      <c r="S587" s="40" t="n">
        <f aca="true">RAND()</f>
        <v>0.33407067996582</v>
      </c>
      <c r="T587" s="40" t="n">
        <f aca="true">RAND()</f>
        <v>0.528925534089476</v>
      </c>
      <c r="U587" s="40" t="n">
        <f aca="true">RAND()</f>
        <v>0.78908203156137</v>
      </c>
    </row>
    <row r="588" customFormat="false" ht="15" hidden="false" customHeight="false" outlineLevel="0" collapsed="false">
      <c r="A588" s="36" t="n">
        <v>508</v>
      </c>
      <c r="B588" s="37" t="n">
        <f aca="false">1+IF($G$6=$E$6,$F$6,IF(P588&lt;($F$6-$E$6)/($G$6-$E$6),$E$6+SQRT(P588*($G$6-$E$6)*($F$6-$E$6)),$G$6-SQRT((1-P588)*($G$6-$E$6)*($G$6-$F$6))))</f>
        <v>0.981567436904596</v>
      </c>
      <c r="C588" s="37" t="n">
        <f aca="false">1+IF($G$7=$E$7,$F$7,IF(Q588&lt;($F$7-$E$7)/($G$7-$E$7),$E$7+SQRT(Q588*($G$7-$E$7)*($F$7-$E$7)),$G$7-SQRT((1-Q588)*($G$7-$E$7)*($G$7-$F$7))))</f>
        <v>1.0612779571412</v>
      </c>
      <c r="D588" s="37" t="n">
        <f aca="false">1+IF($G$8=$E$8,$F$8,IF(R588&lt;($F$8-$E$8)/($G$8-$E$8),$E$8+SQRT(R588*($G$8-$E$8)*($F$8-$E$8)),$G$8-SQRT((1-R588)*($G$8-$E$8)*($G$8-$F$8))))</f>
        <v>0.9888970257968</v>
      </c>
      <c r="E588" s="37" t="n">
        <f aca="false">1+IF($G$9=$E$9,$F$9,IF(S588&lt;($F$9-$E$9)/($G$9-$E$9),$E$9+SQRT(S588*($G$9-$E$9)*($F$9-$E$9)),$G$9-SQRT((1-S588)*($G$9-$E$9)*($G$9-$F$9))))</f>
        <v>1.02397129992961</v>
      </c>
      <c r="F588" s="37" t="n">
        <f aca="false">1+IF($G$10=$E$10,$F$10,IF(T588&lt;($F$10-$E$10)/($G$10-$E$10),$E$10+SQRT(T588*($G$10-$E$10)*($F$10-$E$10)),$G$10-SQRT((1-T588)*($G$10-$E$10)*($G$10-$F$10))))</f>
        <v>1.04676047027607</v>
      </c>
      <c r="G588" s="38" t="n">
        <f aca="false">IF($G$11=$E$11,$F$11,IF(U588&lt;($F$11-$E$11)/($G$11-$E$11),$E$11+SQRT(U588*($G$11-$E$11)*($F$11-$E$11)),$G$11-SQRT((1-U588)*($G$11-$E$11)*($G$11-$F$11))))</f>
        <v>0.10284077042693</v>
      </c>
      <c r="H588" s="39" t="n">
        <f aca="false">(('Business Case'!B11*$C588*'Business Case'!B12*$B588)-'Business Case'!B11*$C588*'Business Case'!B13*$D588-'Business Case'!B14*$E588)-MAX(0,(('Business Case'!B11*$C588*'Business Case'!B12*$B588)-'Business Case'!B11*$C588*'Business Case'!B13*$D588-'Business Case'!B14*$E588))*'Business Case'!$B$7-'Business Case'!$B$8*('Business Case'!B11*$C588*'Business Case'!B12*$B588)-'Business Case'!B15*$F588</f>
        <v>-2093520940.55213</v>
      </c>
      <c r="I588" s="39" t="n">
        <f aca="false">(('Business Case'!C11*$C588*'Business Case'!C12*$B588)-'Business Case'!C11*$C588*'Business Case'!C13*$D588-'Business Case'!C14*$E588)-MAX(0,(('Business Case'!C11*$C588*'Business Case'!C12*$B588)-'Business Case'!C11*$C588*'Business Case'!C13*$D588-'Business Case'!C14*$E588))*'Business Case'!$B$7-'Business Case'!$B$8*(('Business Case'!C11*$C588*'Business Case'!C12*$B588)-('Business Case'!B11*$C588*'Business Case'!B12*$B588))-'Business Case'!C15*$F588</f>
        <v>11695711.9199392</v>
      </c>
      <c r="J588" s="39" t="n">
        <f aca="false">(('Business Case'!D11*$C588*'Business Case'!D12*$B588)-'Business Case'!D11*$C588*'Business Case'!D13*$D588-'Business Case'!D14*$E588)-MAX(0,(('Business Case'!D11*$C588*'Business Case'!D12*$B588)-'Business Case'!D11*$C588*'Business Case'!D13*$D588-'Business Case'!D14*$E588))*'Business Case'!$B$7-'Business Case'!$B$8*(('Business Case'!D11*$C588*'Business Case'!D12*$B588)-('Business Case'!C11*$C588*'Business Case'!C12*$B588))-'Business Case'!D15*$F588</f>
        <v>327678741.156189</v>
      </c>
      <c r="K588" s="39" t="n">
        <f aca="false">(('Business Case'!E11*$C588*'Business Case'!E12*$B588)-'Business Case'!E11*$C588*'Business Case'!E13*$D588-'Business Case'!E14*$E588)-MAX(0,(('Business Case'!E11*$C588*'Business Case'!E12*$B588)-'Business Case'!E11*$C588*'Business Case'!E13*$D588-'Business Case'!E14*$E588))*'Business Case'!$B$7-'Business Case'!$B$8*(('Business Case'!E11*$C588*'Business Case'!E12*$B588)-('Business Case'!D11*$C588*'Business Case'!D12*$B588))-'Business Case'!E15*$F588</f>
        <v>695999793.906242</v>
      </c>
      <c r="L588" s="39" t="n">
        <f aca="false">(('Business Case'!F11*$C588*'Business Case'!F12*$B588)-'Business Case'!F11*$C588*'Business Case'!F13*$D588-'Business Case'!F14*$E588)-MAX(0,(('Business Case'!F11*$C588*'Business Case'!F12*$B588)-'Business Case'!F11*$C588*'Business Case'!F13*$D588-'Business Case'!F14*$E588))*'Business Case'!$B$7-'Business Case'!$B$8*(('Business Case'!F11*$C588*'Business Case'!F12*$B588)-('Business Case'!E11*$C588*'Business Case'!E12*$B588))-'Business Case'!F15*$F588</f>
        <v>837329171.277468</v>
      </c>
      <c r="M588" s="39" t="n">
        <f aca="false">(('Business Case'!G11*$C588*'Business Case'!G12*$B588)-'Business Case'!G11*$C588*'Business Case'!G13*$D588-'Business Case'!G14*$E588)-MAX(0,(('Business Case'!G11*$C588*'Business Case'!G12*$B588)-'Business Case'!G11*$C588*'Business Case'!G13*$D588-'Business Case'!G14*$E588))*'Business Case'!$B$7-'Business Case'!$B$8*(('Business Case'!G11*$C588*'Business Case'!G12*$B588)-('Business Case'!F11*$C588*'Business Case'!F12*$B588))-'Business Case'!G15*$F588+'Business Case'!$B$8*('Business Case'!G11*$C588*'Business Case'!G12*$B588)</f>
        <v>1035338526.55275</v>
      </c>
      <c r="N588" s="39" t="n">
        <f aca="false">IF(COUNT('Business Case'!B11:G11)=0,"",H588+NPV(G588,I588:M588))</f>
        <v>-93952003.4035664</v>
      </c>
      <c r="P588" s="40" t="n">
        <f aca="true">RAND()</f>
        <v>0.394848884062647</v>
      </c>
      <c r="Q588" s="40" t="n">
        <f aca="true">RAND()</f>
        <v>0.850064744970703</v>
      </c>
      <c r="R588" s="40" t="n">
        <f aca="true">RAND()</f>
        <v>0.232765940897991</v>
      </c>
      <c r="S588" s="40" t="n">
        <f aca="true">RAND()</f>
        <v>0.614642451040454</v>
      </c>
      <c r="T588" s="40" t="n">
        <f aca="true">RAND()</f>
        <v>0.53035293059976</v>
      </c>
      <c r="U588" s="40" t="n">
        <f aca="true">RAND()</f>
        <v>0.509268067431116</v>
      </c>
    </row>
    <row r="589" customFormat="false" ht="15" hidden="false" customHeight="false" outlineLevel="0" collapsed="false">
      <c r="A589" s="36" t="n">
        <v>509</v>
      </c>
      <c r="B589" s="37" t="n">
        <f aca="false">1+IF($G$6=$E$6,$F$6,IF(P589&lt;($F$6-$E$6)/($G$6-$E$6),$E$6+SQRT(P589*($G$6-$E$6)*($F$6-$E$6)),$G$6-SQRT((1-P589)*($G$6-$E$6)*($G$6-$F$6))))</f>
        <v>0.981170127983502</v>
      </c>
      <c r="C589" s="37" t="n">
        <f aca="false">1+IF($G$7=$E$7,$F$7,IF(Q589&lt;($F$7-$E$7)/($G$7-$E$7),$E$7+SQRT(Q589*($G$7-$E$7)*($F$7-$E$7)),$G$7-SQRT((1-Q589)*($G$7-$E$7)*($G$7-$F$7))))</f>
        <v>1.03509289257089</v>
      </c>
      <c r="D589" s="37" t="n">
        <f aca="false">1+IF($G$8=$E$8,$F$8,IF(R589&lt;($F$8-$E$8)/($G$8-$E$8),$E$8+SQRT(R589*($G$8-$E$8)*($F$8-$E$8)),$G$8-SQRT((1-R589)*($G$8-$E$8)*($G$8-$F$8))))</f>
        <v>1.05907270934421</v>
      </c>
      <c r="E589" s="37" t="n">
        <f aca="false">1+IF($G$9=$E$9,$F$9,IF(S589&lt;($F$9-$E$9)/($G$9-$E$9),$E$9+SQRT(S589*($G$9-$E$9)*($F$9-$E$9)),$G$9-SQRT((1-S589)*($G$9-$E$9)*($G$9-$F$9))))</f>
        <v>1.00572364946886</v>
      </c>
      <c r="F589" s="37" t="n">
        <f aca="false">1+IF($G$10=$E$10,$F$10,IF(T589&lt;($F$10-$E$10)/($G$10-$E$10),$E$10+SQRT(T589*($G$10-$E$10)*($F$10-$E$10)),$G$10-SQRT((1-T589)*($G$10-$E$10)*($G$10-$F$10))))</f>
        <v>1.10976072207517</v>
      </c>
      <c r="G589" s="38" t="n">
        <f aca="false">IF($G$11=$E$11,$F$11,IF(U589&lt;($F$11-$E$11)/($G$11-$E$11),$E$11+SQRT(U589*($G$11-$E$11)*($F$11-$E$11)),$G$11-SQRT((1-U589)*($G$11-$E$11)*($G$11-$F$11))))</f>
        <v>0.109666785846053</v>
      </c>
      <c r="H589" s="39" t="n">
        <f aca="false">(('Business Case'!B11*$C589*'Business Case'!B12*$B589)-'Business Case'!B11*$C589*'Business Case'!B13*$D589-'Business Case'!B14*$E589)-MAX(0,(('Business Case'!B11*$C589*'Business Case'!B12*$B589)-'Business Case'!B11*$C589*'Business Case'!B13*$D589-'Business Case'!B14*$E589))*'Business Case'!$B$7-'Business Case'!$B$8*('Business Case'!B11*$C589*'Business Case'!B12*$B589)-'Business Case'!B15*$F589</f>
        <v>-2219521444.15033</v>
      </c>
      <c r="I589" s="39" t="n">
        <f aca="false">(('Business Case'!C11*$C589*'Business Case'!C12*$B589)-'Business Case'!C11*$C589*'Business Case'!C13*$D589-'Business Case'!C14*$E589)-MAX(0,(('Business Case'!C11*$C589*'Business Case'!C12*$B589)-'Business Case'!C11*$C589*'Business Case'!C13*$D589-'Business Case'!C14*$E589))*'Business Case'!$B$7-'Business Case'!$B$8*(('Business Case'!C11*$C589*'Business Case'!C12*$B589)-('Business Case'!B11*$C589*'Business Case'!B12*$B589))-'Business Case'!C15*$F589</f>
        <v>-35973929.7948609</v>
      </c>
      <c r="J589" s="39" t="n">
        <f aca="false">(('Business Case'!D11*$C589*'Business Case'!D12*$B589)-'Business Case'!D11*$C589*'Business Case'!D13*$D589-'Business Case'!D14*$E589)-MAX(0,(('Business Case'!D11*$C589*'Business Case'!D12*$B589)-'Business Case'!D11*$C589*'Business Case'!D13*$D589-'Business Case'!D14*$E589))*'Business Case'!$B$7-'Business Case'!$B$8*(('Business Case'!D11*$C589*'Business Case'!D12*$B589)-('Business Case'!C11*$C589*'Business Case'!C12*$B589))-'Business Case'!D15*$F589</f>
        <v>234690934.961813</v>
      </c>
      <c r="K589" s="39" t="n">
        <f aca="false">(('Business Case'!E11*$C589*'Business Case'!E12*$B589)-'Business Case'!E11*$C589*'Business Case'!E13*$D589-'Business Case'!E14*$E589)-MAX(0,(('Business Case'!E11*$C589*'Business Case'!E12*$B589)-'Business Case'!E11*$C589*'Business Case'!E13*$D589-'Business Case'!E14*$E589))*'Business Case'!$B$7-'Business Case'!$B$8*(('Business Case'!E11*$C589*'Business Case'!E12*$B589)-('Business Case'!D11*$C589*'Business Case'!D12*$B589))-'Business Case'!E15*$F589</f>
        <v>560843835.822244</v>
      </c>
      <c r="L589" s="39" t="n">
        <f aca="false">(('Business Case'!F11*$C589*'Business Case'!F12*$B589)-'Business Case'!F11*$C589*'Business Case'!F13*$D589-'Business Case'!F14*$E589)-MAX(0,(('Business Case'!F11*$C589*'Business Case'!F12*$B589)-'Business Case'!F11*$C589*'Business Case'!F13*$D589-'Business Case'!F14*$E589))*'Business Case'!$B$7-'Business Case'!$B$8*(('Business Case'!F11*$C589*'Business Case'!F12*$B589)-('Business Case'!E11*$C589*'Business Case'!E12*$B589))-'Business Case'!F15*$F589</f>
        <v>686164670.334166</v>
      </c>
      <c r="M589" s="39" t="n">
        <f aca="false">(('Business Case'!G11*$C589*'Business Case'!G12*$B589)-'Business Case'!G11*$C589*'Business Case'!G13*$D589-'Business Case'!G14*$E589)-MAX(0,(('Business Case'!G11*$C589*'Business Case'!G12*$B589)-'Business Case'!G11*$C589*'Business Case'!G13*$D589-'Business Case'!G14*$E589))*'Business Case'!$B$7-'Business Case'!$B$8*(('Business Case'!G11*$C589*'Business Case'!G12*$B589)-('Business Case'!F11*$C589*'Business Case'!F12*$B589))-'Business Case'!G15*$F589+'Business Case'!$B$8*('Business Case'!G11*$C589*'Business Case'!G12*$B589)</f>
        <v>879210341.429169</v>
      </c>
      <c r="N589" s="39" t="n">
        <f aca="false">IF(COUNT('Business Case'!B11:G11)=0,"",H589+NPV(G589,I589:M589))</f>
        <v>-675798084.535912</v>
      </c>
      <c r="P589" s="40" t="n">
        <f aca="true">RAND()</f>
        <v>0.389769224741463</v>
      </c>
      <c r="Q589" s="40" t="n">
        <f aca="true">RAND()</f>
        <v>0.748502031662386</v>
      </c>
      <c r="R589" s="40" t="n">
        <f aca="true">RAND()</f>
        <v>0.957889279404635</v>
      </c>
      <c r="S589" s="40" t="n">
        <f aca="true">RAND()</f>
        <v>0.407464648701931</v>
      </c>
      <c r="T589" s="40" t="n">
        <f aca="true">RAND()</f>
        <v>0.837137454392092</v>
      </c>
      <c r="U589" s="40" t="n">
        <f aca="true">RAND()</f>
        <v>0.822041142081113</v>
      </c>
    </row>
    <row r="590" customFormat="false" ht="15" hidden="false" customHeight="false" outlineLevel="0" collapsed="false">
      <c r="A590" s="36" t="n">
        <v>510</v>
      </c>
      <c r="B590" s="37" t="n">
        <f aca="false">1+IF($G$6=$E$6,$F$6,IF(P590&lt;($F$6-$E$6)/($G$6-$E$6),$E$6+SQRT(P590*($G$6-$E$6)*($F$6-$E$6)),$G$6-SQRT((1-P590)*($G$6-$E$6)*($G$6-$F$6))))</f>
        <v>0.924683770135519</v>
      </c>
      <c r="C590" s="37" t="n">
        <f aca="false">1+IF($G$7=$E$7,$F$7,IF(Q590&lt;($F$7-$E$7)/($G$7-$E$7),$E$7+SQRT(Q590*($G$7-$E$7)*($F$7-$E$7)),$G$7-SQRT((1-Q590)*($G$7-$E$7)*($G$7-$F$7))))</f>
        <v>1.09042348004735</v>
      </c>
      <c r="D590" s="37" t="n">
        <f aca="false">1+IF($G$8=$E$8,$F$8,IF(R590&lt;($F$8-$E$8)/($G$8-$E$8),$E$8+SQRT(R590*($G$8-$E$8)*($F$8-$E$8)),$G$8-SQRT((1-R590)*($G$8-$E$8)*($G$8-$F$8))))</f>
        <v>1.01373793660533</v>
      </c>
      <c r="E590" s="37" t="n">
        <f aca="false">1+IF($G$9=$E$9,$F$9,IF(S590&lt;($F$9-$E$9)/($G$9-$E$9),$E$9+SQRT(S590*($G$9-$E$9)*($F$9-$E$9)),$G$9-SQRT((1-S590)*($G$9-$E$9)*($G$9-$F$9))))</f>
        <v>1.07887051815629</v>
      </c>
      <c r="F590" s="37" t="n">
        <f aca="false">1+IF($G$10=$E$10,$F$10,IF(T590&lt;($F$10-$E$10)/($G$10-$E$10),$E$10+SQRT(T590*($G$10-$E$10)*($F$10-$E$10)),$G$10-SQRT((1-T590)*($G$10-$E$10)*($G$10-$F$10))))</f>
        <v>1.08813756079477</v>
      </c>
      <c r="G590" s="38" t="n">
        <f aca="false">IF($G$11=$E$11,$F$11,IF(U590&lt;($F$11-$E$11)/($G$11-$E$11),$E$11+SQRT(U590*($G$11-$E$11)*($F$11-$E$11)),$G$11-SQRT((1-U590)*($G$11-$E$11)*($G$11-$F$11))))</f>
        <v>0.110572611523182</v>
      </c>
      <c r="H590" s="39" t="n">
        <f aca="false">(('Business Case'!B11*$C590*'Business Case'!B12*$B590)-'Business Case'!B11*$C590*'Business Case'!B13*$D590-'Business Case'!B14*$E590)-MAX(0,(('Business Case'!B11*$C590*'Business Case'!B12*$B590)-'Business Case'!B11*$C590*'Business Case'!B13*$D590-'Business Case'!B14*$E590))*'Business Case'!$B$7-'Business Case'!$B$8*('Business Case'!B11*$C590*'Business Case'!B12*$B590)-'Business Case'!B15*$F590</f>
        <v>-2176275121.58953</v>
      </c>
      <c r="I590" s="39" t="n">
        <f aca="false">(('Business Case'!C11*$C590*'Business Case'!C12*$B590)-'Business Case'!C11*$C590*'Business Case'!C13*$D590-'Business Case'!C14*$E590)-MAX(0,(('Business Case'!C11*$C590*'Business Case'!C12*$B590)-'Business Case'!C11*$C590*'Business Case'!C13*$D590-'Business Case'!C14*$E590))*'Business Case'!$B$7-'Business Case'!$B$8*(('Business Case'!C11*$C590*'Business Case'!C12*$B590)-('Business Case'!B11*$C590*'Business Case'!B12*$B590))-'Business Case'!C15*$F590</f>
        <v>-54509736.5801132</v>
      </c>
      <c r="J590" s="39" t="n">
        <f aca="false">(('Business Case'!D11*$C590*'Business Case'!D12*$B590)-'Business Case'!D11*$C590*'Business Case'!D13*$D590-'Business Case'!D14*$E590)-MAX(0,(('Business Case'!D11*$C590*'Business Case'!D12*$B590)-'Business Case'!D11*$C590*'Business Case'!D13*$D590-'Business Case'!D14*$E590))*'Business Case'!$B$7-'Business Case'!$B$8*(('Business Case'!D11*$C590*'Business Case'!D12*$B590)-('Business Case'!C11*$C590*'Business Case'!C12*$B590))-'Business Case'!D15*$F590</f>
        <v>205479781.615816</v>
      </c>
      <c r="K590" s="39" t="n">
        <f aca="false">(('Business Case'!E11*$C590*'Business Case'!E12*$B590)-'Business Case'!E11*$C590*'Business Case'!E13*$D590-'Business Case'!E14*$E590)-MAX(0,(('Business Case'!E11*$C590*'Business Case'!E12*$B590)-'Business Case'!E11*$C590*'Business Case'!E13*$D590-'Business Case'!E14*$E590))*'Business Case'!$B$7-'Business Case'!$B$8*(('Business Case'!E11*$C590*'Business Case'!E12*$B590)-('Business Case'!D11*$C590*'Business Case'!D12*$B590))-'Business Case'!E15*$F590</f>
        <v>519876177.851483</v>
      </c>
      <c r="L590" s="39" t="n">
        <f aca="false">(('Business Case'!F11*$C590*'Business Case'!F12*$B590)-'Business Case'!F11*$C590*'Business Case'!F13*$D590-'Business Case'!F14*$E590)-MAX(0,(('Business Case'!F11*$C590*'Business Case'!F12*$B590)-'Business Case'!F11*$C590*'Business Case'!F13*$D590-'Business Case'!F14*$E590))*'Business Case'!$B$7-'Business Case'!$B$8*(('Business Case'!F11*$C590*'Business Case'!F12*$B590)-('Business Case'!E11*$C590*'Business Case'!E12*$B590))-'Business Case'!F15*$F590</f>
        <v>641386091.259954</v>
      </c>
      <c r="M590" s="39" t="n">
        <f aca="false">(('Business Case'!G11*$C590*'Business Case'!G12*$B590)-'Business Case'!G11*$C590*'Business Case'!G13*$D590-'Business Case'!G14*$E590)-MAX(0,(('Business Case'!G11*$C590*'Business Case'!G12*$B590)-'Business Case'!G11*$C590*'Business Case'!G13*$D590-'Business Case'!G14*$E590))*'Business Case'!$B$7-'Business Case'!$B$8*(('Business Case'!G11*$C590*'Business Case'!G12*$B590)-('Business Case'!F11*$C590*'Business Case'!F12*$B590))-'Business Case'!G15*$F590+'Business Case'!$B$8*('Business Case'!G11*$C590*'Business Case'!G12*$B590)</f>
        <v>833043164.98067</v>
      </c>
      <c r="N590" s="39" t="n">
        <f aca="false">IF(COUNT('Business Case'!B11:G11)=0,"",H590+NPV(G590,I590:M590))</f>
        <v>-764488712.831859</v>
      </c>
      <c r="P590" s="40" t="n">
        <f aca="true">RAND()</f>
        <v>0.00228517736274748</v>
      </c>
      <c r="Q590" s="40" t="n">
        <f aca="true">RAND()</f>
        <v>0.932393109911077</v>
      </c>
      <c r="R590" s="40" t="n">
        <f aca="true">RAND()</f>
        <v>0.577821053334664</v>
      </c>
      <c r="S590" s="40" t="n">
        <f aca="true">RAND()</f>
        <v>0.970236333134428</v>
      </c>
      <c r="T590" s="40" t="n">
        <f aca="true">RAND()</f>
        <v>0.749735893901112</v>
      </c>
      <c r="U590" s="40" t="n">
        <f aca="true">RAND()</f>
        <v>0.851873910845269</v>
      </c>
    </row>
    <row r="591" customFormat="false" ht="15" hidden="false" customHeight="false" outlineLevel="0" collapsed="false">
      <c r="A591" s="36" t="n">
        <v>511</v>
      </c>
      <c r="B591" s="37" t="n">
        <f aca="false">1+IF($G$6=$E$6,$F$6,IF(P591&lt;($F$6-$E$6)/($G$6-$E$6),$E$6+SQRT(P591*($G$6-$E$6)*($F$6-$E$6)),$G$6-SQRT((1-P591)*($G$6-$E$6)*($G$6-$F$6))))</f>
        <v>0.965968050195033</v>
      </c>
      <c r="C591" s="37" t="n">
        <f aca="false">1+IF($G$7=$E$7,$F$7,IF(Q591&lt;($F$7-$E$7)/($G$7-$E$7),$E$7+SQRT(Q591*($G$7-$E$7)*($F$7-$E$7)),$G$7-SQRT((1-Q591)*($G$7-$E$7)*($G$7-$F$7))))</f>
        <v>0.950044104717593</v>
      </c>
      <c r="D591" s="37" t="n">
        <f aca="false">1+IF($G$8=$E$8,$F$8,IF(R591&lt;($F$8-$E$8)/($G$8-$E$8),$E$8+SQRT(R591*($G$8-$E$8)*($F$8-$E$8)),$G$8-SQRT((1-R591)*($G$8-$E$8)*($G$8-$F$8))))</f>
        <v>1.02883488573589</v>
      </c>
      <c r="E591" s="37" t="n">
        <f aca="false">1+IF($G$9=$E$9,$F$9,IF(S591&lt;($F$9-$E$9)/($G$9-$E$9),$E$9+SQRT(S591*($G$9-$E$9)*($F$9-$E$9)),$G$9-SQRT((1-S591)*($G$9-$E$9)*($G$9-$F$9))))</f>
        <v>1.01045537669925</v>
      </c>
      <c r="F591" s="37" t="n">
        <f aca="false">1+IF($G$10=$E$10,$F$10,IF(T591&lt;($F$10-$E$10)/($G$10-$E$10),$E$10+SQRT(T591*($G$10-$E$10)*($F$10-$E$10)),$G$10-SQRT((1-T591)*($G$10-$E$10)*($G$10-$F$10))))</f>
        <v>1.04155232174958</v>
      </c>
      <c r="G591" s="38" t="n">
        <f aca="false">IF($G$11=$E$11,$F$11,IF(U591&lt;($F$11-$E$11)/($G$11-$E$11),$E$11+SQRT(U591*($G$11-$E$11)*($F$11-$E$11)),$G$11-SQRT((1-U591)*($G$11-$E$11)*($G$11-$F$11))))</f>
        <v>0.0982921452372639</v>
      </c>
      <c r="H591" s="39" t="n">
        <f aca="false">(('Business Case'!B11*$C591*'Business Case'!B12*$B591)-'Business Case'!B11*$C591*'Business Case'!B13*$D591-'Business Case'!B14*$E591)-MAX(0,(('Business Case'!B11*$C591*'Business Case'!B12*$B591)-'Business Case'!B11*$C591*'Business Case'!B13*$D591-'Business Case'!B14*$E591))*'Business Case'!$B$7-'Business Case'!$B$8*('Business Case'!B11*$C591*'Business Case'!B12*$B591)-'Business Case'!B15*$F591</f>
        <v>-2083104643.49916</v>
      </c>
      <c r="I591" s="39" t="n">
        <f aca="false">(('Business Case'!C11*$C591*'Business Case'!C12*$B591)-'Business Case'!C11*$C591*'Business Case'!C13*$D591-'Business Case'!C14*$E591)-MAX(0,(('Business Case'!C11*$C591*'Business Case'!C12*$B591)-'Business Case'!C11*$C591*'Business Case'!C13*$D591-'Business Case'!C14*$E591))*'Business Case'!$B$7-'Business Case'!$B$8*(('Business Case'!C11*$C591*'Business Case'!C12*$B591)-('Business Case'!B11*$C591*'Business Case'!B12*$B591))-'Business Case'!C15*$F591</f>
        <v>-44114106.7440961</v>
      </c>
      <c r="J591" s="39" t="n">
        <f aca="false">(('Business Case'!D11*$C591*'Business Case'!D12*$B591)-'Business Case'!D11*$C591*'Business Case'!D13*$D591-'Business Case'!D14*$E591)-MAX(0,(('Business Case'!D11*$C591*'Business Case'!D12*$B591)-'Business Case'!D11*$C591*'Business Case'!D13*$D591-'Business Case'!D14*$E591))*'Business Case'!$B$7-'Business Case'!$B$8*(('Business Case'!D11*$C591*'Business Case'!D12*$B591)-('Business Case'!C11*$C591*'Business Case'!C12*$B591))-'Business Case'!D15*$F591</f>
        <v>207187976.367703</v>
      </c>
      <c r="K591" s="39" t="n">
        <f aca="false">(('Business Case'!E11*$C591*'Business Case'!E12*$B591)-'Business Case'!E11*$C591*'Business Case'!E13*$D591-'Business Case'!E14*$E591)-MAX(0,(('Business Case'!E11*$C591*'Business Case'!E12*$B591)-'Business Case'!E11*$C591*'Business Case'!E13*$D591-'Business Case'!E14*$E591))*'Business Case'!$B$7-'Business Case'!$B$8*(('Business Case'!E11*$C591*'Business Case'!E12*$B591)-('Business Case'!D11*$C591*'Business Case'!D12*$B591))-'Business Case'!E15*$F591</f>
        <v>510567675.566981</v>
      </c>
      <c r="L591" s="39" t="n">
        <f aca="false">(('Business Case'!F11*$C591*'Business Case'!F12*$B591)-'Business Case'!F11*$C591*'Business Case'!F13*$D591-'Business Case'!F14*$E591)-MAX(0,(('Business Case'!F11*$C591*'Business Case'!F12*$B591)-'Business Case'!F11*$C591*'Business Case'!F13*$D591-'Business Case'!F14*$E591))*'Business Case'!$B$7-'Business Case'!$B$8*(('Business Case'!F11*$C591*'Business Case'!F12*$B591)-('Business Case'!E11*$C591*'Business Case'!E12*$B591))-'Business Case'!F15*$F591</f>
        <v>626051172.013783</v>
      </c>
      <c r="M591" s="39" t="n">
        <f aca="false">(('Business Case'!G11*$C591*'Business Case'!G12*$B591)-'Business Case'!G11*$C591*'Business Case'!G13*$D591-'Business Case'!G14*$E591)-MAX(0,(('Business Case'!G11*$C591*'Business Case'!G12*$B591)-'Business Case'!G11*$C591*'Business Case'!G13*$D591-'Business Case'!G14*$E591))*'Business Case'!$B$7-'Business Case'!$B$8*(('Business Case'!G11*$C591*'Business Case'!G12*$B591)-('Business Case'!F11*$C591*'Business Case'!F12*$B591))-'Business Case'!G15*$F591+'Business Case'!$B$8*('Business Case'!G11*$C591*'Business Case'!G12*$B591)</f>
        <v>800489916.766232</v>
      </c>
      <c r="N591" s="39" t="n">
        <f aca="false">IF(COUNT('Business Case'!B11:G11)=0,"",H591+NPV(G591,I591:M591))</f>
        <v>-634933640.97331</v>
      </c>
      <c r="P591" s="40" t="n">
        <f aca="true">RAND()</f>
        <v>0.220110587368031</v>
      </c>
      <c r="Q591" s="40" t="n">
        <f aca="true">RAND()</f>
        <v>0.32161761943577</v>
      </c>
      <c r="R591" s="40" t="n">
        <f aca="true">RAND()</f>
        <v>0.748281834840403</v>
      </c>
      <c r="S591" s="40" t="n">
        <f aca="true">RAND()</f>
        <v>0.465450695861741</v>
      </c>
      <c r="T591" s="40" t="n">
        <f aca="true">RAND()</f>
        <v>0.49788666514103</v>
      </c>
      <c r="U591" s="40" t="n">
        <f aca="true">RAND()</f>
        <v>0.229198908786261</v>
      </c>
    </row>
    <row r="592" customFormat="false" ht="15" hidden="false" customHeight="false" outlineLevel="0" collapsed="false">
      <c r="A592" s="36" t="n">
        <v>512</v>
      </c>
      <c r="B592" s="37" t="n">
        <f aca="false">1+IF($G$6=$E$6,$F$6,IF(P592&lt;($F$6-$E$6)/($G$6-$E$6),$E$6+SQRT(P592*($G$6-$E$6)*($F$6-$E$6)),$G$6-SQRT((1-P592)*($G$6-$E$6)*($G$6-$F$6))))</f>
        <v>0.991355757610265</v>
      </c>
      <c r="C592" s="37" t="n">
        <f aca="false">1+IF($G$7=$E$7,$F$7,IF(Q592&lt;($F$7-$E$7)/($G$7-$E$7),$E$7+SQRT(Q592*($G$7-$E$7)*($F$7-$E$7)),$G$7-SQRT((1-Q592)*($G$7-$E$7)*($G$7-$F$7))))</f>
        <v>1.0223681615208</v>
      </c>
      <c r="D592" s="37" t="n">
        <f aca="false">1+IF($G$8=$E$8,$F$8,IF(R592&lt;($F$8-$E$8)/($G$8-$E$8),$E$8+SQRT(R592*($G$8-$E$8)*($F$8-$E$8)),$G$8-SQRT((1-R592)*($G$8-$E$8)*($G$8-$F$8))))</f>
        <v>0.978421971977712</v>
      </c>
      <c r="E592" s="37" t="n">
        <f aca="false">1+IF($G$9=$E$9,$F$9,IF(S592&lt;($F$9-$E$9)/($G$9-$E$9),$E$9+SQRT(S592*($G$9-$E$9)*($F$9-$E$9)),$G$9-SQRT((1-S592)*($G$9-$E$9)*($G$9-$F$9))))</f>
        <v>1.04475549461674</v>
      </c>
      <c r="F592" s="37" t="n">
        <f aca="false">1+IF($G$10=$E$10,$F$10,IF(T592&lt;($F$10-$E$10)/($G$10-$E$10),$E$10+SQRT(T592*($G$10-$E$10)*($F$10-$E$10)),$G$10-SQRT((1-T592)*($G$10-$E$10)*($G$10-$F$10))))</f>
        <v>1.12210957571498</v>
      </c>
      <c r="G592" s="38" t="n">
        <f aca="false">IF($G$11=$E$11,$F$11,IF(U592&lt;($F$11-$E$11)/($G$11-$E$11),$E$11+SQRT(U592*($G$11-$E$11)*($F$11-$E$11)),$G$11-SQRT((1-U592)*($G$11-$E$11)*($G$11-$F$11))))</f>
        <v>0.0913367143627977</v>
      </c>
      <c r="H592" s="39" t="n">
        <f aca="false">(('Business Case'!B11*$C592*'Business Case'!B12*$B592)-'Business Case'!B11*$C592*'Business Case'!B13*$D592-'Business Case'!B14*$E592)-MAX(0,(('Business Case'!B11*$C592*'Business Case'!B12*$B592)-'Business Case'!B11*$C592*'Business Case'!B13*$D592-'Business Case'!B14*$E592))*'Business Case'!$B$7-'Business Case'!$B$8*('Business Case'!B11*$C592*'Business Case'!B12*$B592)-'Business Case'!B15*$F592</f>
        <v>-2244219151.42995</v>
      </c>
      <c r="I592" s="39" t="n">
        <f aca="false">(('Business Case'!C11*$C592*'Business Case'!C12*$B592)-'Business Case'!C11*$C592*'Business Case'!C13*$D592-'Business Case'!C14*$E592)-MAX(0,(('Business Case'!C11*$C592*'Business Case'!C12*$B592)-'Business Case'!C11*$C592*'Business Case'!C13*$D592-'Business Case'!C14*$E592))*'Business Case'!$B$7-'Business Case'!$B$8*(('Business Case'!C11*$C592*'Business Case'!C12*$B592)-('Business Case'!B11*$C592*'Business Case'!B12*$B592))-'Business Case'!C15*$F592</f>
        <v>4760490.83637087</v>
      </c>
      <c r="J592" s="39" t="n">
        <f aca="false">(('Business Case'!D11*$C592*'Business Case'!D12*$B592)-'Business Case'!D11*$C592*'Business Case'!D13*$D592-'Business Case'!D14*$E592)-MAX(0,(('Business Case'!D11*$C592*'Business Case'!D12*$B592)-'Business Case'!D11*$C592*'Business Case'!D13*$D592-'Business Case'!D14*$E592))*'Business Case'!$B$7-'Business Case'!$B$8*(('Business Case'!D11*$C592*'Business Case'!D12*$B592)-('Business Case'!C11*$C592*'Business Case'!C12*$B592))-'Business Case'!D15*$F592</f>
        <v>322837594.981304</v>
      </c>
      <c r="K592" s="39" t="n">
        <f aca="false">(('Business Case'!E11*$C592*'Business Case'!E12*$B592)-'Business Case'!E11*$C592*'Business Case'!E13*$D592-'Business Case'!E14*$E592)-MAX(0,(('Business Case'!E11*$C592*'Business Case'!E12*$B592)-'Business Case'!E11*$C592*'Business Case'!E13*$D592-'Business Case'!E14*$E592))*'Business Case'!$B$7-'Business Case'!$B$8*(('Business Case'!E11*$C592*'Business Case'!E12*$B592)-('Business Case'!D11*$C592*'Business Case'!D12*$B592))-'Business Case'!E15*$F592</f>
        <v>697020177.911987</v>
      </c>
      <c r="L592" s="39" t="n">
        <f aca="false">(('Business Case'!F11*$C592*'Business Case'!F12*$B592)-'Business Case'!F11*$C592*'Business Case'!F13*$D592-'Business Case'!F14*$E592)-MAX(0,(('Business Case'!F11*$C592*'Business Case'!F12*$B592)-'Business Case'!F11*$C592*'Business Case'!F13*$D592-'Business Case'!F14*$E592))*'Business Case'!$B$7-'Business Case'!$B$8*(('Business Case'!F11*$C592*'Business Case'!F12*$B592)-('Business Case'!E11*$C592*'Business Case'!E12*$B592))-'Business Case'!F15*$F592</f>
        <v>838073495.562008</v>
      </c>
      <c r="M592" s="39" t="n">
        <f aca="false">(('Business Case'!G11*$C592*'Business Case'!G12*$B592)-'Business Case'!G11*$C592*'Business Case'!G13*$D592-'Business Case'!G14*$E592)-MAX(0,(('Business Case'!G11*$C592*'Business Case'!G12*$B592)-'Business Case'!G11*$C592*'Business Case'!G13*$D592-'Business Case'!G14*$E592))*'Business Case'!$B$7-'Business Case'!$B$8*(('Business Case'!G11*$C592*'Business Case'!G12*$B592)-('Business Case'!F11*$C592*'Business Case'!F12*$B592))-'Business Case'!G15*$F592+'Business Case'!$B$8*('Business Case'!G11*$C592*'Business Case'!G12*$B592)</f>
        <v>1030725385.03808</v>
      </c>
      <c r="N592" s="39" t="n">
        <f aca="false">IF(COUNT('Business Case'!B11:G11)=0,"",H592+NPV(G592,I592:M592))</f>
        <v>-175927085.641002</v>
      </c>
      <c r="P592" s="40" t="n">
        <f aca="true">RAND()</f>
        <v>0.530379598347388</v>
      </c>
      <c r="Q592" s="40" t="n">
        <f aca="true">RAND()</f>
        <v>0.689716453455607</v>
      </c>
      <c r="R592" s="40" t="n">
        <f aca="true">RAND()</f>
        <v>0.124278229400287</v>
      </c>
      <c r="S592" s="40" t="n">
        <f aca="true">RAND()</f>
        <v>0.79653630833062</v>
      </c>
      <c r="T592" s="40" t="n">
        <f aca="true">RAND()</f>
        <v>0.878661636093981</v>
      </c>
      <c r="U592" s="40" t="n">
        <f aca="true">RAND()</f>
        <v>0.00595601762569868</v>
      </c>
    </row>
    <row r="593" customFormat="false" ht="15" hidden="false" customHeight="false" outlineLevel="0" collapsed="false">
      <c r="A593" s="36" t="n">
        <v>513</v>
      </c>
      <c r="B593" s="37" t="n">
        <f aca="false">1+IF($G$6=$E$6,$F$6,IF(P593&lt;($F$6-$E$6)/($G$6-$E$6),$E$6+SQRT(P593*($G$6-$E$6)*($F$6-$E$6)),$G$6-SQRT((1-P593)*($G$6-$E$6)*($G$6-$F$6))))</f>
        <v>0.953634369241892</v>
      </c>
      <c r="C593" s="37" t="n">
        <f aca="false">1+IF($G$7=$E$7,$F$7,IF(Q593&lt;($F$7-$E$7)/($G$7-$E$7),$E$7+SQRT(Q593*($G$7-$E$7)*($F$7-$E$7)),$G$7-SQRT((1-Q593)*($G$7-$E$7)*($G$7-$F$7))))</f>
        <v>0.957355259731318</v>
      </c>
      <c r="D593" s="37" t="n">
        <f aca="false">1+IF($G$8=$E$8,$F$8,IF(R593&lt;($F$8-$E$8)/($G$8-$E$8),$E$8+SQRT(R593*($G$8-$E$8)*($F$8-$E$8)),$G$8-SQRT((1-R593)*($G$8-$E$8)*($G$8-$F$8))))</f>
        <v>1.02915747920875</v>
      </c>
      <c r="E593" s="37" t="n">
        <f aca="false">1+IF($G$9=$E$9,$F$9,IF(S593&lt;($F$9-$E$9)/($G$9-$E$9),$E$9+SQRT(S593*($G$9-$E$9)*($F$9-$E$9)),$G$9-SQRT((1-S593)*($G$9-$E$9)*($G$9-$F$9))))</f>
        <v>0.998575360995915</v>
      </c>
      <c r="F593" s="37" t="n">
        <f aca="false">1+IF($G$10=$E$10,$F$10,IF(T593&lt;($F$10-$E$10)/($G$10-$E$10),$E$10+SQRT(T593*($G$10-$E$10)*($F$10-$E$10)),$G$10-SQRT((1-T593)*($G$10-$E$10)*($G$10-$F$10))))</f>
        <v>1.01862527083737</v>
      </c>
      <c r="G593" s="38" t="n">
        <f aca="false">IF($G$11=$E$11,$F$11,IF(U593&lt;($F$11-$E$11)/($G$11-$E$11),$E$11+SQRT(U593*($G$11-$E$11)*($F$11-$E$11)),$G$11-SQRT((1-U593)*($G$11-$E$11)*($G$11-$F$11))))</f>
        <v>0.0984388463145658</v>
      </c>
      <c r="H593" s="39" t="n">
        <f aca="false">(('Business Case'!B11*$C593*'Business Case'!B12*$B593)-'Business Case'!B11*$C593*'Business Case'!B13*$D593-'Business Case'!B14*$E593)-MAX(0,(('Business Case'!B11*$C593*'Business Case'!B12*$B593)-'Business Case'!B11*$C593*'Business Case'!B13*$D593-'Business Case'!B14*$E593))*'Business Case'!$B$7-'Business Case'!$B$8*('Business Case'!B11*$C593*'Business Case'!B12*$B593)-'Business Case'!B15*$F593</f>
        <v>-2037250541.67475</v>
      </c>
      <c r="I593" s="39" t="n">
        <f aca="false">(('Business Case'!C11*$C593*'Business Case'!C12*$B593)-'Business Case'!C11*$C593*'Business Case'!C13*$D593-'Business Case'!C14*$E593)-MAX(0,(('Business Case'!C11*$C593*'Business Case'!C12*$B593)-'Business Case'!C11*$C593*'Business Case'!C13*$D593-'Business Case'!C14*$E593))*'Business Case'!$B$7-'Business Case'!$B$8*(('Business Case'!C11*$C593*'Business Case'!C12*$B593)-('Business Case'!B11*$C593*'Business Case'!B12*$B593))-'Business Case'!C15*$F593</f>
        <v>-47781611.9831776</v>
      </c>
      <c r="J593" s="39" t="n">
        <f aca="false">(('Business Case'!D11*$C593*'Business Case'!D12*$B593)-'Business Case'!D11*$C593*'Business Case'!D13*$D593-'Business Case'!D14*$E593)-MAX(0,(('Business Case'!D11*$C593*'Business Case'!D12*$B593)-'Business Case'!D11*$C593*'Business Case'!D13*$D593-'Business Case'!D14*$E593))*'Business Case'!$B$7-'Business Case'!$B$8*(('Business Case'!D11*$C593*'Business Case'!D12*$B593)-('Business Case'!C11*$C593*'Business Case'!C12*$B593))-'Business Case'!D15*$F593</f>
        <v>195624922.471543</v>
      </c>
      <c r="K593" s="39" t="n">
        <f aca="false">(('Business Case'!E11*$C593*'Business Case'!E12*$B593)-'Business Case'!E11*$C593*'Business Case'!E13*$D593-'Business Case'!E14*$E593)-MAX(0,(('Business Case'!E11*$C593*'Business Case'!E12*$B593)-'Business Case'!E11*$C593*'Business Case'!E13*$D593-'Business Case'!E14*$E593))*'Business Case'!$B$7-'Business Case'!$B$8*(('Business Case'!E11*$C593*'Business Case'!E12*$B593)-('Business Case'!D11*$C593*'Business Case'!D12*$B593))-'Business Case'!E15*$F593</f>
        <v>489962720.468133</v>
      </c>
      <c r="L593" s="39" t="n">
        <f aca="false">(('Business Case'!F11*$C593*'Business Case'!F12*$B593)-'Business Case'!F11*$C593*'Business Case'!F13*$D593-'Business Case'!F14*$E593)-MAX(0,(('Business Case'!F11*$C593*'Business Case'!F12*$B593)-'Business Case'!F11*$C593*'Business Case'!F13*$D593-'Business Case'!F14*$E593))*'Business Case'!$B$7-'Business Case'!$B$8*(('Business Case'!F11*$C593*'Business Case'!F12*$B593)-('Business Case'!E11*$C593*'Business Case'!E12*$B593))-'Business Case'!F15*$F593</f>
        <v>602650367.300067</v>
      </c>
      <c r="M593" s="39" t="n">
        <f aca="false">(('Business Case'!G11*$C593*'Business Case'!G12*$B593)-'Business Case'!G11*$C593*'Business Case'!G13*$D593-'Business Case'!G14*$E593)-MAX(0,(('Business Case'!G11*$C593*'Business Case'!G12*$B593)-'Business Case'!G11*$C593*'Business Case'!G13*$D593-'Business Case'!G14*$E593))*'Business Case'!$B$7-'Business Case'!$B$8*(('Business Case'!G11*$C593*'Business Case'!G12*$B593)-('Business Case'!F11*$C593*'Business Case'!F12*$B593))-'Business Case'!G15*$F593+'Business Case'!$B$8*('Business Case'!G11*$C593*'Business Case'!G12*$B593)</f>
        <v>776187111.708721</v>
      </c>
      <c r="N593" s="39" t="n">
        <f aca="false">IF(COUNT('Business Case'!B11:G11)=0,"",H593+NPV(G593,I593:M593))</f>
        <v>-649579619.17876</v>
      </c>
      <c r="P593" s="40" t="n">
        <f aca="true">RAND()</f>
        <v>0.117840707739577</v>
      </c>
      <c r="Q593" s="40" t="n">
        <f aca="true">RAND()</f>
        <v>0.353723968073009</v>
      </c>
      <c r="R593" s="40" t="n">
        <f aca="true">RAND()</f>
        <v>0.751445969191474</v>
      </c>
      <c r="S593" s="40" t="n">
        <f aca="true">RAND()</f>
        <v>0.314608759451124</v>
      </c>
      <c r="T593" s="40" t="n">
        <f aca="true">RAND()</f>
        <v>0.342064152423676</v>
      </c>
      <c r="U593" s="40" t="n">
        <f aca="true">RAND()</f>
        <v>0.237380423736201</v>
      </c>
    </row>
    <row r="594" customFormat="false" ht="15" hidden="false" customHeight="false" outlineLevel="0" collapsed="false">
      <c r="A594" s="36" t="n">
        <v>514</v>
      </c>
      <c r="B594" s="37" t="n">
        <f aca="false">1+IF($G$6=$E$6,$F$6,IF(P594&lt;($F$6-$E$6)/($G$6-$E$6),$E$6+SQRT(P594*($G$6-$E$6)*($F$6-$E$6)),$G$6-SQRT((1-P594)*($G$6-$E$6)*($G$6-$F$6))))</f>
        <v>0.948971871851054</v>
      </c>
      <c r="C594" s="37" t="n">
        <f aca="false">1+IF($G$7=$E$7,$F$7,IF(Q594&lt;($F$7-$E$7)/($G$7-$E$7),$E$7+SQRT(Q594*($G$7-$E$7)*($F$7-$E$7)),$G$7-SQRT((1-Q594)*($G$7-$E$7)*($G$7-$F$7))))</f>
        <v>1.11093991392317</v>
      </c>
      <c r="D594" s="37" t="n">
        <f aca="false">1+IF($G$8=$E$8,$F$8,IF(R594&lt;($F$8-$E$8)/($G$8-$E$8),$E$8+SQRT(R594*($G$8-$E$8)*($F$8-$E$8)),$G$8-SQRT((1-R594)*($G$8-$E$8)*($G$8-$F$8))))</f>
        <v>0.999824397230936</v>
      </c>
      <c r="E594" s="37" t="n">
        <f aca="false">1+IF($G$9=$E$9,$F$9,IF(S594&lt;($F$9-$E$9)/($G$9-$E$9),$E$9+SQRT(S594*($G$9-$E$9)*($F$9-$E$9)),$G$9-SQRT((1-S594)*($G$9-$E$9)*($G$9-$F$9))))</f>
        <v>1.06961773239172</v>
      </c>
      <c r="F594" s="37" t="n">
        <f aca="false">1+IF($G$10=$E$10,$F$10,IF(T594&lt;($F$10-$E$10)/($G$10-$E$10),$E$10+SQRT(T594*($G$10-$E$10)*($F$10-$E$10)),$G$10-SQRT((1-T594)*($G$10-$E$10)*($G$10-$F$10))))</f>
        <v>1.05261662834522</v>
      </c>
      <c r="G594" s="38" t="n">
        <f aca="false">IF($G$11=$E$11,$F$11,IF(U594&lt;($F$11-$E$11)/($G$11-$E$11),$E$11+SQRT(U594*($G$11-$E$11)*($F$11-$E$11)),$G$11-SQRT((1-U594)*($G$11-$E$11)*($G$11-$F$11))))</f>
        <v>0.0938815157092396</v>
      </c>
      <c r="H594" s="39" t="n">
        <f aca="false">(('Business Case'!B11*$C594*'Business Case'!B12*$B594)-'Business Case'!B11*$C594*'Business Case'!B13*$D594-'Business Case'!B14*$E594)-MAX(0,(('Business Case'!B11*$C594*'Business Case'!B12*$B594)-'Business Case'!B11*$C594*'Business Case'!B13*$D594-'Business Case'!B14*$E594))*'Business Case'!$B$7-'Business Case'!$B$8*('Business Case'!B11*$C594*'Business Case'!B12*$B594)-'Business Case'!B15*$F594</f>
        <v>-2105233256.69044</v>
      </c>
      <c r="I594" s="39" t="n">
        <f aca="false">(('Business Case'!C11*$C594*'Business Case'!C12*$B594)-'Business Case'!C11*$C594*'Business Case'!C13*$D594-'Business Case'!C14*$E594)-MAX(0,(('Business Case'!C11*$C594*'Business Case'!C12*$B594)-'Business Case'!C11*$C594*'Business Case'!C13*$D594-'Business Case'!C14*$E594))*'Business Case'!$B$7-'Business Case'!$B$8*(('Business Case'!C11*$C594*'Business Case'!C12*$B594)-('Business Case'!B11*$C594*'Business Case'!B12*$B594))-'Business Case'!C15*$F594</f>
        <v>-17118901.8555586</v>
      </c>
      <c r="J594" s="39" t="n">
        <f aca="false">(('Business Case'!D11*$C594*'Business Case'!D12*$B594)-'Business Case'!D11*$C594*'Business Case'!D13*$D594-'Business Case'!D14*$E594)-MAX(0,(('Business Case'!D11*$C594*'Business Case'!D12*$B594)-'Business Case'!D11*$C594*'Business Case'!D13*$D594-'Business Case'!D14*$E594))*'Business Case'!$B$7-'Business Case'!$B$8*(('Business Case'!D11*$C594*'Business Case'!D12*$B594)-('Business Case'!C11*$C594*'Business Case'!C12*$B594))-'Business Case'!D15*$F594</f>
        <v>277775858.493511</v>
      </c>
      <c r="K594" s="39" t="n">
        <f aca="false">(('Business Case'!E11*$C594*'Business Case'!E12*$B594)-'Business Case'!E11*$C594*'Business Case'!E13*$D594-'Business Case'!E14*$E594)-MAX(0,(('Business Case'!E11*$C594*'Business Case'!E12*$B594)-'Business Case'!E11*$C594*'Business Case'!E13*$D594-'Business Case'!E14*$E594))*'Business Case'!$B$7-'Business Case'!$B$8*(('Business Case'!E11*$C594*'Business Case'!E12*$B594)-('Business Case'!D11*$C594*'Business Case'!D12*$B594))-'Business Case'!E15*$F594</f>
        <v>625301450.259843</v>
      </c>
      <c r="L594" s="39" t="n">
        <f aca="false">(('Business Case'!F11*$C594*'Business Case'!F12*$B594)-'Business Case'!F11*$C594*'Business Case'!F13*$D594-'Business Case'!F14*$E594)-MAX(0,(('Business Case'!F11*$C594*'Business Case'!F12*$B594)-'Business Case'!F11*$C594*'Business Case'!F13*$D594-'Business Case'!F14*$E594))*'Business Case'!$B$7-'Business Case'!$B$8*(('Business Case'!F11*$C594*'Business Case'!F12*$B594)-('Business Case'!E11*$C594*'Business Case'!E12*$B594))-'Business Case'!F15*$F594</f>
        <v>760034608.925536</v>
      </c>
      <c r="M594" s="39" t="n">
        <f aca="false">(('Business Case'!G11*$C594*'Business Case'!G12*$B594)-'Business Case'!G11*$C594*'Business Case'!G13*$D594-'Business Case'!G14*$E594)-MAX(0,(('Business Case'!G11*$C594*'Business Case'!G12*$B594)-'Business Case'!G11*$C594*'Business Case'!G13*$D594-'Business Case'!G14*$E594))*'Business Case'!$B$7-'Business Case'!$B$8*(('Business Case'!G11*$C594*'Business Case'!G12*$B594)-('Business Case'!F11*$C594*'Business Case'!F12*$B594))-'Business Case'!G15*$F594+'Business Case'!$B$8*('Business Case'!G11*$C594*'Business Case'!G12*$B594)</f>
        <v>960426587.613553</v>
      </c>
      <c r="N594" s="39" t="n">
        <f aca="false">IF(COUNT('Business Case'!B11:G11)=0,"",H594+NPV(G594,I594:M594))</f>
        <v>-266974115.538583</v>
      </c>
      <c r="P594" s="40" t="n">
        <f aca="true">RAND()</f>
        <v>0.0874343081826947</v>
      </c>
      <c r="Q594" s="40" t="n">
        <f aca="true">RAND()</f>
        <v>0.970939231917534</v>
      </c>
      <c r="R594" s="40" t="n">
        <f aca="true">RAND()</f>
        <v>0.381918547604008</v>
      </c>
      <c r="S594" s="40" t="n">
        <f aca="true">RAND()</f>
        <v>0.938461187665246</v>
      </c>
      <c r="T594" s="40" t="n">
        <f aca="true">RAND()</f>
        <v>0.56556283519337</v>
      </c>
      <c r="U594" s="40" t="n">
        <f aca="true">RAND()</f>
        <v>0.0502205473369132</v>
      </c>
    </row>
    <row r="595" customFormat="false" ht="15" hidden="false" customHeight="false" outlineLevel="0" collapsed="false">
      <c r="A595" s="36" t="n">
        <v>515</v>
      </c>
      <c r="B595" s="37" t="n">
        <f aca="false">1+IF($G$6=$E$6,$F$6,IF(P595&lt;($F$6-$E$6)/($G$6-$E$6),$E$6+SQRT(P595*($G$6-$E$6)*($F$6-$E$6)),$G$6-SQRT((1-P595)*($G$6-$E$6)*($G$6-$F$6))))</f>
        <v>0.997881858831311</v>
      </c>
      <c r="C595" s="37" t="n">
        <f aca="false">1+IF($G$7=$E$7,$F$7,IF(Q595&lt;($F$7-$E$7)/($G$7-$E$7),$E$7+SQRT(Q595*($G$7-$E$7)*($F$7-$E$7)),$G$7-SQRT((1-Q595)*($G$7-$E$7)*($G$7-$F$7))))</f>
        <v>1.00611613021054</v>
      </c>
      <c r="D595" s="37" t="n">
        <f aca="false">1+IF($G$8=$E$8,$F$8,IF(R595&lt;($F$8-$E$8)/($G$8-$E$8),$E$8+SQRT(R595*($G$8-$E$8)*($F$8-$E$8)),$G$8-SQRT((1-R595)*($G$8-$E$8)*($G$8-$F$8))))</f>
        <v>0.99956111195546</v>
      </c>
      <c r="E595" s="37" t="n">
        <f aca="false">1+IF($G$9=$E$9,$F$9,IF(S595&lt;($F$9-$E$9)/($G$9-$E$9),$E$9+SQRT(S595*($G$9-$E$9)*($F$9-$E$9)),$G$9-SQRT((1-S595)*($G$9-$E$9)*($G$9-$F$9))))</f>
        <v>0.982194435941217</v>
      </c>
      <c r="F595" s="37" t="n">
        <f aca="false">1+IF($G$10=$E$10,$F$10,IF(T595&lt;($F$10-$E$10)/($G$10-$E$10),$E$10+SQRT(T595*($G$10-$E$10)*($F$10-$E$10)),$G$10-SQRT((1-T595)*($G$10-$E$10)*($G$10-$F$10))))</f>
        <v>0.999550111275549</v>
      </c>
      <c r="G595" s="38" t="n">
        <f aca="false">IF($G$11=$E$11,$F$11,IF(U595&lt;($F$11-$E$11)/($G$11-$E$11),$E$11+SQRT(U595*($G$11-$E$11)*($F$11-$E$11)),$G$11-SQRT((1-U595)*($G$11-$E$11)*($G$11-$F$11))))</f>
        <v>0.104281502420795</v>
      </c>
      <c r="H595" s="39" t="n">
        <f aca="false">(('Business Case'!B11*$C595*'Business Case'!B12*$B595)-'Business Case'!B11*$C595*'Business Case'!B13*$D595-'Business Case'!B14*$E595)-MAX(0,(('Business Case'!B11*$C595*'Business Case'!B12*$B595)-'Business Case'!B11*$C595*'Business Case'!B13*$D595-'Business Case'!B14*$E595))*'Business Case'!$B$7-'Business Case'!$B$8*('Business Case'!B11*$C595*'Business Case'!B12*$B595)-'Business Case'!B15*$F595</f>
        <v>-1999100222.5511</v>
      </c>
      <c r="I595" s="39" t="n">
        <f aca="false">(('Business Case'!C11*$C595*'Business Case'!C12*$B595)-'Business Case'!C11*$C595*'Business Case'!C13*$D595-'Business Case'!C14*$E595)-MAX(0,(('Business Case'!C11*$C595*'Business Case'!C12*$B595)-'Business Case'!C11*$C595*'Business Case'!C13*$D595-'Business Case'!C14*$E595))*'Business Case'!$B$7-'Business Case'!$B$8*(('Business Case'!C11*$C595*'Business Case'!C12*$B595)-('Business Case'!B11*$C595*'Business Case'!B12*$B595))-'Business Case'!C15*$F595</f>
        <v>15841466.1875931</v>
      </c>
      <c r="J595" s="39" t="n">
        <f aca="false">(('Business Case'!D11*$C595*'Business Case'!D12*$B595)-'Business Case'!D11*$C595*'Business Case'!D13*$D595-'Business Case'!D14*$E595)-MAX(0,(('Business Case'!D11*$C595*'Business Case'!D12*$B595)-'Business Case'!D11*$C595*'Business Case'!D13*$D595-'Business Case'!D14*$E595))*'Business Case'!$B$7-'Business Case'!$B$8*(('Business Case'!D11*$C595*'Business Case'!D12*$B595)-('Business Case'!C11*$C595*'Business Case'!C12*$B595))-'Business Case'!D15*$F595</f>
        <v>323352576.46727</v>
      </c>
      <c r="K595" s="39" t="n">
        <f aca="false">(('Business Case'!E11*$C595*'Business Case'!E12*$B595)-'Business Case'!E11*$C595*'Business Case'!E13*$D595-'Business Case'!E14*$E595)-MAX(0,(('Business Case'!E11*$C595*'Business Case'!E12*$B595)-'Business Case'!E11*$C595*'Business Case'!E13*$D595-'Business Case'!E14*$E595))*'Business Case'!$B$7-'Business Case'!$B$8*(('Business Case'!E11*$C595*'Business Case'!E12*$B595)-('Business Case'!D11*$C595*'Business Case'!D12*$B595))-'Business Case'!E15*$F595</f>
        <v>680841192.310724</v>
      </c>
      <c r="L595" s="39" t="n">
        <f aca="false">(('Business Case'!F11*$C595*'Business Case'!F12*$B595)-'Business Case'!F11*$C595*'Business Case'!F13*$D595-'Business Case'!F14*$E595)-MAX(0,(('Business Case'!F11*$C595*'Business Case'!F12*$B595)-'Business Case'!F11*$C595*'Business Case'!F13*$D595-'Business Case'!F14*$E595))*'Business Case'!$B$7-'Business Case'!$B$8*(('Business Case'!F11*$C595*'Business Case'!F12*$B595)-('Business Case'!E11*$C595*'Business Case'!E12*$B595))-'Business Case'!F15*$F595</f>
        <v>818042618.519741</v>
      </c>
      <c r="M595" s="39" t="n">
        <f aca="false">(('Business Case'!G11*$C595*'Business Case'!G12*$B595)-'Business Case'!G11*$C595*'Business Case'!G13*$D595-'Business Case'!G14*$E595)-MAX(0,(('Business Case'!G11*$C595*'Business Case'!G12*$B595)-'Business Case'!G11*$C595*'Business Case'!G13*$D595-'Business Case'!G14*$E595))*'Business Case'!$B$7-'Business Case'!$B$8*(('Business Case'!G11*$C595*'Business Case'!G12*$B595)-('Business Case'!F11*$C595*'Business Case'!F12*$B595))-'Business Case'!G15*$F595+'Business Case'!$B$8*('Business Case'!G11*$C595*'Business Case'!G12*$B595)</f>
        <v>1008880093.82326</v>
      </c>
      <c r="N595" s="39" t="n">
        <f aca="false">IF(COUNT('Business Case'!B11:G11)=0,"",H595+NPV(G595,I595:M595))</f>
        <v>-49486073.0864778</v>
      </c>
      <c r="P595" s="40" t="n">
        <f aca="true">RAND()</f>
        <v>0.631831659897945</v>
      </c>
      <c r="Q595" s="40" t="n">
        <f aca="true">RAND()</f>
        <v>0.605665371703017</v>
      </c>
      <c r="R595" s="40" t="n">
        <f aca="true">RAND()</f>
        <v>0.377892895117175</v>
      </c>
      <c r="S595" s="40" t="n">
        <f aca="true">RAND()</f>
        <v>0.138197560743079</v>
      </c>
      <c r="T595" s="40" t="n">
        <f aca="true">RAND()</f>
        <v>0.196417082193545</v>
      </c>
      <c r="U595" s="40" t="n">
        <f aca="true">RAND()</f>
        <v>0.588214723087564</v>
      </c>
    </row>
    <row r="596" customFormat="false" ht="15" hidden="false" customHeight="false" outlineLevel="0" collapsed="false">
      <c r="A596" s="36" t="n">
        <v>516</v>
      </c>
      <c r="B596" s="37" t="n">
        <f aca="false">1+IF($G$6=$E$6,$F$6,IF(P596&lt;($F$6-$E$6)/($G$6-$E$6),$E$6+SQRT(P596*($G$6-$E$6)*($F$6-$E$6)),$G$6-SQRT((1-P596)*($G$6-$E$6)*($G$6-$F$6))))</f>
        <v>0.975422597338855</v>
      </c>
      <c r="C596" s="37" t="n">
        <f aca="false">1+IF($G$7=$E$7,$F$7,IF(Q596&lt;($F$7-$E$7)/($G$7-$E$7),$E$7+SQRT(Q596*($G$7-$E$7)*($F$7-$E$7)),$G$7-SQRT((1-Q596)*($G$7-$E$7)*($G$7-$F$7))))</f>
        <v>1.02427567232933</v>
      </c>
      <c r="D596" s="37" t="n">
        <f aca="false">1+IF($G$8=$E$8,$F$8,IF(R596&lt;($F$8-$E$8)/($G$8-$E$8),$E$8+SQRT(R596*($G$8-$E$8)*($F$8-$E$8)),$G$8-SQRT((1-R596)*($G$8-$E$8)*($G$8-$F$8))))</f>
        <v>0.965976335841105</v>
      </c>
      <c r="E596" s="37" t="n">
        <f aca="false">1+IF($G$9=$E$9,$F$9,IF(S596&lt;($F$9-$E$9)/($G$9-$E$9),$E$9+SQRT(S596*($G$9-$E$9)*($F$9-$E$9)),$G$9-SQRT((1-S596)*($G$9-$E$9)*($G$9-$F$9))))</f>
        <v>1.0720666317029</v>
      </c>
      <c r="F596" s="37" t="n">
        <f aca="false">1+IF($G$10=$E$10,$F$10,IF(T596&lt;($F$10-$E$10)/($G$10-$E$10),$E$10+SQRT(T596*($G$10-$E$10)*($F$10-$E$10)),$G$10-SQRT((1-T596)*($G$10-$E$10)*($G$10-$F$10))))</f>
        <v>1.01198594469283</v>
      </c>
      <c r="G596" s="38" t="n">
        <f aca="false">IF($G$11=$E$11,$F$11,IF(U596&lt;($F$11-$E$11)/($G$11-$E$11),$E$11+SQRT(U596*($G$11-$E$11)*($F$11-$E$11)),$G$11-SQRT((1-U596)*($G$11-$E$11)*($G$11-$F$11))))</f>
        <v>0.106306921312022</v>
      </c>
      <c r="H596" s="39" t="n">
        <f aca="false">(('Business Case'!B11*$C596*'Business Case'!B12*$B596)-'Business Case'!B11*$C596*'Business Case'!B13*$D596-'Business Case'!B14*$E596)-MAX(0,(('Business Case'!B11*$C596*'Business Case'!B12*$B596)-'Business Case'!B11*$C596*'Business Case'!B13*$D596-'Business Case'!B14*$E596))*'Business Case'!$B$7-'Business Case'!$B$8*('Business Case'!B11*$C596*'Business Case'!B12*$B596)-'Business Case'!B15*$F596</f>
        <v>-2023971889.38566</v>
      </c>
      <c r="I596" s="39" t="n">
        <f aca="false">(('Business Case'!C11*$C596*'Business Case'!C12*$B596)-'Business Case'!C11*$C596*'Business Case'!C13*$D596-'Business Case'!C14*$E596)-MAX(0,(('Business Case'!C11*$C596*'Business Case'!C12*$B596)-'Business Case'!C11*$C596*'Business Case'!C13*$D596-'Business Case'!C14*$E596))*'Business Case'!$B$7-'Business Case'!$B$8*(('Business Case'!C11*$C596*'Business Case'!C12*$B596)-('Business Case'!B11*$C596*'Business Case'!B12*$B596))-'Business Case'!C15*$F596</f>
        <v>6389288.357701</v>
      </c>
      <c r="J596" s="39" t="n">
        <f aca="false">(('Business Case'!D11*$C596*'Business Case'!D12*$B596)-'Business Case'!D11*$C596*'Business Case'!D13*$D596-'Business Case'!D14*$E596)-MAX(0,(('Business Case'!D11*$C596*'Business Case'!D12*$B596)-'Business Case'!D11*$C596*'Business Case'!D13*$D596-'Business Case'!D14*$E596))*'Business Case'!$B$7-'Business Case'!$B$8*(('Business Case'!D11*$C596*'Business Case'!D12*$B596)-('Business Case'!C11*$C596*'Business Case'!C12*$B596))-'Business Case'!D15*$F596</f>
        <v>318218475.059078</v>
      </c>
      <c r="K596" s="39" t="n">
        <f aca="false">(('Business Case'!E11*$C596*'Business Case'!E12*$B596)-'Business Case'!E11*$C596*'Business Case'!E13*$D596-'Business Case'!E14*$E596)-MAX(0,(('Business Case'!E11*$C596*'Business Case'!E12*$B596)-'Business Case'!E11*$C596*'Business Case'!E13*$D596-'Business Case'!E14*$E596))*'Business Case'!$B$7-'Business Case'!$B$8*(('Business Case'!E11*$C596*'Business Case'!E12*$B596)-('Business Case'!D11*$C596*'Business Case'!D12*$B596))-'Business Case'!E15*$F596</f>
        <v>680646958.995097</v>
      </c>
      <c r="L596" s="39" t="n">
        <f aca="false">(('Business Case'!F11*$C596*'Business Case'!F12*$B596)-'Business Case'!F11*$C596*'Business Case'!F13*$D596-'Business Case'!F14*$E596)-MAX(0,(('Business Case'!F11*$C596*'Business Case'!F12*$B596)-'Business Case'!F11*$C596*'Business Case'!F13*$D596-'Business Case'!F14*$E596))*'Business Case'!$B$7-'Business Case'!$B$8*(('Business Case'!F11*$C596*'Business Case'!F12*$B596)-('Business Case'!E11*$C596*'Business Case'!E12*$B596))-'Business Case'!F15*$F596</f>
        <v>819118973.793051</v>
      </c>
      <c r="M596" s="39" t="n">
        <f aca="false">(('Business Case'!G11*$C596*'Business Case'!G12*$B596)-'Business Case'!G11*$C596*'Business Case'!G13*$D596-'Business Case'!G14*$E596)-MAX(0,(('Business Case'!G11*$C596*'Business Case'!G12*$B596)-'Business Case'!G11*$C596*'Business Case'!G13*$D596-'Business Case'!G14*$E596))*'Business Case'!$B$7-'Business Case'!$B$8*(('Business Case'!G11*$C596*'Business Case'!G12*$B596)-('Business Case'!F11*$C596*'Business Case'!F12*$B596))-'Business Case'!G15*$F596+'Business Case'!$B$8*('Business Case'!G11*$C596*'Business Case'!G12*$B596)</f>
        <v>1009028212.89594</v>
      </c>
      <c r="N596" s="39" t="n">
        <f aca="false">IF(COUNT('Business Case'!B11:G11)=0,"",H596+NPV(G596,I596:M596))</f>
        <v>-99821219.0814619</v>
      </c>
      <c r="P596" s="40" t="n">
        <f aca="true">RAND()</f>
        <v>0.319965030810917</v>
      </c>
      <c r="Q596" s="40" t="n">
        <f aca="true">RAND()</f>
        <v>0.69892177965255</v>
      </c>
      <c r="R596" s="40" t="n">
        <f aca="true">RAND()</f>
        <v>0.0392682010627351</v>
      </c>
      <c r="S596" s="40" t="n">
        <f aca="true">RAND()</f>
        <v>0.94798179570522</v>
      </c>
      <c r="T596" s="40" t="n">
        <f aca="true">RAND()</f>
        <v>0.293014300139041</v>
      </c>
      <c r="U596" s="40" t="n">
        <f aca="true">RAND()</f>
        <v>0.687499326741416</v>
      </c>
    </row>
    <row r="597" customFormat="false" ht="15" hidden="false" customHeight="false" outlineLevel="0" collapsed="false">
      <c r="A597" s="36" t="n">
        <v>517</v>
      </c>
      <c r="B597" s="37" t="n">
        <f aca="false">1+IF($G$6=$E$6,$F$6,IF(P597&lt;($F$6-$E$6)/($G$6-$E$6),$E$6+SQRT(P597*($G$6-$E$6)*($F$6-$E$6)),$G$6-SQRT((1-P597)*($G$6-$E$6)*($G$6-$F$6))))</f>
        <v>1.01876271411151</v>
      </c>
      <c r="C597" s="37" t="n">
        <f aca="false">1+IF($G$7=$E$7,$F$7,IF(Q597&lt;($F$7-$E$7)/($G$7-$E$7),$E$7+SQRT(Q597*($G$7-$E$7)*($F$7-$E$7)),$G$7-SQRT((1-Q597)*($G$7-$E$7)*($G$7-$F$7))))</f>
        <v>0.893322803234202</v>
      </c>
      <c r="D597" s="37" t="n">
        <f aca="false">1+IF($G$8=$E$8,$F$8,IF(R597&lt;($F$8-$E$8)/($G$8-$E$8),$E$8+SQRT(R597*($G$8-$E$8)*($F$8-$E$8)),$G$8-SQRT((1-R597)*($G$8-$E$8)*($G$8-$F$8))))</f>
        <v>1.02228153335336</v>
      </c>
      <c r="E597" s="37" t="n">
        <f aca="false">1+IF($G$9=$E$9,$F$9,IF(S597&lt;($F$9-$E$9)/($G$9-$E$9),$E$9+SQRT(S597*($G$9-$E$9)*($F$9-$E$9)),$G$9-SQRT((1-S597)*($G$9-$E$9)*($G$9-$F$9))))</f>
        <v>1.0190673019463</v>
      </c>
      <c r="F597" s="37" t="n">
        <f aca="false">1+IF($G$10=$E$10,$F$10,IF(T597&lt;($F$10-$E$10)/($G$10-$E$10),$E$10+SQRT(T597*($G$10-$E$10)*($F$10-$E$10)),$G$10-SQRT((1-T597)*($G$10-$E$10)*($G$10-$F$10))))</f>
        <v>1.05723601367205</v>
      </c>
      <c r="G597" s="38" t="n">
        <f aca="false">IF($G$11=$E$11,$F$11,IF(U597&lt;($F$11-$E$11)/($G$11-$E$11),$E$11+SQRT(U597*($G$11-$E$11)*($F$11-$E$11)),$G$11-SQRT((1-U597)*($G$11-$E$11)*($G$11-$F$11))))</f>
        <v>0.104474590025105</v>
      </c>
      <c r="H597" s="39" t="n">
        <f aca="false">(('Business Case'!B11*$C597*'Business Case'!B12*$B597)-'Business Case'!B11*$C597*'Business Case'!B13*$D597-'Business Case'!B14*$E597)-MAX(0,(('Business Case'!B11*$C597*'Business Case'!B12*$B597)-'Business Case'!B11*$C597*'Business Case'!B13*$D597-'Business Case'!B14*$E597))*'Business Case'!$B$7-'Business Case'!$B$8*('Business Case'!B11*$C597*'Business Case'!B12*$B597)-'Business Case'!B15*$F597</f>
        <v>-2114472027.34409</v>
      </c>
      <c r="I597" s="39" t="n">
        <f aca="false">(('Business Case'!C11*$C597*'Business Case'!C12*$B597)-'Business Case'!C11*$C597*'Business Case'!C13*$D597-'Business Case'!C14*$E597)-MAX(0,(('Business Case'!C11*$C597*'Business Case'!C12*$B597)-'Business Case'!C11*$C597*'Business Case'!C13*$D597-'Business Case'!C14*$E597))*'Business Case'!$B$7-'Business Case'!$B$8*(('Business Case'!C11*$C597*'Business Case'!C12*$B597)-('Business Case'!B11*$C597*'Business Case'!B12*$B597))-'Business Case'!C15*$F597</f>
        <v>-19888805.3460913</v>
      </c>
      <c r="J597" s="39" t="n">
        <f aca="false">(('Business Case'!D11*$C597*'Business Case'!D12*$B597)-'Business Case'!D11*$C597*'Business Case'!D13*$D597-'Business Case'!D14*$E597)-MAX(0,(('Business Case'!D11*$C597*'Business Case'!D12*$B597)-'Business Case'!D11*$C597*'Business Case'!D13*$D597-'Business Case'!D14*$E597))*'Business Case'!$B$7-'Business Case'!$B$8*(('Business Case'!D11*$C597*'Business Case'!D12*$B597)-('Business Case'!C11*$C597*'Business Case'!C12*$B597))-'Business Case'!D15*$F597</f>
        <v>258036113.684839</v>
      </c>
      <c r="K597" s="39" t="n">
        <f aca="false">(('Business Case'!E11*$C597*'Business Case'!E12*$B597)-'Business Case'!E11*$C597*'Business Case'!E13*$D597-'Business Case'!E14*$E597)-MAX(0,(('Business Case'!E11*$C597*'Business Case'!E12*$B597)-'Business Case'!E11*$C597*'Business Case'!E13*$D597-'Business Case'!E14*$E597))*'Business Case'!$B$7-'Business Case'!$B$8*(('Business Case'!E11*$C597*'Business Case'!E12*$B597)-('Business Case'!D11*$C597*'Business Case'!D12*$B597))-'Business Case'!E15*$F597</f>
        <v>588822833.399373</v>
      </c>
      <c r="L597" s="39" t="n">
        <f aca="false">(('Business Case'!F11*$C597*'Business Case'!F12*$B597)-'Business Case'!F11*$C597*'Business Case'!F13*$D597-'Business Case'!F14*$E597)-MAX(0,(('Business Case'!F11*$C597*'Business Case'!F12*$B597)-'Business Case'!F11*$C597*'Business Case'!F13*$D597-'Business Case'!F14*$E597))*'Business Case'!$B$7-'Business Case'!$B$8*(('Business Case'!F11*$C597*'Business Case'!F12*$B597)-('Business Case'!E11*$C597*'Business Case'!E12*$B597))-'Business Case'!F15*$F597</f>
        <v>712916974.858385</v>
      </c>
      <c r="M597" s="39" t="n">
        <f aca="false">(('Business Case'!G11*$C597*'Business Case'!G12*$B597)-'Business Case'!G11*$C597*'Business Case'!G13*$D597-'Business Case'!G14*$E597)-MAX(0,(('Business Case'!G11*$C597*'Business Case'!G12*$B597)-'Business Case'!G11*$C597*'Business Case'!G13*$D597-'Business Case'!G14*$E597))*'Business Case'!$B$7-'Business Case'!$B$8*(('Business Case'!G11*$C597*'Business Case'!G12*$B597)-('Business Case'!F11*$C597*'Business Case'!F12*$B597))-'Business Case'!G15*$F597+'Business Case'!$B$8*('Business Case'!G11*$C597*'Business Case'!G12*$B597)</f>
        <v>885905734.659583</v>
      </c>
      <c r="N597" s="39" t="n">
        <f aca="false">IF(COUNT('Business Case'!B11:G11)=0,"",H597+NPV(G597,I597:M597))</f>
        <v>-465800916.450703</v>
      </c>
      <c r="P597" s="40" t="n">
        <f aca="true">RAND()</f>
        <v>0.906037018352207</v>
      </c>
      <c r="Q597" s="40" t="n">
        <f aca="true">RAND()</f>
        <v>0.124416365764136</v>
      </c>
      <c r="R597" s="40" t="n">
        <f aca="true">RAND()</f>
        <v>0.679671019996218</v>
      </c>
      <c r="S597" s="40" t="n">
        <f aca="true">RAND()</f>
        <v>0.563326559049886</v>
      </c>
      <c r="T597" s="40" t="n">
        <f aca="true">RAND()</f>
        <v>0.592368884155034</v>
      </c>
      <c r="U597" s="40" t="n">
        <f aca="true">RAND()</f>
        <v>0.598269408519047</v>
      </c>
    </row>
    <row r="598" customFormat="false" ht="15" hidden="false" customHeight="false" outlineLevel="0" collapsed="false">
      <c r="A598" s="36" t="n">
        <v>518</v>
      </c>
      <c r="B598" s="37" t="n">
        <f aca="false">1+IF($G$6=$E$6,$F$6,IF(P598&lt;($F$6-$E$6)/($G$6-$E$6),$E$6+SQRT(P598*($G$6-$E$6)*($F$6-$E$6)),$G$6-SQRT((1-P598)*($G$6-$E$6)*($G$6-$F$6))))</f>
        <v>0.960690673312671</v>
      </c>
      <c r="C598" s="37" t="n">
        <f aca="false">1+IF($G$7=$E$7,$F$7,IF(Q598&lt;($F$7-$E$7)/($G$7-$E$7),$E$7+SQRT(Q598*($G$7-$E$7)*($F$7-$E$7)),$G$7-SQRT((1-Q598)*($G$7-$E$7)*($G$7-$F$7))))</f>
        <v>0.957323883761486</v>
      </c>
      <c r="D598" s="37" t="n">
        <f aca="false">1+IF($G$8=$E$8,$F$8,IF(R598&lt;($F$8-$E$8)/($G$8-$E$8),$E$8+SQRT(R598*($G$8-$E$8)*($F$8-$E$8)),$G$8-SQRT((1-R598)*($G$8-$E$8)*($G$8-$F$8))))</f>
        <v>0.978220107603318</v>
      </c>
      <c r="E598" s="37" t="n">
        <f aca="false">1+IF($G$9=$E$9,$F$9,IF(S598&lt;($F$9-$E$9)/($G$9-$E$9),$E$9+SQRT(S598*($G$9-$E$9)*($F$9-$E$9)),$G$9-SQRT((1-S598)*($G$9-$E$9)*($G$9-$F$9))))</f>
        <v>0.981921707341093</v>
      </c>
      <c r="F598" s="37" t="n">
        <f aca="false">1+IF($G$10=$E$10,$F$10,IF(T598&lt;($F$10-$E$10)/($G$10-$E$10),$E$10+SQRT(T598*($G$10-$E$10)*($F$10-$E$10)),$G$10-SQRT((1-T598)*($G$10-$E$10)*($G$10-$F$10))))</f>
        <v>1.01818610988733</v>
      </c>
      <c r="G598" s="38" t="n">
        <f aca="false">IF($G$11=$E$11,$F$11,IF(U598&lt;($F$11-$E$11)/($G$11-$E$11),$E$11+SQRT(U598*($G$11-$E$11)*($F$11-$E$11)),$G$11-SQRT((1-U598)*($G$11-$E$11)*($G$11-$F$11))))</f>
        <v>0.10135736367251</v>
      </c>
      <c r="H598" s="39" t="n">
        <f aca="false">(('Business Case'!B11*$C598*'Business Case'!B12*$B598)-'Business Case'!B11*$C598*'Business Case'!B13*$D598-'Business Case'!B14*$E598)-MAX(0,(('Business Case'!B11*$C598*'Business Case'!B12*$B598)-'Business Case'!B11*$C598*'Business Case'!B13*$D598-'Business Case'!B14*$E598))*'Business Case'!$B$7-'Business Case'!$B$8*('Business Case'!B11*$C598*'Business Case'!B12*$B598)-'Business Case'!B15*$F598</f>
        <v>-2036372219.77467</v>
      </c>
      <c r="I598" s="39" t="n">
        <f aca="false">(('Business Case'!C11*$C598*'Business Case'!C12*$B598)-'Business Case'!C11*$C598*'Business Case'!C13*$D598-'Business Case'!C14*$E598)-MAX(0,(('Business Case'!C11*$C598*'Business Case'!C12*$B598)-'Business Case'!C11*$C598*'Business Case'!C13*$D598-'Business Case'!C14*$E598))*'Business Case'!$B$7-'Business Case'!$B$8*(('Business Case'!C11*$C598*'Business Case'!C12*$B598)-('Business Case'!B11*$C598*'Business Case'!B12*$B598))-'Business Case'!C15*$F598</f>
        <v>-15230148.2828779</v>
      </c>
      <c r="J598" s="39" t="n">
        <f aca="false">(('Business Case'!D11*$C598*'Business Case'!D12*$B598)-'Business Case'!D11*$C598*'Business Case'!D13*$D598-'Business Case'!D14*$E598)-MAX(0,(('Business Case'!D11*$C598*'Business Case'!D12*$B598)-'Business Case'!D11*$C598*'Business Case'!D13*$D598-'Business Case'!D14*$E598))*'Business Case'!$B$7-'Business Case'!$B$8*(('Business Case'!D11*$C598*'Business Case'!D12*$B598)-('Business Case'!C11*$C598*'Business Case'!C12*$B598))-'Business Case'!D15*$F598</f>
        <v>258664421.04304</v>
      </c>
      <c r="K598" s="39" t="n">
        <f aca="false">(('Business Case'!E11*$C598*'Business Case'!E12*$B598)-'Business Case'!E11*$C598*'Business Case'!E13*$D598-'Business Case'!E14*$E598)-MAX(0,(('Business Case'!E11*$C598*'Business Case'!E12*$B598)-'Business Case'!E11*$C598*'Business Case'!E13*$D598-'Business Case'!E14*$E598))*'Business Case'!$B$7-'Business Case'!$B$8*(('Business Case'!E11*$C598*'Business Case'!E12*$B598)-('Business Case'!D11*$C598*'Business Case'!D12*$B598))-'Business Case'!E15*$F598</f>
        <v>583468295.863325</v>
      </c>
      <c r="L598" s="39" t="n">
        <f aca="false">(('Business Case'!F11*$C598*'Business Case'!F12*$B598)-'Business Case'!F11*$C598*'Business Case'!F13*$D598-'Business Case'!F14*$E598)-MAX(0,(('Business Case'!F11*$C598*'Business Case'!F12*$B598)-'Business Case'!F11*$C598*'Business Case'!F13*$D598-'Business Case'!F14*$E598))*'Business Case'!$B$7-'Business Case'!$B$8*(('Business Case'!F11*$C598*'Business Case'!F12*$B598)-('Business Case'!E11*$C598*'Business Case'!E12*$B598))-'Business Case'!F15*$F598</f>
        <v>706551045.529404</v>
      </c>
      <c r="M598" s="39" t="n">
        <f aca="false">(('Business Case'!G11*$C598*'Business Case'!G12*$B598)-'Business Case'!G11*$C598*'Business Case'!G13*$D598-'Business Case'!G14*$E598)-MAX(0,(('Business Case'!G11*$C598*'Business Case'!G12*$B598)-'Business Case'!G11*$C598*'Business Case'!G13*$D598-'Business Case'!G14*$E598))*'Business Case'!$B$7-'Business Case'!$B$8*(('Business Case'!G11*$C598*'Business Case'!G12*$B598)-('Business Case'!F11*$C598*'Business Case'!F12*$B598))-'Business Case'!G15*$F598+'Business Case'!$B$8*('Business Case'!G11*$C598*'Business Case'!G12*$B598)</f>
        <v>881366124.928655</v>
      </c>
      <c r="N598" s="39" t="n">
        <f aca="false">IF(COUNT('Business Case'!B11:G11)=0,"",H598+NPV(G598,I598:M598))</f>
        <v>-376101313.244176</v>
      </c>
      <c r="P598" s="40" t="n">
        <f aca="true">RAND()</f>
        <v>0.172471968191512</v>
      </c>
      <c r="Q598" s="40" t="n">
        <f aca="true">RAND()</f>
        <v>0.35358292002568</v>
      </c>
      <c r="R598" s="40" t="n">
        <f aca="true">RAND()</f>
        <v>0.122519149714285</v>
      </c>
      <c r="S598" s="40" t="n">
        <f aca="true">RAND()</f>
        <v>0.135866053276049</v>
      </c>
      <c r="T598" s="40" t="n">
        <f aca="true">RAND()</f>
        <v>0.338874187241987</v>
      </c>
      <c r="U598" s="40" t="n">
        <f aca="true">RAND()</f>
        <v>0.420753517934887</v>
      </c>
    </row>
    <row r="599" customFormat="false" ht="15" hidden="false" customHeight="false" outlineLevel="0" collapsed="false">
      <c r="A599" s="36" t="n">
        <v>519</v>
      </c>
      <c r="B599" s="37" t="n">
        <f aca="false">1+IF($G$6=$E$6,$F$6,IF(P599&lt;($F$6-$E$6)/($G$6-$E$6),$E$6+SQRT(P599*($G$6-$E$6)*($F$6-$E$6)),$G$6-SQRT((1-P599)*($G$6-$E$6)*($G$6-$F$6))))</f>
        <v>0.991904586212411</v>
      </c>
      <c r="C599" s="37" t="n">
        <f aca="false">1+IF($G$7=$E$7,$F$7,IF(Q599&lt;($F$7-$E$7)/($G$7-$E$7),$E$7+SQRT(Q599*($G$7-$E$7)*($F$7-$E$7)),$G$7-SQRT((1-Q599)*($G$7-$E$7)*($G$7-$F$7))))</f>
        <v>0.926818228972587</v>
      </c>
      <c r="D599" s="37" t="n">
        <f aca="false">1+IF($G$8=$E$8,$F$8,IF(R599&lt;($F$8-$E$8)/($G$8-$E$8),$E$8+SQRT(R599*($G$8-$E$8)*($F$8-$E$8)),$G$8-SQRT((1-R599)*($G$8-$E$8)*($G$8-$F$8))))</f>
        <v>0.989489243990757</v>
      </c>
      <c r="E599" s="37" t="n">
        <f aca="false">1+IF($G$9=$E$9,$F$9,IF(S599&lt;($F$9-$E$9)/($G$9-$E$9),$E$9+SQRT(S599*($G$9-$E$9)*($F$9-$E$9)),$G$9-SQRT((1-S599)*($G$9-$E$9)*($G$9-$F$9))))</f>
        <v>0.981806744545141</v>
      </c>
      <c r="F599" s="37" t="n">
        <f aca="false">1+IF($G$10=$E$10,$F$10,IF(T599&lt;($F$10-$E$10)/($G$10-$E$10),$E$10+SQRT(T599*($G$10-$E$10)*($F$10-$E$10)),$G$10-SQRT((1-T599)*($G$10-$E$10)*($G$10-$F$10))))</f>
        <v>1.11276468827869</v>
      </c>
      <c r="G599" s="38" t="n">
        <f aca="false">IF($G$11=$E$11,$F$11,IF(U599&lt;($F$11-$E$11)/($G$11-$E$11),$E$11+SQRT(U599*($G$11-$E$11)*($F$11-$E$11)),$G$11-SQRT((1-U599)*($G$11-$E$11)*($G$11-$F$11))))</f>
        <v>0.100295242311182</v>
      </c>
      <c r="H599" s="39" t="n">
        <f aca="false">(('Business Case'!B11*$C599*'Business Case'!B12*$B599)-'Business Case'!B11*$C599*'Business Case'!B13*$D599-'Business Case'!B14*$E599)-MAX(0,(('Business Case'!B11*$C599*'Business Case'!B12*$B599)-'Business Case'!B11*$C599*'Business Case'!B13*$D599-'Business Case'!B14*$E599))*'Business Case'!$B$7-'Business Case'!$B$8*('Business Case'!B11*$C599*'Business Case'!B12*$B599)-'Business Case'!B15*$F599</f>
        <v>-2225529376.55738</v>
      </c>
      <c r="I599" s="39" t="n">
        <f aca="false">(('Business Case'!C11*$C599*'Business Case'!C12*$B599)-'Business Case'!C11*$C599*'Business Case'!C13*$D599-'Business Case'!C14*$E599)-MAX(0,(('Business Case'!C11*$C599*'Business Case'!C12*$B599)-'Business Case'!C11*$C599*'Business Case'!C13*$D599-'Business Case'!C14*$E599))*'Business Case'!$B$7-'Business Case'!$B$8*(('Business Case'!C11*$C599*'Business Case'!C12*$B599)-('Business Case'!B11*$C599*'Business Case'!B12*$B599))-'Business Case'!C15*$F599</f>
        <v>-15031196.7964199</v>
      </c>
      <c r="J599" s="39" t="n">
        <f aca="false">(('Business Case'!D11*$C599*'Business Case'!D12*$B599)-'Business Case'!D11*$C599*'Business Case'!D13*$D599-'Business Case'!D14*$E599)-MAX(0,(('Business Case'!D11*$C599*'Business Case'!D12*$B599)-'Business Case'!D11*$C599*'Business Case'!D13*$D599-'Business Case'!D14*$E599))*'Business Case'!$B$7-'Business Case'!$B$8*(('Business Case'!D11*$C599*'Business Case'!D12*$B599)-('Business Case'!C11*$C599*'Business Case'!C12*$B599))-'Business Case'!D15*$F599</f>
        <v>268484296.968009</v>
      </c>
      <c r="K599" s="39" t="n">
        <f aca="false">(('Business Case'!E11*$C599*'Business Case'!E12*$B599)-'Business Case'!E11*$C599*'Business Case'!E13*$D599-'Business Case'!E14*$E599)-MAX(0,(('Business Case'!E11*$C599*'Business Case'!E12*$B599)-'Business Case'!E11*$C599*'Business Case'!E13*$D599-'Business Case'!E14*$E599))*'Business Case'!$B$7-'Business Case'!$B$8*(('Business Case'!E11*$C599*'Business Case'!E12*$B599)-('Business Case'!D11*$C599*'Business Case'!D12*$B599))-'Business Case'!E15*$F599</f>
        <v>607638025.146372</v>
      </c>
      <c r="L599" s="39" t="n">
        <f aca="false">(('Business Case'!F11*$C599*'Business Case'!F12*$B599)-'Business Case'!F11*$C599*'Business Case'!F13*$D599-'Business Case'!F14*$E599)-MAX(0,(('Business Case'!F11*$C599*'Business Case'!F12*$B599)-'Business Case'!F11*$C599*'Business Case'!F13*$D599-'Business Case'!F14*$E599))*'Business Case'!$B$7-'Business Case'!$B$8*(('Business Case'!F11*$C599*'Business Case'!F12*$B599)-('Business Case'!E11*$C599*'Business Case'!E12*$B599))-'Business Case'!F15*$F599</f>
        <v>733914724.840289</v>
      </c>
      <c r="M599" s="39" t="n">
        <f aca="false">(('Business Case'!G11*$C599*'Business Case'!G12*$B599)-'Business Case'!G11*$C599*'Business Case'!G13*$D599-'Business Case'!G14*$E599)-MAX(0,(('Business Case'!G11*$C599*'Business Case'!G12*$B599)-'Business Case'!G11*$C599*'Business Case'!G13*$D599-'Business Case'!G14*$E599))*'Business Case'!$B$7-'Business Case'!$B$8*(('Business Case'!G11*$C599*'Business Case'!G12*$B599)-('Business Case'!F11*$C599*'Business Case'!F12*$B599))-'Business Case'!G15*$F599+'Business Case'!$B$8*('Business Case'!G11*$C599*'Business Case'!G12*$B599)</f>
        <v>908658167.922044</v>
      </c>
      <c r="N599" s="39" t="n">
        <f aca="false">IF(COUNT('Business Case'!B11:G11)=0,"",H599+NPV(G599,I599:M599))</f>
        <v>-497077114.293636</v>
      </c>
      <c r="P599" s="40" t="n">
        <f aca="true">RAND()</f>
        <v>0.53856974149772</v>
      </c>
      <c r="Q599" s="40" t="n">
        <f aca="true">RAND()</f>
        <v>0.229755188567765</v>
      </c>
      <c r="R599" s="40" t="n">
        <f aca="true">RAND()</f>
        <v>0.239907752455622</v>
      </c>
      <c r="S599" s="40" t="n">
        <f aca="true">RAND()</f>
        <v>0.134889199807977</v>
      </c>
      <c r="T599" s="40" t="n">
        <f aca="true">RAND()</f>
        <v>0.847800007777721</v>
      </c>
      <c r="U599" s="40" t="n">
        <f aca="true">RAND()</f>
        <v>0.352870874041591</v>
      </c>
    </row>
    <row r="600" customFormat="false" ht="15" hidden="false" customHeight="false" outlineLevel="0" collapsed="false">
      <c r="A600" s="36" t="n">
        <v>520</v>
      </c>
      <c r="B600" s="37" t="n">
        <f aca="false">1+IF($G$6=$E$6,$F$6,IF(P600&lt;($F$6-$E$6)/($G$6-$E$6),$E$6+SQRT(P600*($G$6-$E$6)*($F$6-$E$6)),$G$6-SQRT((1-P600)*($G$6-$E$6)*($G$6-$F$6))))</f>
        <v>0.995293792210073</v>
      </c>
      <c r="C600" s="37" t="n">
        <f aca="false">1+IF($G$7=$E$7,$F$7,IF(Q600&lt;($F$7-$E$7)/($G$7-$E$7),$E$7+SQRT(Q600*($G$7-$E$7)*($F$7-$E$7)),$G$7-SQRT((1-Q600)*($G$7-$E$7)*($G$7-$F$7))))</f>
        <v>0.951318127545552</v>
      </c>
      <c r="D600" s="37" t="n">
        <f aca="false">1+IF($G$8=$E$8,$F$8,IF(R600&lt;($F$8-$E$8)/($G$8-$E$8),$E$8+SQRT(R600*($G$8-$E$8)*($F$8-$E$8)),$G$8-SQRT((1-R600)*($G$8-$E$8)*($G$8-$F$8))))</f>
        <v>1.02055156159002</v>
      </c>
      <c r="E600" s="37" t="n">
        <f aca="false">1+IF($G$9=$E$9,$F$9,IF(S600&lt;($F$9-$E$9)/($G$9-$E$9),$E$9+SQRT(S600*($G$9-$E$9)*($F$9-$E$9)),$G$9-SQRT((1-S600)*($G$9-$E$9)*($G$9-$F$9))))</f>
        <v>0.997591625234469</v>
      </c>
      <c r="F600" s="37" t="n">
        <f aca="false">1+IF($G$10=$E$10,$F$10,IF(T600&lt;($F$10-$E$10)/($G$10-$E$10),$E$10+SQRT(T600*($G$10-$E$10)*($F$10-$E$10)),$G$10-SQRT((1-T600)*($G$10-$E$10)*($G$10-$F$10))))</f>
        <v>1.08708533324484</v>
      </c>
      <c r="G600" s="38" t="n">
        <f aca="false">IF($G$11=$E$11,$F$11,IF(U600&lt;($F$11-$E$11)/($G$11-$E$11),$E$11+SQRT(U600*($G$11-$E$11)*($F$11-$E$11)),$G$11-SQRT((1-U600)*($G$11-$E$11)*($G$11-$F$11))))</f>
        <v>0.0922019007037819</v>
      </c>
      <c r="H600" s="39" t="n">
        <f aca="false">(('Business Case'!B11*$C600*'Business Case'!B12*$B600)-'Business Case'!B11*$C600*'Business Case'!B13*$D600-'Business Case'!B14*$E600)-MAX(0,(('Business Case'!B11*$C600*'Business Case'!B12*$B600)-'Business Case'!B11*$C600*'Business Case'!B13*$D600-'Business Case'!B14*$E600))*'Business Case'!$B$7-'Business Case'!$B$8*('Business Case'!B11*$C600*'Business Case'!B12*$B600)-'Business Case'!B15*$F600</f>
        <v>-2174170666.48968</v>
      </c>
      <c r="I600" s="39" t="n">
        <f aca="false">(('Business Case'!C11*$C600*'Business Case'!C12*$B600)-'Business Case'!C11*$C600*'Business Case'!C13*$D600-'Business Case'!C14*$E600)-MAX(0,(('Business Case'!C11*$C600*'Business Case'!C12*$B600)-'Business Case'!C11*$C600*'Business Case'!C13*$D600-'Business Case'!C14*$E600))*'Business Case'!$B$7-'Business Case'!$B$8*(('Business Case'!C11*$C600*'Business Case'!C12*$B600)-('Business Case'!B11*$C600*'Business Case'!B12*$B600))-'Business Case'!C15*$F600</f>
        <v>-21126688.9767253</v>
      </c>
      <c r="J600" s="39" t="n">
        <f aca="false">(('Business Case'!D11*$C600*'Business Case'!D12*$B600)-'Business Case'!D11*$C600*'Business Case'!D13*$D600-'Business Case'!D14*$E600)-MAX(0,(('Business Case'!D11*$C600*'Business Case'!D12*$B600)-'Business Case'!D11*$C600*'Business Case'!D13*$D600-'Business Case'!D14*$E600))*'Business Case'!$B$7-'Business Case'!$B$8*(('Business Case'!D11*$C600*'Business Case'!D12*$B600)-('Business Case'!C11*$C600*'Business Case'!C12*$B600))-'Business Case'!D15*$F600</f>
        <v>257396923.306769</v>
      </c>
      <c r="K600" s="39" t="n">
        <f aca="false">(('Business Case'!E11*$C600*'Business Case'!E12*$B600)-'Business Case'!E11*$C600*'Business Case'!E13*$D600-'Business Case'!E14*$E600)-MAX(0,(('Business Case'!E11*$C600*'Business Case'!E12*$B600)-'Business Case'!E11*$C600*'Business Case'!E13*$D600-'Business Case'!E14*$E600))*'Business Case'!$B$7-'Business Case'!$B$8*(('Business Case'!E11*$C600*'Business Case'!E12*$B600)-('Business Case'!D11*$C600*'Business Case'!D12*$B600))-'Business Case'!E15*$F600</f>
        <v>590274802.252505</v>
      </c>
      <c r="L600" s="39" t="n">
        <f aca="false">(('Business Case'!F11*$C600*'Business Case'!F12*$B600)-'Business Case'!F11*$C600*'Business Case'!F13*$D600-'Business Case'!F14*$E600)-MAX(0,(('Business Case'!F11*$C600*'Business Case'!F12*$B600)-'Business Case'!F11*$C600*'Business Case'!F13*$D600-'Business Case'!F14*$E600))*'Business Case'!$B$7-'Business Case'!$B$8*(('Business Case'!F11*$C600*'Business Case'!F12*$B600)-('Business Case'!E11*$C600*'Business Case'!E12*$B600))-'Business Case'!F15*$F600</f>
        <v>715838832.231933</v>
      </c>
      <c r="M600" s="39" t="n">
        <f aca="false">(('Business Case'!G11*$C600*'Business Case'!G12*$B600)-'Business Case'!G11*$C600*'Business Case'!G13*$D600-'Business Case'!G14*$E600)-MAX(0,(('Business Case'!G11*$C600*'Business Case'!G12*$B600)-'Business Case'!G11*$C600*'Business Case'!G13*$D600-'Business Case'!G14*$E600))*'Business Case'!$B$7-'Business Case'!$B$8*(('Business Case'!G11*$C600*'Business Case'!G12*$B600)-('Business Case'!F11*$C600*'Business Case'!F12*$B600))-'Business Case'!G15*$F600+'Business Case'!$B$8*('Business Case'!G11*$C600*'Business Case'!G12*$B600)</f>
        <v>895814374.599044</v>
      </c>
      <c r="N600" s="39" t="n">
        <f aca="false">IF(COUNT('Business Case'!B11:G11)=0,"",H600+NPV(G600,I600:M600))</f>
        <v>-445277517.96327</v>
      </c>
      <c r="P600" s="40" t="n">
        <f aca="true">RAND()</f>
        <v>0.590536994309762</v>
      </c>
      <c r="Q600" s="40" t="n">
        <f aca="true">RAND()</f>
        <v>0.327102510341314</v>
      </c>
      <c r="R600" s="40" t="n">
        <f aca="true">RAND()</f>
        <v>0.660181074097578</v>
      </c>
      <c r="S600" s="40" t="n">
        <f aca="true">RAND()</f>
        <v>0.301995038994423</v>
      </c>
      <c r="T600" s="40" t="n">
        <f aca="true">RAND()</f>
        <v>0.745005560631433</v>
      </c>
      <c r="U600" s="40" t="n">
        <f aca="true">RAND()</f>
        <v>0.0161612223643847</v>
      </c>
    </row>
    <row r="601" customFormat="false" ht="15" hidden="false" customHeight="false" outlineLevel="0" collapsed="false">
      <c r="A601" s="36" t="n">
        <v>521</v>
      </c>
      <c r="B601" s="37" t="n">
        <f aca="false">1+IF($G$6=$E$6,$F$6,IF(P601&lt;($F$6-$E$6)/($G$6-$E$6),$E$6+SQRT(P601*($G$6-$E$6)*($F$6-$E$6)),$G$6-SQRT((1-P601)*($G$6-$E$6)*($G$6-$F$6))))</f>
        <v>0.950123604337249</v>
      </c>
      <c r="C601" s="37" t="n">
        <f aca="false">1+IF($G$7=$E$7,$F$7,IF(Q601&lt;($F$7-$E$7)/($G$7-$E$7),$E$7+SQRT(Q601*($G$7-$E$7)*($F$7-$E$7)),$G$7-SQRT((1-Q601)*($G$7-$E$7)*($G$7-$F$7))))</f>
        <v>1.01511738711878</v>
      </c>
      <c r="D601" s="37" t="n">
        <f aca="false">1+IF($G$8=$E$8,$F$8,IF(R601&lt;($F$8-$E$8)/($G$8-$E$8),$E$8+SQRT(R601*($G$8-$E$8)*($F$8-$E$8)),$G$8-SQRT((1-R601)*($G$8-$E$8)*($G$8-$F$8))))</f>
        <v>1.022169453611</v>
      </c>
      <c r="E601" s="37" t="n">
        <f aca="false">1+IF($G$9=$E$9,$F$9,IF(S601&lt;($F$9-$E$9)/($G$9-$E$9),$E$9+SQRT(S601*($G$9-$E$9)*($F$9-$E$9)),$G$9-SQRT((1-S601)*($G$9-$E$9)*($G$9-$F$9))))</f>
        <v>1.01894398503286</v>
      </c>
      <c r="F601" s="37" t="n">
        <f aca="false">1+IF($G$10=$E$10,$F$10,IF(T601&lt;($F$10-$E$10)/($G$10-$E$10),$E$10+SQRT(T601*($G$10-$E$10)*($F$10-$E$10)),$G$10-SQRT((1-T601)*($G$10-$E$10)*($G$10-$F$10))))</f>
        <v>1.17962873849721</v>
      </c>
      <c r="G601" s="38" t="n">
        <f aca="false">IF($G$11=$E$11,$F$11,IF(U601&lt;($F$11-$E$11)/($G$11-$E$11),$E$11+SQRT(U601*($G$11-$E$11)*($F$11-$E$11)),$G$11-SQRT((1-U601)*($G$11-$E$11)*($G$11-$F$11))))</f>
        <v>0.0977030262813163</v>
      </c>
      <c r="H601" s="39" t="n">
        <f aca="false">(('Business Case'!B11*$C601*'Business Case'!B12*$B601)-'Business Case'!B11*$C601*'Business Case'!B13*$D601-'Business Case'!B14*$E601)-MAX(0,(('Business Case'!B11*$C601*'Business Case'!B12*$B601)-'Business Case'!B11*$C601*'Business Case'!B13*$D601-'Business Case'!B14*$E601))*'Business Case'!$B$7-'Business Case'!$B$8*('Business Case'!B11*$C601*'Business Case'!B12*$B601)-'Business Case'!B15*$F601</f>
        <v>-2359257476.99442</v>
      </c>
      <c r="I601" s="39" t="n">
        <f aca="false">(('Business Case'!C11*$C601*'Business Case'!C12*$B601)-'Business Case'!C11*$C601*'Business Case'!C13*$D601-'Business Case'!C14*$E601)-MAX(0,(('Business Case'!C11*$C601*'Business Case'!C12*$B601)-'Business Case'!C11*$C601*'Business Case'!C13*$D601-'Business Case'!C14*$E601))*'Business Case'!$B$7-'Business Case'!$B$8*(('Business Case'!C11*$C601*'Business Case'!C12*$B601)-('Business Case'!B11*$C601*'Business Case'!B12*$B601))-'Business Case'!C15*$F601</f>
        <v>-54050872.2236824</v>
      </c>
      <c r="J601" s="39" t="n">
        <f aca="false">(('Business Case'!D11*$C601*'Business Case'!D12*$B601)-'Business Case'!D11*$C601*'Business Case'!D13*$D601-'Business Case'!D14*$E601)-MAX(0,(('Business Case'!D11*$C601*'Business Case'!D12*$B601)-'Business Case'!D11*$C601*'Business Case'!D13*$D601-'Business Case'!D14*$E601))*'Business Case'!$B$7-'Business Case'!$B$8*(('Business Case'!D11*$C601*'Business Case'!D12*$B601)-('Business Case'!C11*$C601*'Business Case'!C12*$B601))-'Business Case'!D15*$F601</f>
        <v>204753969.670605</v>
      </c>
      <c r="K601" s="39" t="n">
        <f aca="false">(('Business Case'!E11*$C601*'Business Case'!E12*$B601)-'Business Case'!E11*$C601*'Business Case'!E13*$D601-'Business Case'!E14*$E601)-MAX(0,(('Business Case'!E11*$C601*'Business Case'!E12*$B601)-'Business Case'!E11*$C601*'Business Case'!E13*$D601-'Business Case'!E14*$E601))*'Business Case'!$B$7-'Business Case'!$B$8*(('Business Case'!E11*$C601*'Business Case'!E12*$B601)-('Business Case'!D11*$C601*'Business Case'!D12*$B601))-'Business Case'!E15*$F601</f>
        <v>522540248.489754</v>
      </c>
      <c r="L601" s="39" t="n">
        <f aca="false">(('Business Case'!F11*$C601*'Business Case'!F12*$B601)-'Business Case'!F11*$C601*'Business Case'!F13*$D601-'Business Case'!F14*$E601)-MAX(0,(('Business Case'!F11*$C601*'Business Case'!F12*$B601)-'Business Case'!F11*$C601*'Business Case'!F13*$D601-'Business Case'!F14*$E601))*'Business Case'!$B$7-'Business Case'!$B$8*(('Business Case'!F11*$C601*'Business Case'!F12*$B601)-('Business Case'!E11*$C601*'Business Case'!E12*$B601))-'Business Case'!F15*$F601</f>
        <v>642141199.518901</v>
      </c>
      <c r="M601" s="39" t="n">
        <f aca="false">(('Business Case'!G11*$C601*'Business Case'!G12*$B601)-'Business Case'!G11*$C601*'Business Case'!G13*$D601-'Business Case'!G14*$E601)-MAX(0,(('Business Case'!G11*$C601*'Business Case'!G12*$B601)-'Business Case'!G11*$C601*'Business Case'!G13*$D601-'Business Case'!G14*$E601))*'Business Case'!$B$7-'Business Case'!$B$8*(('Business Case'!G11*$C601*'Business Case'!G12*$B601)-('Business Case'!F11*$C601*'Business Case'!F12*$B601))-'Business Case'!G15*$F601+'Business Case'!$B$8*('Business Case'!G11*$C601*'Business Case'!G12*$B601)</f>
        <v>825470886.706349</v>
      </c>
      <c r="N601" s="39" t="n">
        <f aca="false">IF(COUNT('Business Case'!B11:G11)=0,"",H601+NPV(G601,I601:M601))</f>
        <v>-883297166.443113</v>
      </c>
      <c r="P601" s="40" t="n">
        <f aca="true">RAND()</f>
        <v>0.0945241185694899</v>
      </c>
      <c r="Q601" s="40" t="n">
        <f aca="true">RAND()</f>
        <v>0.653460585568284</v>
      </c>
      <c r="R601" s="40" t="n">
        <f aca="true">RAND()</f>
        <v>0.678425760033594</v>
      </c>
      <c r="S601" s="40" t="n">
        <f aca="true">RAND()</f>
        <v>0.561994829176436</v>
      </c>
      <c r="T601" s="40" t="n">
        <f aca="true">RAND()</f>
        <v>0.991700234095698</v>
      </c>
      <c r="U601" s="40" t="n">
        <f aca="true">RAND()</f>
        <v>0.197788712968833</v>
      </c>
    </row>
    <row r="602" customFormat="false" ht="15" hidden="false" customHeight="false" outlineLevel="0" collapsed="false">
      <c r="A602" s="36" t="n">
        <v>522</v>
      </c>
      <c r="B602" s="37" t="n">
        <f aca="false">1+IF($G$6=$E$6,$F$6,IF(P602&lt;($F$6-$E$6)/($G$6-$E$6),$E$6+SQRT(P602*($G$6-$E$6)*($F$6-$E$6)),$G$6-SQRT((1-P602)*($G$6-$E$6)*($G$6-$F$6))))</f>
        <v>1.00047796049398</v>
      </c>
      <c r="C602" s="37" t="n">
        <f aca="false">1+IF($G$7=$E$7,$F$7,IF(Q602&lt;($F$7-$E$7)/($G$7-$E$7),$E$7+SQRT(Q602*($G$7-$E$7)*($F$7-$E$7)),$G$7-SQRT((1-Q602)*($G$7-$E$7)*($G$7-$F$7))))</f>
        <v>0.89816983596716</v>
      </c>
      <c r="D602" s="37" t="n">
        <f aca="false">1+IF($G$8=$E$8,$F$8,IF(R602&lt;($F$8-$E$8)/($G$8-$E$8),$E$8+SQRT(R602*($G$8-$E$8)*($F$8-$E$8)),$G$8-SQRT((1-R602)*($G$8-$E$8)*($G$8-$F$8))))</f>
        <v>0.990527135145152</v>
      </c>
      <c r="E602" s="37" t="n">
        <f aca="false">1+IF($G$9=$E$9,$F$9,IF(S602&lt;($F$9-$E$9)/($G$9-$E$9),$E$9+SQRT(S602*($G$9-$E$9)*($F$9-$E$9)),$G$9-SQRT((1-S602)*($G$9-$E$9)*($G$9-$F$9))))</f>
        <v>0.966398018804486</v>
      </c>
      <c r="F602" s="37" t="n">
        <f aca="false">1+IF($G$10=$E$10,$F$10,IF(T602&lt;($F$10-$E$10)/($G$10-$E$10),$E$10+SQRT(T602*($G$10-$E$10)*($F$10-$E$10)),$G$10-SQRT((1-T602)*($G$10-$E$10)*($G$10-$F$10))))</f>
        <v>1.01067327418504</v>
      </c>
      <c r="G602" s="38" t="n">
        <f aca="false">IF($G$11=$E$11,$F$11,IF(U602&lt;($F$11-$E$11)/($G$11-$E$11),$E$11+SQRT(U602*($G$11-$E$11)*($F$11-$E$11)),$G$11-SQRT((1-U602)*($G$11-$E$11)*($G$11-$F$11))))</f>
        <v>0.108093886517675</v>
      </c>
      <c r="H602" s="39" t="n">
        <f aca="false">(('Business Case'!B11*$C602*'Business Case'!B12*$B602)-'Business Case'!B11*$C602*'Business Case'!B13*$D602-'Business Case'!B14*$E602)-MAX(0,(('Business Case'!B11*$C602*'Business Case'!B12*$B602)-'Business Case'!B11*$C602*'Business Case'!B13*$D602-'Business Case'!B14*$E602))*'Business Case'!$B$7-'Business Case'!$B$8*('Business Case'!B11*$C602*'Business Case'!B12*$B602)-'Business Case'!B15*$F602</f>
        <v>-2021346548.37007</v>
      </c>
      <c r="I602" s="39" t="n">
        <f aca="false">(('Business Case'!C11*$C602*'Business Case'!C12*$B602)-'Business Case'!C11*$C602*'Business Case'!C13*$D602-'Business Case'!C14*$E602)-MAX(0,(('Business Case'!C11*$C602*'Business Case'!C12*$B602)-'Business Case'!C11*$C602*'Business Case'!C13*$D602-'Business Case'!C14*$E602))*'Business Case'!$B$7-'Business Case'!$B$8*(('Business Case'!C11*$C602*'Business Case'!C12*$B602)-('Business Case'!B11*$C602*'Business Case'!B12*$B602))-'Business Case'!C15*$F602</f>
        <v>-4490684.76334611</v>
      </c>
      <c r="J602" s="39" t="n">
        <f aca="false">(('Business Case'!D11*$C602*'Business Case'!D12*$B602)-'Business Case'!D11*$C602*'Business Case'!D13*$D602-'Business Case'!D14*$E602)-MAX(0,(('Business Case'!D11*$C602*'Business Case'!D12*$B602)-'Business Case'!D11*$C602*'Business Case'!D13*$D602-'Business Case'!D14*$E602))*'Business Case'!$B$7-'Business Case'!$B$8*(('Business Case'!D11*$C602*'Business Case'!D12*$B602)-('Business Case'!C11*$C602*'Business Case'!C12*$B602))-'Business Case'!D15*$F602</f>
        <v>276091134.840316</v>
      </c>
      <c r="K602" s="39" t="n">
        <f aca="false">(('Business Case'!E11*$C602*'Business Case'!E12*$B602)-'Business Case'!E11*$C602*'Business Case'!E13*$D602-'Business Case'!E14*$E602)-MAX(0,(('Business Case'!E11*$C602*'Business Case'!E12*$B602)-'Business Case'!E11*$C602*'Business Case'!E13*$D602-'Business Case'!E14*$E602))*'Business Case'!$B$7-'Business Case'!$B$8*(('Business Case'!E11*$C602*'Business Case'!E12*$B602)-('Business Case'!D11*$C602*'Business Case'!D12*$B602))-'Business Case'!E15*$F602</f>
        <v>607206618.15323</v>
      </c>
      <c r="L602" s="39" t="n">
        <f aca="false">(('Business Case'!F11*$C602*'Business Case'!F12*$B602)-'Business Case'!F11*$C602*'Business Case'!F13*$D602-'Business Case'!F14*$E602)-MAX(0,(('Business Case'!F11*$C602*'Business Case'!F12*$B602)-'Business Case'!F11*$C602*'Business Case'!F13*$D602-'Business Case'!F14*$E602))*'Business Case'!$B$7-'Business Case'!$B$8*(('Business Case'!F11*$C602*'Business Case'!F12*$B602)-('Business Case'!E11*$C602*'Business Case'!E12*$B602))-'Business Case'!F15*$F602</f>
        <v>731789477.137455</v>
      </c>
      <c r="M602" s="39" t="n">
        <f aca="false">(('Business Case'!G11*$C602*'Business Case'!G12*$B602)-'Business Case'!G11*$C602*'Business Case'!G13*$D602-'Business Case'!G14*$E602)-MAX(0,(('Business Case'!G11*$C602*'Business Case'!G12*$B602)-'Business Case'!G11*$C602*'Business Case'!G13*$D602-'Business Case'!G14*$E602))*'Business Case'!$B$7-'Business Case'!$B$8*(('Business Case'!G11*$C602*'Business Case'!G12*$B602)-('Business Case'!F11*$C602*'Business Case'!F12*$B602))-'Business Case'!G15*$F602+'Business Case'!$B$8*('Business Case'!G11*$C602*'Business Case'!G12*$B602)</f>
        <v>902595198.94398</v>
      </c>
      <c r="N602" s="39" t="n">
        <f aca="false">IF(COUNT('Business Case'!B11:G11)=0,"",H602+NPV(G602,I602:M602))</f>
        <v>-328619413.243997</v>
      </c>
      <c r="P602" s="40" t="n">
        <f aca="true">RAND()</f>
        <v>0.674585081934317</v>
      </c>
      <c r="Q602" s="40" t="n">
        <f aca="true">RAND()</f>
        <v>0.137675952768843</v>
      </c>
      <c r="R602" s="40" t="n">
        <f aca="true">RAND()</f>
        <v>0.25268441278052</v>
      </c>
      <c r="S602" s="40" t="n">
        <f aca="true">RAND()</f>
        <v>0.0358526694283044</v>
      </c>
      <c r="T602" s="40" t="n">
        <f aca="true">RAND()</f>
        <v>0.283107817843716</v>
      </c>
      <c r="U602" s="40" t="n">
        <f aca="true">RAND()</f>
        <v>0.763740769576676</v>
      </c>
    </row>
    <row r="603" customFormat="false" ht="15" hidden="false" customHeight="false" outlineLevel="0" collapsed="false">
      <c r="A603" s="36" t="n">
        <v>523</v>
      </c>
      <c r="B603" s="37" t="n">
        <f aca="false">1+IF($G$6=$E$6,$F$6,IF(P603&lt;($F$6-$E$6)/($G$6-$E$6),$E$6+SQRT(P603*($G$6-$E$6)*($F$6-$E$6)),$G$6-SQRT((1-P603)*($G$6-$E$6)*($G$6-$F$6))))</f>
        <v>0.977096242788536</v>
      </c>
      <c r="C603" s="37" t="n">
        <f aca="false">1+IF($G$7=$E$7,$F$7,IF(Q603&lt;($F$7-$E$7)/($G$7-$E$7),$E$7+SQRT(Q603*($G$7-$E$7)*($F$7-$E$7)),$G$7-SQRT((1-Q603)*($G$7-$E$7)*($G$7-$F$7))))</f>
        <v>1.06712609743256</v>
      </c>
      <c r="D603" s="37" t="n">
        <f aca="false">1+IF($G$8=$E$8,$F$8,IF(R603&lt;($F$8-$E$8)/($G$8-$E$8),$E$8+SQRT(R603*($G$8-$E$8)*($F$8-$E$8)),$G$8-SQRT((1-R603)*($G$8-$E$8)*($G$8-$F$8))))</f>
        <v>1.02332289616634</v>
      </c>
      <c r="E603" s="37" t="n">
        <f aca="false">1+IF($G$9=$E$9,$F$9,IF(S603&lt;($F$9-$E$9)/($G$9-$E$9),$E$9+SQRT(S603*($G$9-$E$9)*($F$9-$E$9)),$G$9-SQRT((1-S603)*($G$9-$E$9)*($G$9-$F$9))))</f>
        <v>1.07764802617719</v>
      </c>
      <c r="F603" s="37" t="n">
        <f aca="false">1+IF($G$10=$E$10,$F$10,IF(T603&lt;($F$10-$E$10)/($G$10-$E$10),$E$10+SQRT(T603*($G$10-$E$10)*($F$10-$E$10)),$G$10-SQRT((1-T603)*($G$10-$E$10)*($G$10-$F$10))))</f>
        <v>1.00448178974661</v>
      </c>
      <c r="G603" s="38" t="n">
        <f aca="false">IF($G$11=$E$11,$F$11,IF(U603&lt;($F$11-$E$11)/($G$11-$E$11),$E$11+SQRT(U603*($G$11-$E$11)*($F$11-$E$11)),$G$11-SQRT((1-U603)*($G$11-$E$11)*($G$11-$F$11))))</f>
        <v>0.103843685581091</v>
      </c>
      <c r="H603" s="39" t="n">
        <f aca="false">(('Business Case'!B11*$C603*'Business Case'!B12*$B603)-'Business Case'!B11*$C603*'Business Case'!B13*$D603-'Business Case'!B14*$E603)-MAX(0,(('Business Case'!B11*$C603*'Business Case'!B12*$B603)-'Business Case'!B11*$C603*'Business Case'!B13*$D603-'Business Case'!B14*$E603))*'Business Case'!$B$7-'Business Case'!$B$8*('Business Case'!B11*$C603*'Business Case'!B12*$B603)-'Business Case'!B15*$F603</f>
        <v>-2008963579.49321</v>
      </c>
      <c r="I603" s="39" t="n">
        <f aca="false">(('Business Case'!C11*$C603*'Business Case'!C12*$B603)-'Business Case'!C11*$C603*'Business Case'!C13*$D603-'Business Case'!C14*$E603)-MAX(0,(('Business Case'!C11*$C603*'Business Case'!C12*$B603)-'Business Case'!C11*$C603*'Business Case'!C13*$D603-'Business Case'!C14*$E603))*'Business Case'!$B$7-'Business Case'!$B$8*(('Business Case'!C11*$C603*'Business Case'!C12*$B603)-('Business Case'!B11*$C603*'Business Case'!B12*$B603))-'Business Case'!C15*$F603</f>
        <v>-12732604.7638396</v>
      </c>
      <c r="J603" s="39" t="n">
        <f aca="false">(('Business Case'!D11*$C603*'Business Case'!D12*$B603)-'Business Case'!D11*$C603*'Business Case'!D13*$D603-'Business Case'!D14*$E603)-MAX(0,(('Business Case'!D11*$C603*'Business Case'!D12*$B603)-'Business Case'!D11*$C603*'Business Case'!D13*$D603-'Business Case'!D14*$E603))*'Business Case'!$B$7-'Business Case'!$B$8*(('Business Case'!D11*$C603*'Business Case'!D12*$B603)-('Business Case'!C11*$C603*'Business Case'!C12*$B603))-'Business Case'!D15*$F603</f>
        <v>282277304.00523</v>
      </c>
      <c r="K603" s="39" t="n">
        <f aca="false">(('Business Case'!E11*$C603*'Business Case'!E12*$B603)-'Business Case'!E11*$C603*'Business Case'!E13*$D603-'Business Case'!E14*$E603)-MAX(0,(('Business Case'!E11*$C603*'Business Case'!E12*$B603)-'Business Case'!E11*$C603*'Business Case'!E13*$D603-'Business Case'!E14*$E603))*'Business Case'!$B$7-'Business Case'!$B$8*(('Business Case'!E11*$C603*'Business Case'!E12*$B603)-('Business Case'!D11*$C603*'Business Case'!D12*$B603))-'Business Case'!E15*$F603</f>
        <v>627511302.261629</v>
      </c>
      <c r="L603" s="39" t="n">
        <f aca="false">(('Business Case'!F11*$C603*'Business Case'!F12*$B603)-'Business Case'!F11*$C603*'Business Case'!F13*$D603-'Business Case'!F14*$E603)-MAX(0,(('Business Case'!F11*$C603*'Business Case'!F12*$B603)-'Business Case'!F11*$C603*'Business Case'!F13*$D603-'Business Case'!F14*$E603))*'Business Case'!$B$7-'Business Case'!$B$8*(('Business Case'!F11*$C603*'Business Case'!F12*$B603)-('Business Case'!E11*$C603*'Business Case'!E12*$B603))-'Business Case'!F15*$F603</f>
        <v>761883128.67522</v>
      </c>
      <c r="M603" s="39" t="n">
        <f aca="false">(('Business Case'!G11*$C603*'Business Case'!G12*$B603)-'Business Case'!G11*$C603*'Business Case'!G13*$D603-'Business Case'!G14*$E603)-MAX(0,(('Business Case'!G11*$C603*'Business Case'!G12*$B603)-'Business Case'!G11*$C603*'Business Case'!G13*$D603-'Business Case'!G14*$E603))*'Business Case'!$B$7-'Business Case'!$B$8*(('Business Case'!G11*$C603*'Business Case'!G12*$B603)-('Business Case'!F11*$C603*'Business Case'!F12*$B603))-'Business Case'!G15*$F603+'Business Case'!$B$8*('Business Case'!G11*$C603*'Business Case'!G12*$B603)</f>
        <v>960076674.540011</v>
      </c>
      <c r="N603" s="39" t="n">
        <f aca="false">IF(COUNT('Business Case'!B11:G11)=0,"",H603+NPV(G603,I603:M603))</f>
        <v>-223291117.463637</v>
      </c>
      <c r="P603" s="40" t="n">
        <f aca="true">RAND()</f>
        <v>0.339581347975769</v>
      </c>
      <c r="Q603" s="40" t="n">
        <f aca="true">RAND()</f>
        <v>0.869179357585574</v>
      </c>
      <c r="R603" s="40" t="n">
        <f aca="true">RAND()</f>
        <v>0.69112556740663</v>
      </c>
      <c r="S603" s="40" t="n">
        <f aca="true">RAND()</f>
        <v>0.966692617748294</v>
      </c>
      <c r="T603" s="40" t="n">
        <f aca="true">RAND()</f>
        <v>0.235452589186196</v>
      </c>
      <c r="U603" s="40" t="n">
        <f aca="true">RAND()</f>
        <v>0.564955840662245</v>
      </c>
    </row>
    <row r="604" customFormat="false" ht="15" hidden="false" customHeight="false" outlineLevel="0" collapsed="false">
      <c r="A604" s="36" t="n">
        <v>524</v>
      </c>
      <c r="B604" s="37" t="n">
        <f aca="false">1+IF($G$6=$E$6,$F$6,IF(P604&lt;($F$6-$E$6)/($G$6-$E$6),$E$6+SQRT(P604*($G$6-$E$6)*($F$6-$E$6)),$G$6-SQRT((1-P604)*($G$6-$E$6)*($G$6-$F$6))))</f>
        <v>0.99921135375629</v>
      </c>
      <c r="C604" s="37" t="n">
        <f aca="false">1+IF($G$7=$E$7,$F$7,IF(Q604&lt;($F$7-$E$7)/($G$7-$E$7),$E$7+SQRT(Q604*($G$7-$E$7)*($F$7-$E$7)),$G$7-SQRT((1-Q604)*($G$7-$E$7)*($G$7-$F$7))))</f>
        <v>0.890600155053658</v>
      </c>
      <c r="D604" s="37" t="n">
        <f aca="false">1+IF($G$8=$E$8,$F$8,IF(R604&lt;($F$8-$E$8)/($G$8-$E$8),$E$8+SQRT(R604*($G$8-$E$8)*($F$8-$E$8)),$G$8-SQRT((1-R604)*($G$8-$E$8)*($G$8-$F$8))))</f>
        <v>1.07201338435986</v>
      </c>
      <c r="E604" s="37" t="n">
        <f aca="false">1+IF($G$9=$E$9,$F$9,IF(S604&lt;($F$9-$E$9)/($G$9-$E$9),$E$9+SQRT(S604*($G$9-$E$9)*($F$9-$E$9)),$G$9-SQRT((1-S604)*($G$9-$E$9)*($G$9-$F$9))))</f>
        <v>1.04275783546958</v>
      </c>
      <c r="F604" s="37" t="n">
        <f aca="false">1+IF($G$10=$E$10,$F$10,IF(T604&lt;($F$10-$E$10)/($G$10-$E$10),$E$10+SQRT(T604*($G$10-$E$10)*($F$10-$E$10)),$G$10-SQRT((1-T604)*($G$10-$E$10)*($G$10-$F$10))))</f>
        <v>1.04701808100464</v>
      </c>
      <c r="G604" s="38" t="n">
        <f aca="false">IF($G$11=$E$11,$F$11,IF(U604&lt;($F$11-$E$11)/($G$11-$E$11),$E$11+SQRT(U604*($G$11-$E$11)*($F$11-$E$11)),$G$11-SQRT((1-U604)*($G$11-$E$11)*($G$11-$F$11))))</f>
        <v>0.112808585716055</v>
      </c>
      <c r="H604" s="39" t="n">
        <f aca="false">(('Business Case'!B11*$C604*'Business Case'!B12*$B604)-'Business Case'!B11*$C604*'Business Case'!B13*$D604-'Business Case'!B14*$E604)-MAX(0,(('Business Case'!B11*$C604*'Business Case'!B12*$B604)-'Business Case'!B11*$C604*'Business Case'!B13*$D604-'Business Case'!B14*$E604))*'Business Case'!$B$7-'Business Case'!$B$8*('Business Case'!B11*$C604*'Business Case'!B12*$B604)-'Business Case'!B15*$F604</f>
        <v>-2094036162.00927</v>
      </c>
      <c r="I604" s="39" t="n">
        <f aca="false">(('Business Case'!C11*$C604*'Business Case'!C12*$B604)-'Business Case'!C11*$C604*'Business Case'!C13*$D604-'Business Case'!C14*$E604)-MAX(0,(('Business Case'!C11*$C604*'Business Case'!C12*$B604)-'Business Case'!C11*$C604*'Business Case'!C13*$D604-'Business Case'!C14*$E604))*'Business Case'!$B$7-'Business Case'!$B$8*(('Business Case'!C11*$C604*'Business Case'!C12*$B604)-('Business Case'!B11*$C604*'Business Case'!B12*$B604))-'Business Case'!C15*$F604</f>
        <v>-58972001.4840319</v>
      </c>
      <c r="J604" s="39" t="n">
        <f aca="false">(('Business Case'!D11*$C604*'Business Case'!D12*$B604)-'Business Case'!D11*$C604*'Business Case'!D13*$D604-'Business Case'!D14*$E604)-MAX(0,(('Business Case'!D11*$C604*'Business Case'!D12*$B604)-'Business Case'!D11*$C604*'Business Case'!D13*$D604-'Business Case'!D14*$E604))*'Business Case'!$B$7-'Business Case'!$B$8*(('Business Case'!D11*$C604*'Business Case'!D12*$B604)-('Business Case'!C11*$C604*'Business Case'!C12*$B604))-'Business Case'!D15*$F604</f>
        <v>181170270.59283</v>
      </c>
      <c r="K604" s="39" t="n">
        <f aca="false">(('Business Case'!E11*$C604*'Business Case'!E12*$B604)-'Business Case'!E11*$C604*'Business Case'!E13*$D604-'Business Case'!E14*$E604)-MAX(0,(('Business Case'!E11*$C604*'Business Case'!E12*$B604)-'Business Case'!E11*$C604*'Business Case'!E13*$D604-'Business Case'!E14*$E604))*'Business Case'!$B$7-'Business Case'!$B$8*(('Business Case'!E11*$C604*'Business Case'!E12*$B604)-('Business Case'!D11*$C604*'Business Case'!D12*$B604))-'Business Case'!E15*$F604</f>
        <v>473663446.719923</v>
      </c>
      <c r="L604" s="39" t="n">
        <f aca="false">(('Business Case'!F11*$C604*'Business Case'!F12*$B604)-'Business Case'!F11*$C604*'Business Case'!F13*$D604-'Business Case'!F14*$E604)-MAX(0,(('Business Case'!F11*$C604*'Business Case'!F12*$B604)-'Business Case'!F11*$C604*'Business Case'!F13*$D604-'Business Case'!F14*$E604))*'Business Case'!$B$7-'Business Case'!$B$8*(('Business Case'!F11*$C604*'Business Case'!F12*$B604)-('Business Case'!E11*$C604*'Business Case'!E12*$B604))-'Business Case'!F15*$F604</f>
        <v>584465738.249981</v>
      </c>
      <c r="M604" s="39" t="n">
        <f aca="false">(('Business Case'!G11*$C604*'Business Case'!G12*$B604)-'Business Case'!G11*$C604*'Business Case'!G13*$D604-'Business Case'!G14*$E604)-MAX(0,(('Business Case'!G11*$C604*'Business Case'!G12*$B604)-'Business Case'!G11*$C604*'Business Case'!G13*$D604-'Business Case'!G14*$E604))*'Business Case'!$B$7-'Business Case'!$B$8*(('Business Case'!G11*$C604*'Business Case'!G12*$B604)-('Business Case'!F11*$C604*'Business Case'!F12*$B604))-'Business Case'!G15*$F604+'Business Case'!$B$8*('Business Case'!G11*$C604*'Business Case'!G12*$B604)</f>
        <v>753617509.524386</v>
      </c>
      <c r="N604" s="39" t="n">
        <f aca="false">IF(COUNT('Business Case'!B11:G11)=0,"",H604+NPV(G604,I604:M604))</f>
        <v>-834253077.365545</v>
      </c>
      <c r="P604" s="40" t="n">
        <f aca="true">RAND()</f>
        <v>0.653587350406671</v>
      </c>
      <c r="Q604" s="40" t="n">
        <f aca="true">RAND()</f>
        <v>0.117262687082099</v>
      </c>
      <c r="R604" s="40" t="n">
        <f aca="true">RAND()</f>
        <v>0.993866727943906</v>
      </c>
      <c r="S604" s="40" t="n">
        <f aca="true">RAND()</f>
        <v>0.781555639991468</v>
      </c>
      <c r="T604" s="40" t="n">
        <f aca="true">RAND()</f>
        <v>0.53193064920992</v>
      </c>
      <c r="U604" s="40" t="n">
        <f aca="true">RAND()</f>
        <v>0.913805934327791</v>
      </c>
    </row>
    <row r="605" customFormat="false" ht="15" hidden="false" customHeight="false" outlineLevel="0" collapsed="false">
      <c r="A605" s="36" t="n">
        <v>525</v>
      </c>
      <c r="B605" s="37" t="n">
        <f aca="false">1+IF($G$6=$E$6,$F$6,IF(P605&lt;($F$6-$E$6)/($G$6-$E$6),$E$6+SQRT(P605*($G$6-$E$6)*($F$6-$E$6)),$G$6-SQRT((1-P605)*($G$6-$E$6)*($G$6-$F$6))))</f>
        <v>1.02891497176332</v>
      </c>
      <c r="C605" s="37" t="n">
        <f aca="false">1+IF($G$7=$E$7,$F$7,IF(Q605&lt;($F$7-$E$7)/($G$7-$E$7),$E$7+SQRT(Q605*($G$7-$E$7)*($F$7-$E$7)),$G$7-SQRT((1-Q605)*($G$7-$E$7)*($G$7-$F$7))))</f>
        <v>1.03497558349046</v>
      </c>
      <c r="D605" s="37" t="n">
        <f aca="false">1+IF($G$8=$E$8,$F$8,IF(R605&lt;($F$8-$E$8)/($G$8-$E$8),$E$8+SQRT(R605*($G$8-$E$8)*($F$8-$E$8)),$G$8-SQRT((1-R605)*($G$8-$E$8)*($G$8-$F$8))))</f>
        <v>1.0116427296391</v>
      </c>
      <c r="E605" s="37" t="n">
        <f aca="false">1+IF($G$9=$E$9,$F$9,IF(S605&lt;($F$9-$E$9)/($G$9-$E$9),$E$9+SQRT(S605*($G$9-$E$9)*($F$9-$E$9)),$G$9-SQRT((1-S605)*($G$9-$E$9)*($G$9-$F$9))))</f>
        <v>1.03188099983121</v>
      </c>
      <c r="F605" s="37" t="n">
        <f aca="false">1+IF($G$10=$E$10,$F$10,IF(T605&lt;($F$10-$E$10)/($G$10-$E$10),$E$10+SQRT(T605*($G$10-$E$10)*($F$10-$E$10)),$G$10-SQRT((1-T605)*($G$10-$E$10)*($G$10-$F$10))))</f>
        <v>1.07412294414864</v>
      </c>
      <c r="G605" s="38" t="n">
        <f aca="false">IF($G$11=$E$11,$F$11,IF(U605&lt;($F$11-$E$11)/($G$11-$E$11),$E$11+SQRT(U605*($G$11-$E$11)*($F$11-$E$11)),$G$11-SQRT((1-U605)*($G$11-$E$11)*($G$11-$F$11))))</f>
        <v>0.09490269633983</v>
      </c>
      <c r="H605" s="39" t="n">
        <f aca="false">(('Business Case'!B11*$C605*'Business Case'!B12*$B605)-'Business Case'!B11*$C605*'Business Case'!B13*$D605-'Business Case'!B14*$E605)-MAX(0,(('Business Case'!B11*$C605*'Business Case'!B12*$B605)-'Business Case'!B11*$C605*'Business Case'!B13*$D605-'Business Case'!B14*$E605))*'Business Case'!$B$7-'Business Case'!$B$8*('Business Case'!B11*$C605*'Business Case'!B12*$B605)-'Business Case'!B15*$F605</f>
        <v>-2148245888.29728</v>
      </c>
      <c r="I605" s="39" t="n">
        <f aca="false">(('Business Case'!C11*$C605*'Business Case'!C12*$B605)-'Business Case'!C11*$C605*'Business Case'!C13*$D605-'Business Case'!C14*$E605)-MAX(0,(('Business Case'!C11*$C605*'Business Case'!C12*$B605)-'Business Case'!C11*$C605*'Business Case'!C13*$D605-'Business Case'!C14*$E605))*'Business Case'!$B$7-'Business Case'!$B$8*(('Business Case'!C11*$C605*'Business Case'!C12*$B605)-('Business Case'!B11*$C605*'Business Case'!B12*$B605))-'Business Case'!C15*$F605</f>
        <v>26887714.9895024</v>
      </c>
      <c r="J605" s="39" t="n">
        <f aca="false">(('Business Case'!D11*$C605*'Business Case'!D12*$B605)-'Business Case'!D11*$C605*'Business Case'!D13*$D605-'Business Case'!D14*$E605)-MAX(0,(('Business Case'!D11*$C605*'Business Case'!D12*$B605)-'Business Case'!D11*$C605*'Business Case'!D13*$D605-'Business Case'!D14*$E605))*'Business Case'!$B$7-'Business Case'!$B$8*(('Business Case'!D11*$C605*'Business Case'!D12*$B605)-('Business Case'!C11*$C605*'Business Case'!C12*$B605))-'Business Case'!D15*$F605</f>
        <v>363125715.679811</v>
      </c>
      <c r="K605" s="39" t="n">
        <f aca="false">(('Business Case'!E11*$C605*'Business Case'!E12*$B605)-'Business Case'!E11*$C605*'Business Case'!E13*$D605-'Business Case'!E14*$E605)-MAX(0,(('Business Case'!E11*$C605*'Business Case'!E12*$B605)-'Business Case'!E11*$C605*'Business Case'!E13*$D605-'Business Case'!E14*$E605))*'Business Case'!$B$7-'Business Case'!$B$8*(('Business Case'!E11*$C605*'Business Case'!E12*$B605)-('Business Case'!D11*$C605*'Business Case'!D12*$B605))-'Business Case'!E15*$F605</f>
        <v>753069863.577552</v>
      </c>
      <c r="L605" s="39" t="n">
        <f aca="false">(('Business Case'!F11*$C605*'Business Case'!F12*$B605)-'Business Case'!F11*$C605*'Business Case'!F13*$D605-'Business Case'!F14*$E605)-MAX(0,(('Business Case'!F11*$C605*'Business Case'!F12*$B605)-'Business Case'!F11*$C605*'Business Case'!F13*$D605-'Business Case'!F14*$E605))*'Business Case'!$B$7-'Business Case'!$B$8*(('Business Case'!F11*$C605*'Business Case'!F12*$B605)-('Business Case'!E11*$C605*'Business Case'!E12*$B605))-'Business Case'!F15*$F605</f>
        <v>901952205.880951</v>
      </c>
      <c r="M605" s="39" t="n">
        <f aca="false">(('Business Case'!G11*$C605*'Business Case'!G12*$B605)-'Business Case'!G11*$C605*'Business Case'!G13*$D605-'Business Case'!G14*$E605)-MAX(0,(('Business Case'!G11*$C605*'Business Case'!G12*$B605)-'Business Case'!G11*$C605*'Business Case'!G13*$D605-'Business Case'!G14*$E605))*'Business Case'!$B$7-'Business Case'!$B$8*(('Business Case'!G11*$C605*'Business Case'!G12*$B605)-('Business Case'!F11*$C605*'Business Case'!F12*$B605))-'Business Case'!G15*$F605+'Business Case'!$B$8*('Business Case'!G11*$C605*'Business Case'!G12*$B605)</f>
        <v>1104368753.95075</v>
      </c>
      <c r="N605" s="39" t="n">
        <f aca="false">IF(COUNT('Business Case'!B11:G11)=0,"",H605+NPV(G605,I605:M605))</f>
        <v>82382620.6821394</v>
      </c>
      <c r="P605" s="40" t="n">
        <f aca="true">RAND()</f>
        <v>0.974400447706672</v>
      </c>
      <c r="Q605" s="40" t="n">
        <f aca="true">RAND()</f>
        <v>0.747988259174104</v>
      </c>
      <c r="R605" s="40" t="n">
        <f aca="true">RAND()</f>
        <v>0.550700345077642</v>
      </c>
      <c r="S605" s="40" t="n">
        <f aca="true">RAND()</f>
        <v>0.690653454400285</v>
      </c>
      <c r="T605" s="40" t="n">
        <f aca="true">RAND()</f>
        <v>0.683099336203866</v>
      </c>
      <c r="U605" s="40" t="n">
        <f aca="true">RAND()</f>
        <v>0.0801214380019407</v>
      </c>
    </row>
    <row r="606" customFormat="false" ht="15" hidden="false" customHeight="false" outlineLevel="0" collapsed="false">
      <c r="A606" s="36" t="n">
        <v>526</v>
      </c>
      <c r="B606" s="37" t="n">
        <f aca="false">1+IF($G$6=$E$6,$F$6,IF(P606&lt;($F$6-$E$6)/($G$6-$E$6),$E$6+SQRT(P606*($G$6-$E$6)*($F$6-$E$6)),$G$6-SQRT((1-P606)*($G$6-$E$6)*($G$6-$F$6))))</f>
        <v>0.994249268418681</v>
      </c>
      <c r="C606" s="37" t="n">
        <f aca="false">1+IF($G$7=$E$7,$F$7,IF(Q606&lt;($F$7-$E$7)/($G$7-$E$7),$E$7+SQRT(Q606*($G$7-$E$7)*($F$7-$E$7)),$G$7-SQRT((1-Q606)*($G$7-$E$7)*($G$7-$F$7))))</f>
        <v>0.951093474036042</v>
      </c>
      <c r="D606" s="37" t="n">
        <f aca="false">1+IF($G$8=$E$8,$F$8,IF(R606&lt;($F$8-$E$8)/($G$8-$E$8),$E$8+SQRT(R606*($G$8-$E$8)*($F$8-$E$8)),$G$8-SQRT((1-R606)*($G$8-$E$8)*($G$8-$F$8))))</f>
        <v>1.00833790670253</v>
      </c>
      <c r="E606" s="37" t="n">
        <f aca="false">1+IF($G$9=$E$9,$F$9,IF(S606&lt;($F$9-$E$9)/($G$9-$E$9),$E$9+SQRT(S606*($G$9-$E$9)*($F$9-$E$9)),$G$9-SQRT((1-S606)*($G$9-$E$9)*($G$9-$F$9))))</f>
        <v>1.06932532288364</v>
      </c>
      <c r="F606" s="37" t="n">
        <f aca="false">1+IF($G$10=$E$10,$F$10,IF(T606&lt;($F$10-$E$10)/($G$10-$E$10),$E$10+SQRT(T606*($G$10-$E$10)*($F$10-$E$10)),$G$10-SQRT((1-T606)*($G$10-$E$10)*($G$10-$F$10))))</f>
        <v>1.01147061006183</v>
      </c>
      <c r="G606" s="38" t="n">
        <f aca="false">IF($G$11=$E$11,$F$11,IF(U606&lt;($F$11-$E$11)/($G$11-$E$11),$E$11+SQRT(U606*($G$11-$E$11)*($F$11-$E$11)),$G$11-SQRT((1-U606)*($G$11-$E$11)*($G$11-$F$11))))</f>
        <v>0.10691740919077</v>
      </c>
      <c r="H606" s="39" t="n">
        <f aca="false">(('Business Case'!B11*$C606*'Business Case'!B12*$B606)-'Business Case'!B11*$C606*'Business Case'!B13*$D606-'Business Case'!B14*$E606)-MAX(0,(('Business Case'!B11*$C606*'Business Case'!B12*$B606)-'Business Case'!B11*$C606*'Business Case'!B13*$D606-'Business Case'!B14*$E606))*'Business Case'!$B$7-'Business Case'!$B$8*('Business Case'!B11*$C606*'Business Case'!B12*$B606)-'Business Case'!B15*$F606</f>
        <v>-2022941220.12366</v>
      </c>
      <c r="I606" s="39" t="n">
        <f aca="false">(('Business Case'!C11*$C606*'Business Case'!C12*$B606)-'Business Case'!C11*$C606*'Business Case'!C13*$D606-'Business Case'!C14*$E606)-MAX(0,(('Business Case'!C11*$C606*'Business Case'!C12*$B606)-'Business Case'!C11*$C606*'Business Case'!C13*$D606-'Business Case'!C14*$E606))*'Business Case'!$B$7-'Business Case'!$B$8*(('Business Case'!C11*$C606*'Business Case'!C12*$B606)-('Business Case'!B11*$C606*'Business Case'!B12*$B606))-'Business Case'!C15*$F606</f>
        <v>-18635498.9309137</v>
      </c>
      <c r="J606" s="39" t="n">
        <f aca="false">(('Business Case'!D11*$C606*'Business Case'!D12*$B606)-'Business Case'!D11*$C606*'Business Case'!D13*$D606-'Business Case'!D14*$E606)-MAX(0,(('Business Case'!D11*$C606*'Business Case'!D12*$B606)-'Business Case'!D11*$C606*'Business Case'!D13*$D606-'Business Case'!D14*$E606))*'Business Case'!$B$7-'Business Case'!$B$8*(('Business Case'!D11*$C606*'Business Case'!D12*$B606)-('Business Case'!C11*$C606*'Business Case'!C12*$B606))-'Business Case'!D15*$F606</f>
        <v>264955271.739309</v>
      </c>
      <c r="K606" s="39" t="n">
        <f aca="false">(('Business Case'!E11*$C606*'Business Case'!E12*$B606)-'Business Case'!E11*$C606*'Business Case'!E13*$D606-'Business Case'!E14*$E606)-MAX(0,(('Business Case'!E11*$C606*'Business Case'!E12*$B606)-'Business Case'!E11*$C606*'Business Case'!E13*$D606-'Business Case'!E14*$E606))*'Business Case'!$B$7-'Business Case'!$B$8*(('Business Case'!E11*$C606*'Business Case'!E12*$B606)-('Business Case'!D11*$C606*'Business Case'!D12*$B606))-'Business Case'!E15*$F606</f>
        <v>599119572.912624</v>
      </c>
      <c r="L606" s="39" t="n">
        <f aca="false">(('Business Case'!F11*$C606*'Business Case'!F12*$B606)-'Business Case'!F11*$C606*'Business Case'!F13*$D606-'Business Case'!F14*$E606)-MAX(0,(('Business Case'!F11*$C606*'Business Case'!F12*$B606)-'Business Case'!F11*$C606*'Business Case'!F13*$D606-'Business Case'!F14*$E606))*'Business Case'!$B$7-'Business Case'!$B$8*(('Business Case'!F11*$C606*'Business Case'!F12*$B606)-('Business Case'!E11*$C606*'Business Case'!E12*$B606))-'Business Case'!F15*$F606</f>
        <v>726330594.923299</v>
      </c>
      <c r="M606" s="39" t="n">
        <f aca="false">(('Business Case'!G11*$C606*'Business Case'!G12*$B606)-'Business Case'!G11*$C606*'Business Case'!G13*$D606-'Business Case'!G14*$E606)-MAX(0,(('Business Case'!G11*$C606*'Business Case'!G12*$B606)-'Business Case'!G11*$C606*'Business Case'!G13*$D606-'Business Case'!G14*$E606))*'Business Case'!$B$7-'Business Case'!$B$8*(('Business Case'!G11*$C606*'Business Case'!G12*$B606)-('Business Case'!F11*$C606*'Business Case'!F12*$B606))-'Business Case'!G15*$F606+'Business Case'!$B$8*('Business Case'!G11*$C606*'Business Case'!G12*$B606)</f>
        <v>906074803.086602</v>
      </c>
      <c r="N606" s="39" t="n">
        <f aca="false">IF(COUNT('Business Case'!B11:G11)=0,"",H606+NPV(G606,I606:M606))</f>
        <v>-352743740.9461</v>
      </c>
      <c r="P606" s="40" t="n">
        <f aca="true">RAND()</f>
        <v>0.574266027157227</v>
      </c>
      <c r="Q606" s="40" t="n">
        <f aca="true">RAND()</f>
        <v>0.32613196994686</v>
      </c>
      <c r="R606" s="40" t="n">
        <f aca="true">RAND()</f>
        <v>0.506206190790815</v>
      </c>
      <c r="S606" s="40" t="n">
        <f aca="true">RAND()</f>
        <v>0.937270945587125</v>
      </c>
      <c r="T606" s="40" t="n">
        <f aca="true">RAND()</f>
        <v>0.289133382590812</v>
      </c>
      <c r="U606" s="40" t="n">
        <f aca="true">RAND()</f>
        <v>0.714743029530433</v>
      </c>
    </row>
    <row r="607" customFormat="false" ht="15" hidden="false" customHeight="false" outlineLevel="0" collapsed="false">
      <c r="A607" s="36" t="n">
        <v>527</v>
      </c>
      <c r="B607" s="37" t="n">
        <f aca="false">1+IF($G$6=$E$6,$F$6,IF(P607&lt;($F$6-$E$6)/($G$6-$E$6),$E$6+SQRT(P607*($G$6-$E$6)*($F$6-$E$6)),$G$6-SQRT((1-P607)*($G$6-$E$6)*($G$6-$F$6))))</f>
        <v>1.03484072677339</v>
      </c>
      <c r="C607" s="37" t="n">
        <f aca="false">1+IF($G$7=$E$7,$F$7,IF(Q607&lt;($F$7-$E$7)/($G$7-$E$7),$E$7+SQRT(Q607*($G$7-$E$7)*($F$7-$E$7)),$G$7-SQRT((1-Q607)*($G$7-$E$7)*($G$7-$F$7))))</f>
        <v>0.950121681487629</v>
      </c>
      <c r="D607" s="37" t="n">
        <f aca="false">1+IF($G$8=$E$8,$F$8,IF(R607&lt;($F$8-$E$8)/($G$8-$E$8),$E$8+SQRT(R607*($G$8-$E$8)*($F$8-$E$8)),$G$8-SQRT((1-R607)*($G$8-$E$8)*($G$8-$F$8))))</f>
        <v>0.974394426725249</v>
      </c>
      <c r="E607" s="37" t="n">
        <f aca="false">1+IF($G$9=$E$9,$F$9,IF(S607&lt;($F$9-$E$9)/($G$9-$E$9),$E$9+SQRT(S607*($G$9-$E$9)*($F$9-$E$9)),$G$9-SQRT((1-S607)*($G$9-$E$9)*($G$9-$F$9))))</f>
        <v>1.04713815121688</v>
      </c>
      <c r="F607" s="37" t="n">
        <f aca="false">1+IF($G$10=$E$10,$F$10,IF(T607&lt;($F$10-$E$10)/($G$10-$E$10),$E$10+SQRT(T607*($G$10-$E$10)*($F$10-$E$10)),$G$10-SQRT((1-T607)*($G$10-$E$10)*($G$10-$F$10))))</f>
        <v>1.01447071557683</v>
      </c>
      <c r="G607" s="38" t="n">
        <f aca="false">IF($G$11=$E$11,$F$11,IF(U607&lt;($F$11-$E$11)/($G$11-$E$11),$E$11+SQRT(U607*($G$11-$E$11)*($F$11-$E$11)),$G$11-SQRT((1-U607)*($G$11-$E$11)*($G$11-$F$11))))</f>
        <v>0.0944551203607333</v>
      </c>
      <c r="H607" s="39" t="n">
        <f aca="false">(('Business Case'!B11*$C607*'Business Case'!B12*$B607)-'Business Case'!B11*$C607*'Business Case'!B13*$D607-'Business Case'!B14*$E607)-MAX(0,(('Business Case'!B11*$C607*'Business Case'!B12*$B607)-'Business Case'!B11*$C607*'Business Case'!B13*$D607-'Business Case'!B14*$E607))*'Business Case'!$B$7-'Business Case'!$B$8*('Business Case'!B11*$C607*'Business Case'!B12*$B607)-'Business Case'!B15*$F607</f>
        <v>-2028941431.15366</v>
      </c>
      <c r="I607" s="39" t="n">
        <f aca="false">(('Business Case'!C11*$C607*'Business Case'!C12*$B607)-'Business Case'!C11*$C607*'Business Case'!C13*$D607-'Business Case'!C14*$E607)-MAX(0,(('Business Case'!C11*$C607*'Business Case'!C12*$B607)-'Business Case'!C11*$C607*'Business Case'!C13*$D607-'Business Case'!C14*$E607))*'Business Case'!$B$7-'Business Case'!$B$8*(('Business Case'!C11*$C607*'Business Case'!C12*$B607)-('Business Case'!B11*$C607*'Business Case'!B12*$B607))-'Business Case'!C15*$F607</f>
        <v>30079177.0198582</v>
      </c>
      <c r="J607" s="39" t="n">
        <f aca="false">(('Business Case'!D11*$C607*'Business Case'!D12*$B607)-'Business Case'!D11*$C607*'Business Case'!D13*$D607-'Business Case'!D14*$E607)-MAX(0,(('Business Case'!D11*$C607*'Business Case'!D12*$B607)-'Business Case'!D11*$C607*'Business Case'!D13*$D607-'Business Case'!D14*$E607))*'Business Case'!$B$7-'Business Case'!$B$8*(('Business Case'!D11*$C607*'Business Case'!D12*$B607)-('Business Case'!C11*$C607*'Business Case'!C12*$B607))-'Business Case'!D15*$F607</f>
        <v>361478834.555095</v>
      </c>
      <c r="K607" s="39" t="n">
        <f aca="false">(('Business Case'!E11*$C607*'Business Case'!E12*$B607)-'Business Case'!E11*$C607*'Business Case'!E13*$D607-'Business Case'!E14*$E607)-MAX(0,(('Business Case'!E11*$C607*'Business Case'!E12*$B607)-'Business Case'!E11*$C607*'Business Case'!E13*$D607-'Business Case'!E14*$E607))*'Business Case'!$B$7-'Business Case'!$B$8*(('Business Case'!E11*$C607*'Business Case'!E12*$B607)-('Business Case'!D11*$C607*'Business Case'!D12*$B607))-'Business Case'!E15*$F607</f>
        <v>743602027.869173</v>
      </c>
      <c r="L607" s="39" t="n">
        <f aca="false">(('Business Case'!F11*$C607*'Business Case'!F12*$B607)-'Business Case'!F11*$C607*'Business Case'!F13*$D607-'Business Case'!F14*$E607)-MAX(0,(('Business Case'!F11*$C607*'Business Case'!F12*$B607)-'Business Case'!F11*$C607*'Business Case'!F13*$D607-'Business Case'!F14*$E607))*'Business Case'!$B$7-'Business Case'!$B$8*(('Business Case'!F11*$C607*'Business Case'!F12*$B607)-('Business Case'!E11*$C607*'Business Case'!E12*$B607))-'Business Case'!F15*$F607</f>
        <v>888048822.950689</v>
      </c>
      <c r="M607" s="39" t="n">
        <f aca="false">(('Business Case'!G11*$C607*'Business Case'!G12*$B607)-'Business Case'!G11*$C607*'Business Case'!G13*$D607-'Business Case'!G14*$E607)-MAX(0,(('Business Case'!G11*$C607*'Business Case'!G12*$B607)-'Business Case'!G11*$C607*'Business Case'!G13*$D607-'Business Case'!G14*$E607))*'Business Case'!$B$7-'Business Case'!$B$8*(('Business Case'!G11*$C607*'Business Case'!G12*$B607)-('Business Case'!F11*$C607*'Business Case'!F12*$B607))-'Business Case'!G15*$F607+'Business Case'!$B$8*('Business Case'!G11*$C607*'Business Case'!G12*$B607)</f>
        <v>1074940157.08443</v>
      </c>
      <c r="N607" s="39" t="n">
        <f aca="false">IF(COUNT('Business Case'!B11:G11)=0,"",H607+NPV(G607,I607:M607))</f>
        <v>171001192.659386</v>
      </c>
      <c r="P607" s="40" t="n">
        <f aca="true">RAND()</f>
        <v>0.994454562452757</v>
      </c>
      <c r="Q607" s="40" t="n">
        <f aca="true">RAND()</f>
        <v>0.321950275038186</v>
      </c>
      <c r="R607" s="40" t="n">
        <f aca="true">RAND()</f>
        <v>0.0915520085005469</v>
      </c>
      <c r="S607" s="40" t="n">
        <f aca="true">RAND()</f>
        <v>0.813708329548693</v>
      </c>
      <c r="T607" s="40" t="n">
        <f aca="true">RAND()</f>
        <v>0.311577692428533</v>
      </c>
      <c r="U607" s="40" t="n">
        <f aca="true">RAND()</f>
        <v>0.0661603247620684</v>
      </c>
    </row>
    <row r="608" customFormat="false" ht="15" hidden="false" customHeight="false" outlineLevel="0" collapsed="false">
      <c r="A608" s="36" t="n">
        <v>528</v>
      </c>
      <c r="B608" s="37" t="n">
        <f aca="false">1+IF($G$6=$E$6,$F$6,IF(P608&lt;($F$6-$E$6)/($G$6-$E$6),$E$6+SQRT(P608*($G$6-$E$6)*($F$6-$E$6)),$G$6-SQRT((1-P608)*($G$6-$E$6)*($G$6-$F$6))))</f>
        <v>0.956656698287743</v>
      </c>
      <c r="C608" s="37" t="n">
        <f aca="false">1+IF($G$7=$E$7,$F$7,IF(Q608&lt;($F$7-$E$7)/($G$7-$E$7),$E$7+SQRT(Q608*($G$7-$E$7)*($F$7-$E$7)),$G$7-SQRT((1-Q608)*($G$7-$E$7)*($G$7-$F$7))))</f>
        <v>0.995420372208603</v>
      </c>
      <c r="D608" s="37" t="n">
        <f aca="false">1+IF($G$8=$E$8,$F$8,IF(R608&lt;($F$8-$E$8)/($G$8-$E$8),$E$8+SQRT(R608*($G$8-$E$8)*($F$8-$E$8)),$G$8-SQRT((1-R608)*($G$8-$E$8)*($G$8-$F$8))))</f>
        <v>1.00747797920116</v>
      </c>
      <c r="E608" s="37" t="n">
        <f aca="false">1+IF($G$9=$E$9,$F$9,IF(S608&lt;($F$9-$E$9)/($G$9-$E$9),$E$9+SQRT(S608*($G$9-$E$9)*($F$9-$E$9)),$G$9-SQRT((1-S608)*($G$9-$E$9)*($G$9-$F$9))))</f>
        <v>1.04399839991134</v>
      </c>
      <c r="F608" s="37" t="n">
        <f aca="false">1+IF($G$10=$E$10,$F$10,IF(T608&lt;($F$10-$E$10)/($G$10-$E$10),$E$10+SQRT(T608*($G$10-$E$10)*($F$10-$E$10)),$G$10-SQRT((1-T608)*($G$10-$E$10)*($G$10-$F$10))))</f>
        <v>1.04735857346652</v>
      </c>
      <c r="G608" s="38" t="n">
        <f aca="false">IF($G$11=$E$11,$F$11,IF(U608&lt;($F$11-$E$11)/($G$11-$E$11),$E$11+SQRT(U608*($G$11-$E$11)*($F$11-$E$11)),$G$11-SQRT((1-U608)*($G$11-$E$11)*($G$11-$F$11))))</f>
        <v>0.104006523833662</v>
      </c>
      <c r="H608" s="39" t="n">
        <f aca="false">(('Business Case'!B11*$C608*'Business Case'!B12*$B608)-'Business Case'!B11*$C608*'Business Case'!B13*$D608-'Business Case'!B14*$E608)-MAX(0,(('Business Case'!B11*$C608*'Business Case'!B12*$B608)-'Business Case'!B11*$C608*'Business Case'!B13*$D608-'Business Case'!B14*$E608))*'Business Case'!$B$7-'Business Case'!$B$8*('Business Case'!B11*$C608*'Business Case'!B12*$B608)-'Business Case'!B15*$F608</f>
        <v>-2094717146.93303</v>
      </c>
      <c r="I608" s="39" t="n">
        <f aca="false">(('Business Case'!C11*$C608*'Business Case'!C12*$B608)-'Business Case'!C11*$C608*'Business Case'!C13*$D608-'Business Case'!C14*$E608)-MAX(0,(('Business Case'!C11*$C608*'Business Case'!C12*$B608)-'Business Case'!C11*$C608*'Business Case'!C13*$D608-'Business Case'!C14*$E608))*'Business Case'!$B$7-'Business Case'!$B$8*(('Business Case'!C11*$C608*'Business Case'!C12*$B608)-('Business Case'!B11*$C608*'Business Case'!B12*$B608))-'Business Case'!C15*$F608</f>
        <v>-35962334.8912152</v>
      </c>
      <c r="J608" s="39" t="n">
        <f aca="false">(('Business Case'!D11*$C608*'Business Case'!D12*$B608)-'Business Case'!D11*$C608*'Business Case'!D13*$D608-'Business Case'!D14*$E608)-MAX(0,(('Business Case'!D11*$C608*'Business Case'!D12*$B608)-'Business Case'!D11*$C608*'Business Case'!D13*$D608-'Business Case'!D14*$E608))*'Business Case'!$B$7-'Business Case'!$B$8*(('Business Case'!D11*$C608*'Business Case'!D12*$B608)-('Business Case'!C11*$C608*'Business Case'!C12*$B608))-'Business Case'!D15*$F608</f>
        <v>230633725.408587</v>
      </c>
      <c r="K608" s="39" t="n">
        <f aca="false">(('Business Case'!E11*$C608*'Business Case'!E12*$B608)-'Business Case'!E11*$C608*'Business Case'!E13*$D608-'Business Case'!E14*$E608)-MAX(0,(('Business Case'!E11*$C608*'Business Case'!E12*$B608)-'Business Case'!E11*$C608*'Business Case'!E13*$D608-'Business Case'!E14*$E608))*'Business Case'!$B$7-'Business Case'!$B$8*(('Business Case'!E11*$C608*'Business Case'!E12*$B608)-('Business Case'!D11*$C608*'Business Case'!D12*$B608))-'Business Case'!E15*$F608</f>
        <v>549597714.381714</v>
      </c>
      <c r="L608" s="39" t="n">
        <f aca="false">(('Business Case'!F11*$C608*'Business Case'!F12*$B608)-'Business Case'!F11*$C608*'Business Case'!F13*$D608-'Business Case'!F14*$E608)-MAX(0,(('Business Case'!F11*$C608*'Business Case'!F12*$B608)-'Business Case'!F11*$C608*'Business Case'!F13*$D608-'Business Case'!F14*$E608))*'Business Case'!$B$7-'Business Case'!$B$8*(('Business Case'!F11*$C608*'Business Case'!F12*$B608)-('Business Case'!E11*$C608*'Business Case'!E12*$B608))-'Business Case'!F15*$F608</f>
        <v>671373711.39963</v>
      </c>
      <c r="M608" s="39" t="n">
        <f aca="false">(('Business Case'!G11*$C608*'Business Case'!G12*$B608)-'Business Case'!G11*$C608*'Business Case'!G13*$D608-'Business Case'!G14*$E608)-MAX(0,(('Business Case'!G11*$C608*'Business Case'!G12*$B608)-'Business Case'!G11*$C608*'Business Case'!G13*$D608-'Business Case'!G14*$E608))*'Business Case'!$B$7-'Business Case'!$B$8*(('Business Case'!G11*$C608*'Business Case'!G12*$B608)-('Business Case'!F11*$C608*'Business Case'!F12*$B608))-'Business Case'!G15*$F608+'Business Case'!$B$8*('Business Case'!G11*$C608*'Business Case'!G12*$B608)</f>
        <v>852382251.115198</v>
      </c>
      <c r="N608" s="39" t="n">
        <f aca="false">IF(COUNT('Business Case'!B11:G11)=0,"",H608+NPV(G608,I608:M608))</f>
        <v>-557959489.887869</v>
      </c>
      <c r="P608" s="40" t="n">
        <f aca="true">RAND()</f>
        <v>0.139970159308189</v>
      </c>
      <c r="Q608" s="40" t="n">
        <f aca="true">RAND()</f>
        <v>0.545558883916412</v>
      </c>
      <c r="R608" s="40" t="n">
        <f aca="true">RAND()</f>
        <v>0.494284278774337</v>
      </c>
      <c r="S608" s="40" t="n">
        <f aca="true">RAND()</f>
        <v>0.790921385833972</v>
      </c>
      <c r="T608" s="40" t="n">
        <f aca="true">RAND()</f>
        <v>0.534011898116454</v>
      </c>
      <c r="U608" s="40" t="n">
        <f aca="true">RAND()</f>
        <v>0.573681200194653</v>
      </c>
    </row>
    <row r="609" customFormat="false" ht="15" hidden="false" customHeight="false" outlineLevel="0" collapsed="false">
      <c r="A609" s="36" t="n">
        <v>529</v>
      </c>
      <c r="B609" s="37" t="n">
        <f aca="false">1+IF($G$6=$E$6,$F$6,IF(P609&lt;($F$6-$E$6)/($G$6-$E$6),$E$6+SQRT(P609*($G$6-$E$6)*($F$6-$E$6)),$G$6-SQRT((1-P609)*($G$6-$E$6)*($G$6-$F$6))))</f>
        <v>1.02090416630183</v>
      </c>
      <c r="C609" s="37" t="n">
        <f aca="false">1+IF($G$7=$E$7,$F$7,IF(Q609&lt;($F$7-$E$7)/($G$7-$E$7),$E$7+SQRT(Q609*($G$7-$E$7)*($F$7-$E$7)),$G$7-SQRT((1-Q609)*($G$7-$E$7)*($G$7-$F$7))))</f>
        <v>0.903652505692287</v>
      </c>
      <c r="D609" s="37" t="n">
        <f aca="false">1+IF($G$8=$E$8,$F$8,IF(R609&lt;($F$8-$E$8)/($G$8-$E$8),$E$8+SQRT(R609*($G$8-$E$8)*($F$8-$E$8)),$G$8-SQRT((1-R609)*($G$8-$E$8)*($G$8-$F$8))))</f>
        <v>1.05428958212254</v>
      </c>
      <c r="E609" s="37" t="n">
        <f aca="false">1+IF($G$9=$E$9,$F$9,IF(S609&lt;($F$9-$E$9)/($G$9-$E$9),$E$9+SQRT(S609*($G$9-$E$9)*($F$9-$E$9)),$G$9-SQRT((1-S609)*($G$9-$E$9)*($G$9-$F$9))))</f>
        <v>1.01699669015986</v>
      </c>
      <c r="F609" s="37" t="n">
        <f aca="false">1+IF($G$10=$E$10,$F$10,IF(T609&lt;($F$10-$E$10)/($G$10-$E$10),$E$10+SQRT(T609*($G$10-$E$10)*($F$10-$E$10)),$G$10-SQRT((1-T609)*($G$10-$E$10)*($G$10-$F$10))))</f>
        <v>0.981385795937942</v>
      </c>
      <c r="G609" s="38" t="n">
        <f aca="false">IF($G$11=$E$11,$F$11,IF(U609&lt;($F$11-$E$11)/($G$11-$E$11),$E$11+SQRT(U609*($G$11-$E$11)*($F$11-$E$11)),$G$11-SQRT((1-U609)*($G$11-$E$11)*($G$11-$F$11))))</f>
        <v>0.114464124708842</v>
      </c>
      <c r="H609" s="39" t="n">
        <f aca="false">(('Business Case'!B11*$C609*'Business Case'!B12*$B609)-'Business Case'!B11*$C609*'Business Case'!B13*$D609-'Business Case'!B14*$E609)-MAX(0,(('Business Case'!B11*$C609*'Business Case'!B12*$B609)-'Business Case'!B11*$C609*'Business Case'!B13*$D609-'Business Case'!B14*$E609))*'Business Case'!$B$7-'Business Case'!$B$8*('Business Case'!B11*$C609*'Business Case'!B12*$B609)-'Business Case'!B15*$F609</f>
        <v>-1962771591.87588</v>
      </c>
      <c r="I609" s="39" t="n">
        <f aca="false">(('Business Case'!C11*$C609*'Business Case'!C12*$B609)-'Business Case'!C11*$C609*'Business Case'!C13*$D609-'Business Case'!C14*$E609)-MAX(0,(('Business Case'!C11*$C609*'Business Case'!C12*$B609)-'Business Case'!C11*$C609*'Business Case'!C13*$D609-'Business Case'!C14*$E609))*'Business Case'!$B$7-'Business Case'!$B$8*(('Business Case'!C11*$C609*'Business Case'!C12*$B609)-('Business Case'!B11*$C609*'Business Case'!B12*$B609))-'Business Case'!C15*$F609</f>
        <v>-22663330.2142365</v>
      </c>
      <c r="J609" s="39" t="n">
        <f aca="false">(('Business Case'!D11*$C609*'Business Case'!D12*$B609)-'Business Case'!D11*$C609*'Business Case'!D13*$D609-'Business Case'!D14*$E609)-MAX(0,(('Business Case'!D11*$C609*'Business Case'!D12*$B609)-'Business Case'!D11*$C609*'Business Case'!D13*$D609-'Business Case'!D14*$E609))*'Business Case'!$B$7-'Business Case'!$B$8*(('Business Case'!D11*$C609*'Business Case'!D12*$B609)-('Business Case'!C11*$C609*'Business Case'!C12*$B609))-'Business Case'!D15*$F609</f>
        <v>245253457.302199</v>
      </c>
      <c r="K609" s="39" t="n">
        <f aca="false">(('Business Case'!E11*$C609*'Business Case'!E12*$B609)-'Business Case'!E11*$C609*'Business Case'!E13*$D609-'Business Case'!E14*$E609)-MAX(0,(('Business Case'!E11*$C609*'Business Case'!E12*$B609)-'Business Case'!E11*$C609*'Business Case'!E13*$D609-'Business Case'!E14*$E609))*'Business Case'!$B$7-'Business Case'!$B$8*(('Business Case'!E11*$C609*'Business Case'!E12*$B609)-('Business Case'!D11*$C609*'Business Case'!D12*$B609))-'Business Case'!E15*$F609</f>
        <v>562239534.615532</v>
      </c>
      <c r="L609" s="39" t="n">
        <f aca="false">(('Business Case'!F11*$C609*'Business Case'!F12*$B609)-'Business Case'!F11*$C609*'Business Case'!F13*$D609-'Business Case'!F14*$E609)-MAX(0,(('Business Case'!F11*$C609*'Business Case'!F12*$B609)-'Business Case'!F11*$C609*'Business Case'!F13*$D609-'Business Case'!F14*$E609))*'Business Case'!$B$7-'Business Case'!$B$8*(('Business Case'!F11*$C609*'Business Case'!F12*$B609)-('Business Case'!E11*$C609*'Business Case'!E12*$B609))-'Business Case'!F15*$F609</f>
        <v>683428202.985107</v>
      </c>
      <c r="M609" s="39" t="n">
        <f aca="false">(('Business Case'!G11*$C609*'Business Case'!G12*$B609)-'Business Case'!G11*$C609*'Business Case'!G13*$D609-'Business Case'!G14*$E609)-MAX(0,(('Business Case'!G11*$C609*'Business Case'!G12*$B609)-'Business Case'!G11*$C609*'Business Case'!G13*$D609-'Business Case'!G14*$E609))*'Business Case'!$B$7-'Business Case'!$B$8*(('Business Case'!G11*$C609*'Business Case'!G12*$B609)-('Business Case'!F11*$C609*'Business Case'!F12*$B609))-'Business Case'!G15*$F609+'Business Case'!$B$8*('Business Case'!G11*$C609*'Business Case'!G12*$B609)</f>
        <v>858785101.904308</v>
      </c>
      <c r="N609" s="39" t="n">
        <f aca="false">IF(COUNT('Business Case'!B11:G11)=0,"",H609+NPV(G609,I609:M609))</f>
        <v>-436914587.242523</v>
      </c>
      <c r="P609" s="40" t="n">
        <f aca="true">RAND()</f>
        <v>0.924031069869113</v>
      </c>
      <c r="Q609" s="40" t="n">
        <f aca="true">RAND()</f>
        <v>0.153483456232709</v>
      </c>
      <c r="R609" s="40" t="n">
        <f aca="true">RAND()</f>
        <v>0.936439847362135</v>
      </c>
      <c r="S609" s="40" t="n">
        <f aca="true">RAND()</f>
        <v>0.540696703705443</v>
      </c>
      <c r="T609" s="40" t="n">
        <f aca="true">RAND()</f>
        <v>0.0788054549326532</v>
      </c>
      <c r="U609" s="40" t="n">
        <f aca="true">RAND()</f>
        <v>0.948923474601244</v>
      </c>
    </row>
    <row r="610" customFormat="false" ht="15" hidden="false" customHeight="false" outlineLevel="0" collapsed="false">
      <c r="A610" s="36" t="n">
        <v>530</v>
      </c>
      <c r="B610" s="37" t="n">
        <f aca="false">1+IF($G$6=$E$6,$F$6,IF(P610&lt;($F$6-$E$6)/($G$6-$E$6),$E$6+SQRT(P610*($G$6-$E$6)*($F$6-$E$6)),$G$6-SQRT((1-P610)*($G$6-$E$6)*($G$6-$F$6))))</f>
        <v>0.983447538787518</v>
      </c>
      <c r="C610" s="37" t="n">
        <f aca="false">1+IF($G$7=$E$7,$F$7,IF(Q610&lt;($F$7-$E$7)/($G$7-$E$7),$E$7+SQRT(Q610*($G$7-$E$7)*($F$7-$E$7)),$G$7-SQRT((1-Q610)*($G$7-$E$7)*($G$7-$F$7))))</f>
        <v>1.02864932705838</v>
      </c>
      <c r="D610" s="37" t="n">
        <f aca="false">1+IF($G$8=$E$8,$F$8,IF(R610&lt;($F$8-$E$8)/($G$8-$E$8),$E$8+SQRT(R610*($G$8-$E$8)*($F$8-$E$8)),$G$8-SQRT((1-R610)*($G$8-$E$8)*($G$8-$F$8))))</f>
        <v>0.988850943546212</v>
      </c>
      <c r="E610" s="37" t="n">
        <f aca="false">1+IF($G$9=$E$9,$F$9,IF(S610&lt;($F$9-$E$9)/($G$9-$E$9),$E$9+SQRT(S610*($G$9-$E$9)*($F$9-$E$9)),$G$9-SQRT((1-S610)*($G$9-$E$9)*($G$9-$F$9))))</f>
        <v>1.01331638987994</v>
      </c>
      <c r="F610" s="37" t="n">
        <f aca="false">1+IF($G$10=$E$10,$F$10,IF(T610&lt;($F$10-$E$10)/($G$10-$E$10),$E$10+SQRT(T610*($G$10-$E$10)*($F$10-$E$10)),$G$10-SQRT((1-T610)*($G$10-$E$10)*($G$10-$F$10))))</f>
        <v>1.18743503553439</v>
      </c>
      <c r="G610" s="38" t="n">
        <f aca="false">IF($G$11=$E$11,$F$11,IF(U610&lt;($F$11-$E$11)/($G$11-$E$11),$E$11+SQRT(U610*($G$11-$E$11)*($F$11-$E$11)),$G$11-SQRT((1-U610)*($G$11-$E$11)*($G$11-$F$11))))</f>
        <v>0.101926365611886</v>
      </c>
      <c r="H610" s="39" t="n">
        <f aca="false">(('Business Case'!B11*$C610*'Business Case'!B12*$B610)-'Business Case'!B11*$C610*'Business Case'!B13*$D610-'Business Case'!B14*$E610)-MAX(0,(('Business Case'!B11*$C610*'Business Case'!B12*$B610)-'Business Case'!B11*$C610*'Business Case'!B13*$D610-'Business Case'!B14*$E610))*'Business Case'!$B$7-'Business Case'!$B$8*('Business Case'!B11*$C610*'Business Case'!B12*$B610)-'Business Case'!B15*$F610</f>
        <v>-2374870071.06878</v>
      </c>
      <c r="I610" s="39" t="n">
        <f aca="false">(('Business Case'!C11*$C610*'Business Case'!C12*$B610)-'Business Case'!C11*$C610*'Business Case'!C13*$D610-'Business Case'!C14*$E610)-MAX(0,(('Business Case'!C11*$C610*'Business Case'!C12*$B610)-'Business Case'!C11*$C610*'Business Case'!C13*$D610-'Business Case'!C14*$E610))*'Business Case'!$B$7-'Business Case'!$B$8*(('Business Case'!C11*$C610*'Business Case'!C12*$B610)-('Business Case'!B11*$C610*'Business Case'!B12*$B610))-'Business Case'!C15*$F610</f>
        <v>-7403050.62204291</v>
      </c>
      <c r="J610" s="39" t="n">
        <f aca="false">(('Business Case'!D11*$C610*'Business Case'!D12*$B610)-'Business Case'!D11*$C610*'Business Case'!D13*$D610-'Business Case'!D14*$E610)-MAX(0,(('Business Case'!D11*$C610*'Business Case'!D12*$B610)-'Business Case'!D11*$C610*'Business Case'!D13*$D610-'Business Case'!D14*$E610))*'Business Case'!$B$7-'Business Case'!$B$8*(('Business Case'!D11*$C610*'Business Case'!D12*$B610)-('Business Case'!C11*$C610*'Business Case'!C12*$B610))-'Business Case'!D15*$F610</f>
        <v>300473511.072937</v>
      </c>
      <c r="K610" s="39" t="n">
        <f aca="false">(('Business Case'!E11*$C610*'Business Case'!E12*$B610)-'Business Case'!E11*$C610*'Business Case'!E13*$D610-'Business Case'!E14*$E610)-MAX(0,(('Business Case'!E11*$C610*'Business Case'!E12*$B610)-'Business Case'!E11*$C610*'Business Case'!E13*$D610-'Business Case'!E14*$E610))*'Business Case'!$B$7-'Business Case'!$B$8*(('Business Case'!E11*$C610*'Business Case'!E12*$B610)-('Business Case'!D11*$C610*'Business Case'!D12*$B610))-'Business Case'!E15*$F610</f>
        <v>667721824.544636</v>
      </c>
      <c r="L610" s="39" t="n">
        <f aca="false">(('Business Case'!F11*$C610*'Business Case'!F12*$B610)-'Business Case'!F11*$C610*'Business Case'!F13*$D610-'Business Case'!F14*$E610)-MAX(0,(('Business Case'!F11*$C610*'Business Case'!F12*$B610)-'Business Case'!F11*$C610*'Business Case'!F13*$D610-'Business Case'!F14*$E610))*'Business Case'!$B$7-'Business Case'!$B$8*(('Business Case'!F11*$C610*'Business Case'!F12*$B610)-('Business Case'!E11*$C610*'Business Case'!E12*$B610))-'Business Case'!F15*$F610</f>
        <v>805309023.858068</v>
      </c>
      <c r="M610" s="39" t="n">
        <f aca="false">(('Business Case'!G11*$C610*'Business Case'!G12*$B610)-'Business Case'!G11*$C610*'Business Case'!G13*$D610-'Business Case'!G14*$E610)-MAX(0,(('Business Case'!G11*$C610*'Business Case'!G12*$B610)-'Business Case'!G11*$C610*'Business Case'!G13*$D610-'Business Case'!G14*$E610))*'Business Case'!$B$7-'Business Case'!$B$8*(('Business Case'!G11*$C610*'Business Case'!G12*$B610)-('Business Case'!F11*$C610*'Business Case'!F12*$B610))-'Business Case'!G15*$F610+'Business Case'!$B$8*('Business Case'!G11*$C610*'Business Case'!G12*$B610)</f>
        <v>997598256.974475</v>
      </c>
      <c r="N610" s="39" t="n">
        <f aca="false">IF(COUNT('Business Case'!B11:G11)=0,"",H610+NPV(G610,I610:M610))</f>
        <v>-474852479.089665</v>
      </c>
      <c r="P610" s="40" t="n">
        <f aca="true">RAND()</f>
        <v>0.419332310228502</v>
      </c>
      <c r="Q610" s="40" t="n">
        <f aca="true">RAND()</f>
        <v>0.719505031935532</v>
      </c>
      <c r="R610" s="40" t="n">
        <f aca="true">RAND()</f>
        <v>0.23221474068169</v>
      </c>
      <c r="S610" s="40" t="n">
        <f aca="true">RAND()</f>
        <v>0.499063449103535</v>
      </c>
      <c r="T610" s="40" t="n">
        <f aca="true">RAND()</f>
        <v>0.996842433359559</v>
      </c>
      <c r="U610" s="40" t="n">
        <f aca="true">RAND()</f>
        <v>0.455572900007985</v>
      </c>
    </row>
    <row r="611" customFormat="false" ht="15" hidden="false" customHeight="false" outlineLevel="0" collapsed="false">
      <c r="A611" s="36" t="n">
        <v>531</v>
      </c>
      <c r="B611" s="37" t="n">
        <f aca="false">1+IF($G$6=$E$6,$F$6,IF(P611&lt;($F$6-$E$6)/($G$6-$E$6),$E$6+SQRT(P611*($G$6-$E$6)*($F$6-$E$6)),$G$6-SQRT((1-P611)*($G$6-$E$6)*($G$6-$F$6))))</f>
        <v>0.953808054867779</v>
      </c>
      <c r="C611" s="37" t="n">
        <f aca="false">1+IF($G$7=$E$7,$F$7,IF(Q611&lt;($F$7-$E$7)/($G$7-$E$7),$E$7+SQRT(Q611*($G$7-$E$7)*($F$7-$E$7)),$G$7-SQRT((1-Q611)*($G$7-$E$7)*($G$7-$F$7))))</f>
        <v>1.00688885039587</v>
      </c>
      <c r="D611" s="37" t="n">
        <f aca="false">1+IF($G$8=$E$8,$F$8,IF(R611&lt;($F$8-$E$8)/($G$8-$E$8),$E$8+SQRT(R611*($G$8-$E$8)*($F$8-$E$8)),$G$8-SQRT((1-R611)*($G$8-$E$8)*($G$8-$F$8))))</f>
        <v>1.02793476002084</v>
      </c>
      <c r="E611" s="37" t="n">
        <f aca="false">1+IF($G$9=$E$9,$F$9,IF(S611&lt;($F$9-$E$9)/($G$9-$E$9),$E$9+SQRT(S611*($G$9-$E$9)*($F$9-$E$9)),$G$9-SQRT((1-S611)*($G$9-$E$9)*($G$9-$F$9))))</f>
        <v>1.01562057987937</v>
      </c>
      <c r="F611" s="37" t="n">
        <f aca="false">1+IF($G$10=$E$10,$F$10,IF(T611&lt;($F$10-$E$10)/($G$10-$E$10),$E$10+SQRT(T611*($G$10-$E$10)*($F$10-$E$10)),$G$10-SQRT((1-T611)*($G$10-$E$10)*($G$10-$F$10))))</f>
        <v>1.05096337653071</v>
      </c>
      <c r="G611" s="38" t="n">
        <f aca="false">IF($G$11=$E$11,$F$11,IF(U611&lt;($F$11-$E$11)/($G$11-$E$11),$E$11+SQRT(U611*($G$11-$E$11)*($F$11-$E$11)),$G$11-SQRT((1-U611)*($G$11-$E$11)*($G$11-$F$11))))</f>
        <v>0.0979046944924931</v>
      </c>
      <c r="H611" s="39" t="n">
        <f aca="false">(('Business Case'!B11*$C611*'Business Case'!B12*$B611)-'Business Case'!B11*$C611*'Business Case'!B13*$D611-'Business Case'!B14*$E611)-MAX(0,(('Business Case'!B11*$C611*'Business Case'!B12*$B611)-'Business Case'!B11*$C611*'Business Case'!B13*$D611-'Business Case'!B14*$E611))*'Business Case'!$B$7-'Business Case'!$B$8*('Business Case'!B11*$C611*'Business Case'!B12*$B611)-'Business Case'!B15*$F611</f>
        <v>-2101926753.06143</v>
      </c>
      <c r="I611" s="39" t="n">
        <f aca="false">(('Business Case'!C11*$C611*'Business Case'!C12*$B611)-'Business Case'!C11*$C611*'Business Case'!C13*$D611-'Business Case'!C14*$E611)-MAX(0,(('Business Case'!C11*$C611*'Business Case'!C12*$B611)-'Business Case'!C11*$C611*'Business Case'!C13*$D611-'Business Case'!C14*$E611))*'Business Case'!$B$7-'Business Case'!$B$8*(('Business Case'!C11*$C611*'Business Case'!C12*$B611)-('Business Case'!B11*$C611*'Business Case'!B12*$B611))-'Business Case'!C15*$F611</f>
        <v>-42529732.2280407</v>
      </c>
      <c r="J611" s="39" t="n">
        <f aca="false">(('Business Case'!D11*$C611*'Business Case'!D12*$B611)-'Business Case'!D11*$C611*'Business Case'!D13*$D611-'Business Case'!D14*$E611)-MAX(0,(('Business Case'!D11*$C611*'Business Case'!D12*$B611)-'Business Case'!D11*$C611*'Business Case'!D13*$D611-'Business Case'!D14*$E611))*'Business Case'!$B$7-'Business Case'!$B$8*(('Business Case'!D11*$C611*'Business Case'!D12*$B611)-('Business Case'!C11*$C611*'Business Case'!C12*$B611))-'Business Case'!D15*$F611</f>
        <v>214244151.249432</v>
      </c>
      <c r="K611" s="39" t="n">
        <f aca="false">(('Business Case'!E11*$C611*'Business Case'!E12*$B611)-'Business Case'!E11*$C611*'Business Case'!E13*$D611-'Business Case'!E14*$E611)-MAX(0,(('Business Case'!E11*$C611*'Business Case'!E12*$B611)-'Business Case'!E11*$C611*'Business Case'!E13*$D611-'Business Case'!E14*$E611))*'Business Case'!$B$7-'Business Case'!$B$8*(('Business Case'!E11*$C611*'Business Case'!E12*$B611)-('Business Case'!D11*$C611*'Business Case'!D12*$B611))-'Business Case'!E15*$F611</f>
        <v>523566203.553441</v>
      </c>
      <c r="L611" s="39" t="n">
        <f aca="false">(('Business Case'!F11*$C611*'Business Case'!F12*$B611)-'Business Case'!F11*$C611*'Business Case'!F13*$D611-'Business Case'!F14*$E611)-MAX(0,(('Business Case'!F11*$C611*'Business Case'!F12*$B611)-'Business Case'!F11*$C611*'Business Case'!F13*$D611-'Business Case'!F14*$E611))*'Business Case'!$B$7-'Business Case'!$B$8*(('Business Case'!F11*$C611*'Business Case'!F12*$B611)-('Business Case'!E11*$C611*'Business Case'!E12*$B611))-'Business Case'!F15*$F611</f>
        <v>642348185.774997</v>
      </c>
      <c r="M611" s="39" t="n">
        <f aca="false">(('Business Case'!G11*$C611*'Business Case'!G12*$B611)-'Business Case'!G11*$C611*'Business Case'!G13*$D611-'Business Case'!G14*$E611)-MAX(0,(('Business Case'!G11*$C611*'Business Case'!G12*$B611)-'Business Case'!G11*$C611*'Business Case'!G13*$D611-'Business Case'!G14*$E611))*'Business Case'!$B$7-'Business Case'!$B$8*(('Business Case'!G11*$C611*'Business Case'!G12*$B611)-('Business Case'!F11*$C611*'Business Case'!F12*$B611))-'Business Case'!G15*$F611+'Business Case'!$B$8*('Business Case'!G11*$C611*'Business Case'!G12*$B611)</f>
        <v>824896968.284851</v>
      </c>
      <c r="N611" s="39" t="n">
        <f aca="false">IF(COUNT('Business Case'!B11:G11)=0,"",H611+NPV(G611,I611:M611))</f>
        <v>-608113090.993292</v>
      </c>
      <c r="P611" s="40" t="n">
        <f aca="true">RAND()</f>
        <v>0.119060893119038</v>
      </c>
      <c r="Q611" s="40" t="n">
        <f aca="true">RAND()</f>
        <v>0.609889502075866</v>
      </c>
      <c r="R611" s="40" t="n">
        <f aca="true">RAND()</f>
        <v>0.739347190953134</v>
      </c>
      <c r="S611" s="40" t="n">
        <f aca="true">RAND()</f>
        <v>0.525340897340366</v>
      </c>
      <c r="T611" s="40" t="n">
        <f aca="true">RAND()</f>
        <v>0.555761697297481</v>
      </c>
      <c r="U611" s="40" t="n">
        <f aca="true">RAND()</f>
        <v>0.2082806500655</v>
      </c>
    </row>
    <row r="612" customFormat="false" ht="15" hidden="false" customHeight="false" outlineLevel="0" collapsed="false">
      <c r="A612" s="36" t="n">
        <v>532</v>
      </c>
      <c r="B612" s="37" t="n">
        <f aca="false">1+IF($G$6=$E$6,$F$6,IF(P612&lt;($F$6-$E$6)/($G$6-$E$6),$E$6+SQRT(P612*($G$6-$E$6)*($F$6-$E$6)),$G$6-SQRT((1-P612)*($G$6-$E$6)*($G$6-$F$6))))</f>
        <v>0.989161198119698</v>
      </c>
      <c r="C612" s="37" t="n">
        <f aca="false">1+IF($G$7=$E$7,$F$7,IF(Q612&lt;($F$7-$E$7)/($G$7-$E$7),$E$7+SQRT(Q612*($G$7-$E$7)*($F$7-$E$7)),$G$7-SQRT((1-Q612)*($G$7-$E$7)*($G$7-$F$7))))</f>
        <v>0.982186309218794</v>
      </c>
      <c r="D612" s="37" t="n">
        <f aca="false">1+IF($G$8=$E$8,$F$8,IF(R612&lt;($F$8-$E$8)/($G$8-$E$8),$E$8+SQRT(R612*($G$8-$E$8)*($F$8-$E$8)),$G$8-SQRT((1-R612)*($G$8-$E$8)*($G$8-$F$8))))</f>
        <v>1.03324506217098</v>
      </c>
      <c r="E612" s="37" t="n">
        <f aca="false">1+IF($G$9=$E$9,$F$9,IF(S612&lt;($F$9-$E$9)/($G$9-$E$9),$E$9+SQRT(S612*($G$9-$E$9)*($F$9-$E$9)),$G$9-SQRT((1-S612)*($G$9-$E$9)*($G$9-$F$9))))</f>
        <v>1.0233150699822</v>
      </c>
      <c r="F612" s="37" t="n">
        <f aca="false">1+IF($G$10=$E$10,$F$10,IF(T612&lt;($F$10-$E$10)/($G$10-$E$10),$E$10+SQRT(T612*($G$10-$E$10)*($F$10-$E$10)),$G$10-SQRT((1-T612)*($G$10-$E$10)*($G$10-$F$10))))</f>
        <v>1.03136998701172</v>
      </c>
      <c r="G612" s="38" t="n">
        <f aca="false">IF($G$11=$E$11,$F$11,IF(U612&lt;($F$11-$E$11)/($G$11-$E$11),$E$11+SQRT(U612*($G$11-$E$11)*($F$11-$E$11)),$G$11-SQRT((1-U612)*($G$11-$E$11)*($G$11-$F$11))))</f>
        <v>0.0995967051736002</v>
      </c>
      <c r="H612" s="39" t="n">
        <f aca="false">(('Business Case'!B11*$C612*'Business Case'!B12*$B612)-'Business Case'!B11*$C612*'Business Case'!B13*$D612-'Business Case'!B14*$E612)-MAX(0,(('Business Case'!B11*$C612*'Business Case'!B12*$B612)-'Business Case'!B11*$C612*'Business Case'!B13*$D612-'Business Case'!B14*$E612))*'Business Case'!$B$7-'Business Case'!$B$8*('Business Case'!B11*$C612*'Business Case'!B12*$B612)-'Business Case'!B15*$F612</f>
        <v>-2062739974.02344</v>
      </c>
      <c r="I612" s="39" t="n">
        <f aca="false">(('Business Case'!C11*$C612*'Business Case'!C12*$B612)-'Business Case'!C11*$C612*'Business Case'!C13*$D612-'Business Case'!C14*$E612)-MAX(0,(('Business Case'!C11*$C612*'Business Case'!C12*$B612)-'Business Case'!C11*$C612*'Business Case'!C13*$D612-'Business Case'!C14*$E612))*'Business Case'!$B$7-'Business Case'!$B$8*(('Business Case'!C11*$C612*'Business Case'!C12*$B612)-('Business Case'!B11*$C612*'Business Case'!B12*$B612))-'Business Case'!C15*$F612</f>
        <v>-22771834.2483988</v>
      </c>
      <c r="J612" s="39" t="n">
        <f aca="false">(('Business Case'!D11*$C612*'Business Case'!D12*$B612)-'Business Case'!D11*$C612*'Business Case'!D13*$D612-'Business Case'!D14*$E612)-MAX(0,(('Business Case'!D11*$C612*'Business Case'!D12*$B612)-'Business Case'!D11*$C612*'Business Case'!D13*$D612-'Business Case'!D14*$E612))*'Business Case'!$B$7-'Business Case'!$B$8*(('Business Case'!D11*$C612*'Business Case'!D12*$B612)-('Business Case'!C11*$C612*'Business Case'!C12*$B612))-'Business Case'!D15*$F612</f>
        <v>253473397.155007</v>
      </c>
      <c r="K612" s="39" t="n">
        <f aca="false">(('Business Case'!E11*$C612*'Business Case'!E12*$B612)-'Business Case'!E11*$C612*'Business Case'!E13*$D612-'Business Case'!E14*$E612)-MAX(0,(('Business Case'!E11*$C612*'Business Case'!E12*$B612)-'Business Case'!E11*$C612*'Business Case'!E13*$D612-'Business Case'!E14*$E612))*'Business Case'!$B$7-'Business Case'!$B$8*(('Business Case'!E11*$C612*'Business Case'!E12*$B612)-('Business Case'!D11*$C612*'Business Case'!D12*$B612))-'Business Case'!E15*$F612</f>
        <v>581287127.908999</v>
      </c>
      <c r="L612" s="39" t="n">
        <f aca="false">(('Business Case'!F11*$C612*'Business Case'!F12*$B612)-'Business Case'!F11*$C612*'Business Case'!F13*$D612-'Business Case'!F14*$E612)-MAX(0,(('Business Case'!F11*$C612*'Business Case'!F12*$B612)-'Business Case'!F11*$C612*'Business Case'!F13*$D612-'Business Case'!F14*$E612))*'Business Case'!$B$7-'Business Case'!$B$8*(('Business Case'!F11*$C612*'Business Case'!F12*$B612)-('Business Case'!E11*$C612*'Business Case'!E12*$B612))-'Business Case'!F15*$F612</f>
        <v>706945314.376244</v>
      </c>
      <c r="M612" s="39" t="n">
        <f aca="false">(('Business Case'!G11*$C612*'Business Case'!G12*$B612)-'Business Case'!G11*$C612*'Business Case'!G13*$D612-'Business Case'!G14*$E612)-MAX(0,(('Business Case'!G11*$C612*'Business Case'!G12*$B612)-'Business Case'!G11*$C612*'Business Case'!G13*$D612-'Business Case'!G14*$E612))*'Business Case'!$B$7-'Business Case'!$B$8*(('Business Case'!G11*$C612*'Business Case'!G12*$B612)-('Business Case'!F11*$C612*'Business Case'!F12*$B612))-'Business Case'!G15*$F612+'Business Case'!$B$8*('Business Case'!G11*$C612*'Business Case'!G12*$B612)</f>
        <v>891615749.039845</v>
      </c>
      <c r="N612" s="39" t="n">
        <f aca="false">IF(COUNT('Business Case'!B11:G11)=0,"",H612+NPV(G612,I612:M612))</f>
        <v>-398401910.492605</v>
      </c>
      <c r="P612" s="40" t="n">
        <f aca="true">RAND()</f>
        <v>0.498257429724182</v>
      </c>
      <c r="Q612" s="40" t="n">
        <f aca="true">RAND()</f>
        <v>0.474169303810945</v>
      </c>
      <c r="R612" s="40" t="n">
        <f aca="true">RAND()</f>
        <v>0.78980536428889</v>
      </c>
      <c r="S612" s="40" t="n">
        <f aca="true">RAND()</f>
        <v>0.607961433877645</v>
      </c>
      <c r="T612" s="40" t="n">
        <f aca="true">RAND()</f>
        <v>0.431278374391462</v>
      </c>
      <c r="U612" s="40" t="n">
        <f aca="true">RAND()</f>
        <v>0.306989167296683</v>
      </c>
    </row>
    <row r="613" customFormat="false" ht="15" hidden="false" customHeight="false" outlineLevel="0" collapsed="false">
      <c r="A613" s="36" t="n">
        <v>533</v>
      </c>
      <c r="B613" s="37" t="n">
        <f aca="false">1+IF($G$6=$E$6,$F$6,IF(P613&lt;($F$6-$E$6)/($G$6-$E$6),$E$6+SQRT(P613*($G$6-$E$6)*($F$6-$E$6)),$G$6-SQRT((1-P613)*($G$6-$E$6)*($G$6-$F$6))))</f>
        <v>0.963375403081706</v>
      </c>
      <c r="C613" s="37" t="n">
        <f aca="false">1+IF($G$7=$E$7,$F$7,IF(Q613&lt;($F$7-$E$7)/($G$7-$E$7),$E$7+SQRT(Q613*($G$7-$E$7)*($F$7-$E$7)),$G$7-SQRT((1-Q613)*($G$7-$E$7)*($G$7-$F$7))))</f>
        <v>0.922818225400671</v>
      </c>
      <c r="D613" s="37" t="n">
        <f aca="false">1+IF($G$8=$E$8,$F$8,IF(R613&lt;($F$8-$E$8)/($G$8-$E$8),$E$8+SQRT(R613*($G$8-$E$8)*($F$8-$E$8)),$G$8-SQRT((1-R613)*($G$8-$E$8)*($G$8-$F$8))))</f>
        <v>1.00176269294693</v>
      </c>
      <c r="E613" s="37" t="n">
        <f aca="false">1+IF($G$9=$E$9,$F$9,IF(S613&lt;($F$9-$E$9)/($G$9-$E$9),$E$9+SQRT(S613*($G$9-$E$9)*($F$9-$E$9)),$G$9-SQRT((1-S613)*($G$9-$E$9)*($G$9-$F$9))))</f>
        <v>1.02765446255169</v>
      </c>
      <c r="F613" s="37" t="n">
        <f aca="false">1+IF($G$10=$E$10,$F$10,IF(T613&lt;($F$10-$E$10)/($G$10-$E$10),$E$10+SQRT(T613*($G$10-$E$10)*($F$10-$E$10)),$G$10-SQRT((1-T613)*($G$10-$E$10)*($G$10-$F$10))))</f>
        <v>1.11748224750292</v>
      </c>
      <c r="G613" s="38" t="n">
        <f aca="false">IF($G$11=$E$11,$F$11,IF(U613&lt;($F$11-$E$11)/($G$11-$E$11),$E$11+SQRT(U613*($G$11-$E$11)*($F$11-$E$11)),$G$11-SQRT((1-U613)*($G$11-$E$11)*($G$11-$F$11))))</f>
        <v>0.0975078686038591</v>
      </c>
      <c r="H613" s="39" t="n">
        <f aca="false">(('Business Case'!B11*$C613*'Business Case'!B12*$B613)-'Business Case'!B11*$C613*'Business Case'!B13*$D613-'Business Case'!B14*$E613)-MAX(0,(('Business Case'!B11*$C613*'Business Case'!B12*$B613)-'Business Case'!B11*$C613*'Business Case'!B13*$D613-'Business Case'!B14*$E613))*'Business Case'!$B$7-'Business Case'!$B$8*('Business Case'!B11*$C613*'Business Case'!B12*$B613)-'Business Case'!B15*$F613</f>
        <v>-2234964495.00584</v>
      </c>
      <c r="I613" s="39" t="n">
        <f aca="false">(('Business Case'!C11*$C613*'Business Case'!C12*$B613)-'Business Case'!C11*$C613*'Business Case'!C13*$D613-'Business Case'!C14*$E613)-MAX(0,(('Business Case'!C11*$C613*'Business Case'!C12*$B613)-'Business Case'!C11*$C613*'Business Case'!C13*$D613-'Business Case'!C14*$E613))*'Business Case'!$B$7-'Business Case'!$B$8*(('Business Case'!C11*$C613*'Business Case'!C12*$B613)-('Business Case'!B11*$C613*'Business Case'!B12*$B613))-'Business Case'!C15*$F613</f>
        <v>-49037623.3856254</v>
      </c>
      <c r="J613" s="39" t="n">
        <f aca="false">(('Business Case'!D11*$C613*'Business Case'!D12*$B613)-'Business Case'!D11*$C613*'Business Case'!D13*$D613-'Business Case'!D14*$E613)-MAX(0,(('Business Case'!D11*$C613*'Business Case'!D12*$B613)-'Business Case'!D11*$C613*'Business Case'!D13*$D613-'Business Case'!D14*$E613))*'Business Case'!$B$7-'Business Case'!$B$8*(('Business Case'!D11*$C613*'Business Case'!D12*$B613)-('Business Case'!C11*$C613*'Business Case'!C12*$B613))-'Business Case'!D15*$F613</f>
        <v>205892259.046171</v>
      </c>
      <c r="K613" s="39" t="n">
        <f aca="false">(('Business Case'!E11*$C613*'Business Case'!E12*$B613)-'Business Case'!E11*$C613*'Business Case'!E13*$D613-'Business Case'!E14*$E613)-MAX(0,(('Business Case'!E11*$C613*'Business Case'!E12*$B613)-'Business Case'!E11*$C613*'Business Case'!E13*$D613-'Business Case'!E14*$E613))*'Business Case'!$B$7-'Business Case'!$B$8*(('Business Case'!E11*$C613*'Business Case'!E12*$B613)-('Business Case'!D11*$C613*'Business Case'!D12*$B613))-'Business Case'!E15*$F613</f>
        <v>516696253.853114</v>
      </c>
      <c r="L613" s="39" t="n">
        <f aca="false">(('Business Case'!F11*$C613*'Business Case'!F12*$B613)-'Business Case'!F11*$C613*'Business Case'!F13*$D613-'Business Case'!F14*$E613)-MAX(0,(('Business Case'!F11*$C613*'Business Case'!F12*$B613)-'Business Case'!F11*$C613*'Business Case'!F13*$D613-'Business Case'!F14*$E613))*'Business Case'!$B$7-'Business Case'!$B$8*(('Business Case'!F11*$C613*'Business Case'!F12*$B613)-('Business Case'!E11*$C613*'Business Case'!E12*$B613))-'Business Case'!F15*$F613</f>
        <v>632397425.658566</v>
      </c>
      <c r="M613" s="39" t="n">
        <f aca="false">(('Business Case'!G11*$C613*'Business Case'!G12*$B613)-'Business Case'!G11*$C613*'Business Case'!G13*$D613-'Business Case'!G14*$E613)-MAX(0,(('Business Case'!G11*$C613*'Business Case'!G12*$B613)-'Business Case'!G11*$C613*'Business Case'!G13*$D613-'Business Case'!G14*$E613))*'Business Case'!$B$7-'Business Case'!$B$8*(('Business Case'!G11*$C613*'Business Case'!G12*$B613)-('Business Case'!F11*$C613*'Business Case'!F12*$B613))-'Business Case'!G15*$F613+'Business Case'!$B$8*('Business Case'!G11*$C613*'Business Case'!G12*$B613)</f>
        <v>801382419.463593</v>
      </c>
      <c r="N613" s="39" t="n">
        <f aca="false">IF(COUNT('Business Case'!B11:G11)=0,"",H613+NPV(G613,I613:M613))</f>
        <v>-778717606.978177</v>
      </c>
      <c r="P613" s="40" t="n">
        <f aca="true">RAND()</f>
        <v>0.19598183255213</v>
      </c>
      <c r="Q613" s="40" t="n">
        <f aca="true">RAND()</f>
        <v>0.21549023557957</v>
      </c>
      <c r="R613" s="40" t="n">
        <f aca="true">RAND()</f>
        <v>0.411434979334966</v>
      </c>
      <c r="S613" s="40" t="n">
        <f aca="true">RAND()</f>
        <v>0.651074880754328</v>
      </c>
      <c r="T613" s="40" t="n">
        <f aca="true">RAND()</f>
        <v>0.863816410456609</v>
      </c>
      <c r="U613" s="40" t="n">
        <f aca="true">RAND()</f>
        <v>0.187893636576044</v>
      </c>
    </row>
    <row r="614" customFormat="false" ht="15" hidden="false" customHeight="false" outlineLevel="0" collapsed="false">
      <c r="A614" s="36" t="n">
        <v>534</v>
      </c>
      <c r="B614" s="37" t="n">
        <f aca="false">1+IF($G$6=$E$6,$F$6,IF(P614&lt;($F$6-$E$6)/($G$6-$E$6),$E$6+SQRT(P614*($G$6-$E$6)*($F$6-$E$6)),$G$6-SQRT((1-P614)*($G$6-$E$6)*($G$6-$F$6))))</f>
        <v>0.987689409334072</v>
      </c>
      <c r="C614" s="37" t="n">
        <f aca="false">1+IF($G$7=$E$7,$F$7,IF(Q614&lt;($F$7-$E$7)/($G$7-$E$7),$E$7+SQRT(Q614*($G$7-$E$7)*($F$7-$E$7)),$G$7-SQRT((1-Q614)*($G$7-$E$7)*($G$7-$F$7))))</f>
        <v>0.872960229515486</v>
      </c>
      <c r="D614" s="37" t="n">
        <f aca="false">1+IF($G$8=$E$8,$F$8,IF(R614&lt;($F$8-$E$8)/($G$8-$E$8),$E$8+SQRT(R614*($G$8-$E$8)*($F$8-$E$8)),$G$8-SQRT((1-R614)*($G$8-$E$8)*($G$8-$F$8))))</f>
        <v>0.994072708158363</v>
      </c>
      <c r="E614" s="37" t="n">
        <f aca="false">1+IF($G$9=$E$9,$F$9,IF(S614&lt;($F$9-$E$9)/($G$9-$E$9),$E$9+SQRT(S614*($G$9-$E$9)*($F$9-$E$9)),$G$9-SQRT((1-S614)*($G$9-$E$9)*($G$9-$F$9))))</f>
        <v>0.997208964710306</v>
      </c>
      <c r="F614" s="37" t="n">
        <f aca="false">1+IF($G$10=$E$10,$F$10,IF(T614&lt;($F$10-$E$10)/($G$10-$E$10),$E$10+SQRT(T614*($G$10-$E$10)*($F$10-$E$10)),$G$10-SQRT((1-T614)*($G$10-$E$10)*($G$10-$F$10))))</f>
        <v>1.09613711803621</v>
      </c>
      <c r="G614" s="38" t="n">
        <f aca="false">IF($G$11=$E$11,$F$11,IF(U614&lt;($F$11-$E$11)/($G$11-$E$11),$E$11+SQRT(U614*($G$11-$E$11)*($F$11-$E$11)),$G$11-SQRT((1-U614)*($G$11-$E$11)*($G$11-$F$11))))</f>
        <v>0.099126758896322</v>
      </c>
      <c r="H614" s="39" t="n">
        <f aca="false">(('Business Case'!B11*$C614*'Business Case'!B12*$B614)-'Business Case'!B11*$C614*'Business Case'!B13*$D614-'Business Case'!B14*$E614)-MAX(0,(('Business Case'!B11*$C614*'Business Case'!B12*$B614)-'Business Case'!B11*$C614*'Business Case'!B13*$D614-'Business Case'!B14*$E614))*'Business Case'!$B$7-'Business Case'!$B$8*('Business Case'!B11*$C614*'Business Case'!B12*$B614)-'Business Case'!B15*$F614</f>
        <v>-2192274236.07243</v>
      </c>
      <c r="I614" s="39" t="n">
        <f aca="false">(('Business Case'!C11*$C614*'Business Case'!C12*$B614)-'Business Case'!C11*$C614*'Business Case'!C13*$D614-'Business Case'!C14*$E614)-MAX(0,(('Business Case'!C11*$C614*'Business Case'!C12*$B614)-'Business Case'!C11*$C614*'Business Case'!C13*$D614-'Business Case'!C14*$E614))*'Business Case'!$B$7-'Business Case'!$B$8*(('Business Case'!C11*$C614*'Business Case'!C12*$B614)-('Business Case'!B11*$C614*'Business Case'!B12*$B614))-'Business Case'!C15*$F614</f>
        <v>-34135960.3237833</v>
      </c>
      <c r="J614" s="39" t="n">
        <f aca="false">(('Business Case'!D11*$C614*'Business Case'!D12*$B614)-'Business Case'!D11*$C614*'Business Case'!D13*$D614-'Business Case'!D14*$E614)-MAX(0,(('Business Case'!D11*$C614*'Business Case'!D12*$B614)-'Business Case'!D11*$C614*'Business Case'!D13*$D614-'Business Case'!D14*$E614))*'Business Case'!$B$7-'Business Case'!$B$8*(('Business Case'!D11*$C614*'Business Case'!D12*$B614)-('Business Case'!C11*$C614*'Business Case'!C12*$B614))-'Business Case'!D15*$F614</f>
        <v>227842057.586145</v>
      </c>
      <c r="K614" s="39" t="n">
        <f aca="false">(('Business Case'!E11*$C614*'Business Case'!E12*$B614)-'Business Case'!E11*$C614*'Business Case'!E13*$D614-'Business Case'!E14*$E614)-MAX(0,(('Business Case'!E11*$C614*'Business Case'!E12*$B614)-'Business Case'!E11*$C614*'Business Case'!E13*$D614-'Business Case'!E14*$E614))*'Business Case'!$B$7-'Business Case'!$B$8*(('Business Case'!E11*$C614*'Business Case'!E12*$B614)-('Business Case'!D11*$C614*'Business Case'!D12*$B614))-'Business Case'!E15*$F614</f>
        <v>544626931.397885</v>
      </c>
      <c r="L614" s="39" t="n">
        <f aca="false">(('Business Case'!F11*$C614*'Business Case'!F12*$B614)-'Business Case'!F11*$C614*'Business Case'!F13*$D614-'Business Case'!F14*$E614)-MAX(0,(('Business Case'!F11*$C614*'Business Case'!F12*$B614)-'Business Case'!F11*$C614*'Business Case'!F13*$D614-'Business Case'!F14*$E614))*'Business Case'!$B$7-'Business Case'!$B$8*(('Business Case'!F11*$C614*'Business Case'!F12*$B614)-('Business Case'!E11*$C614*'Business Case'!E12*$B614))-'Business Case'!F15*$F614</f>
        <v>661751038.466717</v>
      </c>
      <c r="M614" s="39" t="n">
        <f aca="false">(('Business Case'!G11*$C614*'Business Case'!G12*$B614)-'Business Case'!G11*$C614*'Business Case'!G13*$D614-'Business Case'!G14*$E614)-MAX(0,(('Business Case'!G11*$C614*'Business Case'!G12*$B614)-'Business Case'!G11*$C614*'Business Case'!G13*$D614-'Business Case'!G14*$E614))*'Business Case'!$B$7-'Business Case'!$B$8*(('Business Case'!G11*$C614*'Business Case'!G12*$B614)-('Business Case'!F11*$C614*'Business Case'!F12*$B614))-'Business Case'!G15*$F614+'Business Case'!$B$8*('Business Case'!G11*$C614*'Business Case'!G12*$B614)</f>
        <v>825640594.510429</v>
      </c>
      <c r="N614" s="39" t="n">
        <f aca="false">IF(COUNT('Business Case'!B11:G11)=0,"",H614+NPV(G614,I614:M614))</f>
        <v>-656450165.824993</v>
      </c>
      <c r="P614" s="40" t="n">
        <f aca="true">RAND()</f>
        <v>0.477276680832872</v>
      </c>
      <c r="Q614" s="40" t="n">
        <f aca="true">RAND()</f>
        <v>0.0760456441564629</v>
      </c>
      <c r="R614" s="40" t="n">
        <f aca="true">RAND()</f>
        <v>0.298831323755733</v>
      </c>
      <c r="S614" s="40" t="n">
        <f aca="true">RAND()</f>
        <v>0.297158179869188</v>
      </c>
      <c r="T614" s="40" t="n">
        <f aca="true">RAND()</f>
        <v>0.784250035003528</v>
      </c>
      <c r="U614" s="40" t="n">
        <f aca="true">RAND()</f>
        <v>0.277659093171976</v>
      </c>
    </row>
    <row r="615" customFormat="false" ht="15" hidden="false" customHeight="false" outlineLevel="0" collapsed="false">
      <c r="A615" s="36" t="n">
        <v>535</v>
      </c>
      <c r="B615" s="37" t="n">
        <f aca="false">1+IF($G$6=$E$6,$F$6,IF(P615&lt;($F$6-$E$6)/($G$6-$E$6),$E$6+SQRT(P615*($G$6-$E$6)*($F$6-$E$6)),$G$6-SQRT((1-P615)*($G$6-$E$6)*($G$6-$F$6))))</f>
        <v>0.982310696650222</v>
      </c>
      <c r="C615" s="37" t="n">
        <f aca="false">1+IF($G$7=$E$7,$F$7,IF(Q615&lt;($F$7-$E$7)/($G$7-$E$7),$E$7+SQRT(Q615*($G$7-$E$7)*($F$7-$E$7)),$G$7-SQRT((1-Q615)*($G$7-$E$7)*($G$7-$F$7))))</f>
        <v>1.01629169793506</v>
      </c>
      <c r="D615" s="37" t="n">
        <f aca="false">1+IF($G$8=$E$8,$F$8,IF(R615&lt;($F$8-$E$8)/($G$8-$E$8),$E$8+SQRT(R615*($G$8-$E$8)*($F$8-$E$8)),$G$8-SQRT((1-R615)*($G$8-$E$8)*($G$8-$F$8))))</f>
        <v>0.991194337009736</v>
      </c>
      <c r="E615" s="37" t="n">
        <f aca="false">1+IF($G$9=$E$9,$F$9,IF(S615&lt;($F$9-$E$9)/($G$9-$E$9),$E$9+SQRT(S615*($G$9-$E$9)*($F$9-$E$9)),$G$9-SQRT((1-S615)*($G$9-$E$9)*($G$9-$F$9))))</f>
        <v>1.07363734263747</v>
      </c>
      <c r="F615" s="37" t="n">
        <f aca="false">1+IF($G$10=$E$10,$F$10,IF(T615&lt;($F$10-$E$10)/($G$10-$E$10),$E$10+SQRT(T615*($G$10-$E$10)*($F$10-$E$10)),$G$10-SQRT((1-T615)*($G$10-$E$10)*($G$10-$F$10))))</f>
        <v>1.02021327501276</v>
      </c>
      <c r="G615" s="38" t="n">
        <f aca="false">IF($G$11=$E$11,$F$11,IF(U615&lt;($F$11-$E$11)/($G$11-$E$11),$E$11+SQRT(U615*($G$11-$E$11)*($F$11-$E$11)),$G$11-SQRT((1-U615)*($G$11-$E$11)*($G$11-$F$11))))</f>
        <v>0.0981249123432612</v>
      </c>
      <c r="H615" s="39" t="n">
        <f aca="false">(('Business Case'!B11*$C615*'Business Case'!B12*$B615)-'Business Case'!B11*$C615*'Business Case'!B13*$D615-'Business Case'!B14*$E615)-MAX(0,(('Business Case'!B11*$C615*'Business Case'!B12*$B615)-'Business Case'!B11*$C615*'Business Case'!B13*$D615-'Business Case'!B14*$E615))*'Business Case'!$B$7-'Business Case'!$B$8*('Business Case'!B11*$C615*'Business Case'!B12*$B615)-'Business Case'!B15*$F615</f>
        <v>-2040426550.02551</v>
      </c>
      <c r="I615" s="39" t="n">
        <f aca="false">(('Business Case'!C11*$C615*'Business Case'!C12*$B615)-'Business Case'!C11*$C615*'Business Case'!C13*$D615-'Business Case'!C14*$E615)-MAX(0,(('Business Case'!C11*$C615*'Business Case'!C12*$B615)-'Business Case'!C11*$C615*'Business Case'!C13*$D615-'Business Case'!C14*$E615))*'Business Case'!$B$7-'Business Case'!$B$8*(('Business Case'!C11*$C615*'Business Case'!C12*$B615)-('Business Case'!B11*$C615*'Business Case'!B12*$B615))-'Business Case'!C15*$F615</f>
        <v>-4432764.25566587</v>
      </c>
      <c r="J615" s="39" t="n">
        <f aca="false">(('Business Case'!D11*$C615*'Business Case'!D12*$B615)-'Business Case'!D11*$C615*'Business Case'!D13*$D615-'Business Case'!D14*$E615)-MAX(0,(('Business Case'!D11*$C615*'Business Case'!D12*$B615)-'Business Case'!D11*$C615*'Business Case'!D13*$D615-'Business Case'!D14*$E615))*'Business Case'!$B$7-'Business Case'!$B$8*(('Business Case'!D11*$C615*'Business Case'!D12*$B615)-('Business Case'!C11*$C615*'Business Case'!C12*$B615))-'Business Case'!D15*$F615</f>
        <v>297579637.541582</v>
      </c>
      <c r="K615" s="39" t="n">
        <f aca="false">(('Business Case'!E11*$C615*'Business Case'!E12*$B615)-'Business Case'!E11*$C615*'Business Case'!E13*$D615-'Business Case'!E14*$E615)-MAX(0,(('Business Case'!E11*$C615*'Business Case'!E12*$B615)-'Business Case'!E11*$C615*'Business Case'!E13*$D615-'Business Case'!E14*$E615))*'Business Case'!$B$7-'Business Case'!$B$8*(('Business Case'!E11*$C615*'Business Case'!E12*$B615)-('Business Case'!D11*$C615*'Business Case'!D12*$B615))-'Business Case'!E15*$F615</f>
        <v>650602703.089468</v>
      </c>
      <c r="L615" s="39" t="n">
        <f aca="false">(('Business Case'!F11*$C615*'Business Case'!F12*$B615)-'Business Case'!F11*$C615*'Business Case'!F13*$D615-'Business Case'!F14*$E615)-MAX(0,(('Business Case'!F11*$C615*'Business Case'!F12*$B615)-'Business Case'!F11*$C615*'Business Case'!F13*$D615-'Business Case'!F14*$E615))*'Business Case'!$B$7-'Business Case'!$B$8*(('Business Case'!F11*$C615*'Business Case'!F12*$B615)-('Business Case'!E11*$C615*'Business Case'!E12*$B615))-'Business Case'!F15*$F615</f>
        <v>785775242.640944</v>
      </c>
      <c r="M615" s="39" t="n">
        <f aca="false">(('Business Case'!G11*$C615*'Business Case'!G12*$B615)-'Business Case'!G11*$C615*'Business Case'!G13*$D615-'Business Case'!G14*$E615)-MAX(0,(('Business Case'!G11*$C615*'Business Case'!G12*$B615)-'Business Case'!G11*$C615*'Business Case'!G13*$D615-'Business Case'!G14*$E615))*'Business Case'!$B$7-'Business Case'!$B$8*(('Business Case'!G11*$C615*'Business Case'!G12*$B615)-('Business Case'!F11*$C615*'Business Case'!F12*$B615))-'Business Case'!G15*$F615+'Business Case'!$B$8*('Business Case'!G11*$C615*'Business Case'!G12*$B615)</f>
        <v>975534806.879109</v>
      </c>
      <c r="N615" s="39" t="n">
        <f aca="false">IF(COUNT('Business Case'!B11:G11)=0,"",H615+NPV(G615,I615:M615))</f>
        <v>-155083593.60253</v>
      </c>
      <c r="P615" s="40" t="n">
        <f aca="true">RAND()</f>
        <v>0.404439887191253</v>
      </c>
      <c r="Q615" s="40" t="n">
        <f aca="true">RAND()</f>
        <v>0.65946838016972</v>
      </c>
      <c r="R615" s="40" t="n">
        <f aca="true">RAND()</f>
        <v>0.261072831026417</v>
      </c>
      <c r="S615" s="40" t="n">
        <f aca="true">RAND()</f>
        <v>0.953667353119051</v>
      </c>
      <c r="T615" s="40" t="n">
        <f aca="true">RAND()</f>
        <v>0.353534670367228</v>
      </c>
      <c r="U615" s="40" t="n">
        <f aca="true">RAND()</f>
        <v>0.220047335285591</v>
      </c>
    </row>
    <row r="616" customFormat="false" ht="15" hidden="false" customHeight="false" outlineLevel="0" collapsed="false">
      <c r="A616" s="36" t="n">
        <v>536</v>
      </c>
      <c r="B616" s="37" t="n">
        <f aca="false">1+IF($G$6=$E$6,$F$6,IF(P616&lt;($F$6-$E$6)/($G$6-$E$6),$E$6+SQRT(P616*($G$6-$E$6)*($F$6-$E$6)),$G$6-SQRT((1-P616)*($G$6-$E$6)*($G$6-$F$6))))</f>
        <v>1.00780859078714</v>
      </c>
      <c r="C616" s="37" t="n">
        <f aca="false">1+IF($G$7=$E$7,$F$7,IF(Q616&lt;($F$7-$E$7)/($G$7-$E$7),$E$7+SQRT(Q616*($G$7-$E$7)*($F$7-$E$7)),$G$7-SQRT((1-Q616)*($G$7-$E$7)*($G$7-$F$7))))</f>
        <v>1.01016630853732</v>
      </c>
      <c r="D616" s="37" t="n">
        <f aca="false">1+IF($G$8=$E$8,$F$8,IF(R616&lt;($F$8-$E$8)/($G$8-$E$8),$E$8+SQRT(R616*($G$8-$E$8)*($F$8-$E$8)),$G$8-SQRT((1-R616)*($G$8-$E$8)*($G$8-$F$8))))</f>
        <v>1.03462658502509</v>
      </c>
      <c r="E616" s="37" t="n">
        <f aca="false">1+IF($G$9=$E$9,$F$9,IF(S616&lt;($F$9-$E$9)/($G$9-$E$9),$E$9+SQRT(S616*($G$9-$E$9)*($F$9-$E$9)),$G$9-SQRT((1-S616)*($G$9-$E$9)*($G$9-$F$9))))</f>
        <v>0.987700956614342</v>
      </c>
      <c r="F616" s="37" t="n">
        <f aca="false">1+IF($G$10=$E$10,$F$10,IF(T616&lt;($F$10-$E$10)/($G$10-$E$10),$E$10+SQRT(T616*($G$10-$E$10)*($F$10-$E$10)),$G$10-SQRT((1-T616)*($G$10-$E$10)*($G$10-$F$10))))</f>
        <v>0.980144226224729</v>
      </c>
      <c r="G616" s="38" t="n">
        <f aca="false">IF($G$11=$E$11,$F$11,IF(U616&lt;($F$11-$E$11)/($G$11-$E$11),$E$11+SQRT(U616*($G$11-$E$11)*($F$11-$E$11)),$G$11-SQRT((1-U616)*($G$11-$E$11)*($G$11-$F$11))))</f>
        <v>0.110668663932048</v>
      </c>
      <c r="H616" s="39" t="n">
        <f aca="false">(('Business Case'!B11*$C616*'Business Case'!B12*$B616)-'Business Case'!B11*$C616*'Business Case'!B13*$D616-'Business Case'!B14*$E616)-MAX(0,(('Business Case'!B11*$C616*'Business Case'!B12*$B616)-'Business Case'!B11*$C616*'Business Case'!B13*$D616-'Business Case'!B14*$E616))*'Business Case'!$B$7-'Business Case'!$B$8*('Business Case'!B11*$C616*'Business Case'!B12*$B616)-'Business Case'!B15*$F616</f>
        <v>-1960288452.44946</v>
      </c>
      <c r="I616" s="39" t="n">
        <f aca="false">(('Business Case'!C11*$C616*'Business Case'!C12*$B616)-'Business Case'!C11*$C616*'Business Case'!C13*$D616-'Business Case'!C14*$E616)-MAX(0,(('Business Case'!C11*$C616*'Business Case'!C12*$B616)-'Business Case'!C11*$C616*'Business Case'!C13*$D616-'Business Case'!C14*$E616))*'Business Case'!$B$7-'Business Case'!$B$8*(('Business Case'!C11*$C616*'Business Case'!C12*$B616)-('Business Case'!B11*$C616*'Business Case'!B12*$B616))-'Business Case'!C15*$F616</f>
        <v>7587739.18875684</v>
      </c>
      <c r="J616" s="39" t="n">
        <f aca="false">(('Business Case'!D11*$C616*'Business Case'!D12*$B616)-'Business Case'!D11*$C616*'Business Case'!D13*$D616-'Business Case'!D14*$E616)-MAX(0,(('Business Case'!D11*$C616*'Business Case'!D12*$B616)-'Business Case'!D11*$C616*'Business Case'!D13*$D616-'Business Case'!D14*$E616))*'Business Case'!$B$7-'Business Case'!$B$8*(('Business Case'!D11*$C616*'Business Case'!D12*$B616)-('Business Case'!C11*$C616*'Business Case'!C12*$B616))-'Business Case'!D15*$F616</f>
        <v>306416911.106244</v>
      </c>
      <c r="K616" s="39" t="n">
        <f aca="false">(('Business Case'!E11*$C616*'Business Case'!E12*$B616)-'Business Case'!E11*$C616*'Business Case'!E13*$D616-'Business Case'!E14*$E616)-MAX(0,(('Business Case'!E11*$C616*'Business Case'!E12*$B616)-'Business Case'!E11*$C616*'Business Case'!E13*$D616-'Business Case'!E14*$E616))*'Business Case'!$B$7-'Business Case'!$B$8*(('Business Case'!E11*$C616*'Business Case'!E12*$B616)-('Business Case'!D11*$C616*'Business Case'!D12*$B616))-'Business Case'!E15*$F616</f>
        <v>654253294.334968</v>
      </c>
      <c r="L616" s="39" t="n">
        <f aca="false">(('Business Case'!F11*$C616*'Business Case'!F12*$B616)-'Business Case'!F11*$C616*'Business Case'!F13*$D616-'Business Case'!F14*$E616)-MAX(0,(('Business Case'!F11*$C616*'Business Case'!F12*$B616)-'Business Case'!F11*$C616*'Business Case'!F13*$D616-'Business Case'!F14*$E616))*'Business Case'!$B$7-'Business Case'!$B$8*(('Business Case'!F11*$C616*'Business Case'!F12*$B616)-('Business Case'!E11*$C616*'Business Case'!E12*$B616))-'Business Case'!F15*$F616</f>
        <v>789046974.357929</v>
      </c>
      <c r="M616" s="39" t="n">
        <f aca="false">(('Business Case'!G11*$C616*'Business Case'!G12*$B616)-'Business Case'!G11*$C616*'Business Case'!G13*$D616-'Business Case'!G14*$E616)-MAX(0,(('Business Case'!G11*$C616*'Business Case'!G12*$B616)-'Business Case'!G11*$C616*'Business Case'!G13*$D616-'Business Case'!G14*$E616))*'Business Case'!$B$7-'Business Case'!$B$8*(('Business Case'!G11*$C616*'Business Case'!G12*$B616)-('Business Case'!F11*$C616*'Business Case'!F12*$B616))-'Business Case'!G15*$F616+'Business Case'!$B$8*('Business Case'!G11*$C616*'Business Case'!G12*$B616)</f>
        <v>982558732.635489</v>
      </c>
      <c r="N616" s="39" t="n">
        <f aca="false">IF(COUNT('Business Case'!B11:G11)=0,"",H616+NPV(G616,I616:M616))</f>
        <v>-127673626.39693</v>
      </c>
      <c r="P616" s="40" t="n">
        <f aca="true">RAND()</f>
        <v>0.784106911018753</v>
      </c>
      <c r="Q616" s="40" t="n">
        <f aca="true">RAND()</f>
        <v>0.627553118703213</v>
      </c>
      <c r="R616" s="40" t="n">
        <f aca="true">RAND()</f>
        <v>0.802043578222554</v>
      </c>
      <c r="S616" s="40" t="n">
        <f aca="true">RAND()</f>
        <v>0.189514950618195</v>
      </c>
      <c r="T616" s="40" t="n">
        <f aca="true">RAND()</f>
        <v>0.0726939499750094</v>
      </c>
      <c r="U616" s="40" t="n">
        <f aca="true">RAND()</f>
        <v>0.854876945311571</v>
      </c>
    </row>
    <row r="617" customFormat="false" ht="15" hidden="false" customHeight="false" outlineLevel="0" collapsed="false">
      <c r="A617" s="36" t="n">
        <v>537</v>
      </c>
      <c r="B617" s="37" t="n">
        <f aca="false">1+IF($G$6=$E$6,$F$6,IF(P617&lt;($F$6-$E$6)/($G$6-$E$6),$E$6+SQRT(P617*($G$6-$E$6)*($F$6-$E$6)),$G$6-SQRT((1-P617)*($G$6-$E$6)*($G$6-$F$6))))</f>
        <v>1.02375246491065</v>
      </c>
      <c r="C617" s="37" t="n">
        <f aca="false">1+IF($G$7=$E$7,$F$7,IF(Q617&lt;($F$7-$E$7)/($G$7-$E$7),$E$7+SQRT(Q617*($G$7-$E$7)*($F$7-$E$7)),$G$7-SQRT((1-Q617)*($G$7-$E$7)*($G$7-$F$7))))</f>
        <v>0.934635971383009</v>
      </c>
      <c r="D617" s="37" t="n">
        <f aca="false">1+IF($G$8=$E$8,$F$8,IF(R617&lt;($F$8-$E$8)/($G$8-$E$8),$E$8+SQRT(R617*($G$8-$E$8)*($F$8-$E$8)),$G$8-SQRT((1-R617)*($G$8-$E$8)*($G$8-$F$8))))</f>
        <v>1.0021605635521</v>
      </c>
      <c r="E617" s="37" t="n">
        <f aca="false">1+IF($G$9=$E$9,$F$9,IF(S617&lt;($F$9-$E$9)/($G$9-$E$9),$E$9+SQRT(S617*($G$9-$E$9)*($F$9-$E$9)),$G$9-SQRT((1-S617)*($G$9-$E$9)*($G$9-$F$9))))</f>
        <v>1.06779661708829</v>
      </c>
      <c r="F617" s="37" t="n">
        <f aca="false">1+IF($G$10=$E$10,$F$10,IF(T617&lt;($F$10-$E$10)/($G$10-$E$10),$E$10+SQRT(T617*($G$10-$E$10)*($F$10-$E$10)),$G$10-SQRT((1-T617)*($G$10-$E$10)*($G$10-$F$10))))</f>
        <v>1.01358970159045</v>
      </c>
      <c r="G617" s="38" t="n">
        <f aca="false">IF($G$11=$E$11,$F$11,IF(U617&lt;($F$11-$E$11)/($G$11-$E$11),$E$11+SQRT(U617*($G$11-$E$11)*($F$11-$E$11)),$G$11-SQRT((1-U617)*($G$11-$E$11)*($G$11-$F$11))))</f>
        <v>0.106518410999513</v>
      </c>
      <c r="H617" s="39" t="n">
        <f aca="false">(('Business Case'!B11*$C617*'Business Case'!B12*$B617)-'Business Case'!B11*$C617*'Business Case'!B13*$D617-'Business Case'!B14*$E617)-MAX(0,(('Business Case'!B11*$C617*'Business Case'!B12*$B617)-'Business Case'!B11*$C617*'Business Case'!B13*$D617-'Business Case'!B14*$E617))*'Business Case'!$B$7-'Business Case'!$B$8*('Business Case'!B11*$C617*'Business Case'!B12*$B617)-'Business Case'!B15*$F617</f>
        <v>-2027179403.18091</v>
      </c>
      <c r="I617" s="39" t="n">
        <f aca="false">(('Business Case'!C11*$C617*'Business Case'!C12*$B617)-'Business Case'!C11*$C617*'Business Case'!C13*$D617-'Business Case'!C14*$E617)-MAX(0,(('Business Case'!C11*$C617*'Business Case'!C12*$B617)-'Business Case'!C11*$C617*'Business Case'!C13*$D617-'Business Case'!C14*$E617))*'Business Case'!$B$7-'Business Case'!$B$8*(('Business Case'!C11*$C617*'Business Case'!C12*$B617)-('Business Case'!B11*$C617*'Business Case'!B12*$B617))-'Business Case'!C15*$F617</f>
        <v>1422869.17438482</v>
      </c>
      <c r="J617" s="39" t="n">
        <f aca="false">(('Business Case'!D11*$C617*'Business Case'!D12*$B617)-'Business Case'!D11*$C617*'Business Case'!D13*$D617-'Business Case'!D14*$E617)-MAX(0,(('Business Case'!D11*$C617*'Business Case'!D12*$B617)-'Business Case'!D11*$C617*'Business Case'!D13*$D617-'Business Case'!D14*$E617))*'Business Case'!$B$7-'Business Case'!$B$8*(('Business Case'!D11*$C617*'Business Case'!D12*$B617)-('Business Case'!C11*$C617*'Business Case'!C12*$B617))-'Business Case'!D15*$F617</f>
        <v>305647759.45092</v>
      </c>
      <c r="K617" s="39" t="n">
        <f aca="false">(('Business Case'!E11*$C617*'Business Case'!E12*$B617)-'Business Case'!E11*$C617*'Business Case'!E13*$D617-'Business Case'!E14*$E617)-MAX(0,(('Business Case'!E11*$C617*'Business Case'!E12*$B617)-'Business Case'!E11*$C617*'Business Case'!E13*$D617-'Business Case'!E14*$E617))*'Business Case'!$B$7-'Business Case'!$B$8*(('Business Case'!E11*$C617*'Business Case'!E12*$B617)-('Business Case'!D11*$C617*'Business Case'!D12*$B617))-'Business Case'!E15*$F617</f>
        <v>660552134.806979</v>
      </c>
      <c r="L617" s="39" t="n">
        <f aca="false">(('Business Case'!F11*$C617*'Business Case'!F12*$B617)-'Business Case'!F11*$C617*'Business Case'!F13*$D617-'Business Case'!F14*$E617)-MAX(0,(('Business Case'!F11*$C617*'Business Case'!F12*$B617)-'Business Case'!F11*$C617*'Business Case'!F13*$D617-'Business Case'!F14*$E617))*'Business Case'!$B$7-'Business Case'!$B$8*(('Business Case'!F11*$C617*'Business Case'!F12*$B617)-('Business Case'!E11*$C617*'Business Case'!E12*$B617))-'Business Case'!F15*$F617</f>
        <v>795028679.561258</v>
      </c>
      <c r="M617" s="39" t="n">
        <f aca="false">(('Business Case'!G11*$C617*'Business Case'!G12*$B617)-'Business Case'!G11*$C617*'Business Case'!G13*$D617-'Business Case'!G14*$E617)-MAX(0,(('Business Case'!G11*$C617*'Business Case'!G12*$B617)-'Business Case'!G11*$C617*'Business Case'!G13*$D617-'Business Case'!G14*$E617))*'Business Case'!$B$7-'Business Case'!$B$8*(('Business Case'!G11*$C617*'Business Case'!G12*$B617)-('Business Case'!F11*$C617*'Business Case'!F12*$B617))-'Business Case'!G15*$F617+'Business Case'!$B$8*('Business Case'!G11*$C617*'Business Case'!G12*$B617)</f>
        <v>976904043.536145</v>
      </c>
      <c r="N617" s="39" t="n">
        <f aca="false">IF(COUNT('Business Case'!B11:G11)=0,"",H617+NPV(G617,I617:M617))</f>
        <v>-169440216.712569</v>
      </c>
      <c r="P617" s="40" t="n">
        <f aca="true">RAND()</f>
        <v>0.945003667400057</v>
      </c>
      <c r="Q617" s="40" t="n">
        <f aca="true">RAND()</f>
        <v>0.258954925574949</v>
      </c>
      <c r="R617" s="40" t="n">
        <f aca="true">RAND()</f>
        <v>0.417405974372374</v>
      </c>
      <c r="S617" s="40" t="n">
        <f aca="true">RAND()</f>
        <v>0.930862808602765</v>
      </c>
      <c r="T617" s="40" t="n">
        <f aca="true">RAND()</f>
        <v>0.305024012937286</v>
      </c>
      <c r="U617" s="40" t="n">
        <f aca="true">RAND()</f>
        <v>0.697077930036593</v>
      </c>
    </row>
    <row r="618" customFormat="false" ht="15" hidden="false" customHeight="false" outlineLevel="0" collapsed="false">
      <c r="A618" s="36" t="n">
        <v>538</v>
      </c>
      <c r="B618" s="37" t="n">
        <f aca="false">1+IF($G$6=$E$6,$F$6,IF(P618&lt;($F$6-$E$6)/($G$6-$E$6),$E$6+SQRT(P618*($G$6-$E$6)*($F$6-$E$6)),$G$6-SQRT((1-P618)*($G$6-$E$6)*($G$6-$F$6))))</f>
        <v>1.01969917457818</v>
      </c>
      <c r="C618" s="37" t="n">
        <f aca="false">1+IF($G$7=$E$7,$F$7,IF(Q618&lt;($F$7-$E$7)/($G$7-$E$7),$E$7+SQRT(Q618*($G$7-$E$7)*($F$7-$E$7)),$G$7-SQRT((1-Q618)*($G$7-$E$7)*($G$7-$F$7))))</f>
        <v>1.03126910356316</v>
      </c>
      <c r="D618" s="37" t="n">
        <f aca="false">1+IF($G$8=$E$8,$F$8,IF(R618&lt;($F$8-$E$8)/($G$8-$E$8),$E$8+SQRT(R618*($G$8-$E$8)*($F$8-$E$8)),$G$8-SQRT((1-R618)*($G$8-$E$8)*($G$8-$F$8))))</f>
        <v>1.00408356859276</v>
      </c>
      <c r="E618" s="37" t="n">
        <f aca="false">1+IF($G$9=$E$9,$F$9,IF(S618&lt;($F$9-$E$9)/($G$9-$E$9),$E$9+SQRT(S618*($G$9-$E$9)*($F$9-$E$9)),$G$9-SQRT((1-S618)*($G$9-$E$9)*($G$9-$F$9))))</f>
        <v>1.06659970556675</v>
      </c>
      <c r="F618" s="37" t="n">
        <f aca="false">1+IF($G$10=$E$10,$F$10,IF(T618&lt;($F$10-$E$10)/($G$10-$E$10),$E$10+SQRT(T618*($G$10-$E$10)*($F$10-$E$10)),$G$10-SQRT((1-T618)*($G$10-$E$10)*($G$10-$F$10))))</f>
        <v>1.12701350941738</v>
      </c>
      <c r="G618" s="38" t="n">
        <f aca="false">IF($G$11=$E$11,$F$11,IF(U618&lt;($F$11-$E$11)/($G$11-$E$11),$E$11+SQRT(U618*($G$11-$E$11)*($F$11-$E$11)),$G$11-SQRT((1-U618)*($G$11-$E$11)*($G$11-$F$11))))</f>
        <v>0.107651962858068</v>
      </c>
      <c r="H618" s="39" t="n">
        <f aca="false">(('Business Case'!B11*$C618*'Business Case'!B12*$B618)-'Business Case'!B11*$C618*'Business Case'!B13*$D618-'Business Case'!B14*$E618)-MAX(0,(('Business Case'!B11*$C618*'Business Case'!B12*$B618)-'Business Case'!B11*$C618*'Business Case'!B13*$D618-'Business Case'!B14*$E618))*'Business Case'!$B$7-'Business Case'!$B$8*('Business Case'!B11*$C618*'Business Case'!B12*$B618)-'Business Case'!B15*$F618</f>
        <v>-2254027018.83476</v>
      </c>
      <c r="I618" s="39" t="n">
        <f aca="false">(('Business Case'!C11*$C618*'Business Case'!C12*$B618)-'Business Case'!C11*$C618*'Business Case'!C13*$D618-'Business Case'!C14*$E618)-MAX(0,(('Business Case'!C11*$C618*'Business Case'!C12*$B618)-'Business Case'!C11*$C618*'Business Case'!C13*$D618-'Business Case'!C14*$E618))*'Business Case'!$B$7-'Business Case'!$B$8*(('Business Case'!C11*$C618*'Business Case'!C12*$B618)-('Business Case'!B11*$C618*'Business Case'!B12*$B618))-'Business Case'!C15*$F618</f>
        <v>12354154.2855731</v>
      </c>
      <c r="J618" s="39" t="n">
        <f aca="false">(('Business Case'!D11*$C618*'Business Case'!D12*$B618)-'Business Case'!D11*$C618*'Business Case'!D13*$D618-'Business Case'!D14*$E618)-MAX(0,(('Business Case'!D11*$C618*'Business Case'!D12*$B618)-'Business Case'!D11*$C618*'Business Case'!D13*$D618-'Business Case'!D14*$E618))*'Business Case'!$B$7-'Business Case'!$B$8*(('Business Case'!D11*$C618*'Business Case'!D12*$B618)-('Business Case'!C11*$C618*'Business Case'!C12*$B618))-'Business Case'!D15*$F618</f>
        <v>343594265.354798</v>
      </c>
      <c r="K618" s="39" t="n">
        <f aca="false">(('Business Case'!E11*$C618*'Business Case'!E12*$B618)-'Business Case'!E11*$C618*'Business Case'!E13*$D618-'Business Case'!E14*$E618)-MAX(0,(('Business Case'!E11*$C618*'Business Case'!E12*$B618)-'Business Case'!E11*$C618*'Business Case'!E13*$D618-'Business Case'!E14*$E618))*'Business Case'!$B$7-'Business Case'!$B$8*(('Business Case'!E11*$C618*'Business Case'!E12*$B618)-('Business Case'!D11*$C618*'Business Case'!D12*$B618))-'Business Case'!E15*$F618</f>
        <v>731185051.894892</v>
      </c>
      <c r="L618" s="39" t="n">
        <f aca="false">(('Business Case'!F11*$C618*'Business Case'!F12*$B618)-'Business Case'!F11*$C618*'Business Case'!F13*$D618-'Business Case'!F14*$E618)-MAX(0,(('Business Case'!F11*$C618*'Business Case'!F12*$B618)-'Business Case'!F11*$C618*'Business Case'!F13*$D618-'Business Case'!F14*$E618))*'Business Case'!$B$7-'Business Case'!$B$8*(('Business Case'!F11*$C618*'Business Case'!F12*$B618)-('Business Case'!E11*$C618*'Business Case'!E12*$B618))-'Business Case'!F15*$F618</f>
        <v>877941174.058181</v>
      </c>
      <c r="M618" s="39" t="n">
        <f aca="false">(('Business Case'!G11*$C618*'Business Case'!G12*$B618)-'Business Case'!G11*$C618*'Business Case'!G13*$D618-'Business Case'!G14*$E618)-MAX(0,(('Business Case'!G11*$C618*'Business Case'!G12*$B618)-'Business Case'!G11*$C618*'Business Case'!G13*$D618-'Business Case'!G14*$E618))*'Business Case'!$B$7-'Business Case'!$B$8*(('Business Case'!G11*$C618*'Business Case'!G12*$B618)-('Business Case'!F11*$C618*'Business Case'!F12*$B618))-'Business Case'!G15*$F618+'Business Case'!$B$8*('Business Case'!G11*$C618*'Business Case'!G12*$B618)</f>
        <v>1077826308.99603</v>
      </c>
      <c r="N618" s="39" t="n">
        <f aca="false">IF(COUNT('Business Case'!B11:G11)=0,"",H618+NPV(G618,I618:M618))</f>
        <v>-195085371.805143</v>
      </c>
      <c r="P618" s="40" t="n">
        <f aca="true">RAND()</f>
        <v>0.914140934831828</v>
      </c>
      <c r="Q618" s="40" t="n">
        <f aca="true">RAND()</f>
        <v>0.731485223453421</v>
      </c>
      <c r="R618" s="40" t="n">
        <f aca="true">RAND()</f>
        <v>0.445836100229732</v>
      </c>
      <c r="S618" s="40" t="n">
        <f aca="true">RAND()</f>
        <v>0.925628022118142</v>
      </c>
      <c r="T618" s="40" t="n">
        <f aca="true">RAND()</f>
        <v>0.89345944384866</v>
      </c>
      <c r="U618" s="40" t="n">
        <f aca="true">RAND()</f>
        <v>0.74587663123579</v>
      </c>
    </row>
    <row r="619" customFormat="false" ht="15" hidden="false" customHeight="false" outlineLevel="0" collapsed="false">
      <c r="A619" s="36" t="n">
        <v>539</v>
      </c>
      <c r="B619" s="37" t="n">
        <f aca="false">1+IF($G$6=$E$6,$F$6,IF(P619&lt;($F$6-$E$6)/($G$6-$E$6),$E$6+SQRT(P619*($G$6-$E$6)*($F$6-$E$6)),$G$6-SQRT((1-P619)*($G$6-$E$6)*($G$6-$F$6))))</f>
        <v>0.959676640172706</v>
      </c>
      <c r="C619" s="37" t="n">
        <f aca="false">1+IF($G$7=$E$7,$F$7,IF(Q619&lt;($F$7-$E$7)/($G$7-$E$7),$E$7+SQRT(Q619*($G$7-$E$7)*($F$7-$E$7)),$G$7-SQRT((1-Q619)*($G$7-$E$7)*($G$7-$F$7))))</f>
        <v>0.943753858565822</v>
      </c>
      <c r="D619" s="37" t="n">
        <f aca="false">1+IF($G$8=$E$8,$F$8,IF(R619&lt;($F$8-$E$8)/($G$8-$E$8),$E$8+SQRT(R619*($G$8-$E$8)*($F$8-$E$8)),$G$8-SQRT((1-R619)*($G$8-$E$8)*($G$8-$F$8))))</f>
        <v>0.994539364059288</v>
      </c>
      <c r="E619" s="37" t="n">
        <f aca="false">1+IF($G$9=$E$9,$F$9,IF(S619&lt;($F$9-$E$9)/($G$9-$E$9),$E$9+SQRT(S619*($G$9-$E$9)*($F$9-$E$9)),$G$9-SQRT((1-S619)*($G$9-$E$9)*($G$9-$F$9))))</f>
        <v>0.975513384934312</v>
      </c>
      <c r="F619" s="37" t="n">
        <f aca="false">1+IF($G$10=$E$10,$F$10,IF(T619&lt;($F$10-$E$10)/($G$10-$E$10),$E$10+SQRT(T619*($G$10-$E$10)*($F$10-$E$10)),$G$10-SQRT((1-T619)*($G$10-$E$10)*($G$10-$F$10))))</f>
        <v>0.992221478900974</v>
      </c>
      <c r="G619" s="38" t="n">
        <f aca="false">IF($G$11=$E$11,$F$11,IF(U619&lt;($F$11-$E$11)/($G$11-$E$11),$E$11+SQRT(U619*($G$11-$E$11)*($F$11-$E$11)),$G$11-SQRT((1-U619)*($G$11-$E$11)*($G$11-$F$11))))</f>
        <v>0.108678733687768</v>
      </c>
      <c r="H619" s="39" t="n">
        <f aca="false">(('Business Case'!B11*$C619*'Business Case'!B12*$B619)-'Business Case'!B11*$C619*'Business Case'!B13*$D619-'Business Case'!B14*$E619)-MAX(0,(('Business Case'!B11*$C619*'Business Case'!B12*$B619)-'Business Case'!B11*$C619*'Business Case'!B13*$D619-'Business Case'!B14*$E619))*'Business Case'!$B$7-'Business Case'!$B$8*('Business Case'!B11*$C619*'Business Case'!B12*$B619)-'Business Case'!B15*$F619</f>
        <v>-1984442957.80195</v>
      </c>
      <c r="I619" s="39" t="n">
        <f aca="false">(('Business Case'!C11*$C619*'Business Case'!C12*$B619)-'Business Case'!C11*$C619*'Business Case'!C13*$D619-'Business Case'!C14*$E619)-MAX(0,(('Business Case'!C11*$C619*'Business Case'!C12*$B619)-'Business Case'!C11*$C619*'Business Case'!C13*$D619-'Business Case'!C14*$E619))*'Business Case'!$B$7-'Business Case'!$B$8*(('Business Case'!C11*$C619*'Business Case'!C12*$B619)-('Business Case'!B11*$C619*'Business Case'!B12*$B619))-'Business Case'!C15*$F619</f>
        <v>-23547552.5002985</v>
      </c>
      <c r="J619" s="39" t="n">
        <f aca="false">(('Business Case'!D11*$C619*'Business Case'!D12*$B619)-'Business Case'!D11*$C619*'Business Case'!D13*$D619-'Business Case'!D14*$E619)-MAX(0,(('Business Case'!D11*$C619*'Business Case'!D12*$B619)-'Business Case'!D11*$C619*'Business Case'!D13*$D619-'Business Case'!D14*$E619))*'Business Case'!$B$7-'Business Case'!$B$8*(('Business Case'!D11*$C619*'Business Case'!D12*$B619)-('Business Case'!C11*$C619*'Business Case'!C12*$B619))-'Business Case'!D15*$F619</f>
        <v>237796458.133218</v>
      </c>
      <c r="K619" s="39" t="n">
        <f aca="false">(('Business Case'!E11*$C619*'Business Case'!E12*$B619)-'Business Case'!E11*$C619*'Business Case'!E13*$D619-'Business Case'!E14*$E619)-MAX(0,(('Business Case'!E11*$C619*'Business Case'!E12*$B619)-'Business Case'!E11*$C619*'Business Case'!E13*$D619-'Business Case'!E14*$E619))*'Business Case'!$B$7-'Business Case'!$B$8*(('Business Case'!E11*$C619*'Business Case'!E12*$B619)-('Business Case'!D11*$C619*'Business Case'!D12*$B619))-'Business Case'!E15*$F619</f>
        <v>548751542.711784</v>
      </c>
      <c r="L619" s="39" t="n">
        <f aca="false">(('Business Case'!F11*$C619*'Business Case'!F12*$B619)-'Business Case'!F11*$C619*'Business Case'!F13*$D619-'Business Case'!F14*$E619)-MAX(0,(('Business Case'!F11*$C619*'Business Case'!F12*$B619)-'Business Case'!F11*$C619*'Business Case'!F13*$D619-'Business Case'!F14*$E619))*'Business Case'!$B$7-'Business Case'!$B$8*(('Business Case'!F11*$C619*'Business Case'!F12*$B619)-('Business Case'!E11*$C619*'Business Case'!E12*$B619))-'Business Case'!F15*$F619</f>
        <v>667167154.193662</v>
      </c>
      <c r="M619" s="39" t="n">
        <f aca="false">(('Business Case'!G11*$C619*'Business Case'!G12*$B619)-'Business Case'!G11*$C619*'Business Case'!G13*$D619-'Business Case'!G14*$E619)-MAX(0,(('Business Case'!G11*$C619*'Business Case'!G12*$B619)-'Business Case'!G11*$C619*'Business Case'!G13*$D619-'Business Case'!G14*$E619))*'Business Case'!$B$7-'Business Case'!$B$8*(('Business Case'!G11*$C619*'Business Case'!G12*$B619)-('Business Case'!F11*$C619*'Business Case'!F12*$B619))-'Business Case'!G15*$F619+'Business Case'!$B$8*('Business Case'!G11*$C619*'Business Case'!G12*$B619)</f>
        <v>839322331.182543</v>
      </c>
      <c r="N619" s="39" t="n">
        <f aca="false">IF(COUNT('Business Case'!B11:G11)=0,"",H619+NPV(G619,I619:M619))</f>
        <v>-466887870.409241</v>
      </c>
      <c r="P619" s="40" t="n">
        <f aca="true">RAND()</f>
        <v>0.163982893270247</v>
      </c>
      <c r="Q619" s="40" t="n">
        <f aca="true">RAND()</f>
        <v>0.295216740750889</v>
      </c>
      <c r="R619" s="40" t="n">
        <f aca="true">RAND()</f>
        <v>0.305193069354734</v>
      </c>
      <c r="S619" s="40" t="n">
        <f aca="true">RAND()</f>
        <v>0.0867910414408491</v>
      </c>
      <c r="T619" s="40" t="n">
        <f aca="true">RAND()</f>
        <v>0.142612262446833</v>
      </c>
      <c r="U619" s="40" t="n">
        <f aca="true">RAND()</f>
        <v>0.786381548479197</v>
      </c>
    </row>
    <row r="620" customFormat="false" ht="15" hidden="false" customHeight="false" outlineLevel="0" collapsed="false">
      <c r="A620" s="36" t="n">
        <v>540</v>
      </c>
      <c r="B620" s="37" t="n">
        <f aca="false">1+IF($G$6=$E$6,$F$6,IF(P620&lt;($F$6-$E$6)/($G$6-$E$6),$E$6+SQRT(P620*($G$6-$E$6)*($F$6-$E$6)),$G$6-SQRT((1-P620)*($G$6-$E$6)*($G$6-$F$6))))</f>
        <v>0.962983276485791</v>
      </c>
      <c r="C620" s="37" t="n">
        <f aca="false">1+IF($G$7=$E$7,$F$7,IF(Q620&lt;($F$7-$E$7)/($G$7-$E$7),$E$7+SQRT(Q620*($G$7-$E$7)*($F$7-$E$7)),$G$7-SQRT((1-Q620)*($G$7-$E$7)*($G$7-$F$7))))</f>
        <v>0.835460081056066</v>
      </c>
      <c r="D620" s="37" t="n">
        <f aca="false">1+IF($G$8=$E$8,$F$8,IF(R620&lt;($F$8-$E$8)/($G$8-$E$8),$E$8+SQRT(R620*($G$8-$E$8)*($F$8-$E$8)),$G$8-SQRT((1-R620)*($G$8-$E$8)*($G$8-$F$8))))</f>
        <v>1.03035495715756</v>
      </c>
      <c r="E620" s="37" t="n">
        <f aca="false">1+IF($G$9=$E$9,$F$9,IF(S620&lt;($F$9-$E$9)/($G$9-$E$9),$E$9+SQRT(S620*($G$9-$E$9)*($F$9-$E$9)),$G$9-SQRT((1-S620)*($G$9-$E$9)*($G$9-$F$9))))</f>
        <v>0.985613292691972</v>
      </c>
      <c r="F620" s="37" t="n">
        <f aca="false">1+IF($G$10=$E$10,$F$10,IF(T620&lt;($F$10-$E$10)/($G$10-$E$10),$E$10+SQRT(T620*($G$10-$E$10)*($F$10-$E$10)),$G$10-SQRT((1-T620)*($G$10-$E$10)*($G$10-$F$10))))</f>
        <v>1.17155338361411</v>
      </c>
      <c r="G620" s="38" t="n">
        <f aca="false">IF($G$11=$E$11,$F$11,IF(U620&lt;($F$11-$E$11)/($G$11-$E$11),$E$11+SQRT(U620*($G$11-$E$11)*($F$11-$E$11)),$G$11-SQRT((1-U620)*($G$11-$E$11)*($G$11-$F$11))))</f>
        <v>0.115322562414952</v>
      </c>
      <c r="H620" s="39" t="n">
        <f aca="false">(('Business Case'!B11*$C620*'Business Case'!B12*$B620)-'Business Case'!B11*$C620*'Business Case'!B13*$D620-'Business Case'!B14*$E620)-MAX(0,(('Business Case'!B11*$C620*'Business Case'!B12*$B620)-'Business Case'!B11*$C620*'Business Case'!B13*$D620-'Business Case'!B14*$E620))*'Business Case'!$B$7-'Business Case'!$B$8*('Business Case'!B11*$C620*'Business Case'!B12*$B620)-'Business Case'!B15*$F620</f>
        <v>-2343106767.22823</v>
      </c>
      <c r="I620" s="39" t="n">
        <f aca="false">(('Business Case'!C11*$C620*'Business Case'!C12*$B620)-'Business Case'!C11*$C620*'Business Case'!C13*$D620-'Business Case'!C14*$E620)-MAX(0,(('Business Case'!C11*$C620*'Business Case'!C12*$B620)-'Business Case'!C11*$C620*'Business Case'!C13*$D620-'Business Case'!C14*$E620))*'Business Case'!$B$7-'Business Case'!$B$8*(('Business Case'!C11*$C620*'Business Case'!C12*$B620)-('Business Case'!B11*$C620*'Business Case'!B12*$B620))-'Business Case'!C15*$F620</f>
        <v>-80716450.1460674</v>
      </c>
      <c r="J620" s="39" t="n">
        <f aca="false">(('Business Case'!D11*$C620*'Business Case'!D12*$B620)-'Business Case'!D11*$C620*'Business Case'!D13*$D620-'Business Case'!D14*$E620)-MAX(0,(('Business Case'!D11*$C620*'Business Case'!D12*$B620)-'Business Case'!D11*$C620*'Business Case'!D13*$D620-'Business Case'!D14*$E620))*'Business Case'!$B$7-'Business Case'!$B$8*(('Business Case'!D11*$C620*'Business Case'!D12*$B620)-('Business Case'!C11*$C620*'Business Case'!C12*$B620))-'Business Case'!D15*$F620</f>
        <v>137583695.320158</v>
      </c>
      <c r="K620" s="39" t="n">
        <f aca="false">(('Business Case'!E11*$C620*'Business Case'!E12*$B620)-'Business Case'!E11*$C620*'Business Case'!E13*$D620-'Business Case'!E14*$E620)-MAX(0,(('Business Case'!E11*$C620*'Business Case'!E12*$B620)-'Business Case'!E11*$C620*'Business Case'!E13*$D620-'Business Case'!E14*$E620))*'Business Case'!$B$7-'Business Case'!$B$8*(('Business Case'!E11*$C620*'Business Case'!E12*$B620)-('Business Case'!D11*$C620*'Business Case'!D12*$B620))-'Business Case'!E15*$F620</f>
        <v>414461509.967089</v>
      </c>
      <c r="L620" s="39" t="n">
        <f aca="false">(('Business Case'!F11*$C620*'Business Case'!F12*$B620)-'Business Case'!F11*$C620*'Business Case'!F13*$D620-'Business Case'!F14*$E620)-MAX(0,(('Business Case'!F11*$C620*'Business Case'!F12*$B620)-'Business Case'!F11*$C620*'Business Case'!F13*$D620-'Business Case'!F14*$E620))*'Business Case'!$B$7-'Business Case'!$B$8*(('Business Case'!F11*$C620*'Business Case'!F12*$B620)-('Business Case'!E11*$C620*'Business Case'!E12*$B620))-'Business Case'!F15*$F620</f>
        <v>515032923.142553</v>
      </c>
      <c r="M620" s="39" t="n">
        <f aca="false">(('Business Case'!G11*$C620*'Business Case'!G12*$B620)-'Business Case'!G11*$C620*'Business Case'!G13*$D620-'Business Case'!G14*$E620)-MAX(0,(('Business Case'!G11*$C620*'Business Case'!G12*$B620)-'Business Case'!G11*$C620*'Business Case'!G13*$D620-'Business Case'!G14*$E620))*'Business Case'!$B$7-'Business Case'!$B$8*(('Business Case'!G11*$C620*'Business Case'!G12*$B620)-('Business Case'!F11*$C620*'Business Case'!F12*$B620))-'Business Case'!G15*$F620+'Business Case'!$B$8*('Business Case'!G11*$C620*'Business Case'!G12*$B620)</f>
        <v>667958762.252858</v>
      </c>
      <c r="N620" s="39" t="n">
        <f aca="false">IF(COUNT('Business Case'!B11:G11)=0,"",H620+NPV(G620,I620:M620))</f>
        <v>-1286271408.20299</v>
      </c>
      <c r="P620" s="40" t="n">
        <f aca="true">RAND()</f>
        <v>0.192454380984787</v>
      </c>
      <c r="Q620" s="40" t="n">
        <f aca="true">RAND()</f>
        <v>0.0179631049786108</v>
      </c>
      <c r="R620" s="40" t="n">
        <f aca="true">RAND()</f>
        <v>0.763016319343524</v>
      </c>
      <c r="S620" s="40" t="n">
        <f aca="true">RAND()</f>
        <v>0.169107548848542</v>
      </c>
      <c r="T620" s="40" t="n">
        <f aca="true">RAND()</f>
        <v>0.983815800323884</v>
      </c>
      <c r="U620" s="40" t="n">
        <f aca="true">RAND()</f>
        <v>0.963535962729966</v>
      </c>
    </row>
    <row r="621" customFormat="false" ht="15" hidden="false" customHeight="false" outlineLevel="0" collapsed="false">
      <c r="A621" s="36" t="n">
        <v>541</v>
      </c>
      <c r="B621" s="37" t="n">
        <f aca="false">1+IF($G$6=$E$6,$F$6,IF(P621&lt;($F$6-$E$6)/($G$6-$E$6),$E$6+SQRT(P621*($G$6-$E$6)*($F$6-$E$6)),$G$6-SQRT((1-P621)*($G$6-$E$6)*($G$6-$F$6))))</f>
        <v>0.979342499251667</v>
      </c>
      <c r="C621" s="37" t="n">
        <f aca="false">1+IF($G$7=$E$7,$F$7,IF(Q621&lt;($F$7-$E$7)/($G$7-$E$7),$E$7+SQRT(Q621*($G$7-$E$7)*($F$7-$E$7)),$G$7-SQRT((1-Q621)*($G$7-$E$7)*($G$7-$F$7))))</f>
        <v>0.951402564547571</v>
      </c>
      <c r="D621" s="37" t="n">
        <f aca="false">1+IF($G$8=$E$8,$F$8,IF(R621&lt;($F$8-$E$8)/($G$8-$E$8),$E$8+SQRT(R621*($G$8-$E$8)*($F$8-$E$8)),$G$8-SQRT((1-R621)*($G$8-$E$8)*($G$8-$F$8))))</f>
        <v>0.98062062972757</v>
      </c>
      <c r="E621" s="37" t="n">
        <f aca="false">1+IF($G$9=$E$9,$F$9,IF(S621&lt;($F$9-$E$9)/($G$9-$E$9),$E$9+SQRT(S621*($G$9-$E$9)*($F$9-$E$9)),$G$9-SQRT((1-S621)*($G$9-$E$9)*($G$9-$F$9))))</f>
        <v>0.963572634730506</v>
      </c>
      <c r="F621" s="37" t="n">
        <f aca="false">1+IF($G$10=$E$10,$F$10,IF(T621&lt;($F$10-$E$10)/($G$10-$E$10),$E$10+SQRT(T621*($G$10-$E$10)*($F$10-$E$10)),$G$10-SQRT((1-T621)*($G$10-$E$10)*($G$10-$F$10))))</f>
        <v>1.05941444554028</v>
      </c>
      <c r="G621" s="38" t="n">
        <f aca="false">IF($G$11=$E$11,$F$11,IF(U621&lt;($F$11-$E$11)/($G$11-$E$11),$E$11+SQRT(U621*($G$11-$E$11)*($F$11-$E$11)),$G$11-SQRT((1-U621)*($G$11-$E$11)*($G$11-$F$11))))</f>
        <v>0.114186939094696</v>
      </c>
      <c r="H621" s="39" t="n">
        <f aca="false">(('Business Case'!B11*$C621*'Business Case'!B12*$B621)-'Business Case'!B11*$C621*'Business Case'!B13*$D621-'Business Case'!B14*$E621)-MAX(0,(('Business Case'!B11*$C621*'Business Case'!B12*$B621)-'Business Case'!B11*$C621*'Business Case'!B13*$D621-'Business Case'!B14*$E621))*'Business Case'!$B$7-'Business Case'!$B$8*('Business Case'!B11*$C621*'Business Case'!B12*$B621)-'Business Case'!B15*$F621</f>
        <v>-2118828891.08055</v>
      </c>
      <c r="I621" s="39" t="n">
        <f aca="false">(('Business Case'!C11*$C621*'Business Case'!C12*$B621)-'Business Case'!C11*$C621*'Business Case'!C13*$D621-'Business Case'!C14*$E621)-MAX(0,(('Business Case'!C11*$C621*'Business Case'!C12*$B621)-'Business Case'!C11*$C621*'Business Case'!C13*$D621-'Business Case'!C14*$E621))*'Business Case'!$B$7-'Business Case'!$B$8*(('Business Case'!C11*$C621*'Business Case'!C12*$B621)-('Business Case'!B11*$C621*'Business Case'!B12*$B621))-'Business Case'!C15*$F621</f>
        <v>-5697284.59342733</v>
      </c>
      <c r="J621" s="39" t="n">
        <f aca="false">(('Business Case'!D11*$C621*'Business Case'!D12*$B621)-'Business Case'!D11*$C621*'Business Case'!D13*$D621-'Business Case'!D14*$E621)-MAX(0,(('Business Case'!D11*$C621*'Business Case'!D12*$B621)-'Business Case'!D11*$C621*'Business Case'!D13*$D621-'Business Case'!D14*$E621))*'Business Case'!$B$7-'Business Case'!$B$8*(('Business Case'!D11*$C621*'Business Case'!D12*$B621)-('Business Case'!C11*$C621*'Business Case'!C12*$B621))-'Business Case'!D15*$F621</f>
        <v>279868770.390034</v>
      </c>
      <c r="K621" s="39" t="n">
        <f aca="false">(('Business Case'!E11*$C621*'Business Case'!E12*$B621)-'Business Case'!E11*$C621*'Business Case'!E13*$D621-'Business Case'!E14*$E621)-MAX(0,(('Business Case'!E11*$C621*'Business Case'!E12*$B621)-'Business Case'!E11*$C621*'Business Case'!E13*$D621-'Business Case'!E14*$E621))*'Business Case'!$B$7-'Business Case'!$B$8*(('Business Case'!E11*$C621*'Business Case'!E12*$B621)-('Business Case'!D11*$C621*'Business Case'!D12*$B621))-'Business Case'!E15*$F621</f>
        <v>618405547.650508</v>
      </c>
      <c r="L621" s="39" t="n">
        <f aca="false">(('Business Case'!F11*$C621*'Business Case'!F12*$B621)-'Business Case'!F11*$C621*'Business Case'!F13*$D621-'Business Case'!F14*$E621)-MAX(0,(('Business Case'!F11*$C621*'Business Case'!F12*$B621)-'Business Case'!F11*$C621*'Business Case'!F13*$D621-'Business Case'!F14*$E621))*'Business Case'!$B$7-'Business Case'!$B$8*(('Business Case'!F11*$C621*'Business Case'!F12*$B621)-('Business Case'!E11*$C621*'Business Case'!E12*$B621))-'Business Case'!F15*$F621</f>
        <v>745795476.887784</v>
      </c>
      <c r="M621" s="39" t="n">
        <f aca="false">(('Business Case'!G11*$C621*'Business Case'!G12*$B621)-'Business Case'!G11*$C621*'Business Case'!G13*$D621-'Business Case'!G14*$E621)-MAX(0,(('Business Case'!G11*$C621*'Business Case'!G12*$B621)-'Business Case'!G11*$C621*'Business Case'!G13*$D621-'Business Case'!G14*$E621))*'Business Case'!$B$7-'Business Case'!$B$8*(('Business Case'!G11*$C621*'Business Case'!G12*$B621)-('Business Case'!F11*$C621*'Business Case'!F12*$B621))-'Business Case'!G15*$F621+'Business Case'!$B$8*('Business Case'!G11*$C621*'Business Case'!G12*$B621)</f>
        <v>922902320.223121</v>
      </c>
      <c r="N621" s="39" t="n">
        <f aca="false">IF(COUNT('Business Case'!B11:G11)=0,"",H621+NPV(G621,I621:M621))</f>
        <v>-429984762.417146</v>
      </c>
      <c r="P621" s="40" t="n">
        <f aca="true">RAND()</f>
        <v>0.36682627264939</v>
      </c>
      <c r="Q621" s="40" t="n">
        <f aca="true">RAND()</f>
        <v>0.327467665022594</v>
      </c>
      <c r="R621" s="40" t="n">
        <f aca="true">RAND()</f>
        <v>0.144249686909679</v>
      </c>
      <c r="S621" s="40" t="n">
        <f aca="true">RAND()</f>
        <v>0.0245621884703635</v>
      </c>
      <c r="T621" s="40" t="n">
        <f aca="true">RAND()</f>
        <v>0.604714037545043</v>
      </c>
      <c r="U621" s="40" t="n">
        <f aca="true">RAND()</f>
        <v>0.943680538185372</v>
      </c>
    </row>
    <row r="622" customFormat="false" ht="15" hidden="false" customHeight="false" outlineLevel="0" collapsed="false">
      <c r="A622" s="36" t="n">
        <v>542</v>
      </c>
      <c r="B622" s="37" t="n">
        <f aca="false">1+IF($G$6=$E$6,$F$6,IF(P622&lt;($F$6-$E$6)/($G$6-$E$6),$E$6+SQRT(P622*($G$6-$E$6)*($F$6-$E$6)),$G$6-SQRT((1-P622)*($G$6-$E$6)*($G$6-$F$6))))</f>
        <v>0.950669763207862</v>
      </c>
      <c r="C622" s="37" t="n">
        <f aca="false">1+IF($G$7=$E$7,$F$7,IF(Q622&lt;($F$7-$E$7)/($G$7-$E$7),$E$7+SQRT(Q622*($G$7-$E$7)*($F$7-$E$7)),$G$7-SQRT((1-Q622)*($G$7-$E$7)*($G$7-$F$7))))</f>
        <v>1.09352521020884</v>
      </c>
      <c r="D622" s="37" t="n">
        <f aca="false">1+IF($G$8=$E$8,$F$8,IF(R622&lt;($F$8-$E$8)/($G$8-$E$8),$E$8+SQRT(R622*($G$8-$E$8)*($F$8-$E$8)),$G$8-SQRT((1-R622)*($G$8-$E$8)*($G$8-$F$8))))</f>
        <v>1.00693178970843</v>
      </c>
      <c r="E622" s="37" t="n">
        <f aca="false">1+IF($G$9=$E$9,$F$9,IF(S622&lt;($F$9-$E$9)/($G$9-$E$9),$E$9+SQRT(S622*($G$9-$E$9)*($F$9-$E$9)),$G$9-SQRT((1-S622)*($G$9-$E$9)*($G$9-$F$9))))</f>
        <v>0.98087109249414</v>
      </c>
      <c r="F622" s="37" t="n">
        <f aca="false">1+IF($G$10=$E$10,$F$10,IF(T622&lt;($F$10-$E$10)/($G$10-$E$10),$E$10+SQRT(T622*($G$10-$E$10)*($F$10-$E$10)),$G$10-SQRT((1-T622)*($G$10-$E$10)*($G$10-$F$10))))</f>
        <v>1.10065620160198</v>
      </c>
      <c r="G622" s="38" t="n">
        <f aca="false">IF($G$11=$E$11,$F$11,IF(U622&lt;($F$11-$E$11)/($G$11-$E$11),$E$11+SQRT(U622*($G$11-$E$11)*($F$11-$E$11)),$G$11-SQRT((1-U622)*($G$11-$E$11)*($G$11-$F$11))))</f>
        <v>0.118182225862541</v>
      </c>
      <c r="H622" s="39" t="n">
        <f aca="false">(('Business Case'!B11*$C622*'Business Case'!B12*$B622)-'Business Case'!B11*$C622*'Business Case'!B13*$D622-'Business Case'!B14*$E622)-MAX(0,(('Business Case'!B11*$C622*'Business Case'!B12*$B622)-'Business Case'!B11*$C622*'Business Case'!B13*$D622-'Business Case'!B14*$E622))*'Business Case'!$B$7-'Business Case'!$B$8*('Business Case'!B11*$C622*'Business Case'!B12*$B622)-'Business Case'!B15*$F622</f>
        <v>-2201312403.20397</v>
      </c>
      <c r="I622" s="39" t="n">
        <f aca="false">(('Business Case'!C11*$C622*'Business Case'!C12*$B622)-'Business Case'!C11*$C622*'Business Case'!C13*$D622-'Business Case'!C14*$E622)-MAX(0,(('Business Case'!C11*$C622*'Business Case'!C12*$B622)-'Business Case'!C11*$C622*'Business Case'!C13*$D622-'Business Case'!C14*$E622))*'Business Case'!$B$7-'Business Case'!$B$8*(('Business Case'!C11*$C622*'Business Case'!C12*$B622)-('Business Case'!B11*$C622*'Business Case'!B12*$B622))-'Business Case'!C15*$F622</f>
        <v>-15623232.7994432</v>
      </c>
      <c r="J622" s="39" t="n">
        <f aca="false">(('Business Case'!D11*$C622*'Business Case'!D12*$B622)-'Business Case'!D11*$C622*'Business Case'!D13*$D622-'Business Case'!D14*$E622)-MAX(0,(('Business Case'!D11*$C622*'Business Case'!D12*$B622)-'Business Case'!D11*$C622*'Business Case'!D13*$D622-'Business Case'!D14*$E622))*'Business Case'!$B$7-'Business Case'!$B$8*(('Business Case'!D11*$C622*'Business Case'!D12*$B622)-('Business Case'!C11*$C622*'Business Case'!C12*$B622))-'Business Case'!D15*$F622</f>
        <v>272190921.23541</v>
      </c>
      <c r="K622" s="39" t="n">
        <f aca="false">(('Business Case'!E11*$C622*'Business Case'!E12*$B622)-'Business Case'!E11*$C622*'Business Case'!E13*$D622-'Business Case'!E14*$E622)-MAX(0,(('Business Case'!E11*$C622*'Business Case'!E12*$B622)-'Business Case'!E11*$C622*'Business Case'!E13*$D622-'Business Case'!E14*$E622))*'Business Case'!$B$7-'Business Case'!$B$8*(('Business Case'!E11*$C622*'Business Case'!E12*$B622)-('Business Case'!D11*$C622*'Business Case'!D12*$B622))-'Business Case'!E15*$F622</f>
        <v>615037885.350362</v>
      </c>
      <c r="L622" s="39" t="n">
        <f aca="false">(('Business Case'!F11*$C622*'Business Case'!F12*$B622)-'Business Case'!F11*$C622*'Business Case'!F13*$D622-'Business Case'!F14*$E622)-MAX(0,(('Business Case'!F11*$C622*'Business Case'!F12*$B622)-'Business Case'!F11*$C622*'Business Case'!F13*$D622-'Business Case'!F14*$E622))*'Business Case'!$B$7-'Business Case'!$B$8*(('Business Case'!F11*$C622*'Business Case'!F12*$B622)-('Business Case'!E11*$C622*'Business Case'!E12*$B622))-'Business Case'!F15*$F622</f>
        <v>746903868.242933</v>
      </c>
      <c r="M622" s="39" t="n">
        <f aca="false">(('Business Case'!G11*$C622*'Business Case'!G12*$B622)-'Business Case'!G11*$C622*'Business Case'!G13*$D622-'Business Case'!G14*$E622)-MAX(0,(('Business Case'!G11*$C622*'Business Case'!G12*$B622)-'Business Case'!G11*$C622*'Business Case'!G13*$D622-'Business Case'!G14*$E622))*'Business Case'!$B$7-'Business Case'!$B$8*(('Business Case'!G11*$C622*'Business Case'!G12*$B622)-('Business Case'!F11*$C622*'Business Case'!F12*$B622))-'Business Case'!G15*$F622+'Business Case'!$B$8*('Business Case'!G11*$C622*'Business Case'!G12*$B622)</f>
        <v>944507491.754848</v>
      </c>
      <c r="N622" s="39" t="n">
        <f aca="false">IF(COUNT('Business Case'!B11:G11)=0,"",H622+NPV(G622,I622:M622))</f>
        <v>-539604711.073475</v>
      </c>
      <c r="P622" s="40" t="n">
        <f aca="true">RAND()</f>
        <v>0.0979827474194093</v>
      </c>
      <c r="Q622" s="40" t="n">
        <f aca="true">RAND()</f>
        <v>0.939249487962748</v>
      </c>
      <c r="R622" s="40" t="n">
        <f aca="true">RAND()</f>
        <v>0.486638138921852</v>
      </c>
      <c r="S622" s="40" t="n">
        <f aca="true">RAND()</f>
        <v>0.127069913570897</v>
      </c>
      <c r="T622" s="40" t="n">
        <f aca="true">RAND()</f>
        <v>0.802616194397081</v>
      </c>
      <c r="U622" s="40" t="n">
        <f aca="true">RAND()</f>
        <v>0.994492828641974</v>
      </c>
    </row>
    <row r="623" customFormat="false" ht="15" hidden="false" customHeight="false" outlineLevel="0" collapsed="false">
      <c r="A623" s="36" t="n">
        <v>543</v>
      </c>
      <c r="B623" s="37" t="n">
        <f aca="false">1+IF($G$6=$E$6,$F$6,IF(P623&lt;($F$6-$E$6)/($G$6-$E$6),$E$6+SQRT(P623*($G$6-$E$6)*($F$6-$E$6)),$G$6-SQRT((1-P623)*($G$6-$E$6)*($G$6-$F$6))))</f>
        <v>1.00404189102493</v>
      </c>
      <c r="C623" s="37" t="n">
        <f aca="false">1+IF($G$7=$E$7,$F$7,IF(Q623&lt;($F$7-$E$7)/($G$7-$E$7),$E$7+SQRT(Q623*($G$7-$E$7)*($F$7-$E$7)),$G$7-SQRT((1-Q623)*($G$7-$E$7)*($G$7-$F$7))))</f>
        <v>0.889195135521401</v>
      </c>
      <c r="D623" s="37" t="n">
        <f aca="false">1+IF($G$8=$E$8,$F$8,IF(R623&lt;($F$8-$E$8)/($G$8-$E$8),$E$8+SQRT(R623*($G$8-$E$8)*($F$8-$E$8)),$G$8-SQRT((1-R623)*($G$8-$E$8)*($G$8-$F$8))))</f>
        <v>0.985359491632996</v>
      </c>
      <c r="E623" s="37" t="n">
        <f aca="false">1+IF($G$9=$E$9,$F$9,IF(S623&lt;($F$9-$E$9)/($G$9-$E$9),$E$9+SQRT(S623*($G$9-$E$9)*($F$9-$E$9)),$G$9-SQRT((1-S623)*($G$9-$E$9)*($G$9-$F$9))))</f>
        <v>1.03375437404315</v>
      </c>
      <c r="F623" s="37" t="n">
        <f aca="false">1+IF($G$10=$E$10,$F$10,IF(T623&lt;($F$10-$E$10)/($G$10-$E$10),$E$10+SQRT(T623*($G$10-$E$10)*($F$10-$E$10)),$G$10-SQRT((1-T623)*($G$10-$E$10)*($G$10-$F$10))))</f>
        <v>1.10864066960294</v>
      </c>
      <c r="G623" s="38" t="n">
        <f aca="false">IF($G$11=$E$11,$F$11,IF(U623&lt;($F$11-$E$11)/($G$11-$E$11),$E$11+SQRT(U623*($G$11-$E$11)*($F$11-$E$11)),$G$11-SQRT((1-U623)*($G$11-$E$11)*($G$11-$F$11))))</f>
        <v>0.095435991368361</v>
      </c>
      <c r="H623" s="39" t="n">
        <f aca="false">(('Business Case'!B11*$C623*'Business Case'!B12*$B623)-'Business Case'!B11*$C623*'Business Case'!B13*$D623-'Business Case'!B14*$E623)-MAX(0,(('Business Case'!B11*$C623*'Business Case'!B12*$B623)-'Business Case'!B11*$C623*'Business Case'!B13*$D623-'Business Case'!B14*$E623))*'Business Case'!$B$7-'Business Case'!$B$8*('Business Case'!B11*$C623*'Business Case'!B12*$B623)-'Business Case'!B15*$F623</f>
        <v>-2217281339.20587</v>
      </c>
      <c r="I623" s="39" t="n">
        <f aca="false">(('Business Case'!C11*$C623*'Business Case'!C12*$B623)-'Business Case'!C11*$C623*'Business Case'!C13*$D623-'Business Case'!C14*$E623)-MAX(0,(('Business Case'!C11*$C623*'Business Case'!C12*$B623)-'Business Case'!C11*$C623*'Business Case'!C13*$D623-'Business Case'!C14*$E623))*'Business Case'!$B$7-'Business Case'!$B$8*(('Business Case'!C11*$C623*'Business Case'!C12*$B623)-('Business Case'!B11*$C623*'Business Case'!B12*$B623))-'Business Case'!C15*$F623</f>
        <v>-21419983.6334661</v>
      </c>
      <c r="J623" s="39" t="n">
        <f aca="false">(('Business Case'!D11*$C623*'Business Case'!D12*$B623)-'Business Case'!D11*$C623*'Business Case'!D13*$D623-'Business Case'!D14*$E623)-MAX(0,(('Business Case'!D11*$C623*'Business Case'!D12*$B623)-'Business Case'!D11*$C623*'Business Case'!D13*$D623-'Business Case'!D14*$E623))*'Business Case'!$B$7-'Business Case'!$B$8*(('Business Case'!D11*$C623*'Business Case'!D12*$B623)-('Business Case'!C11*$C623*'Business Case'!C12*$B623))-'Business Case'!D15*$F623</f>
        <v>261306162.014512</v>
      </c>
      <c r="K623" s="39" t="n">
        <f aca="false">(('Business Case'!E11*$C623*'Business Case'!E12*$B623)-'Business Case'!E11*$C623*'Business Case'!E13*$D623-'Business Case'!E14*$E623)-MAX(0,(('Business Case'!E11*$C623*'Business Case'!E12*$B623)-'Business Case'!E11*$C623*'Business Case'!E13*$D623-'Business Case'!E14*$E623))*'Business Case'!$B$7-'Business Case'!$B$8*(('Business Case'!E11*$C623*'Business Case'!E12*$B623)-('Business Case'!D11*$C623*'Business Case'!D12*$B623))-'Business Case'!E15*$F623</f>
        <v>599464341.142638</v>
      </c>
      <c r="L623" s="39" t="n">
        <f aca="false">(('Business Case'!F11*$C623*'Business Case'!F12*$B623)-'Business Case'!F11*$C623*'Business Case'!F13*$D623-'Business Case'!F14*$E623)-MAX(0,(('Business Case'!F11*$C623*'Business Case'!F12*$B623)-'Business Case'!F11*$C623*'Business Case'!F13*$D623-'Business Case'!F14*$E623))*'Business Case'!$B$7-'Business Case'!$B$8*(('Business Case'!F11*$C623*'Business Case'!F12*$B623)-('Business Case'!E11*$C623*'Business Case'!E12*$B623))-'Business Case'!F15*$F623</f>
        <v>724561183.246773</v>
      </c>
      <c r="M623" s="39" t="n">
        <f aca="false">(('Business Case'!G11*$C623*'Business Case'!G12*$B623)-'Business Case'!G11*$C623*'Business Case'!G13*$D623-'Business Case'!G14*$E623)-MAX(0,(('Business Case'!G11*$C623*'Business Case'!G12*$B623)-'Business Case'!G11*$C623*'Business Case'!G13*$D623-'Business Case'!G14*$E623))*'Business Case'!$B$7-'Business Case'!$B$8*(('Business Case'!G11*$C623*'Business Case'!G12*$B623)-('Business Case'!F11*$C623*'Business Case'!F12*$B623))-'Business Case'!G15*$F623+'Business Case'!$B$8*('Business Case'!G11*$C623*'Business Case'!G12*$B623)</f>
        <v>894262547.798227</v>
      </c>
      <c r="N623" s="39" t="n">
        <f aca="false">IF(COUNT('Business Case'!B11:G11)=0,"",H623+NPV(G623,I623:M623))</f>
        <v>-492922049.291944</v>
      </c>
      <c r="P623" s="40" t="n">
        <f aca="true">RAND()</f>
        <v>0.73062799977858</v>
      </c>
      <c r="Q623" s="40" t="n">
        <f aca="true">RAND()</f>
        <v>0.113653888581158</v>
      </c>
      <c r="R623" s="40" t="n">
        <f aca="true">RAND()</f>
        <v>0.192352869006752</v>
      </c>
      <c r="S623" s="40" t="n">
        <f aca="true">RAND()</f>
        <v>0.707434469439024</v>
      </c>
      <c r="T623" s="40" t="n">
        <f aca="true">RAND()</f>
        <v>0.833069454987998</v>
      </c>
      <c r="U623" s="40" t="n">
        <f aca="true">RAND()</f>
        <v>0.0985000071896503</v>
      </c>
    </row>
    <row r="624" customFormat="false" ht="15" hidden="false" customHeight="false" outlineLevel="0" collapsed="false">
      <c r="A624" s="36" t="n">
        <v>544</v>
      </c>
      <c r="B624" s="37" t="n">
        <f aca="false">1+IF($G$6=$E$6,$F$6,IF(P624&lt;($F$6-$E$6)/($G$6-$E$6),$E$6+SQRT(P624*($G$6-$E$6)*($F$6-$E$6)),$G$6-SQRT((1-P624)*($G$6-$E$6)*($G$6-$F$6))))</f>
        <v>0.994335133982935</v>
      </c>
      <c r="C624" s="37" t="n">
        <f aca="false">1+IF($G$7=$E$7,$F$7,IF(Q624&lt;($F$7-$E$7)/($G$7-$E$7),$E$7+SQRT(Q624*($G$7-$E$7)*($F$7-$E$7)),$G$7-SQRT((1-Q624)*($G$7-$E$7)*($G$7-$F$7))))</f>
        <v>0.921791253752415</v>
      </c>
      <c r="D624" s="37" t="n">
        <f aca="false">1+IF($G$8=$E$8,$F$8,IF(R624&lt;($F$8-$E$8)/($G$8-$E$8),$E$8+SQRT(R624*($G$8-$E$8)*($F$8-$E$8)),$G$8-SQRT((1-R624)*($G$8-$E$8)*($G$8-$F$8))))</f>
        <v>1.01591727040707</v>
      </c>
      <c r="E624" s="37" t="n">
        <f aca="false">1+IF($G$9=$E$9,$F$9,IF(S624&lt;($F$9-$E$9)/($G$9-$E$9),$E$9+SQRT(S624*($G$9-$E$9)*($F$9-$E$9)),$G$9-SQRT((1-S624)*($G$9-$E$9)*($G$9-$F$9))))</f>
        <v>0.991617844808075</v>
      </c>
      <c r="F624" s="37" t="n">
        <f aca="false">1+IF($G$10=$E$10,$F$10,IF(T624&lt;($F$10-$E$10)/($G$10-$E$10),$E$10+SQRT(T624*($G$10-$E$10)*($F$10-$E$10)),$G$10-SQRT((1-T624)*($G$10-$E$10)*($G$10-$F$10))))</f>
        <v>0.986211405175219</v>
      </c>
      <c r="G624" s="38" t="n">
        <f aca="false">IF($G$11=$E$11,$F$11,IF(U624&lt;($F$11-$E$11)/($G$11-$E$11),$E$11+SQRT(U624*($G$11-$E$11)*($F$11-$E$11)),$G$11-SQRT((1-U624)*($G$11-$E$11)*($G$11-$F$11))))</f>
        <v>0.0997453852345519</v>
      </c>
      <c r="H624" s="39" t="n">
        <f aca="false">(('Business Case'!B11*$C624*'Business Case'!B12*$B624)-'Business Case'!B11*$C624*'Business Case'!B13*$D624-'Business Case'!B14*$E624)-MAX(0,(('Business Case'!B11*$C624*'Business Case'!B12*$B624)-'Business Case'!B11*$C624*'Business Case'!B13*$D624-'Business Case'!B14*$E624))*'Business Case'!$B$7-'Business Case'!$B$8*('Business Case'!B11*$C624*'Business Case'!B12*$B624)-'Business Case'!B15*$F624</f>
        <v>-1972422810.35044</v>
      </c>
      <c r="I624" s="39" t="n">
        <f aca="false">(('Business Case'!C11*$C624*'Business Case'!C12*$B624)-'Business Case'!C11*$C624*'Business Case'!C13*$D624-'Business Case'!C14*$E624)-MAX(0,(('Business Case'!C11*$C624*'Business Case'!C12*$B624)-'Business Case'!C11*$C624*'Business Case'!C13*$D624-'Business Case'!C14*$E624))*'Business Case'!$B$7-'Business Case'!$B$8*(('Business Case'!C11*$C624*'Business Case'!C12*$B624)-('Business Case'!B11*$C624*'Business Case'!B12*$B624))-'Business Case'!C15*$F624</f>
        <v>-15802275.2407393</v>
      </c>
      <c r="J624" s="39" t="n">
        <f aca="false">(('Business Case'!D11*$C624*'Business Case'!D12*$B624)-'Business Case'!D11*$C624*'Business Case'!D13*$D624-'Business Case'!D14*$E624)-MAX(0,(('Business Case'!D11*$C624*'Business Case'!D12*$B624)-'Business Case'!D11*$C624*'Business Case'!D13*$D624-'Business Case'!D14*$E624))*'Business Case'!$B$7-'Business Case'!$B$8*(('Business Case'!D11*$C624*'Business Case'!D12*$B624)-('Business Case'!C11*$C624*'Business Case'!C12*$B624))-'Business Case'!D15*$F624</f>
        <v>255539606.808802</v>
      </c>
      <c r="K624" s="39" t="n">
        <f aca="false">(('Business Case'!E11*$C624*'Business Case'!E12*$B624)-'Business Case'!E11*$C624*'Business Case'!E13*$D624-'Business Case'!E14*$E624)-MAX(0,(('Business Case'!E11*$C624*'Business Case'!E12*$B624)-'Business Case'!E11*$C624*'Business Case'!E13*$D624-'Business Case'!E14*$E624))*'Business Case'!$B$7-'Business Case'!$B$8*(('Business Case'!E11*$C624*'Business Case'!E12*$B624)-('Business Case'!D11*$C624*'Business Case'!D12*$B624))-'Business Case'!E15*$F624</f>
        <v>576192059.117103</v>
      </c>
      <c r="L624" s="39" t="n">
        <f aca="false">(('Business Case'!F11*$C624*'Business Case'!F12*$B624)-'Business Case'!F11*$C624*'Business Case'!F13*$D624-'Business Case'!F14*$E624)-MAX(0,(('Business Case'!F11*$C624*'Business Case'!F12*$B624)-'Business Case'!F11*$C624*'Business Case'!F13*$D624-'Business Case'!F14*$E624))*'Business Case'!$B$7-'Business Case'!$B$8*(('Business Case'!F11*$C624*'Business Case'!F12*$B624)-('Business Case'!E11*$C624*'Business Case'!E12*$B624))-'Business Case'!F15*$F624</f>
        <v>698315992.62765</v>
      </c>
      <c r="M624" s="39" t="n">
        <f aca="false">(('Business Case'!G11*$C624*'Business Case'!G12*$B624)-'Business Case'!G11*$C624*'Business Case'!G13*$D624-'Business Case'!G14*$E624)-MAX(0,(('Business Case'!G11*$C624*'Business Case'!G12*$B624)-'Business Case'!G11*$C624*'Business Case'!G13*$D624-'Business Case'!G14*$E624))*'Business Case'!$B$7-'Business Case'!$B$8*(('Business Case'!G11*$C624*'Business Case'!G12*$B624)-('Business Case'!F11*$C624*'Business Case'!F12*$B624))-'Business Case'!G15*$F624+'Business Case'!$B$8*('Business Case'!G11*$C624*'Business Case'!G12*$B624)</f>
        <v>872537509.844834</v>
      </c>
      <c r="N624" s="39" t="n">
        <f aca="false">IF(COUNT('Business Case'!B11:G11)=0,"",H624+NPV(G624,I624:M624))</f>
        <v>-322496233.341512</v>
      </c>
      <c r="P624" s="40" t="n">
        <f aca="true">RAND()</f>
        <v>0.575595015027174</v>
      </c>
      <c r="Q624" s="40" t="n">
        <f aca="true">RAND()</f>
        <v>0.211901564151215</v>
      </c>
      <c r="R624" s="40" t="n">
        <f aca="true">RAND()</f>
        <v>0.605134977684596</v>
      </c>
      <c r="S624" s="40" t="n">
        <f aca="true">RAND()</f>
        <v>0.230939334195872</v>
      </c>
      <c r="T624" s="40" t="n">
        <f aca="true">RAND()</f>
        <v>0.104901269181112</v>
      </c>
      <c r="U624" s="40" t="n">
        <f aca="true">RAND()</f>
        <v>0.316575111232741</v>
      </c>
    </row>
    <row r="625" customFormat="false" ht="15" hidden="false" customHeight="false" outlineLevel="0" collapsed="false">
      <c r="A625" s="36" t="n">
        <v>545</v>
      </c>
      <c r="B625" s="37" t="n">
        <f aca="false">1+IF($G$6=$E$6,$F$6,IF(P625&lt;($F$6-$E$6)/($G$6-$E$6),$E$6+SQRT(P625*($G$6-$E$6)*($F$6-$E$6)),$G$6-SQRT((1-P625)*($G$6-$E$6)*($G$6-$F$6))))</f>
        <v>0.976702409747428</v>
      </c>
      <c r="C625" s="37" t="n">
        <f aca="false">1+IF($G$7=$E$7,$F$7,IF(Q625&lt;($F$7-$E$7)/($G$7-$E$7),$E$7+SQRT(Q625*($G$7-$E$7)*($F$7-$E$7)),$G$7-SQRT((1-Q625)*($G$7-$E$7)*($G$7-$F$7))))</f>
        <v>1.00607921773667</v>
      </c>
      <c r="D625" s="37" t="n">
        <f aca="false">1+IF($G$8=$E$8,$F$8,IF(R625&lt;($F$8-$E$8)/($G$8-$E$8),$E$8+SQRT(R625*($G$8-$E$8)*($F$8-$E$8)),$G$8-SQRT((1-R625)*($G$8-$E$8)*($G$8-$F$8))))</f>
        <v>0.989859215194762</v>
      </c>
      <c r="E625" s="37" t="n">
        <f aca="false">1+IF($G$9=$E$9,$F$9,IF(S625&lt;($F$9-$E$9)/($G$9-$E$9),$E$9+SQRT(S625*($G$9-$E$9)*($F$9-$E$9)),$G$9-SQRT((1-S625)*($G$9-$E$9)*($G$9-$F$9))))</f>
        <v>0.977733399260502</v>
      </c>
      <c r="F625" s="37" t="n">
        <f aca="false">1+IF($G$10=$E$10,$F$10,IF(T625&lt;($F$10-$E$10)/($G$10-$E$10),$E$10+SQRT(T625*($G$10-$E$10)*($F$10-$E$10)),$G$10-SQRT((1-T625)*($G$10-$E$10)*($G$10-$F$10))))</f>
        <v>1.04662639317639</v>
      </c>
      <c r="G625" s="38" t="n">
        <f aca="false">IF($G$11=$E$11,$F$11,IF(U625&lt;($F$11-$E$11)/($G$11-$E$11),$E$11+SQRT(U625*($G$11-$E$11)*($F$11-$E$11)),$G$11-SQRT((1-U625)*($G$11-$E$11)*($G$11-$F$11))))</f>
        <v>0.0954800462506993</v>
      </c>
      <c r="H625" s="39" t="n">
        <f aca="false">(('Business Case'!B11*$C625*'Business Case'!B12*$B625)-'Business Case'!B11*$C625*'Business Case'!B13*$D625-'Business Case'!B14*$E625)-MAX(0,(('Business Case'!B11*$C625*'Business Case'!B12*$B625)-'Business Case'!B11*$C625*'Business Case'!B13*$D625-'Business Case'!B14*$E625))*'Business Case'!$B$7-'Business Case'!$B$8*('Business Case'!B11*$C625*'Business Case'!B12*$B625)-'Business Case'!B15*$F625</f>
        <v>-2093252786.35279</v>
      </c>
      <c r="I625" s="39" t="n">
        <f aca="false">(('Business Case'!C11*$C625*'Business Case'!C12*$B625)-'Business Case'!C11*$C625*'Business Case'!C13*$D625-'Business Case'!C14*$E625)-MAX(0,(('Business Case'!C11*$C625*'Business Case'!C12*$B625)-'Business Case'!C11*$C625*'Business Case'!C13*$D625-'Business Case'!C14*$E625))*'Business Case'!$B$7-'Business Case'!$B$8*(('Business Case'!C11*$C625*'Business Case'!C12*$B625)-('Business Case'!B11*$C625*'Business Case'!B12*$B625))-'Business Case'!C15*$F625</f>
        <v>407277.272746056</v>
      </c>
      <c r="J625" s="39" t="n">
        <f aca="false">(('Business Case'!D11*$C625*'Business Case'!D12*$B625)-'Business Case'!D11*$C625*'Business Case'!D13*$D625-'Business Case'!D14*$E625)-MAX(0,(('Business Case'!D11*$C625*'Business Case'!D12*$B625)-'Business Case'!D11*$C625*'Business Case'!D13*$D625-'Business Case'!D14*$E625))*'Business Case'!$B$7-'Business Case'!$B$8*(('Business Case'!D11*$C625*'Business Case'!D12*$B625)-('Business Case'!C11*$C625*'Business Case'!C12*$B625))-'Business Case'!D15*$F625</f>
        <v>295450940.649288</v>
      </c>
      <c r="K625" s="39" t="n">
        <f aca="false">(('Business Case'!E11*$C625*'Business Case'!E12*$B625)-'Business Case'!E11*$C625*'Business Case'!E13*$D625-'Business Case'!E14*$E625)-MAX(0,(('Business Case'!E11*$C625*'Business Case'!E12*$B625)-'Business Case'!E11*$C625*'Business Case'!E13*$D625-'Business Case'!E14*$E625))*'Business Case'!$B$7-'Business Case'!$B$8*(('Business Case'!E11*$C625*'Business Case'!E12*$B625)-('Business Case'!D11*$C625*'Business Case'!D12*$B625))-'Business Case'!E15*$F625</f>
        <v>642825923.684651</v>
      </c>
      <c r="L625" s="39" t="n">
        <f aca="false">(('Business Case'!F11*$C625*'Business Case'!F12*$B625)-'Business Case'!F11*$C625*'Business Case'!F13*$D625-'Business Case'!F14*$E625)-MAX(0,(('Business Case'!F11*$C625*'Business Case'!F12*$B625)-'Business Case'!F11*$C625*'Business Case'!F13*$D625-'Business Case'!F14*$E625))*'Business Case'!$B$7-'Business Case'!$B$8*(('Business Case'!F11*$C625*'Business Case'!F12*$B625)-('Business Case'!E11*$C625*'Business Case'!E12*$B625))-'Business Case'!F15*$F625</f>
        <v>775133849.75104</v>
      </c>
      <c r="M625" s="39" t="n">
        <f aca="false">(('Business Case'!G11*$C625*'Business Case'!G12*$B625)-'Business Case'!G11*$C625*'Business Case'!G13*$D625-'Business Case'!G14*$E625)-MAX(0,(('Business Case'!G11*$C625*'Business Case'!G12*$B625)-'Business Case'!G11*$C625*'Business Case'!G13*$D625-'Business Case'!G14*$E625))*'Business Case'!$B$7-'Business Case'!$B$8*(('Business Case'!G11*$C625*'Business Case'!G12*$B625)-('Business Case'!F11*$C625*'Business Case'!F12*$B625))-'Business Case'!G15*$F625+'Business Case'!$B$8*('Business Case'!G11*$C625*'Business Case'!G12*$B625)</f>
        <v>961914060.259189</v>
      </c>
      <c r="N625" s="39" t="n">
        <f aca="false">IF(COUNT('Business Case'!B11:G11)=0,"",H625+NPV(G625,I625:M625))</f>
        <v>-209804577.879882</v>
      </c>
      <c r="P625" s="40" t="n">
        <f aca="true">RAND()</f>
        <v>0.33491284074638</v>
      </c>
      <c r="Q625" s="40" t="n">
        <f aca="true">RAND()</f>
        <v>0.605463017765918</v>
      </c>
      <c r="R625" s="40" t="n">
        <f aca="true">RAND()</f>
        <v>0.244424159375747</v>
      </c>
      <c r="S625" s="40" t="n">
        <f aca="true">RAND()</f>
        <v>0.102552191272324</v>
      </c>
      <c r="T625" s="40" t="n">
        <f aca="true">RAND()</f>
        <v>0.529530734598356</v>
      </c>
      <c r="U625" s="40" t="n">
        <f aca="true">RAND()</f>
        <v>0.100103023032677</v>
      </c>
    </row>
    <row r="626" customFormat="false" ht="15" hidden="false" customHeight="false" outlineLevel="0" collapsed="false">
      <c r="A626" s="36" t="n">
        <v>546</v>
      </c>
      <c r="B626" s="37" t="n">
        <f aca="false">1+IF($G$6=$E$6,$F$6,IF(P626&lt;($F$6-$E$6)/($G$6-$E$6),$E$6+SQRT(P626*($G$6-$E$6)*($F$6-$E$6)),$G$6-SQRT((1-P626)*($G$6-$E$6)*($G$6-$F$6))))</f>
        <v>0.987469158725286</v>
      </c>
      <c r="C626" s="37" t="n">
        <f aca="false">1+IF($G$7=$E$7,$F$7,IF(Q626&lt;($F$7-$E$7)/($G$7-$E$7),$E$7+SQRT(Q626*($G$7-$E$7)*($F$7-$E$7)),$G$7-SQRT((1-Q626)*($G$7-$E$7)*($G$7-$F$7))))</f>
        <v>0.864438666254811</v>
      </c>
      <c r="D626" s="37" t="n">
        <f aca="false">1+IF($G$8=$E$8,$F$8,IF(R626&lt;($F$8-$E$8)/($G$8-$E$8),$E$8+SQRT(R626*($G$8-$E$8)*($F$8-$E$8)),$G$8-SQRT((1-R626)*($G$8-$E$8)*($G$8-$F$8))))</f>
        <v>1.02936333385656</v>
      </c>
      <c r="E626" s="37" t="n">
        <f aca="false">1+IF($G$9=$E$9,$F$9,IF(S626&lt;($F$9-$E$9)/($G$9-$E$9),$E$9+SQRT(S626*($G$9-$E$9)*($F$9-$E$9)),$G$9-SQRT((1-S626)*($G$9-$E$9)*($G$9-$F$9))))</f>
        <v>1.06447913986975</v>
      </c>
      <c r="F626" s="37" t="n">
        <f aca="false">1+IF($G$10=$E$10,$F$10,IF(T626&lt;($F$10-$E$10)/($G$10-$E$10),$E$10+SQRT(T626*($G$10-$E$10)*($F$10-$E$10)),$G$10-SQRT((1-T626)*($G$10-$E$10)*($G$10-$F$10))))</f>
        <v>0.988078858062658</v>
      </c>
      <c r="G626" s="38" t="n">
        <f aca="false">IF($G$11=$E$11,$F$11,IF(U626&lt;($F$11-$E$11)/($G$11-$E$11),$E$11+SQRT(U626*($G$11-$E$11)*($F$11-$E$11)),$G$11-SQRT((1-U626)*($G$11-$E$11)*($G$11-$F$11))))</f>
        <v>0.108493927828855</v>
      </c>
      <c r="H626" s="39" t="n">
        <f aca="false">(('Business Case'!B11*$C626*'Business Case'!B12*$B626)-'Business Case'!B11*$C626*'Business Case'!B13*$D626-'Business Case'!B14*$E626)-MAX(0,(('Business Case'!B11*$C626*'Business Case'!B12*$B626)-'Business Case'!B11*$C626*'Business Case'!B13*$D626-'Business Case'!B14*$E626))*'Business Case'!$B$7-'Business Case'!$B$8*('Business Case'!B11*$C626*'Business Case'!B12*$B626)-'Business Case'!B15*$F626</f>
        <v>-1976157716.12532</v>
      </c>
      <c r="I626" s="39" t="n">
        <f aca="false">(('Business Case'!C11*$C626*'Business Case'!C12*$B626)-'Business Case'!C11*$C626*'Business Case'!C13*$D626-'Business Case'!C14*$E626)-MAX(0,(('Business Case'!C11*$C626*'Business Case'!C12*$B626)-'Business Case'!C11*$C626*'Business Case'!C13*$D626-'Business Case'!C14*$E626))*'Business Case'!$B$7-'Business Case'!$B$8*(('Business Case'!C11*$C626*'Business Case'!C12*$B626)-('Business Case'!B11*$C626*'Business Case'!B12*$B626))-'Business Case'!C15*$F626</f>
        <v>-50779985.5940332</v>
      </c>
      <c r="J626" s="39" t="n">
        <f aca="false">(('Business Case'!D11*$C626*'Business Case'!D12*$B626)-'Business Case'!D11*$C626*'Business Case'!D13*$D626-'Business Case'!D14*$E626)-MAX(0,(('Business Case'!D11*$C626*'Business Case'!D12*$B626)-'Business Case'!D11*$C626*'Business Case'!D13*$D626-'Business Case'!D14*$E626))*'Business Case'!$B$7-'Business Case'!$B$8*(('Business Case'!D11*$C626*'Business Case'!D12*$B626)-('Business Case'!C11*$C626*'Business Case'!C12*$B626))-'Business Case'!D15*$F626</f>
        <v>192867810.435956</v>
      </c>
      <c r="K626" s="39" t="n">
        <f aca="false">(('Business Case'!E11*$C626*'Business Case'!E12*$B626)-'Business Case'!E11*$C626*'Business Case'!E13*$D626-'Business Case'!E14*$E626)-MAX(0,(('Business Case'!E11*$C626*'Business Case'!E12*$B626)-'Business Case'!E11*$C626*'Business Case'!E13*$D626-'Business Case'!E14*$E626))*'Business Case'!$B$7-'Business Case'!$B$8*(('Business Case'!E11*$C626*'Business Case'!E12*$B626)-('Business Case'!D11*$C626*'Business Case'!D12*$B626))-'Business Case'!E15*$F626</f>
        <v>485919549.369078</v>
      </c>
      <c r="L626" s="39" t="n">
        <f aca="false">(('Business Case'!F11*$C626*'Business Case'!F12*$B626)-'Business Case'!F11*$C626*'Business Case'!F13*$D626-'Business Case'!F14*$E626)-MAX(0,(('Business Case'!F11*$C626*'Business Case'!F12*$B626)-'Business Case'!F11*$C626*'Business Case'!F13*$D626-'Business Case'!F14*$E626))*'Business Case'!$B$7-'Business Case'!$B$8*(('Business Case'!F11*$C626*'Business Case'!F12*$B626)-('Business Case'!E11*$C626*'Business Case'!E12*$B626))-'Business Case'!F15*$F626</f>
        <v>596636122.797927</v>
      </c>
      <c r="M626" s="39" t="n">
        <f aca="false">(('Business Case'!G11*$C626*'Business Case'!G12*$B626)-'Business Case'!G11*$C626*'Business Case'!G13*$D626-'Business Case'!G14*$E626)-MAX(0,(('Business Case'!G11*$C626*'Business Case'!G12*$B626)-'Business Case'!G11*$C626*'Business Case'!G13*$D626-'Business Case'!G14*$E626))*'Business Case'!$B$7-'Business Case'!$B$8*(('Business Case'!G11*$C626*'Business Case'!G12*$B626)-('Business Case'!F11*$C626*'Business Case'!F12*$B626))-'Business Case'!G15*$F626+'Business Case'!$B$8*('Business Case'!G11*$C626*'Business Case'!G12*$B626)</f>
        <v>758889650.601617</v>
      </c>
      <c r="N626" s="39" t="n">
        <f aca="false">IF(COUNT('Business Case'!B11:G11)=0,"",H626+NPV(G626,I626:M626))</f>
        <v>-659660897.101089</v>
      </c>
      <c r="P626" s="40" t="n">
        <f aca="true">RAND()</f>
        <v>0.474175768656025</v>
      </c>
      <c r="Q626" s="40" t="n">
        <f aca="true">RAND()</f>
        <v>0.0593191672671273</v>
      </c>
      <c r="R626" s="40" t="n">
        <f aca="true">RAND()</f>
        <v>0.753454619411329</v>
      </c>
      <c r="S626" s="40" t="n">
        <f aca="true">RAND()</f>
        <v>0.915884566373791</v>
      </c>
      <c r="T626" s="40" t="n">
        <f aca="true">RAND()</f>
        <v>0.115999954508482</v>
      </c>
      <c r="U626" s="40" t="n">
        <f aca="true">RAND()</f>
        <v>0.779350505320671</v>
      </c>
    </row>
    <row r="627" customFormat="false" ht="15" hidden="false" customHeight="false" outlineLevel="0" collapsed="false">
      <c r="A627" s="36" t="n">
        <v>547</v>
      </c>
      <c r="B627" s="37" t="n">
        <f aca="false">1+IF($G$6=$E$6,$F$6,IF(P627&lt;($F$6-$E$6)/($G$6-$E$6),$E$6+SQRT(P627*($G$6-$E$6)*($F$6-$E$6)),$G$6-SQRT((1-P627)*($G$6-$E$6)*($G$6-$F$6))))</f>
        <v>1.00934433895528</v>
      </c>
      <c r="C627" s="37" t="n">
        <f aca="false">1+IF($G$7=$E$7,$F$7,IF(Q627&lt;($F$7-$E$7)/($G$7-$E$7),$E$7+SQRT(Q627*($G$7-$E$7)*($F$7-$E$7)),$G$7-SQRT((1-Q627)*($G$7-$E$7)*($G$7-$F$7))))</f>
        <v>0.978538695309299</v>
      </c>
      <c r="D627" s="37" t="n">
        <f aca="false">1+IF($G$8=$E$8,$F$8,IF(R627&lt;($F$8-$E$8)/($G$8-$E$8),$E$8+SQRT(R627*($G$8-$E$8)*($F$8-$E$8)),$G$8-SQRT((1-R627)*($G$8-$E$8)*($G$8-$F$8))))</f>
        <v>0.989083881305799</v>
      </c>
      <c r="E627" s="37" t="n">
        <f aca="false">1+IF($G$9=$E$9,$F$9,IF(S627&lt;($F$9-$E$9)/($G$9-$E$9),$E$9+SQRT(S627*($G$9-$E$9)*($F$9-$E$9)),$G$9-SQRT((1-S627)*($G$9-$E$9)*($G$9-$F$9))))</f>
        <v>1.08344741356581</v>
      </c>
      <c r="F627" s="37" t="n">
        <f aca="false">1+IF($G$10=$E$10,$F$10,IF(T627&lt;($F$10-$E$10)/($G$10-$E$10),$E$10+SQRT(T627*($G$10-$E$10)*($F$10-$E$10)),$G$10-SQRT((1-T627)*($G$10-$E$10)*($G$10-$F$10))))</f>
        <v>0.990105994582094</v>
      </c>
      <c r="G627" s="38" t="n">
        <f aca="false">IF($G$11=$E$11,$F$11,IF(U627&lt;($F$11-$E$11)/($G$11-$E$11),$E$11+SQRT(U627*($G$11-$E$11)*($F$11-$E$11)),$G$11-SQRT((1-U627)*($G$11-$E$11)*($G$11-$F$11))))</f>
        <v>0.118572630828486</v>
      </c>
      <c r="H627" s="39" t="n">
        <f aca="false">(('Business Case'!B11*$C627*'Business Case'!B12*$B627)-'Business Case'!B11*$C627*'Business Case'!B13*$D627-'Business Case'!B14*$E627)-MAX(0,(('Business Case'!B11*$C627*'Business Case'!B12*$B627)-'Business Case'!B11*$C627*'Business Case'!B13*$D627-'Business Case'!B14*$E627))*'Business Case'!$B$7-'Business Case'!$B$8*('Business Case'!B11*$C627*'Business Case'!B12*$B627)-'Business Case'!B15*$F627</f>
        <v>-1980211989.16419</v>
      </c>
      <c r="I627" s="39" t="n">
        <f aca="false">(('Business Case'!C11*$C627*'Business Case'!C12*$B627)-'Business Case'!C11*$C627*'Business Case'!C13*$D627-'Business Case'!C14*$E627)-MAX(0,(('Business Case'!C11*$C627*'Business Case'!C12*$B627)-'Business Case'!C11*$C627*'Business Case'!C13*$D627-'Business Case'!C14*$E627))*'Business Case'!$B$7-'Business Case'!$B$8*(('Business Case'!C11*$C627*'Business Case'!C12*$B627)-('Business Case'!B11*$C627*'Business Case'!B12*$B627))-'Business Case'!C15*$F627</f>
        <v>9239513.42052978</v>
      </c>
      <c r="J627" s="39" t="n">
        <f aca="false">(('Business Case'!D11*$C627*'Business Case'!D12*$B627)-'Business Case'!D11*$C627*'Business Case'!D13*$D627-'Business Case'!D14*$E627)-MAX(0,(('Business Case'!D11*$C627*'Business Case'!D12*$B627)-'Business Case'!D11*$C627*'Business Case'!D13*$D627-'Business Case'!D14*$E627))*'Business Case'!$B$7-'Business Case'!$B$8*(('Business Case'!D11*$C627*'Business Case'!D12*$B627)-('Business Case'!C11*$C627*'Business Case'!C12*$B627))-'Business Case'!D15*$F627</f>
        <v>322757308.922593</v>
      </c>
      <c r="K627" s="39" t="n">
        <f aca="false">(('Business Case'!E11*$C627*'Business Case'!E12*$B627)-'Business Case'!E11*$C627*'Business Case'!E13*$D627-'Business Case'!E14*$E627)-MAX(0,(('Business Case'!E11*$C627*'Business Case'!E12*$B627)-'Business Case'!E11*$C627*'Business Case'!E13*$D627-'Business Case'!E14*$E627))*'Business Case'!$B$7-'Business Case'!$B$8*(('Business Case'!E11*$C627*'Business Case'!E12*$B627)-('Business Case'!D11*$C627*'Business Case'!D12*$B627))-'Business Case'!E15*$F627</f>
        <v>685780404.153761</v>
      </c>
      <c r="L627" s="39" t="n">
        <f aca="false">(('Business Case'!F11*$C627*'Business Case'!F12*$B627)-'Business Case'!F11*$C627*'Business Case'!F13*$D627-'Business Case'!F14*$E627)-MAX(0,(('Business Case'!F11*$C627*'Business Case'!F12*$B627)-'Business Case'!F11*$C627*'Business Case'!F13*$D627-'Business Case'!F14*$E627))*'Business Case'!$B$7-'Business Case'!$B$8*(('Business Case'!F11*$C627*'Business Case'!F12*$B627)-('Business Case'!E11*$C627*'Business Case'!E12*$B627))-'Business Case'!F15*$F627</f>
        <v>824420642.930625</v>
      </c>
      <c r="M627" s="39" t="n">
        <f aca="false">(('Business Case'!G11*$C627*'Business Case'!G12*$B627)-'Business Case'!G11*$C627*'Business Case'!G13*$D627-'Business Case'!G14*$E627)-MAX(0,(('Business Case'!G11*$C627*'Business Case'!G12*$B627)-'Business Case'!G11*$C627*'Business Case'!G13*$D627-'Business Case'!G14*$E627))*'Business Case'!$B$7-'Business Case'!$B$8*(('Business Case'!G11*$C627*'Business Case'!G12*$B627)-('Business Case'!F11*$C627*'Business Case'!F12*$B627))-'Business Case'!G15*$F627+'Business Case'!$B$8*('Business Case'!G11*$C627*'Business Case'!G12*$B627)</f>
        <v>1012159331.11626</v>
      </c>
      <c r="N627" s="39" t="n">
        <f aca="false">IF(COUNT('Business Case'!B11:G11)=0,"",H627+NPV(G627,I627:M627))</f>
        <v>-119384926.223468</v>
      </c>
      <c r="P627" s="40" t="n">
        <f aca="true">RAND()</f>
        <v>0.804214676231558</v>
      </c>
      <c r="Q627" s="40" t="n">
        <f aca="true">RAND()</f>
        <v>0.455372367467811</v>
      </c>
      <c r="R627" s="40" t="n">
        <f aca="true">RAND()</f>
        <v>0.235007658142428</v>
      </c>
      <c r="S627" s="40" t="n">
        <f aca="true">RAND()</f>
        <v>0.981734125489251</v>
      </c>
      <c r="T627" s="40" t="n">
        <f aca="true">RAND()</f>
        <v>0.128679264113514</v>
      </c>
      <c r="U627" s="40" t="n">
        <f aca="true">RAND()</f>
        <v>0.996604362080352</v>
      </c>
    </row>
    <row r="628" customFormat="false" ht="15" hidden="false" customHeight="false" outlineLevel="0" collapsed="false">
      <c r="A628" s="36" t="n">
        <v>548</v>
      </c>
      <c r="B628" s="37" t="n">
        <f aca="false">1+IF($G$6=$E$6,$F$6,IF(P628&lt;($F$6-$E$6)/($G$6-$E$6),$E$6+SQRT(P628*($G$6-$E$6)*($F$6-$E$6)),$G$6-SQRT((1-P628)*($G$6-$E$6)*($G$6-$F$6))))</f>
        <v>1.02189068437857</v>
      </c>
      <c r="C628" s="37" t="n">
        <f aca="false">1+IF($G$7=$E$7,$F$7,IF(Q628&lt;($F$7-$E$7)/($G$7-$E$7),$E$7+SQRT(Q628*($G$7-$E$7)*($F$7-$E$7)),$G$7-SQRT((1-Q628)*($G$7-$E$7)*($G$7-$F$7))))</f>
        <v>0.84174721013614</v>
      </c>
      <c r="D628" s="37" t="n">
        <f aca="false">1+IF($G$8=$E$8,$F$8,IF(R628&lt;($F$8-$E$8)/($G$8-$E$8),$E$8+SQRT(R628*($G$8-$E$8)*($F$8-$E$8)),$G$8-SQRT((1-R628)*($G$8-$E$8)*($G$8-$F$8))))</f>
        <v>0.987474898218407</v>
      </c>
      <c r="E628" s="37" t="n">
        <f aca="false">1+IF($G$9=$E$9,$F$9,IF(S628&lt;($F$9-$E$9)/($G$9-$E$9),$E$9+SQRT(S628*($G$9-$E$9)*($F$9-$E$9)),$G$9-SQRT((1-S628)*($G$9-$E$9)*($G$9-$F$9))))</f>
        <v>0.977998789699002</v>
      </c>
      <c r="F628" s="37" t="n">
        <f aca="false">1+IF($G$10=$E$10,$F$10,IF(T628&lt;($F$10-$E$10)/($G$10-$E$10),$E$10+SQRT(T628*($G$10-$E$10)*($F$10-$E$10)),$G$10-SQRT((1-T628)*($G$10-$E$10)*($G$10-$F$10))))</f>
        <v>1.00841425631709</v>
      </c>
      <c r="G628" s="38" t="n">
        <f aca="false">IF($G$11=$E$11,$F$11,IF(U628&lt;($F$11-$E$11)/($G$11-$E$11),$E$11+SQRT(U628*($G$11-$E$11)*($F$11-$E$11)),$G$11-SQRT((1-U628)*($G$11-$E$11)*($G$11-$F$11))))</f>
        <v>0.0970056149342533</v>
      </c>
      <c r="H628" s="39" t="n">
        <f aca="false">(('Business Case'!B11*$C628*'Business Case'!B12*$B628)-'Business Case'!B11*$C628*'Business Case'!B13*$D628-'Business Case'!B14*$E628)-MAX(0,(('Business Case'!B11*$C628*'Business Case'!B12*$B628)-'Business Case'!B11*$C628*'Business Case'!B13*$D628-'Business Case'!B14*$E628))*'Business Case'!$B$7-'Business Case'!$B$8*('Business Case'!B11*$C628*'Business Case'!B12*$B628)-'Business Case'!B15*$F628</f>
        <v>-2016828512.63419</v>
      </c>
      <c r="I628" s="39" t="n">
        <f aca="false">(('Business Case'!C11*$C628*'Business Case'!C12*$B628)-'Business Case'!C11*$C628*'Business Case'!C13*$D628-'Business Case'!C14*$E628)-MAX(0,(('Business Case'!C11*$C628*'Business Case'!C12*$B628)-'Business Case'!C11*$C628*'Business Case'!C13*$D628-'Business Case'!C14*$E628))*'Business Case'!$B$7-'Business Case'!$B$8*(('Business Case'!C11*$C628*'Business Case'!C12*$B628)-('Business Case'!B11*$C628*'Business Case'!B12*$B628))-'Business Case'!C15*$F628</f>
        <v>-5470191.88544168</v>
      </c>
      <c r="J628" s="39" t="n">
        <f aca="false">(('Business Case'!D11*$C628*'Business Case'!D12*$B628)-'Business Case'!D11*$C628*'Business Case'!D13*$D628-'Business Case'!D14*$E628)-MAX(0,(('Business Case'!D11*$C628*'Business Case'!D12*$B628)-'Business Case'!D11*$C628*'Business Case'!D13*$D628-'Business Case'!D14*$E628))*'Business Case'!$B$7-'Business Case'!$B$8*(('Business Case'!D11*$C628*'Business Case'!D12*$B628)-('Business Case'!C11*$C628*'Business Case'!C12*$B628))-'Business Case'!D15*$F628</f>
        <v>273563870.87207</v>
      </c>
      <c r="K628" s="39" t="n">
        <f aca="false">(('Business Case'!E11*$C628*'Business Case'!E12*$B628)-'Business Case'!E11*$C628*'Business Case'!E13*$D628-'Business Case'!E14*$E628)-MAX(0,(('Business Case'!E11*$C628*'Business Case'!E12*$B628)-'Business Case'!E11*$C628*'Business Case'!E13*$D628-'Business Case'!E14*$E628))*'Business Case'!$B$7-'Business Case'!$B$8*(('Business Case'!E11*$C628*'Business Case'!E12*$B628)-('Business Case'!D11*$C628*'Business Case'!D12*$B628))-'Business Case'!E15*$F628</f>
        <v>603018646.445437</v>
      </c>
      <c r="L628" s="39" t="n">
        <f aca="false">(('Business Case'!F11*$C628*'Business Case'!F12*$B628)-'Business Case'!F11*$C628*'Business Case'!F13*$D628-'Business Case'!F14*$E628)-MAX(0,(('Business Case'!F11*$C628*'Business Case'!F12*$B628)-'Business Case'!F11*$C628*'Business Case'!F13*$D628-'Business Case'!F14*$E628))*'Business Case'!$B$7-'Business Case'!$B$8*(('Business Case'!F11*$C628*'Business Case'!F12*$B628)-('Business Case'!E11*$C628*'Business Case'!E12*$B628))-'Business Case'!F15*$F628</f>
        <v>725757601.441971</v>
      </c>
      <c r="M628" s="39" t="n">
        <f aca="false">(('Business Case'!G11*$C628*'Business Case'!G12*$B628)-'Business Case'!G11*$C628*'Business Case'!G13*$D628-'Business Case'!G14*$E628)-MAX(0,(('Business Case'!G11*$C628*'Business Case'!G12*$B628)-'Business Case'!G11*$C628*'Business Case'!G13*$D628-'Business Case'!G14*$E628))*'Business Case'!$B$7-'Business Case'!$B$8*(('Business Case'!G11*$C628*'Business Case'!G12*$B628)-('Business Case'!F11*$C628*'Business Case'!F12*$B628))-'Business Case'!G15*$F628+'Business Case'!$B$8*('Business Case'!G11*$C628*'Business Case'!G12*$B628)</f>
        <v>889259405.534139</v>
      </c>
      <c r="N628" s="39" t="n">
        <f aca="false">IF(COUNT('Business Case'!B11:G11)=0,"",H628+NPV(G628,I628:M628))</f>
        <v>-276842316.198671</v>
      </c>
      <c r="P628" s="40" t="n">
        <f aca="true">RAND()</f>
        <v>0.931677643275717</v>
      </c>
      <c r="Q628" s="40" t="n">
        <f aca="true">RAND()</f>
        <v>0.0248975650593</v>
      </c>
      <c r="R628" s="40" t="n">
        <f aca="true">RAND()</f>
        <v>0.216056614843069</v>
      </c>
      <c r="S628" s="40" t="n">
        <f aca="true">RAND()</f>
        <v>0.104524296614528</v>
      </c>
      <c r="T628" s="40" t="n">
        <f aca="true">RAND()</f>
        <v>0.26589805634936</v>
      </c>
      <c r="U628" s="40" t="n">
        <f aca="true">RAND()</f>
        <v>0.16359546869011</v>
      </c>
    </row>
    <row r="629" customFormat="false" ht="15" hidden="false" customHeight="false" outlineLevel="0" collapsed="false">
      <c r="A629" s="36" t="n">
        <v>549</v>
      </c>
      <c r="B629" s="37" t="n">
        <f aca="false">1+IF($G$6=$E$6,$F$6,IF(P629&lt;($F$6-$E$6)/($G$6-$E$6),$E$6+SQRT(P629*($G$6-$E$6)*($F$6-$E$6)),$G$6-SQRT((1-P629)*($G$6-$E$6)*($G$6-$F$6))))</f>
        <v>0.957781475863197</v>
      </c>
      <c r="C629" s="37" t="n">
        <f aca="false">1+IF($G$7=$E$7,$F$7,IF(Q629&lt;($F$7-$E$7)/($G$7-$E$7),$E$7+SQRT(Q629*($G$7-$E$7)*($F$7-$E$7)),$G$7-SQRT((1-Q629)*($G$7-$E$7)*($G$7-$F$7))))</f>
        <v>0.835678327975651</v>
      </c>
      <c r="D629" s="37" t="n">
        <f aca="false">1+IF($G$8=$E$8,$F$8,IF(R629&lt;($F$8-$E$8)/($G$8-$E$8),$E$8+SQRT(R629*($G$8-$E$8)*($F$8-$E$8)),$G$8-SQRT((1-R629)*($G$8-$E$8)*($G$8-$F$8))))</f>
        <v>1.01559439540626</v>
      </c>
      <c r="E629" s="37" t="n">
        <f aca="false">1+IF($G$9=$E$9,$F$9,IF(S629&lt;($F$9-$E$9)/($G$9-$E$9),$E$9+SQRT(S629*($G$9-$E$9)*($F$9-$E$9)),$G$9-SQRT((1-S629)*($G$9-$E$9)*($G$9-$F$9))))</f>
        <v>1.0070075715856</v>
      </c>
      <c r="F629" s="37" t="n">
        <f aca="false">1+IF($G$10=$E$10,$F$10,IF(T629&lt;($F$10-$E$10)/($G$10-$E$10),$E$10+SQRT(T629*($G$10-$E$10)*($F$10-$E$10)),$G$10-SQRT((1-T629)*($G$10-$E$10)*($G$10-$F$10))))</f>
        <v>1.11684129642383</v>
      </c>
      <c r="G629" s="38" t="n">
        <f aca="false">IF($G$11=$E$11,$F$11,IF(U629&lt;($F$11-$E$11)/($G$11-$E$11),$E$11+SQRT(U629*($G$11-$E$11)*($F$11-$E$11)),$G$11-SQRT((1-U629)*($G$11-$E$11)*($G$11-$F$11))))</f>
        <v>0.0996082291202982</v>
      </c>
      <c r="H629" s="39" t="n">
        <f aca="false">(('Business Case'!B11*$C629*'Business Case'!B12*$B629)-'Business Case'!B11*$C629*'Business Case'!B13*$D629-'Business Case'!B14*$E629)-MAX(0,(('Business Case'!B11*$C629*'Business Case'!B12*$B629)-'Business Case'!B11*$C629*'Business Case'!B13*$D629-'Business Case'!B14*$E629))*'Business Case'!$B$7-'Business Case'!$B$8*('Business Case'!B11*$C629*'Business Case'!B12*$B629)-'Business Case'!B15*$F629</f>
        <v>-2233682592.84766</v>
      </c>
      <c r="I629" s="39" t="n">
        <f aca="false">(('Business Case'!C11*$C629*'Business Case'!C12*$B629)-'Business Case'!C11*$C629*'Business Case'!C13*$D629-'Business Case'!C14*$E629)-MAX(0,(('Business Case'!C11*$C629*'Business Case'!C12*$B629)-'Business Case'!C11*$C629*'Business Case'!C13*$D629-'Business Case'!C14*$E629))*'Business Case'!$B$7-'Business Case'!$B$8*(('Business Case'!C11*$C629*'Business Case'!C12*$B629)-('Business Case'!B11*$C629*'Business Case'!B12*$B629))-'Business Case'!C15*$F629</f>
        <v>-75261983.6745887</v>
      </c>
      <c r="J629" s="39" t="n">
        <f aca="false">(('Business Case'!D11*$C629*'Business Case'!D12*$B629)-'Business Case'!D11*$C629*'Business Case'!D13*$D629-'Business Case'!D14*$E629)-MAX(0,(('Business Case'!D11*$C629*'Business Case'!D12*$B629)-'Business Case'!D11*$C629*'Business Case'!D13*$D629-'Business Case'!D14*$E629))*'Business Case'!$B$7-'Business Case'!$B$8*(('Business Case'!D11*$C629*'Business Case'!D12*$B629)-('Business Case'!C11*$C629*'Business Case'!C12*$B629))-'Business Case'!D15*$F629</f>
        <v>145849230.977509</v>
      </c>
      <c r="K629" s="39" t="n">
        <f aca="false">(('Business Case'!E11*$C629*'Business Case'!E12*$B629)-'Business Case'!E11*$C629*'Business Case'!E13*$D629-'Business Case'!E14*$E629)-MAX(0,(('Business Case'!E11*$C629*'Business Case'!E12*$B629)-'Business Case'!E11*$C629*'Business Case'!E13*$D629-'Business Case'!E14*$E629))*'Business Case'!$B$7-'Business Case'!$B$8*(('Business Case'!E11*$C629*'Business Case'!E12*$B629)-('Business Case'!D11*$C629*'Business Case'!D12*$B629))-'Business Case'!E15*$F629</f>
        <v>422802510.450798</v>
      </c>
      <c r="L629" s="39" t="n">
        <f aca="false">(('Business Case'!F11*$C629*'Business Case'!F12*$B629)-'Business Case'!F11*$C629*'Business Case'!F13*$D629-'Business Case'!F14*$E629)-MAX(0,(('Business Case'!F11*$C629*'Business Case'!F12*$B629)-'Business Case'!F11*$C629*'Business Case'!F13*$D629-'Business Case'!F14*$E629))*'Business Case'!$B$7-'Business Case'!$B$8*(('Business Case'!F11*$C629*'Business Case'!F12*$B629)-('Business Case'!E11*$C629*'Business Case'!E12*$B629))-'Business Case'!F15*$F629</f>
        <v>524167976.671384</v>
      </c>
      <c r="M629" s="39" t="n">
        <f aca="false">(('Business Case'!G11*$C629*'Business Case'!G12*$B629)-'Business Case'!G11*$C629*'Business Case'!G13*$D629-'Business Case'!G14*$E629)-MAX(0,(('Business Case'!G11*$C629*'Business Case'!G12*$B629)-'Business Case'!G11*$C629*'Business Case'!G13*$D629-'Business Case'!G14*$E629))*'Business Case'!$B$7-'Business Case'!$B$8*(('Business Case'!G11*$C629*'Business Case'!G12*$B629)-('Business Case'!F11*$C629*'Business Case'!F12*$B629))-'Business Case'!G15*$F629+'Business Case'!$B$8*('Business Case'!G11*$C629*'Business Case'!G12*$B629)</f>
        <v>676307480.689097</v>
      </c>
      <c r="N629" s="39" t="n">
        <f aca="false">IF(COUNT('Business Case'!B11:G11)=0,"",H629+NPV(G629,I629:M629))</f>
        <v>-1084300449.44166</v>
      </c>
      <c r="P629" s="40" t="n">
        <f aca="true">RAND()</f>
        <v>0.148691658166809</v>
      </c>
      <c r="Q629" s="40" t="n">
        <f aca="true">RAND()</f>
        <v>0.0181849012448298</v>
      </c>
      <c r="R629" s="40" t="n">
        <f aca="true">RAND()</f>
        <v>0.601145970857235</v>
      </c>
      <c r="S629" s="40" t="n">
        <f aca="true">RAND()</f>
        <v>0.423493883839533</v>
      </c>
      <c r="T629" s="40" t="n">
        <f aca="true">RAND()</f>
        <v>0.861692600390611</v>
      </c>
      <c r="U629" s="40" t="n">
        <f aca="true">RAND()</f>
        <v>0.307726889427155</v>
      </c>
    </row>
    <row r="630" customFormat="false" ht="15" hidden="false" customHeight="false" outlineLevel="0" collapsed="false">
      <c r="A630" s="36" t="n">
        <v>550</v>
      </c>
      <c r="B630" s="37" t="n">
        <f aca="false">1+IF($G$6=$E$6,$F$6,IF(P630&lt;($F$6-$E$6)/($G$6-$E$6),$E$6+SQRT(P630*($G$6-$E$6)*($F$6-$E$6)),$G$6-SQRT((1-P630)*($G$6-$E$6)*($G$6-$F$6))))</f>
        <v>1.00663920332132</v>
      </c>
      <c r="C630" s="37" t="n">
        <f aca="false">1+IF($G$7=$E$7,$F$7,IF(Q630&lt;($F$7-$E$7)/($G$7-$E$7),$E$7+SQRT(Q630*($G$7-$E$7)*($F$7-$E$7)),$G$7-SQRT((1-Q630)*($G$7-$E$7)*($G$7-$F$7))))</f>
        <v>1.08930148765989</v>
      </c>
      <c r="D630" s="37" t="n">
        <f aca="false">1+IF($G$8=$E$8,$F$8,IF(R630&lt;($F$8-$E$8)/($G$8-$E$8),$E$8+SQRT(R630*($G$8-$E$8)*($F$8-$E$8)),$G$8-SQRT((1-R630)*($G$8-$E$8)*($G$8-$F$8))))</f>
        <v>1.06935811477378</v>
      </c>
      <c r="E630" s="37" t="n">
        <f aca="false">1+IF($G$9=$E$9,$F$9,IF(S630&lt;($F$9-$E$9)/($G$9-$E$9),$E$9+SQRT(S630*($G$9-$E$9)*($F$9-$E$9)),$G$9-SQRT((1-S630)*($G$9-$E$9)*($G$9-$F$9))))</f>
        <v>1.02419202206537</v>
      </c>
      <c r="F630" s="37" t="n">
        <f aca="false">1+IF($G$10=$E$10,$F$10,IF(T630&lt;($F$10-$E$10)/($G$10-$E$10),$E$10+SQRT(T630*($G$10-$E$10)*($F$10-$E$10)),$G$10-SQRT((1-T630)*($G$10-$E$10)*($G$10-$F$10))))</f>
        <v>1.0801758449787</v>
      </c>
      <c r="G630" s="38" t="n">
        <f aca="false">IF($G$11=$E$11,$F$11,IF(U630&lt;($F$11-$E$11)/($G$11-$E$11),$E$11+SQRT(U630*($G$11-$E$11)*($F$11-$E$11)),$G$11-SQRT((1-U630)*($G$11-$E$11)*($G$11-$F$11))))</f>
        <v>0.109040281130759</v>
      </c>
      <c r="H630" s="39" t="n">
        <f aca="false">(('Business Case'!B11*$C630*'Business Case'!B12*$B630)-'Business Case'!B11*$C630*'Business Case'!B13*$D630-'Business Case'!B14*$E630)-MAX(0,(('Business Case'!B11*$C630*'Business Case'!B12*$B630)-'Business Case'!B11*$C630*'Business Case'!B13*$D630-'Business Case'!B14*$E630))*'Business Case'!$B$7-'Business Case'!$B$8*('Business Case'!B11*$C630*'Business Case'!B12*$B630)-'Business Case'!B15*$F630</f>
        <v>-2160351689.9574</v>
      </c>
      <c r="I630" s="39" t="n">
        <f aca="false">(('Business Case'!C11*$C630*'Business Case'!C12*$B630)-'Business Case'!C11*$C630*'Business Case'!C13*$D630-'Business Case'!C14*$E630)-MAX(0,(('Business Case'!C11*$C630*'Business Case'!C12*$B630)-'Business Case'!C11*$C630*'Business Case'!C13*$D630-'Business Case'!C14*$E630))*'Business Case'!$B$7-'Business Case'!$B$8*(('Business Case'!C11*$C630*'Business Case'!C12*$B630)-('Business Case'!B11*$C630*'Business Case'!B12*$B630))-'Business Case'!C15*$F630</f>
        <v>-8673782.0539275</v>
      </c>
      <c r="J630" s="39" t="n">
        <f aca="false">(('Business Case'!D11*$C630*'Business Case'!D12*$B630)-'Business Case'!D11*$C630*'Business Case'!D13*$D630-'Business Case'!D14*$E630)-MAX(0,(('Business Case'!D11*$C630*'Business Case'!D12*$B630)-'Business Case'!D11*$C630*'Business Case'!D13*$D630-'Business Case'!D14*$E630))*'Business Case'!$B$7-'Business Case'!$B$8*(('Business Case'!D11*$C630*'Business Case'!D12*$B630)-('Business Case'!C11*$C630*'Business Case'!C12*$B630))-'Business Case'!D15*$F630</f>
        <v>293154426.8038</v>
      </c>
      <c r="K630" s="39" t="n">
        <f aca="false">(('Business Case'!E11*$C630*'Business Case'!E12*$B630)-'Business Case'!E11*$C630*'Business Case'!E13*$D630-'Business Case'!E14*$E630)-MAX(0,(('Business Case'!E11*$C630*'Business Case'!E12*$B630)-'Business Case'!E11*$C630*'Business Case'!E13*$D630-'Business Case'!E14*$E630))*'Business Case'!$B$7-'Business Case'!$B$8*(('Business Case'!E11*$C630*'Business Case'!E12*$B630)-('Business Case'!D11*$C630*'Business Case'!D12*$B630))-'Business Case'!E15*$F630</f>
        <v>648991427.910462</v>
      </c>
      <c r="L630" s="39" t="n">
        <f aca="false">(('Business Case'!F11*$C630*'Business Case'!F12*$B630)-'Business Case'!F11*$C630*'Business Case'!F13*$D630-'Business Case'!F14*$E630)-MAX(0,(('Business Case'!F11*$C630*'Business Case'!F12*$B630)-'Business Case'!F11*$C630*'Business Case'!F13*$D630-'Business Case'!F14*$E630))*'Business Case'!$B$7-'Business Case'!$B$8*(('Business Case'!F11*$C630*'Business Case'!F12*$B630)-('Business Case'!E11*$C630*'Business Case'!E12*$B630))-'Business Case'!F15*$F630</f>
        <v>787497031.447097</v>
      </c>
      <c r="M630" s="39" t="n">
        <f aca="false">(('Business Case'!G11*$C630*'Business Case'!G12*$B630)-'Business Case'!G11*$C630*'Business Case'!G13*$D630-'Business Case'!G14*$E630)-MAX(0,(('Business Case'!G11*$C630*'Business Case'!G12*$B630)-'Business Case'!G11*$C630*'Business Case'!G13*$D630-'Business Case'!G14*$E630))*'Business Case'!$B$7-'Business Case'!$B$8*(('Business Case'!G11*$C630*'Business Case'!G12*$B630)-('Business Case'!F11*$C630*'Business Case'!F12*$B630))-'Business Case'!G15*$F630+'Business Case'!$B$8*('Business Case'!G11*$C630*'Business Case'!G12*$B630)</f>
        <v>995926134.659423</v>
      </c>
      <c r="N630" s="39" t="n">
        <f aca="false">IF(COUNT('Business Case'!B11:G11)=0,"",H630+NPV(G630,I630:M630))</f>
        <v>-339918014.059371</v>
      </c>
      <c r="P630" s="40" t="n">
        <f aca="true">RAND()</f>
        <v>0.768136926034108</v>
      </c>
      <c r="Q630" s="40" t="n">
        <f aca="true">RAND()</f>
        <v>0.929822678089472</v>
      </c>
      <c r="R630" s="40" t="n">
        <f aca="true">RAND()</f>
        <v>0.989110603733846</v>
      </c>
      <c r="S630" s="40" t="n">
        <f aca="true">RAND()</f>
        <v>0.616876698764217</v>
      </c>
      <c r="T630" s="40" t="n">
        <f aca="true">RAND()</f>
        <v>0.712843437468624</v>
      </c>
      <c r="U630" s="40" t="n">
        <f aca="true">RAND()</f>
        <v>0.799807603845336</v>
      </c>
    </row>
    <row r="631" customFormat="false" ht="15" hidden="false" customHeight="false" outlineLevel="0" collapsed="false">
      <c r="A631" s="36" t="n">
        <v>551</v>
      </c>
      <c r="B631" s="37" t="n">
        <f aca="false">1+IF($G$6=$E$6,$F$6,IF(P631&lt;($F$6-$E$6)/($G$6-$E$6),$E$6+SQRT(P631*($G$6-$E$6)*($F$6-$E$6)),$G$6-SQRT((1-P631)*($G$6-$E$6)*($G$6-$F$6))))</f>
        <v>0.972738215837833</v>
      </c>
      <c r="C631" s="37" t="n">
        <f aca="false">1+IF($G$7=$E$7,$F$7,IF(Q631&lt;($F$7-$E$7)/($G$7-$E$7),$E$7+SQRT(Q631*($G$7-$E$7)*($F$7-$E$7)),$G$7-SQRT((1-Q631)*($G$7-$E$7)*($G$7-$F$7))))</f>
        <v>0.993810391732203</v>
      </c>
      <c r="D631" s="37" t="n">
        <f aca="false">1+IF($G$8=$E$8,$F$8,IF(R631&lt;($F$8-$E$8)/($G$8-$E$8),$E$8+SQRT(R631*($G$8-$E$8)*($F$8-$E$8)),$G$8-SQRT((1-R631)*($G$8-$E$8)*($G$8-$F$8))))</f>
        <v>1.06365805460763</v>
      </c>
      <c r="E631" s="37" t="n">
        <f aca="false">1+IF($G$9=$E$9,$F$9,IF(S631&lt;($F$9-$E$9)/($G$9-$E$9),$E$9+SQRT(S631*($G$9-$E$9)*($F$9-$E$9)),$G$9-SQRT((1-S631)*($G$9-$E$9)*($G$9-$F$9))))</f>
        <v>0.964267502379926</v>
      </c>
      <c r="F631" s="37" t="n">
        <f aca="false">1+IF($G$10=$E$10,$F$10,IF(T631&lt;($F$10-$E$10)/($G$10-$E$10),$E$10+SQRT(T631*($G$10-$E$10)*($F$10-$E$10)),$G$10-SQRT((1-T631)*($G$10-$E$10)*($G$10-$F$10))))</f>
        <v>1.03498628729937</v>
      </c>
      <c r="G631" s="38" t="n">
        <f aca="false">IF($G$11=$E$11,$F$11,IF(U631&lt;($F$11-$E$11)/($G$11-$E$11),$E$11+SQRT(U631*($G$11-$E$11)*($F$11-$E$11)),$G$11-SQRT((1-U631)*($G$11-$E$11)*($G$11-$F$11))))</f>
        <v>0.114202178579451</v>
      </c>
      <c r="H631" s="39" t="n">
        <f aca="false">(('Business Case'!B11*$C631*'Business Case'!B12*$B631)-'Business Case'!B11*$C631*'Business Case'!B13*$D631-'Business Case'!B14*$E631)-MAX(0,(('Business Case'!B11*$C631*'Business Case'!B12*$B631)-'Business Case'!B11*$C631*'Business Case'!B13*$D631-'Business Case'!B14*$E631))*'Business Case'!$B$7-'Business Case'!$B$8*('Business Case'!B11*$C631*'Business Case'!B12*$B631)-'Business Case'!B15*$F631</f>
        <v>-2069972574.59873</v>
      </c>
      <c r="I631" s="39" t="n">
        <f aca="false">(('Business Case'!C11*$C631*'Business Case'!C12*$B631)-'Business Case'!C11*$C631*'Business Case'!C13*$D631-'Business Case'!C14*$E631)-MAX(0,(('Business Case'!C11*$C631*'Business Case'!C12*$B631)-'Business Case'!C11*$C631*'Business Case'!C13*$D631-'Business Case'!C14*$E631))*'Business Case'!$B$7-'Business Case'!$B$8*(('Business Case'!C11*$C631*'Business Case'!C12*$B631)-('Business Case'!B11*$C631*'Business Case'!B12*$B631))-'Business Case'!C15*$F631</f>
        <v>-40058524.8782337</v>
      </c>
      <c r="J631" s="39" t="n">
        <f aca="false">(('Business Case'!D11*$C631*'Business Case'!D12*$B631)-'Business Case'!D11*$C631*'Business Case'!D13*$D631-'Business Case'!D14*$E631)-MAX(0,(('Business Case'!D11*$C631*'Business Case'!D12*$B631)-'Business Case'!D11*$C631*'Business Case'!D13*$D631-'Business Case'!D14*$E631))*'Business Case'!$B$7-'Business Case'!$B$8*(('Business Case'!D11*$C631*'Business Case'!D12*$B631)-('Business Case'!C11*$C631*'Business Case'!C12*$B631))-'Business Case'!D15*$F631</f>
        <v>210615045.097725</v>
      </c>
      <c r="K631" s="39" t="n">
        <f aca="false">(('Business Case'!E11*$C631*'Business Case'!E12*$B631)-'Business Case'!E11*$C631*'Business Case'!E13*$D631-'Business Case'!E14*$E631)-MAX(0,(('Business Case'!E11*$C631*'Business Case'!E12*$B631)-'Business Case'!E11*$C631*'Business Case'!E13*$D631-'Business Case'!E14*$E631))*'Business Case'!$B$7-'Business Case'!$B$8*(('Business Case'!E11*$C631*'Business Case'!E12*$B631)-('Business Case'!D11*$C631*'Business Case'!D12*$B631))-'Business Case'!E15*$F631</f>
        <v>513037929.438651</v>
      </c>
      <c r="L631" s="39" t="n">
        <f aca="false">(('Business Case'!F11*$C631*'Business Case'!F12*$B631)-'Business Case'!F11*$C631*'Business Case'!F13*$D631-'Business Case'!F14*$E631)-MAX(0,(('Business Case'!F11*$C631*'Business Case'!F12*$B631)-'Business Case'!F11*$C631*'Business Case'!F13*$D631-'Business Case'!F14*$E631))*'Business Case'!$B$7-'Business Case'!$B$8*(('Business Case'!F11*$C631*'Business Case'!F12*$B631)-('Business Case'!E11*$C631*'Business Case'!E12*$B631))-'Business Case'!F15*$F631</f>
        <v>630005537.62119</v>
      </c>
      <c r="M631" s="39" t="n">
        <f aca="false">(('Business Case'!G11*$C631*'Business Case'!G12*$B631)-'Business Case'!G11*$C631*'Business Case'!G13*$D631-'Business Case'!G14*$E631)-MAX(0,(('Business Case'!G11*$C631*'Business Case'!G12*$B631)-'Business Case'!G11*$C631*'Business Case'!G13*$D631-'Business Case'!G14*$E631))*'Business Case'!$B$7-'Business Case'!$B$8*(('Business Case'!G11*$C631*'Business Case'!G12*$B631)-('Business Case'!F11*$C631*'Business Case'!F12*$B631))-'Business Case'!G15*$F631+'Business Case'!$B$8*('Business Case'!G11*$C631*'Business Case'!G12*$B631)</f>
        <v>813759171.002567</v>
      </c>
      <c r="N631" s="39" t="n">
        <f aca="false">IF(COUNT('Business Case'!B11:G11)=0,"",H631+NPV(G631,I631:M631))</f>
        <v>-682704777.99325</v>
      </c>
      <c r="P631" s="40" t="n">
        <f aca="true">RAND()</f>
        <v>0.289720771849778</v>
      </c>
      <c r="Q631" s="40" t="n">
        <f aca="true">RAND()</f>
        <v>0.536606684905571</v>
      </c>
      <c r="R631" s="40" t="n">
        <f aca="true">RAND()</f>
        <v>0.974321232768549</v>
      </c>
      <c r="S631" s="40" t="n">
        <f aca="true">RAND()</f>
        <v>0.0271415498881608</v>
      </c>
      <c r="T631" s="40" t="n">
        <f aca="true">RAND()</f>
        <v>0.455409492415052</v>
      </c>
      <c r="U631" s="40" t="n">
        <f aca="true">RAND()</f>
        <v>0.943975444625707</v>
      </c>
    </row>
    <row r="632" customFormat="false" ht="15" hidden="false" customHeight="false" outlineLevel="0" collapsed="false">
      <c r="A632" s="36" t="n">
        <v>552</v>
      </c>
      <c r="B632" s="37" t="n">
        <f aca="false">1+IF($G$6=$E$6,$F$6,IF(P632&lt;($F$6-$E$6)/($G$6-$E$6),$E$6+SQRT(P632*($G$6-$E$6)*($F$6-$E$6)),$G$6-SQRT((1-P632)*($G$6-$E$6)*($G$6-$F$6))))</f>
        <v>1.01800663897163</v>
      </c>
      <c r="C632" s="37" t="n">
        <f aca="false">1+IF($G$7=$E$7,$F$7,IF(Q632&lt;($F$7-$E$7)/($G$7-$E$7),$E$7+SQRT(Q632*($G$7-$E$7)*($F$7-$E$7)),$G$7-SQRT((1-Q632)*($G$7-$E$7)*($G$7-$F$7))))</f>
        <v>1.00846491932142</v>
      </c>
      <c r="D632" s="37" t="n">
        <f aca="false">1+IF($G$8=$E$8,$F$8,IF(R632&lt;($F$8-$E$8)/($G$8-$E$8),$E$8+SQRT(R632*($G$8-$E$8)*($F$8-$E$8)),$G$8-SQRT((1-R632)*($G$8-$E$8)*($G$8-$F$8))))</f>
        <v>0.995563196601207</v>
      </c>
      <c r="E632" s="37" t="n">
        <f aca="false">1+IF($G$9=$E$9,$F$9,IF(S632&lt;($F$9-$E$9)/($G$9-$E$9),$E$9+SQRT(S632*($G$9-$E$9)*($F$9-$E$9)),$G$9-SQRT((1-S632)*($G$9-$E$9)*($G$9-$F$9))))</f>
        <v>0.962023829107345</v>
      </c>
      <c r="F632" s="37" t="n">
        <f aca="false">1+IF($G$10=$E$10,$F$10,IF(T632&lt;($F$10-$E$10)/($G$10-$E$10),$E$10+SQRT(T632*($G$10-$E$10)*($F$10-$E$10)),$G$10-SQRT((1-T632)*($G$10-$E$10)*($G$10-$F$10))))</f>
        <v>1.05123837343758</v>
      </c>
      <c r="G632" s="38" t="n">
        <f aca="false">IF($G$11=$E$11,$F$11,IF(U632&lt;($F$11-$E$11)/($G$11-$E$11),$E$11+SQRT(U632*($G$11-$E$11)*($F$11-$E$11)),$G$11-SQRT((1-U632)*($G$11-$E$11)*($G$11-$F$11))))</f>
        <v>0.105425312705931</v>
      </c>
      <c r="H632" s="39" t="n">
        <f aca="false">(('Business Case'!B11*$C632*'Business Case'!B12*$B632)-'Business Case'!B11*$C632*'Business Case'!B13*$D632-'Business Case'!B14*$E632)-MAX(0,(('Business Case'!B11*$C632*'Business Case'!B12*$B632)-'Business Case'!B11*$C632*'Business Case'!B13*$D632-'Business Case'!B14*$E632))*'Business Case'!$B$7-'Business Case'!$B$8*('Business Case'!B11*$C632*'Business Case'!B12*$B632)-'Business Case'!B15*$F632</f>
        <v>-2102476746.87517</v>
      </c>
      <c r="I632" s="39" t="n">
        <f aca="false">(('Business Case'!C11*$C632*'Business Case'!C12*$B632)-'Business Case'!C11*$C632*'Business Case'!C13*$D632-'Business Case'!C14*$E632)-MAX(0,(('Business Case'!C11*$C632*'Business Case'!C12*$B632)-'Business Case'!C11*$C632*'Business Case'!C13*$D632-'Business Case'!C14*$E632))*'Business Case'!$B$7-'Business Case'!$B$8*(('Business Case'!C11*$C632*'Business Case'!C12*$B632)-('Business Case'!B11*$C632*'Business Case'!B12*$B632))-'Business Case'!C15*$F632</f>
        <v>31772299.0822217</v>
      </c>
      <c r="J632" s="39" t="n">
        <f aca="false">(('Business Case'!D11*$C632*'Business Case'!D12*$B632)-'Business Case'!D11*$C632*'Business Case'!D13*$D632-'Business Case'!D14*$E632)-MAX(0,(('Business Case'!D11*$C632*'Business Case'!D12*$B632)-'Business Case'!D11*$C632*'Business Case'!D13*$D632-'Business Case'!D14*$E632))*'Business Case'!$B$7-'Business Case'!$B$8*(('Business Case'!D11*$C632*'Business Case'!D12*$B632)-('Business Case'!C11*$C632*'Business Case'!C12*$B632))-'Business Case'!D15*$F632</f>
        <v>358688411.288018</v>
      </c>
      <c r="K632" s="39" t="n">
        <f aca="false">(('Business Case'!E11*$C632*'Business Case'!E12*$B632)-'Business Case'!E11*$C632*'Business Case'!E13*$D632-'Business Case'!E14*$E632)-MAX(0,(('Business Case'!E11*$C632*'Business Case'!E12*$B632)-'Business Case'!E11*$C632*'Business Case'!E13*$D632-'Business Case'!E14*$E632))*'Business Case'!$B$7-'Business Case'!$B$8*(('Business Case'!E11*$C632*'Business Case'!E12*$B632)-('Business Case'!D11*$C632*'Business Case'!D12*$B632))-'Business Case'!E15*$F632</f>
        <v>738166442.165693</v>
      </c>
      <c r="L632" s="39" t="n">
        <f aca="false">(('Business Case'!F11*$C632*'Business Case'!F12*$B632)-'Business Case'!F11*$C632*'Business Case'!F13*$D632-'Business Case'!F14*$E632)-MAX(0,(('Business Case'!F11*$C632*'Business Case'!F12*$B632)-'Business Case'!F11*$C632*'Business Case'!F13*$D632-'Business Case'!F14*$E632))*'Business Case'!$B$7-'Business Case'!$B$8*(('Business Case'!F11*$C632*'Business Case'!F12*$B632)-('Business Case'!E11*$C632*'Business Case'!E12*$B632))-'Business Case'!F15*$F632</f>
        <v>882618604.42146</v>
      </c>
      <c r="M632" s="39" t="n">
        <f aca="false">(('Business Case'!G11*$C632*'Business Case'!G12*$B632)-'Business Case'!G11*$C632*'Business Case'!G13*$D632-'Business Case'!G14*$E632)-MAX(0,(('Business Case'!G11*$C632*'Business Case'!G12*$B632)-'Business Case'!G11*$C632*'Business Case'!G13*$D632-'Business Case'!G14*$E632))*'Business Case'!$B$7-'Business Case'!$B$8*(('Business Case'!G11*$C632*'Business Case'!G12*$B632)-('Business Case'!F11*$C632*'Business Case'!F12*$B632))-'Business Case'!G15*$F632+'Business Case'!$B$8*('Business Case'!G11*$C632*'Business Case'!G12*$B632)</f>
        <v>1077759291.11755</v>
      </c>
      <c r="N632" s="39" t="n">
        <f aca="false">IF(COUNT('Business Case'!B11:G11)=0,"",H632+NPV(G632,I632:M632))</f>
        <v>10303908.6535261</v>
      </c>
      <c r="P632" s="40" t="n">
        <f aca="true">RAND()</f>
        <v>0.899227514724132</v>
      </c>
      <c r="Q632" s="40" t="n">
        <f aca="true">RAND()</f>
        <v>0.618434684520153</v>
      </c>
      <c r="R632" s="40" t="n">
        <f aca="true">RAND()</f>
        <v>0.319385366849271</v>
      </c>
      <c r="S632" s="40" t="n">
        <f aca="true">RAND()</f>
        <v>0.0192763288536852</v>
      </c>
      <c r="T632" s="40" t="n">
        <f aca="true">RAND()</f>
        <v>0.557399569250077</v>
      </c>
      <c r="U632" s="40" t="n">
        <f aca="true">RAND()</f>
        <v>0.64596415046685</v>
      </c>
    </row>
    <row r="633" customFormat="false" ht="15" hidden="false" customHeight="false" outlineLevel="0" collapsed="false">
      <c r="A633" s="36" t="n">
        <v>553</v>
      </c>
      <c r="B633" s="37" t="n">
        <f aca="false">1+IF($G$6=$E$6,$F$6,IF(P633&lt;($F$6-$E$6)/($G$6-$E$6),$E$6+SQRT(P633*($G$6-$E$6)*($F$6-$E$6)),$G$6-SQRT((1-P633)*($G$6-$E$6)*($G$6-$F$6))))</f>
        <v>0.971210083689053</v>
      </c>
      <c r="C633" s="37" t="n">
        <f aca="false">1+IF($G$7=$E$7,$F$7,IF(Q633&lt;($F$7-$E$7)/($G$7-$E$7),$E$7+SQRT(Q633*($G$7-$E$7)*($F$7-$E$7)),$G$7-SQRT((1-Q633)*($G$7-$E$7)*($G$7-$F$7))))</f>
        <v>1.02086050215232</v>
      </c>
      <c r="D633" s="37" t="n">
        <f aca="false">1+IF($G$8=$E$8,$F$8,IF(R633&lt;($F$8-$E$8)/($G$8-$E$8),$E$8+SQRT(R633*($G$8-$E$8)*($F$8-$E$8)),$G$8-SQRT((1-R633)*($G$8-$E$8)*($G$8-$F$8))))</f>
        <v>0.955878857228773</v>
      </c>
      <c r="E633" s="37" t="n">
        <f aca="false">1+IF($G$9=$E$9,$F$9,IF(S633&lt;($F$9-$E$9)/($G$9-$E$9),$E$9+SQRT(S633*($G$9-$E$9)*($F$9-$E$9)),$G$9-SQRT((1-S633)*($G$9-$E$9)*($G$9-$F$9))))</f>
        <v>0.998887383974114</v>
      </c>
      <c r="F633" s="37" t="n">
        <f aca="false">1+IF($G$10=$E$10,$F$10,IF(T633&lt;($F$10-$E$10)/($G$10-$E$10),$E$10+SQRT(T633*($G$10-$E$10)*($F$10-$E$10)),$G$10-SQRT((1-T633)*($G$10-$E$10)*($G$10-$F$10))))</f>
        <v>1.03190122699866</v>
      </c>
      <c r="G633" s="38" t="n">
        <f aca="false">IF($G$11=$E$11,$F$11,IF(U633&lt;($F$11-$E$11)/($G$11-$E$11),$E$11+SQRT(U633*($G$11-$E$11)*($F$11-$E$11)),$G$11-SQRT((1-U633)*($G$11-$E$11)*($G$11-$F$11))))</f>
        <v>0.100526985723709</v>
      </c>
      <c r="H633" s="39" t="n">
        <f aca="false">(('Business Case'!B11*$C633*'Business Case'!B12*$B633)-'Business Case'!B11*$C633*'Business Case'!B13*$D633-'Business Case'!B14*$E633)-MAX(0,(('Business Case'!B11*$C633*'Business Case'!B12*$B633)-'Business Case'!B11*$C633*'Business Case'!B13*$D633-'Business Case'!B14*$E633))*'Business Case'!$B$7-'Business Case'!$B$8*('Business Case'!B11*$C633*'Business Case'!B12*$B633)-'Business Case'!B15*$F633</f>
        <v>-2063802453.99733</v>
      </c>
      <c r="I633" s="39" t="n">
        <f aca="false">(('Business Case'!C11*$C633*'Business Case'!C12*$B633)-'Business Case'!C11*$C633*'Business Case'!C13*$D633-'Business Case'!C14*$E633)-MAX(0,(('Business Case'!C11*$C633*'Business Case'!C12*$B633)-'Business Case'!C11*$C633*'Business Case'!C13*$D633-'Business Case'!C14*$E633))*'Business Case'!$B$7-'Business Case'!$B$8*(('Business Case'!C11*$C633*'Business Case'!C12*$B633)-('Business Case'!B11*$C633*'Business Case'!B12*$B633))-'Business Case'!C15*$F633</f>
        <v>15914365.6549565</v>
      </c>
      <c r="J633" s="39" t="n">
        <f aca="false">(('Business Case'!D11*$C633*'Business Case'!D12*$B633)-'Business Case'!D11*$C633*'Business Case'!D13*$D633-'Business Case'!D14*$E633)-MAX(0,(('Business Case'!D11*$C633*'Business Case'!D12*$B633)-'Business Case'!D11*$C633*'Business Case'!D13*$D633-'Business Case'!D14*$E633))*'Business Case'!$B$7-'Business Case'!$B$8*(('Business Case'!D11*$C633*'Business Case'!D12*$B633)-('Business Case'!C11*$C633*'Business Case'!C12*$B633))-'Business Case'!D15*$F633</f>
        <v>328458445.522672</v>
      </c>
      <c r="K633" s="39" t="n">
        <f aca="false">(('Business Case'!E11*$C633*'Business Case'!E12*$B633)-'Business Case'!E11*$C633*'Business Case'!E13*$D633-'Business Case'!E14*$E633)-MAX(0,(('Business Case'!E11*$C633*'Business Case'!E12*$B633)-'Business Case'!E11*$C633*'Business Case'!E13*$D633-'Business Case'!E14*$E633))*'Business Case'!$B$7-'Business Case'!$B$8*(('Business Case'!E11*$C633*'Business Case'!E12*$B633)-('Business Case'!D11*$C633*'Business Case'!D12*$B633))-'Business Case'!E15*$F633</f>
        <v>692597586.740321</v>
      </c>
      <c r="L633" s="39" t="n">
        <f aca="false">(('Business Case'!F11*$C633*'Business Case'!F12*$B633)-'Business Case'!F11*$C633*'Business Case'!F13*$D633-'Business Case'!F14*$E633)-MAX(0,(('Business Case'!F11*$C633*'Business Case'!F12*$B633)-'Business Case'!F11*$C633*'Business Case'!F13*$D633-'Business Case'!F14*$E633))*'Business Case'!$B$7-'Business Case'!$B$8*(('Business Case'!F11*$C633*'Business Case'!F12*$B633)-('Business Case'!E11*$C633*'Business Case'!E12*$B633))-'Business Case'!F15*$F633</f>
        <v>831044150.370742</v>
      </c>
      <c r="M633" s="39" t="n">
        <f aca="false">(('Business Case'!G11*$C633*'Business Case'!G12*$B633)-'Business Case'!G11*$C633*'Business Case'!G13*$D633-'Business Case'!G14*$E633)-MAX(0,(('Business Case'!G11*$C633*'Business Case'!G12*$B633)-'Business Case'!G11*$C633*'Business Case'!G13*$D633-'Business Case'!G14*$E633))*'Business Case'!$B$7-'Business Case'!$B$8*(('Business Case'!G11*$C633*'Business Case'!G12*$B633)-('Business Case'!F11*$C633*'Business Case'!F12*$B633))-'Business Case'!G15*$F633+'Business Case'!$B$8*('Business Case'!G11*$C633*'Business Case'!G12*$B633)</f>
        <v>1019502770.58058</v>
      </c>
      <c r="N633" s="39" t="n">
        <f aca="false">IF(COUNT('Business Case'!B11:G11)=0,"",H633+NPV(G633,I633:M633))</f>
        <v>-60492024.5274687</v>
      </c>
      <c r="P633" s="40" t="n">
        <f aca="true">RAND()</f>
        <v>0.273174236608315</v>
      </c>
      <c r="Q633" s="40" t="n">
        <f aca="true">RAND()</f>
        <v>0.682342668488535</v>
      </c>
      <c r="R633" s="40" t="n">
        <f aca="true">RAND()</f>
        <v>0.00531707112558366</v>
      </c>
      <c r="S633" s="40" t="n">
        <f aca="true">RAND()</f>
        <v>0.318663508244327</v>
      </c>
      <c r="T633" s="40" t="n">
        <f aca="true">RAND()</f>
        <v>0.434856050308906</v>
      </c>
      <c r="U633" s="40" t="n">
        <f aca="true">RAND()</f>
        <v>0.368002858325641</v>
      </c>
    </row>
    <row r="634" customFormat="false" ht="15" hidden="false" customHeight="false" outlineLevel="0" collapsed="false">
      <c r="A634" s="36" t="n">
        <v>554</v>
      </c>
      <c r="B634" s="37" t="n">
        <f aca="false">1+IF($G$6=$E$6,$F$6,IF(P634&lt;($F$6-$E$6)/($G$6-$E$6),$E$6+SQRT(P634*($G$6-$E$6)*($F$6-$E$6)),$G$6-SQRT((1-P634)*($G$6-$E$6)*($G$6-$F$6))))</f>
        <v>0.980800894880935</v>
      </c>
      <c r="C634" s="37" t="n">
        <f aca="false">1+IF($G$7=$E$7,$F$7,IF(Q634&lt;($F$7-$E$7)/($G$7-$E$7),$E$7+SQRT(Q634*($G$7-$E$7)*($F$7-$E$7)),$G$7-SQRT((1-Q634)*($G$7-$E$7)*($G$7-$F$7))))</f>
        <v>1.05623111069353</v>
      </c>
      <c r="D634" s="37" t="n">
        <f aca="false">1+IF($G$8=$E$8,$F$8,IF(R634&lt;($F$8-$E$8)/($G$8-$E$8),$E$8+SQRT(R634*($G$8-$E$8)*($F$8-$E$8)),$G$8-SQRT((1-R634)*($G$8-$E$8)*($G$8-$F$8))))</f>
        <v>0.99532567851861</v>
      </c>
      <c r="E634" s="37" t="n">
        <f aca="false">1+IF($G$9=$E$9,$F$9,IF(S634&lt;($F$9-$E$9)/($G$9-$E$9),$E$9+SQRT(S634*($G$9-$E$9)*($F$9-$E$9)),$G$9-SQRT((1-S634)*($G$9-$E$9)*($G$9-$F$9))))</f>
        <v>0.966688211735107</v>
      </c>
      <c r="F634" s="37" t="n">
        <f aca="false">1+IF($G$10=$E$10,$F$10,IF(T634&lt;($F$10-$E$10)/($G$10-$E$10),$E$10+SQRT(T634*($G$10-$E$10)*($F$10-$E$10)),$G$10-SQRT((1-T634)*($G$10-$E$10)*($G$10-$F$10))))</f>
        <v>1.08885572774129</v>
      </c>
      <c r="G634" s="38" t="n">
        <f aca="false">IF($G$11=$E$11,$F$11,IF(U634&lt;($F$11-$E$11)/($G$11-$E$11),$E$11+SQRT(U634*($G$11-$E$11)*($F$11-$E$11)),$G$11-SQRT((1-U634)*($G$11-$E$11)*($G$11-$F$11))))</f>
        <v>0.105670550585057</v>
      </c>
      <c r="H634" s="39" t="n">
        <f aca="false">(('Business Case'!B11*$C634*'Business Case'!B12*$B634)-'Business Case'!B11*$C634*'Business Case'!B13*$D634-'Business Case'!B14*$E634)-MAX(0,(('Business Case'!B11*$C634*'Business Case'!B12*$B634)-'Business Case'!B11*$C634*'Business Case'!B13*$D634-'Business Case'!B14*$E634))*'Business Case'!$B$7-'Business Case'!$B$8*('Business Case'!B11*$C634*'Business Case'!B12*$B634)-'Business Case'!B15*$F634</f>
        <v>-2177711455.48257</v>
      </c>
      <c r="I634" s="39" t="n">
        <f aca="false">(('Business Case'!C11*$C634*'Business Case'!C12*$B634)-'Business Case'!C11*$C634*'Business Case'!C13*$D634-'Business Case'!C14*$E634)-MAX(0,(('Business Case'!C11*$C634*'Business Case'!C12*$B634)-'Business Case'!C11*$C634*'Business Case'!C13*$D634-'Business Case'!C14*$E634))*'Business Case'!$B$7-'Business Case'!$B$8*(('Business Case'!C11*$C634*'Business Case'!C12*$B634)-('Business Case'!B11*$C634*'Business Case'!B12*$B634))-'Business Case'!C15*$F634</f>
        <v>10288812.2118205</v>
      </c>
      <c r="J634" s="39" t="n">
        <f aca="false">(('Business Case'!D11*$C634*'Business Case'!D12*$B634)-'Business Case'!D11*$C634*'Business Case'!D13*$D634-'Business Case'!D14*$E634)-MAX(0,(('Business Case'!D11*$C634*'Business Case'!D12*$B634)-'Business Case'!D11*$C634*'Business Case'!D13*$D634-'Business Case'!D14*$E634))*'Business Case'!$B$7-'Business Case'!$B$8*(('Business Case'!D11*$C634*'Business Case'!D12*$B634)-('Business Case'!C11*$C634*'Business Case'!C12*$B634))-'Business Case'!D15*$F634</f>
        <v>320630034.285134</v>
      </c>
      <c r="K634" s="39" t="n">
        <f aca="false">(('Business Case'!E11*$C634*'Business Case'!E12*$B634)-'Business Case'!E11*$C634*'Business Case'!E13*$D634-'Business Case'!E14*$E634)-MAX(0,(('Business Case'!E11*$C634*'Business Case'!E12*$B634)-'Business Case'!E11*$C634*'Business Case'!E13*$D634-'Business Case'!E14*$E634))*'Business Case'!$B$7-'Business Case'!$B$8*(('Business Case'!E11*$C634*'Business Case'!E12*$B634)-('Business Case'!D11*$C634*'Business Case'!D12*$B634))-'Business Case'!E15*$F634</f>
        <v>685414042.745513</v>
      </c>
      <c r="L634" s="39" t="n">
        <f aca="false">(('Business Case'!F11*$C634*'Business Case'!F12*$B634)-'Business Case'!F11*$C634*'Business Case'!F13*$D634-'Business Case'!F14*$E634)-MAX(0,(('Business Case'!F11*$C634*'Business Case'!F12*$B634)-'Business Case'!F11*$C634*'Business Case'!F13*$D634-'Business Case'!F14*$E634))*'Business Case'!$B$7-'Business Case'!$B$8*(('Business Case'!F11*$C634*'Business Case'!F12*$B634)-('Business Case'!E11*$C634*'Business Case'!E12*$B634))-'Business Case'!F15*$F634</f>
        <v>824663632.355706</v>
      </c>
      <c r="M634" s="39" t="n">
        <f aca="false">(('Business Case'!G11*$C634*'Business Case'!G12*$B634)-'Business Case'!G11*$C634*'Business Case'!G13*$D634-'Business Case'!G14*$E634)-MAX(0,(('Business Case'!G11*$C634*'Business Case'!G12*$B634)-'Business Case'!G11*$C634*'Business Case'!G13*$D634-'Business Case'!G14*$E634))*'Business Case'!$B$7-'Business Case'!$B$8*(('Business Case'!G11*$C634*'Business Case'!G12*$B634)-('Business Case'!F11*$C634*'Business Case'!F12*$B634))-'Business Case'!G15*$F634+'Business Case'!$B$8*('Business Case'!G11*$C634*'Business Case'!G12*$B634)</f>
        <v>1021577468.07736</v>
      </c>
      <c r="N634" s="39" t="n">
        <f aca="false">IF(COUNT('Business Case'!B11:G11)=0,"",H634+NPV(G634,I634:M634))</f>
        <v>-229044903.757232</v>
      </c>
      <c r="P634" s="40" t="n">
        <f aca="true">RAND()</f>
        <v>0.385078001908594</v>
      </c>
      <c r="Q634" s="40" t="n">
        <f aca="true">RAND()</f>
        <v>0.832521817109177</v>
      </c>
      <c r="R634" s="40" t="n">
        <f aca="true">RAND()</f>
        <v>0.316064174334207</v>
      </c>
      <c r="S634" s="40" t="n">
        <f aca="true">RAND()</f>
        <v>0.0371328547887694</v>
      </c>
      <c r="T634" s="40" t="n">
        <f aca="true">RAND()</f>
        <v>0.752939014881618</v>
      </c>
      <c r="U634" s="40" t="n">
        <f aca="true">RAND()</f>
        <v>0.657778132440988</v>
      </c>
    </row>
    <row r="635" customFormat="false" ht="15" hidden="false" customHeight="false" outlineLevel="0" collapsed="false">
      <c r="A635" s="36" t="n">
        <v>555</v>
      </c>
      <c r="B635" s="37" t="n">
        <f aca="false">1+IF($G$6=$E$6,$F$6,IF(P635&lt;($F$6-$E$6)/($G$6-$E$6),$E$6+SQRT(P635*($G$6-$E$6)*($F$6-$E$6)),$G$6-SQRT((1-P635)*($G$6-$E$6)*($G$6-$F$6))))</f>
        <v>1.01453507196525</v>
      </c>
      <c r="C635" s="37" t="n">
        <f aca="false">1+IF($G$7=$E$7,$F$7,IF(Q635&lt;($F$7-$E$7)/($G$7-$E$7),$E$7+SQRT(Q635*($G$7-$E$7)*($F$7-$E$7)),$G$7-SQRT((1-Q635)*($G$7-$E$7)*($G$7-$F$7))))</f>
        <v>0.938834855767457</v>
      </c>
      <c r="D635" s="37" t="n">
        <f aca="false">1+IF($G$8=$E$8,$F$8,IF(R635&lt;($F$8-$E$8)/($G$8-$E$8),$E$8+SQRT(R635*($G$8-$E$8)*($F$8-$E$8)),$G$8-SQRT((1-R635)*($G$8-$E$8)*($G$8-$F$8))))</f>
        <v>1.00245898931316</v>
      </c>
      <c r="E635" s="37" t="n">
        <f aca="false">1+IF($G$9=$E$9,$F$9,IF(S635&lt;($F$9-$E$9)/($G$9-$E$9),$E$9+SQRT(S635*($G$9-$E$9)*($F$9-$E$9)),$G$9-SQRT((1-S635)*($G$9-$E$9)*($G$9-$F$9))))</f>
        <v>0.989877017119012</v>
      </c>
      <c r="F635" s="37" t="n">
        <f aca="false">1+IF($G$10=$E$10,$F$10,IF(T635&lt;($F$10-$E$10)/($G$10-$E$10),$E$10+SQRT(T635*($G$10-$E$10)*($F$10-$E$10)),$G$10-SQRT((1-T635)*($G$10-$E$10)*($G$10-$F$10))))</f>
        <v>1.01984838776972</v>
      </c>
      <c r="G635" s="38" t="n">
        <f aca="false">IF($G$11=$E$11,$F$11,IF(U635&lt;($F$11-$E$11)/($G$11-$E$11),$E$11+SQRT(U635*($G$11-$E$11)*($F$11-$E$11)),$G$11-SQRT((1-U635)*($G$11-$E$11)*($G$11-$F$11))))</f>
        <v>0.103309026779476</v>
      </c>
      <c r="H635" s="39" t="n">
        <f aca="false">(('Business Case'!B11*$C635*'Business Case'!B12*$B635)-'Business Case'!B11*$C635*'Business Case'!B13*$D635-'Business Case'!B14*$E635)-MAX(0,(('Business Case'!B11*$C635*'Business Case'!B12*$B635)-'Business Case'!B11*$C635*'Business Case'!B13*$D635-'Business Case'!B14*$E635))*'Business Case'!$B$7-'Business Case'!$B$8*('Business Case'!B11*$C635*'Business Case'!B12*$B635)-'Business Case'!B15*$F635</f>
        <v>-2039696775.53943</v>
      </c>
      <c r="I635" s="39" t="n">
        <f aca="false">(('Business Case'!C11*$C635*'Business Case'!C12*$B635)-'Business Case'!C11*$C635*'Business Case'!C13*$D635-'Business Case'!C14*$E635)-MAX(0,(('Business Case'!C11*$C635*'Business Case'!C12*$B635)-'Business Case'!C11*$C635*'Business Case'!C13*$D635-'Business Case'!C14*$E635))*'Business Case'!$B$7-'Business Case'!$B$8*(('Business Case'!C11*$C635*'Business Case'!C12*$B635)-('Business Case'!B11*$C635*'Business Case'!B12*$B635))-'Business Case'!C15*$F635</f>
        <v>6238315.88487406</v>
      </c>
      <c r="J635" s="39" t="n">
        <f aca="false">(('Business Case'!D11*$C635*'Business Case'!D12*$B635)-'Business Case'!D11*$C635*'Business Case'!D13*$D635-'Business Case'!D14*$E635)-MAX(0,(('Business Case'!D11*$C635*'Business Case'!D12*$B635)-'Business Case'!D11*$C635*'Business Case'!D13*$D635-'Business Case'!D14*$E635))*'Business Case'!$B$7-'Business Case'!$B$8*(('Business Case'!D11*$C635*'Business Case'!D12*$B635)-('Business Case'!C11*$C635*'Business Case'!C12*$B635))-'Business Case'!D15*$F635</f>
        <v>304598591.612865</v>
      </c>
      <c r="K635" s="39" t="n">
        <f aca="false">(('Business Case'!E11*$C635*'Business Case'!E12*$B635)-'Business Case'!E11*$C635*'Business Case'!E13*$D635-'Business Case'!E14*$E635)-MAX(0,(('Business Case'!E11*$C635*'Business Case'!E12*$B635)-'Business Case'!E11*$C635*'Business Case'!E13*$D635-'Business Case'!E14*$E635))*'Business Case'!$B$7-'Business Case'!$B$8*(('Business Case'!E11*$C635*'Business Case'!E12*$B635)-('Business Case'!D11*$C635*'Business Case'!D12*$B635))-'Business Case'!E15*$F635</f>
        <v>653951286.729341</v>
      </c>
      <c r="L635" s="39" t="n">
        <f aca="false">(('Business Case'!F11*$C635*'Business Case'!F12*$B635)-'Business Case'!F11*$C635*'Business Case'!F13*$D635-'Business Case'!F14*$E635)-MAX(0,(('Business Case'!F11*$C635*'Business Case'!F12*$B635)-'Business Case'!F11*$C635*'Business Case'!F13*$D635-'Business Case'!F14*$E635))*'Business Case'!$B$7-'Business Case'!$B$8*(('Business Case'!F11*$C635*'Business Case'!F12*$B635)-('Business Case'!E11*$C635*'Business Case'!E12*$B635))-'Business Case'!F15*$F635</f>
        <v>786322451.459886</v>
      </c>
      <c r="M635" s="39" t="n">
        <f aca="false">(('Business Case'!G11*$C635*'Business Case'!G12*$B635)-'Business Case'!G11*$C635*'Business Case'!G13*$D635-'Business Case'!G14*$E635)-MAX(0,(('Business Case'!G11*$C635*'Business Case'!G12*$B635)-'Business Case'!G11*$C635*'Business Case'!G13*$D635-'Business Case'!G14*$E635))*'Business Case'!$B$7-'Business Case'!$B$8*(('Business Case'!G11*$C635*'Business Case'!G12*$B635)-('Business Case'!F11*$C635*'Business Case'!F12*$B635))-'Business Case'!G15*$F635+'Business Case'!$B$8*('Business Case'!G11*$C635*'Business Case'!G12*$B635)</f>
        <v>967370018.643232</v>
      </c>
      <c r="N635" s="39" t="n">
        <f aca="false">IF(COUNT('Business Case'!B11:G11)=0,"",H635+NPV(G635,I635:M635))</f>
        <v>-174538376.17352</v>
      </c>
      <c r="P635" s="40" t="n">
        <f aca="true">RAND()</f>
        <v>0.864903633371842</v>
      </c>
      <c r="Q635" s="40" t="n">
        <f aca="true">RAND()</f>
        <v>0.27535881679958</v>
      </c>
      <c r="R635" s="40" t="n">
        <f aca="true">RAND()</f>
        <v>0.421864582852218</v>
      </c>
      <c r="S635" s="40" t="n">
        <f aca="true">RAND()</f>
        <v>0.212023532574665</v>
      </c>
      <c r="T635" s="40" t="n">
        <f aca="true">RAND()</f>
        <v>0.350907932216594</v>
      </c>
      <c r="U635" s="40" t="n">
        <f aca="true">RAND()</f>
        <v>0.5356856882529</v>
      </c>
    </row>
    <row r="636" customFormat="false" ht="15" hidden="false" customHeight="false" outlineLevel="0" collapsed="false">
      <c r="A636" s="36" t="n">
        <v>556</v>
      </c>
      <c r="B636" s="37" t="n">
        <f aca="false">1+IF($G$6=$E$6,$F$6,IF(P636&lt;($F$6-$E$6)/($G$6-$E$6),$E$6+SQRT(P636*($G$6-$E$6)*($F$6-$E$6)),$G$6-SQRT((1-P636)*($G$6-$E$6)*($G$6-$F$6))))</f>
        <v>0.992688086364595</v>
      </c>
      <c r="C636" s="37" t="n">
        <f aca="false">1+IF($G$7=$E$7,$F$7,IF(Q636&lt;($F$7-$E$7)/($G$7-$E$7),$E$7+SQRT(Q636*($G$7-$E$7)*($F$7-$E$7)),$G$7-SQRT((1-Q636)*($G$7-$E$7)*($G$7-$F$7))))</f>
        <v>1.03462869786205</v>
      </c>
      <c r="D636" s="37" t="n">
        <f aca="false">1+IF($G$8=$E$8,$F$8,IF(R636&lt;($F$8-$E$8)/($G$8-$E$8),$E$8+SQRT(R636*($G$8-$E$8)*($F$8-$E$8)),$G$8-SQRT((1-R636)*($G$8-$E$8)*($G$8-$F$8))))</f>
        <v>1.00616829105133</v>
      </c>
      <c r="E636" s="37" t="n">
        <f aca="false">1+IF($G$9=$E$9,$F$9,IF(S636&lt;($F$9-$E$9)/($G$9-$E$9),$E$9+SQRT(S636*($G$9-$E$9)*($F$9-$E$9)),$G$9-SQRT((1-S636)*($G$9-$E$9)*($G$9-$F$9))))</f>
        <v>1.0138910189918</v>
      </c>
      <c r="F636" s="37" t="n">
        <f aca="false">1+IF($G$10=$E$10,$F$10,IF(T636&lt;($F$10-$E$10)/($G$10-$E$10),$E$10+SQRT(T636*($G$10-$E$10)*($F$10-$E$10)),$G$10-SQRT((1-T636)*($G$10-$E$10)*($G$10-$F$10))))</f>
        <v>1.08987925341521</v>
      </c>
      <c r="G636" s="38" t="n">
        <f aca="false">IF($G$11=$E$11,$F$11,IF(U636&lt;($F$11-$E$11)/($G$11-$E$11),$E$11+SQRT(U636*($G$11-$E$11)*($F$11-$E$11)),$G$11-SQRT((1-U636)*($G$11-$E$11)*($G$11-$F$11))))</f>
        <v>0.100325330162325</v>
      </c>
      <c r="H636" s="39" t="n">
        <f aca="false">(('Business Case'!B11*$C636*'Business Case'!B12*$B636)-'Business Case'!B11*$C636*'Business Case'!B13*$D636-'Business Case'!B14*$E636)-MAX(0,(('Business Case'!B11*$C636*'Business Case'!B12*$B636)-'Business Case'!B11*$C636*'Business Case'!B13*$D636-'Business Case'!B14*$E636))*'Business Case'!$B$7-'Business Case'!$B$8*('Business Case'!B11*$C636*'Business Case'!B12*$B636)-'Business Case'!B15*$F636</f>
        <v>-2179758506.83042</v>
      </c>
      <c r="I636" s="39" t="n">
        <f aca="false">(('Business Case'!C11*$C636*'Business Case'!C12*$B636)-'Business Case'!C11*$C636*'Business Case'!C13*$D636-'Business Case'!C14*$E636)-MAX(0,(('Business Case'!C11*$C636*'Business Case'!C12*$B636)-'Business Case'!C11*$C636*'Business Case'!C13*$D636-'Business Case'!C14*$E636))*'Business Case'!$B$7-'Business Case'!$B$8*(('Business Case'!C11*$C636*'Business Case'!C12*$B636)-('Business Case'!B11*$C636*'Business Case'!B12*$B636))-'Business Case'!C15*$F636</f>
        <v>1918677.42111184</v>
      </c>
      <c r="J636" s="39" t="n">
        <f aca="false">(('Business Case'!D11*$C636*'Business Case'!D12*$B636)-'Business Case'!D11*$C636*'Business Case'!D13*$D636-'Business Case'!D14*$E636)-MAX(0,(('Business Case'!D11*$C636*'Business Case'!D12*$B636)-'Business Case'!D11*$C636*'Business Case'!D13*$D636-'Business Case'!D14*$E636))*'Business Case'!$B$7-'Business Case'!$B$8*(('Business Case'!D11*$C636*'Business Case'!D12*$B636)-('Business Case'!C11*$C636*'Business Case'!C12*$B636))-'Business Case'!D15*$F636</f>
        <v>310243559.184516</v>
      </c>
      <c r="K636" s="39" t="n">
        <f aca="false">(('Business Case'!E11*$C636*'Business Case'!E12*$B636)-'Business Case'!E11*$C636*'Business Case'!E13*$D636-'Business Case'!E14*$E636)-MAX(0,(('Business Case'!E11*$C636*'Business Case'!E12*$B636)-'Business Case'!E11*$C636*'Business Case'!E13*$D636-'Business Case'!E14*$E636))*'Business Case'!$B$7-'Business Case'!$B$8*(('Business Case'!E11*$C636*'Business Case'!E12*$B636)-('Business Case'!D11*$C636*'Business Case'!D12*$B636))-'Business Case'!E15*$F636</f>
        <v>673062403.61868</v>
      </c>
      <c r="L636" s="39" t="n">
        <f aca="false">(('Business Case'!F11*$C636*'Business Case'!F12*$B636)-'Business Case'!F11*$C636*'Business Case'!F13*$D636-'Business Case'!F14*$E636)-MAX(0,(('Business Case'!F11*$C636*'Business Case'!F12*$B636)-'Business Case'!F11*$C636*'Business Case'!F13*$D636-'Business Case'!F14*$E636))*'Business Case'!$B$7-'Business Case'!$B$8*(('Business Case'!F11*$C636*'Business Case'!F12*$B636)-('Business Case'!E11*$C636*'Business Case'!E12*$B636))-'Business Case'!F15*$F636</f>
        <v>811332681.606573</v>
      </c>
      <c r="M636" s="39" t="n">
        <f aca="false">(('Business Case'!G11*$C636*'Business Case'!G12*$B636)-'Business Case'!G11*$C636*'Business Case'!G13*$D636-'Business Case'!G14*$E636)-MAX(0,(('Business Case'!G11*$C636*'Business Case'!G12*$B636)-'Business Case'!G11*$C636*'Business Case'!G13*$D636-'Business Case'!G14*$E636))*'Business Case'!$B$7-'Business Case'!$B$8*(('Business Case'!G11*$C636*'Business Case'!G12*$B636)-('Business Case'!F11*$C636*'Business Case'!F12*$B636))-'Business Case'!G15*$F636+'Business Case'!$B$8*('Business Case'!G11*$C636*'Business Case'!G12*$B636)</f>
        <v>1006556927.30708</v>
      </c>
      <c r="N636" s="39" t="n">
        <f aca="false">IF(COUNT('Business Case'!B11:G11)=0,"",H636+NPV(G636,I636:M636))</f>
        <v>-238968084.917495</v>
      </c>
      <c r="P636" s="40" t="n">
        <f aca="true">RAND()</f>
        <v>0.550370614515289</v>
      </c>
      <c r="Q636" s="40" t="n">
        <f aca="true">RAND()</f>
        <v>0.746465955104666</v>
      </c>
      <c r="R636" s="40" t="n">
        <f aca="true">RAND()</f>
        <v>0.475853726319143</v>
      </c>
      <c r="S636" s="40" t="n">
        <f aca="true">RAND()</f>
        <v>0.505682892648624</v>
      </c>
      <c r="T636" s="40" t="n">
        <f aca="true">RAND()</f>
        <v>0.757468423432167</v>
      </c>
      <c r="U636" s="40" t="n">
        <f aca="true">RAND()</f>
        <v>0.354845611297491</v>
      </c>
    </row>
    <row r="637" customFormat="false" ht="15" hidden="false" customHeight="false" outlineLevel="0" collapsed="false">
      <c r="A637" s="36" t="n">
        <v>557</v>
      </c>
      <c r="B637" s="37" t="n">
        <f aca="false">1+IF($G$6=$E$6,$F$6,IF(P637&lt;($F$6-$E$6)/($G$6-$E$6),$E$6+SQRT(P637*($G$6-$E$6)*($F$6-$E$6)),$G$6-SQRT((1-P637)*($G$6-$E$6)*($G$6-$F$6))))</f>
        <v>0.951217378005025</v>
      </c>
      <c r="C637" s="37" t="n">
        <f aca="false">1+IF($G$7=$E$7,$F$7,IF(Q637&lt;($F$7-$E$7)/($G$7-$E$7),$E$7+SQRT(Q637*($G$7-$E$7)*($F$7-$E$7)),$G$7-SQRT((1-Q637)*($G$7-$E$7)*($G$7-$F$7))))</f>
        <v>0.878247364590154</v>
      </c>
      <c r="D637" s="37" t="n">
        <f aca="false">1+IF($G$8=$E$8,$F$8,IF(R637&lt;($F$8-$E$8)/($G$8-$E$8),$E$8+SQRT(R637*($G$8-$E$8)*($F$8-$E$8)),$G$8-SQRT((1-R637)*($G$8-$E$8)*($G$8-$F$8))))</f>
        <v>0.980943997773649</v>
      </c>
      <c r="E637" s="37" t="n">
        <f aca="false">1+IF($G$9=$E$9,$F$9,IF(S637&lt;($F$9-$E$9)/($G$9-$E$9),$E$9+SQRT(S637*($G$9-$E$9)*($F$9-$E$9)),$G$9-SQRT((1-S637)*($G$9-$E$9)*($G$9-$F$9))))</f>
        <v>1.03143388624869</v>
      </c>
      <c r="F637" s="37" t="n">
        <f aca="false">1+IF($G$10=$E$10,$F$10,IF(T637&lt;($F$10-$E$10)/($G$10-$E$10),$E$10+SQRT(T637*($G$10-$E$10)*($F$10-$E$10)),$G$10-SQRT((1-T637)*($G$10-$E$10)*($G$10-$F$10))))</f>
        <v>0.975504307371941</v>
      </c>
      <c r="G637" s="38" t="n">
        <f aca="false">IF($G$11=$E$11,$F$11,IF(U637&lt;($F$11-$E$11)/($G$11-$E$11),$E$11+SQRT(U637*($G$11-$E$11)*($F$11-$E$11)),$G$11-SQRT((1-U637)*($G$11-$E$11)*($G$11-$F$11))))</f>
        <v>0.10794204815382</v>
      </c>
      <c r="H637" s="39" t="n">
        <f aca="false">(('Business Case'!B11*$C637*'Business Case'!B12*$B637)-'Business Case'!B11*$C637*'Business Case'!B13*$D637-'Business Case'!B14*$E637)-MAX(0,(('Business Case'!B11*$C637*'Business Case'!B12*$B637)-'Business Case'!B11*$C637*'Business Case'!B13*$D637-'Business Case'!B14*$E637))*'Business Case'!$B$7-'Business Case'!$B$8*('Business Case'!B11*$C637*'Business Case'!B12*$B637)-'Business Case'!B15*$F637</f>
        <v>-1951008614.74388</v>
      </c>
      <c r="I637" s="39" t="n">
        <f aca="false">(('Business Case'!C11*$C637*'Business Case'!C12*$B637)-'Business Case'!C11*$C637*'Business Case'!C13*$D637-'Business Case'!C14*$E637)-MAX(0,(('Business Case'!C11*$C637*'Business Case'!C12*$B637)-'Business Case'!C11*$C637*'Business Case'!C13*$D637-'Business Case'!C14*$E637))*'Business Case'!$B$7-'Business Case'!$B$8*(('Business Case'!C11*$C637*'Business Case'!C12*$B637)-('Business Case'!B11*$C637*'Business Case'!B12*$B637))-'Business Case'!C15*$F637</f>
        <v>-44296485.696619</v>
      </c>
      <c r="J637" s="39" t="n">
        <f aca="false">(('Business Case'!D11*$C637*'Business Case'!D12*$B637)-'Business Case'!D11*$C637*'Business Case'!D13*$D637-'Business Case'!D14*$E637)-MAX(0,(('Business Case'!D11*$C637*'Business Case'!D12*$B637)-'Business Case'!D11*$C637*'Business Case'!D13*$D637-'Business Case'!D14*$E637))*'Business Case'!$B$7-'Business Case'!$B$8*(('Business Case'!D11*$C637*'Business Case'!D12*$B637)-('Business Case'!C11*$C637*'Business Case'!C12*$B637))-'Business Case'!D15*$F637</f>
        <v>198934709.383691</v>
      </c>
      <c r="K637" s="39" t="n">
        <f aca="false">(('Business Case'!E11*$C637*'Business Case'!E12*$B637)-'Business Case'!E11*$C637*'Business Case'!E13*$D637-'Business Case'!E14*$E637)-MAX(0,(('Business Case'!E11*$C637*'Business Case'!E12*$B637)-'Business Case'!E11*$C637*'Business Case'!E13*$D637-'Business Case'!E14*$E637))*'Business Case'!$B$7-'Business Case'!$B$8*(('Business Case'!E11*$C637*'Business Case'!E12*$B637)-('Business Case'!D11*$C637*'Business Case'!D12*$B637))-'Business Case'!E15*$F637</f>
        <v>490941119.832599</v>
      </c>
      <c r="L637" s="39" t="n">
        <f aca="false">(('Business Case'!F11*$C637*'Business Case'!F12*$B637)-'Business Case'!F11*$C637*'Business Case'!F13*$D637-'Business Case'!F14*$E637)-MAX(0,(('Business Case'!F11*$C637*'Business Case'!F12*$B637)-'Business Case'!F11*$C637*'Business Case'!F13*$D637-'Business Case'!F14*$E637))*'Business Case'!$B$7-'Business Case'!$B$8*(('Business Case'!F11*$C637*'Business Case'!F12*$B637)-('Business Case'!E11*$C637*'Business Case'!E12*$B637))-'Business Case'!F15*$F637</f>
        <v>600889752.469484</v>
      </c>
      <c r="M637" s="39" t="n">
        <f aca="false">(('Business Case'!G11*$C637*'Business Case'!G12*$B637)-'Business Case'!G11*$C637*'Business Case'!G13*$D637-'Business Case'!G14*$E637)-MAX(0,(('Business Case'!G11*$C637*'Business Case'!G12*$B637)-'Business Case'!G11*$C637*'Business Case'!G13*$D637-'Business Case'!G14*$E637))*'Business Case'!$B$7-'Business Case'!$B$8*(('Business Case'!G11*$C637*'Business Case'!G12*$B637)-('Business Case'!F11*$C637*'Business Case'!F12*$B637))-'Business Case'!G15*$F637+'Business Case'!$B$8*('Business Case'!G11*$C637*'Business Case'!G12*$B637)</f>
        <v>759683374.325116</v>
      </c>
      <c r="N637" s="39" t="n">
        <f aca="false">IF(COUNT('Business Case'!B11:G11)=0,"",H637+NPV(G637,I637:M637))</f>
        <v>-614141769.289242</v>
      </c>
      <c r="P637" s="40" t="n">
        <f aca="true">RAND()</f>
        <v>0.101512988490479</v>
      </c>
      <c r="Q637" s="40" t="n">
        <f aca="true">RAND()</f>
        <v>0.0874664295043499</v>
      </c>
      <c r="R637" s="40" t="n">
        <f aca="true">RAND()</f>
        <v>0.147312461263936</v>
      </c>
      <c r="S637" s="40" t="n">
        <f aca="true">RAND()</f>
        <v>0.686579203002781</v>
      </c>
      <c r="T637" s="40" t="n">
        <f aca="true">RAND()</f>
        <v>0.0520375755617937</v>
      </c>
      <c r="U637" s="40" t="n">
        <f aca="true">RAND()</f>
        <v>0.757676328791992</v>
      </c>
    </row>
    <row r="638" customFormat="false" ht="15" hidden="false" customHeight="false" outlineLevel="0" collapsed="false">
      <c r="A638" s="36" t="n">
        <v>558</v>
      </c>
      <c r="B638" s="37" t="n">
        <f aca="false">1+IF($G$6=$E$6,$F$6,IF(P638&lt;($F$6-$E$6)/($G$6-$E$6),$E$6+SQRT(P638*($G$6-$E$6)*($F$6-$E$6)),$G$6-SQRT((1-P638)*($G$6-$E$6)*($G$6-$F$6))))</f>
        <v>1.00113076242881</v>
      </c>
      <c r="C638" s="37" t="n">
        <f aca="false">1+IF($G$7=$E$7,$F$7,IF(Q638&lt;($F$7-$E$7)/($G$7-$E$7),$E$7+SQRT(Q638*($G$7-$E$7)*($F$7-$E$7)),$G$7-SQRT((1-Q638)*($G$7-$E$7)*($G$7-$F$7))))</f>
        <v>0.971937277377015</v>
      </c>
      <c r="D638" s="37" t="n">
        <f aca="false">1+IF($G$8=$E$8,$F$8,IF(R638&lt;($F$8-$E$8)/($G$8-$E$8),$E$8+SQRT(R638*($G$8-$E$8)*($F$8-$E$8)),$G$8-SQRT((1-R638)*($G$8-$E$8)*($G$8-$F$8))))</f>
        <v>1.03296719799538</v>
      </c>
      <c r="E638" s="37" t="n">
        <f aca="false">1+IF($G$9=$E$9,$F$9,IF(S638&lt;($F$9-$E$9)/($G$9-$E$9),$E$9+SQRT(S638*($G$9-$E$9)*($F$9-$E$9)),$G$9-SQRT((1-S638)*($G$9-$E$9)*($G$9-$F$9))))</f>
        <v>1.02932737896685</v>
      </c>
      <c r="F638" s="37" t="n">
        <f aca="false">1+IF($G$10=$E$10,$F$10,IF(T638&lt;($F$10-$E$10)/($G$10-$E$10),$E$10+SQRT(T638*($G$10-$E$10)*($F$10-$E$10)),$G$10-SQRT((1-T638)*($G$10-$E$10)*($G$10-$F$10))))</f>
        <v>1.05759041840373</v>
      </c>
      <c r="G638" s="38" t="n">
        <f aca="false">IF($G$11=$E$11,$F$11,IF(U638&lt;($F$11-$E$11)/($G$11-$E$11),$E$11+SQRT(U638*($G$11-$E$11)*($F$11-$E$11)),$G$11-SQRT((1-U638)*($G$11-$E$11)*($G$11-$F$11))))</f>
        <v>0.101444871191521</v>
      </c>
      <c r="H638" s="39" t="n">
        <f aca="false">(('Business Case'!B11*$C638*'Business Case'!B12*$B638)-'Business Case'!B11*$C638*'Business Case'!B13*$D638-'Business Case'!B14*$E638)-MAX(0,(('Business Case'!B11*$C638*'Business Case'!B12*$B638)-'Business Case'!B11*$C638*'Business Case'!B13*$D638-'Business Case'!B14*$E638))*'Business Case'!$B$7-'Business Case'!$B$8*('Business Case'!B11*$C638*'Business Case'!B12*$B638)-'Business Case'!B15*$F638</f>
        <v>-2115180836.80746</v>
      </c>
      <c r="I638" s="39" t="n">
        <f aca="false">(('Business Case'!C11*$C638*'Business Case'!C12*$B638)-'Business Case'!C11*$C638*'Business Case'!C13*$D638-'Business Case'!C14*$E638)-MAX(0,(('Business Case'!C11*$C638*'Business Case'!C12*$B638)-'Business Case'!C11*$C638*'Business Case'!C13*$D638-'Business Case'!C14*$E638))*'Business Case'!$B$7-'Business Case'!$B$8*(('Business Case'!C11*$C638*'Business Case'!C12*$B638)-('Business Case'!B11*$C638*'Business Case'!B12*$B638))-'Business Case'!C15*$F638</f>
        <v>-19541899.4140523</v>
      </c>
      <c r="J638" s="39" t="n">
        <f aca="false">(('Business Case'!D11*$C638*'Business Case'!D12*$B638)-'Business Case'!D11*$C638*'Business Case'!D13*$D638-'Business Case'!D14*$E638)-MAX(0,(('Business Case'!D11*$C638*'Business Case'!D12*$B638)-'Business Case'!D11*$C638*'Business Case'!D13*$D638-'Business Case'!D14*$E638))*'Business Case'!$B$7-'Business Case'!$B$8*(('Business Case'!D11*$C638*'Business Case'!D12*$B638)-('Business Case'!C11*$C638*'Business Case'!C12*$B638))-'Business Case'!D15*$F638</f>
        <v>263487798.483887</v>
      </c>
      <c r="K638" s="39" t="n">
        <f aca="false">(('Business Case'!E11*$C638*'Business Case'!E12*$B638)-'Business Case'!E11*$C638*'Business Case'!E13*$D638-'Business Case'!E14*$E638)-MAX(0,(('Business Case'!E11*$C638*'Business Case'!E12*$B638)-'Business Case'!E11*$C638*'Business Case'!E13*$D638-'Business Case'!E14*$E638))*'Business Case'!$B$7-'Business Case'!$B$8*(('Business Case'!E11*$C638*'Business Case'!E12*$B638)-('Business Case'!D11*$C638*'Business Case'!D12*$B638))-'Business Case'!E15*$F638</f>
        <v>599397017.302014</v>
      </c>
      <c r="L638" s="39" t="n">
        <f aca="false">(('Business Case'!F11*$C638*'Business Case'!F12*$B638)-'Business Case'!F11*$C638*'Business Case'!F13*$D638-'Business Case'!F14*$E638)-MAX(0,(('Business Case'!F11*$C638*'Business Case'!F12*$B638)-'Business Case'!F11*$C638*'Business Case'!F13*$D638-'Business Case'!F14*$E638))*'Business Case'!$B$7-'Business Case'!$B$8*(('Business Case'!F11*$C638*'Business Case'!F12*$B638)-('Business Case'!E11*$C638*'Business Case'!E12*$B638))-'Business Case'!F15*$F638</f>
        <v>727368384.723016</v>
      </c>
      <c r="M638" s="39" t="n">
        <f aca="false">(('Business Case'!G11*$C638*'Business Case'!G12*$B638)-'Business Case'!G11*$C638*'Business Case'!G13*$D638-'Business Case'!G14*$E638)-MAX(0,(('Business Case'!G11*$C638*'Business Case'!G12*$B638)-'Business Case'!G11*$C638*'Business Case'!G13*$D638-'Business Case'!G14*$E638))*'Business Case'!$B$7-'Business Case'!$B$8*(('Business Case'!G11*$C638*'Business Case'!G12*$B638)-('Business Case'!F11*$C638*'Business Case'!F12*$B638))-'Business Case'!G15*$F638+'Business Case'!$B$8*('Business Case'!G11*$C638*'Business Case'!G12*$B638)</f>
        <v>912323126.058971</v>
      </c>
      <c r="N638" s="39" t="n">
        <f aca="false">IF(COUNT('Business Case'!B11:G11)=0,"",H638+NPV(G638,I638:M638))</f>
        <v>-410193605.950057</v>
      </c>
      <c r="P638" s="40" t="n">
        <f aca="true">RAND()</f>
        <v>0.685246327215512</v>
      </c>
      <c r="Q638" s="40" t="n">
        <f aca="true">RAND()</f>
        <v>0.422320390740293</v>
      </c>
      <c r="R638" s="40" t="n">
        <f aca="true">RAND()</f>
        <v>0.787299570730183</v>
      </c>
      <c r="S638" s="40" t="n">
        <f aca="true">RAND()</f>
        <v>0.667025375753623</v>
      </c>
      <c r="T638" s="40" t="n">
        <f aca="true">RAND()</f>
        <v>0.594390221391517</v>
      </c>
      <c r="U638" s="40" t="n">
        <f aca="true">RAND()</f>
        <v>0.426178658167903</v>
      </c>
    </row>
    <row r="639" customFormat="false" ht="15" hidden="false" customHeight="false" outlineLevel="0" collapsed="false">
      <c r="A639" s="36" t="n">
        <v>559</v>
      </c>
      <c r="B639" s="37" t="n">
        <f aca="false">1+IF($G$6=$E$6,$F$6,IF(P639&lt;($F$6-$E$6)/($G$6-$E$6),$E$6+SQRT(P639*($G$6-$E$6)*($F$6-$E$6)),$G$6-SQRT((1-P639)*($G$6-$E$6)*($G$6-$F$6))))</f>
        <v>0.961370293174213</v>
      </c>
      <c r="C639" s="37" t="n">
        <f aca="false">1+IF($G$7=$E$7,$F$7,IF(Q639&lt;($F$7-$E$7)/($G$7-$E$7),$E$7+SQRT(Q639*($G$7-$E$7)*($F$7-$E$7)),$G$7-SQRT((1-Q639)*($G$7-$E$7)*($G$7-$F$7))))</f>
        <v>0.955381634712156</v>
      </c>
      <c r="D639" s="37" t="n">
        <f aca="false">1+IF($G$8=$E$8,$F$8,IF(R639&lt;($F$8-$E$8)/($G$8-$E$8),$E$8+SQRT(R639*($G$8-$E$8)*($F$8-$E$8)),$G$8-SQRT((1-R639)*($G$8-$E$8)*($G$8-$F$8))))</f>
        <v>1.0124033890886</v>
      </c>
      <c r="E639" s="37" t="n">
        <f aca="false">1+IF($G$9=$E$9,$F$9,IF(S639&lt;($F$9-$E$9)/($G$9-$E$9),$E$9+SQRT(S639*($G$9-$E$9)*($F$9-$E$9)),$G$9-SQRT((1-S639)*($G$9-$E$9)*($G$9-$F$9))))</f>
        <v>1.03623578244607</v>
      </c>
      <c r="F639" s="37" t="n">
        <f aca="false">1+IF($G$10=$E$10,$F$10,IF(T639&lt;($F$10-$E$10)/($G$10-$E$10),$E$10+SQRT(T639*($G$10-$E$10)*($F$10-$E$10)),$G$10-SQRT((1-T639)*($G$10-$E$10)*($G$10-$F$10))))</f>
        <v>1.10835602993513</v>
      </c>
      <c r="G639" s="38" t="n">
        <f aca="false">IF($G$11=$E$11,$F$11,IF(U639&lt;($F$11-$E$11)/($G$11-$E$11),$E$11+SQRT(U639*($G$11-$E$11)*($F$11-$E$11)),$G$11-SQRT((1-U639)*($G$11-$E$11)*($G$11-$F$11))))</f>
        <v>0.113480929409617</v>
      </c>
      <c r="H639" s="39" t="n">
        <f aca="false">(('Business Case'!B11*$C639*'Business Case'!B12*$B639)-'Business Case'!B11*$C639*'Business Case'!B13*$D639-'Business Case'!B14*$E639)-MAX(0,(('Business Case'!B11*$C639*'Business Case'!B12*$B639)-'Business Case'!B11*$C639*'Business Case'!B13*$D639-'Business Case'!B14*$E639))*'Business Case'!$B$7-'Business Case'!$B$8*('Business Case'!B11*$C639*'Business Case'!B12*$B639)-'Business Case'!B15*$F639</f>
        <v>-2216712059.87025</v>
      </c>
      <c r="I639" s="39" t="n">
        <f aca="false">(('Business Case'!C11*$C639*'Business Case'!C12*$B639)-'Business Case'!C11*$C639*'Business Case'!C13*$D639-'Business Case'!C14*$E639)-MAX(0,(('Business Case'!C11*$C639*'Business Case'!C12*$B639)-'Business Case'!C11*$C639*'Business Case'!C13*$D639-'Business Case'!C14*$E639))*'Business Case'!$B$7-'Business Case'!$B$8*(('Business Case'!C11*$C639*'Business Case'!C12*$B639)-('Business Case'!B11*$C639*'Business Case'!B12*$B639))-'Business Case'!C15*$F639</f>
        <v>-48649722.5231309</v>
      </c>
      <c r="J639" s="39" t="n">
        <f aca="false">(('Business Case'!D11*$C639*'Business Case'!D12*$B639)-'Business Case'!D11*$C639*'Business Case'!D13*$D639-'Business Case'!D14*$E639)-MAX(0,(('Business Case'!D11*$C639*'Business Case'!D12*$B639)-'Business Case'!D11*$C639*'Business Case'!D13*$D639-'Business Case'!D14*$E639))*'Business Case'!$B$7-'Business Case'!$B$8*(('Business Case'!D11*$C639*'Business Case'!D12*$B639)-('Business Case'!C11*$C639*'Business Case'!C12*$B639))-'Business Case'!D15*$F639</f>
        <v>208502657.284859</v>
      </c>
      <c r="K639" s="39" t="n">
        <f aca="false">(('Business Case'!E11*$C639*'Business Case'!E12*$B639)-'Business Case'!E11*$C639*'Business Case'!E13*$D639-'Business Case'!E14*$E639)-MAX(0,(('Business Case'!E11*$C639*'Business Case'!E12*$B639)-'Business Case'!E11*$C639*'Business Case'!E13*$D639-'Business Case'!E14*$E639))*'Business Case'!$B$7-'Business Case'!$B$8*(('Business Case'!E11*$C639*'Business Case'!E12*$B639)-('Business Case'!D11*$C639*'Business Case'!D12*$B639))-'Business Case'!E15*$F639</f>
        <v>521072838.589605</v>
      </c>
      <c r="L639" s="39" t="n">
        <f aca="false">(('Business Case'!F11*$C639*'Business Case'!F12*$B639)-'Business Case'!F11*$C639*'Business Case'!F13*$D639-'Business Case'!F14*$E639)-MAX(0,(('Business Case'!F11*$C639*'Business Case'!F12*$B639)-'Business Case'!F11*$C639*'Business Case'!F13*$D639-'Business Case'!F14*$E639))*'Business Case'!$B$7-'Business Case'!$B$8*(('Business Case'!F11*$C639*'Business Case'!F12*$B639)-('Business Case'!E11*$C639*'Business Case'!E12*$B639))-'Business Case'!F15*$F639</f>
        <v>638532812.574786</v>
      </c>
      <c r="M639" s="39" t="n">
        <f aca="false">(('Business Case'!G11*$C639*'Business Case'!G12*$B639)-'Business Case'!G11*$C639*'Business Case'!G13*$D639-'Business Case'!G14*$E639)-MAX(0,(('Business Case'!G11*$C639*'Business Case'!G12*$B639)-'Business Case'!G11*$C639*'Business Case'!G13*$D639-'Business Case'!G14*$E639))*'Business Case'!$B$7-'Business Case'!$B$8*(('Business Case'!G11*$C639*'Business Case'!G12*$B639)-('Business Case'!F11*$C639*'Business Case'!F12*$B639))-'Business Case'!G15*$F639+'Business Case'!$B$8*('Business Case'!G11*$C639*'Business Case'!G12*$B639)</f>
        <v>813116639.845298</v>
      </c>
      <c r="N639" s="39" t="n">
        <f aca="false">IF(COUNT('Business Case'!B11:G11)=0,"",H639+NPV(G639,I639:M639))</f>
        <v>-824356916.125869</v>
      </c>
      <c r="P639" s="40" t="n">
        <f aca="true">RAND()</f>
        <v>0.178281370554203</v>
      </c>
      <c r="Q639" s="40" t="n">
        <f aca="true">RAND()</f>
        <v>0.344906462940314</v>
      </c>
      <c r="R639" s="40" t="n">
        <f aca="true">RAND()</f>
        <v>0.560644057047334</v>
      </c>
      <c r="S639" s="40" t="n">
        <f aca="true">RAND()</f>
        <v>0.728941637315706</v>
      </c>
      <c r="T639" s="40" t="n">
        <f aca="true">RAND()</f>
        <v>0.832027655014972</v>
      </c>
      <c r="U639" s="40" t="n">
        <f aca="true">RAND()</f>
        <v>0.929169531062671</v>
      </c>
    </row>
    <row r="640" customFormat="false" ht="15" hidden="false" customHeight="false" outlineLevel="0" collapsed="false">
      <c r="A640" s="36" t="n">
        <v>560</v>
      </c>
      <c r="B640" s="37" t="n">
        <f aca="false">1+IF($G$6=$E$6,$F$6,IF(P640&lt;($F$6-$E$6)/($G$6-$E$6),$E$6+SQRT(P640*($G$6-$E$6)*($F$6-$E$6)),$G$6-SQRT((1-P640)*($G$6-$E$6)*($G$6-$F$6))))</f>
        <v>0.941898870152484</v>
      </c>
      <c r="C640" s="37" t="n">
        <f aca="false">1+IF($G$7=$E$7,$F$7,IF(Q640&lt;($F$7-$E$7)/($G$7-$E$7),$E$7+SQRT(Q640*($G$7-$E$7)*($F$7-$E$7)),$G$7-SQRT((1-Q640)*($G$7-$E$7)*($G$7-$F$7))))</f>
        <v>0.959759536590426</v>
      </c>
      <c r="D640" s="37" t="n">
        <f aca="false">1+IF($G$8=$E$8,$F$8,IF(R640&lt;($F$8-$E$8)/($G$8-$E$8),$E$8+SQRT(R640*($G$8-$E$8)*($F$8-$E$8)),$G$8-SQRT((1-R640)*($G$8-$E$8)*($G$8-$F$8))))</f>
        <v>1.02873966861251</v>
      </c>
      <c r="E640" s="37" t="n">
        <f aca="false">1+IF($G$9=$E$9,$F$9,IF(S640&lt;($F$9-$E$9)/($G$9-$E$9),$E$9+SQRT(S640*($G$9-$E$9)*($F$9-$E$9)),$G$9-SQRT((1-S640)*($G$9-$E$9)*($G$9-$F$9))))</f>
        <v>1.0099680573309</v>
      </c>
      <c r="F640" s="37" t="n">
        <f aca="false">1+IF($G$10=$E$10,$F$10,IF(T640&lt;($F$10-$E$10)/($G$10-$E$10),$E$10+SQRT(T640*($G$10-$E$10)*($F$10-$E$10)),$G$10-SQRT((1-T640)*($G$10-$E$10)*($G$10-$F$10))))</f>
        <v>1.05204307317347</v>
      </c>
      <c r="G640" s="38" t="n">
        <f aca="false">IF($G$11=$E$11,$F$11,IF(U640&lt;($F$11-$E$11)/($G$11-$E$11),$E$11+SQRT(U640*($G$11-$E$11)*($F$11-$E$11)),$G$11-SQRT((1-U640)*($G$11-$E$11)*($G$11-$F$11))))</f>
        <v>0.112198610727826</v>
      </c>
      <c r="H640" s="39" t="n">
        <f aca="false">(('Business Case'!B11*$C640*'Business Case'!B12*$B640)-'Business Case'!B11*$C640*'Business Case'!B13*$D640-'Business Case'!B14*$E640)-MAX(0,(('Business Case'!B11*$C640*'Business Case'!B12*$B640)-'Business Case'!B11*$C640*'Business Case'!B13*$D640-'Business Case'!B14*$E640))*'Business Case'!$B$7-'Business Case'!$B$8*('Business Case'!B11*$C640*'Business Case'!B12*$B640)-'Business Case'!B15*$F640</f>
        <v>-2104086146.34695</v>
      </c>
      <c r="I640" s="39" t="n">
        <f aca="false">(('Business Case'!C11*$C640*'Business Case'!C12*$B640)-'Business Case'!C11*$C640*'Business Case'!C13*$D640-'Business Case'!C14*$E640)-MAX(0,(('Business Case'!C11*$C640*'Business Case'!C12*$B640)-'Business Case'!C11*$C640*'Business Case'!C13*$D640-'Business Case'!C14*$E640))*'Business Case'!$B$7-'Business Case'!$B$8*(('Business Case'!C11*$C640*'Business Case'!C12*$B640)-('Business Case'!B11*$C640*'Business Case'!B12*$B640))-'Business Case'!C15*$F640</f>
        <v>-60687260.2416272</v>
      </c>
      <c r="J640" s="39" t="n">
        <f aca="false">(('Business Case'!D11*$C640*'Business Case'!D12*$B640)-'Business Case'!D11*$C640*'Business Case'!D13*$D640-'Business Case'!D14*$E640)-MAX(0,(('Business Case'!D11*$C640*'Business Case'!D12*$B640)-'Business Case'!D11*$C640*'Business Case'!D13*$D640-'Business Case'!D14*$E640))*'Business Case'!$B$7-'Business Case'!$B$8*(('Business Case'!D11*$C640*'Business Case'!D12*$B640)-('Business Case'!C11*$C640*'Business Case'!C12*$B640))-'Business Case'!D15*$F640</f>
        <v>174310419.161741</v>
      </c>
      <c r="K640" s="39" t="n">
        <f aca="false">(('Business Case'!E11*$C640*'Business Case'!E12*$B640)-'Business Case'!E11*$C640*'Business Case'!E13*$D640-'Business Case'!E14*$E640)-MAX(0,(('Business Case'!E11*$C640*'Business Case'!E12*$B640)-'Business Case'!E11*$C640*'Business Case'!E13*$D640-'Business Case'!E14*$E640))*'Business Case'!$B$7-'Business Case'!$B$8*(('Business Case'!E11*$C640*'Business Case'!E12*$B640)-('Business Case'!D11*$C640*'Business Case'!D12*$B640))-'Business Case'!E15*$F640</f>
        <v>461910252.223784</v>
      </c>
      <c r="L640" s="39" t="n">
        <f aca="false">(('Business Case'!F11*$C640*'Business Case'!F12*$B640)-'Business Case'!F11*$C640*'Business Case'!F13*$D640-'Business Case'!F14*$E640)-MAX(0,(('Business Case'!F11*$C640*'Business Case'!F12*$B640)-'Business Case'!F11*$C640*'Business Case'!F13*$D640-'Business Case'!F14*$E640))*'Business Case'!$B$7-'Business Case'!$B$8*(('Business Case'!F11*$C640*'Business Case'!F12*$B640)-('Business Case'!E11*$C640*'Business Case'!E12*$B640))-'Business Case'!F15*$F640</f>
        <v>571484928.408369</v>
      </c>
      <c r="M640" s="39" t="n">
        <f aca="false">(('Business Case'!G11*$C640*'Business Case'!G12*$B640)-'Business Case'!G11*$C640*'Business Case'!G13*$D640-'Business Case'!G14*$E640)-MAX(0,(('Business Case'!G11*$C640*'Business Case'!G12*$B640)-'Business Case'!G11*$C640*'Business Case'!G13*$D640-'Business Case'!G14*$E640))*'Business Case'!$B$7-'Business Case'!$B$8*(('Business Case'!G11*$C640*'Business Case'!G12*$B640)-('Business Case'!F11*$C640*'Business Case'!F12*$B640))-'Business Case'!G15*$F640+'Business Case'!$B$8*('Business Case'!G11*$C640*'Business Case'!G12*$B640)</f>
        <v>743316568.517412</v>
      </c>
      <c r="N640" s="39" t="n">
        <f aca="false">IF(COUNT('Business Case'!B11:G11)=0,"",H640+NPV(G640,I640:M640))</f>
        <v>-871723799.929243</v>
      </c>
      <c r="P640" s="40" t="n">
        <f aca="true">RAND()</f>
        <v>0.0499542202036808</v>
      </c>
      <c r="Q640" s="40" t="n">
        <f aca="true">RAND()</f>
        <v>0.36461585045125</v>
      </c>
      <c r="R640" s="40" t="n">
        <f aca="true">RAND()</f>
        <v>0.74734407942734</v>
      </c>
      <c r="S640" s="40" t="n">
        <f aca="true">RAND()</f>
        <v>0.459616619948578</v>
      </c>
      <c r="T640" s="40" t="n">
        <f aca="true">RAND()</f>
        <v>0.562174956081001</v>
      </c>
      <c r="U640" s="40" t="n">
        <f aca="true">RAND()</f>
        <v>0.898563875706672</v>
      </c>
    </row>
    <row r="641" customFormat="false" ht="15" hidden="false" customHeight="false" outlineLevel="0" collapsed="false">
      <c r="A641" s="36" t="n">
        <v>561</v>
      </c>
      <c r="B641" s="37" t="n">
        <f aca="false">1+IF($G$6=$E$6,$F$6,IF(P641&lt;($F$6-$E$6)/($G$6-$E$6),$E$6+SQRT(P641*($G$6-$E$6)*($F$6-$E$6)),$G$6-SQRT((1-P641)*($G$6-$E$6)*($G$6-$F$6))))</f>
        <v>1.00738653350622</v>
      </c>
      <c r="C641" s="37" t="n">
        <f aca="false">1+IF($G$7=$E$7,$F$7,IF(Q641&lt;($F$7-$E$7)/($G$7-$E$7),$E$7+SQRT(Q641*($G$7-$E$7)*($F$7-$E$7)),$G$7-SQRT((1-Q641)*($G$7-$E$7)*($G$7-$F$7))))</f>
        <v>1.05138006873769</v>
      </c>
      <c r="D641" s="37" t="n">
        <f aca="false">1+IF($G$8=$E$8,$F$8,IF(R641&lt;($F$8-$E$8)/($G$8-$E$8),$E$8+SQRT(R641*($G$8-$E$8)*($F$8-$E$8)),$G$8-SQRT((1-R641)*($G$8-$E$8)*($G$8-$F$8))))</f>
        <v>0.995617410485758</v>
      </c>
      <c r="E641" s="37" t="n">
        <f aca="false">1+IF($G$9=$E$9,$F$9,IF(S641&lt;($F$9-$E$9)/($G$9-$E$9),$E$9+SQRT(S641*($G$9-$E$9)*($F$9-$E$9)),$G$9-SQRT((1-S641)*($G$9-$E$9)*($G$9-$F$9))))</f>
        <v>0.996976533100125</v>
      </c>
      <c r="F641" s="37" t="n">
        <f aca="false">1+IF($G$10=$E$10,$F$10,IF(T641&lt;($F$10-$E$10)/($G$10-$E$10),$E$10+SQRT(T641*($G$10-$E$10)*($F$10-$E$10)),$G$10-SQRT((1-T641)*($G$10-$E$10)*($G$10-$F$10))))</f>
        <v>0.996779363163054</v>
      </c>
      <c r="G641" s="38" t="n">
        <f aca="false">IF($G$11=$E$11,$F$11,IF(U641&lt;($F$11-$E$11)/($G$11-$E$11),$E$11+SQRT(U641*($G$11-$E$11)*($F$11-$E$11)),$G$11-SQRT((1-U641)*($G$11-$E$11)*($G$11-$F$11))))</f>
        <v>0.100545534089767</v>
      </c>
      <c r="H641" s="39" t="n">
        <f aca="false">(('Business Case'!B11*$C641*'Business Case'!B12*$B641)-'Business Case'!B11*$C641*'Business Case'!B13*$D641-'Business Case'!B14*$E641)-MAX(0,(('Business Case'!B11*$C641*'Business Case'!B12*$B641)-'Business Case'!B11*$C641*'Business Case'!B13*$D641-'Business Case'!B14*$E641))*'Business Case'!$B$7-'Business Case'!$B$8*('Business Case'!B11*$C641*'Business Case'!B12*$B641)-'Business Case'!B15*$F641</f>
        <v>-1993558726.32611</v>
      </c>
      <c r="I641" s="39" t="n">
        <f aca="false">(('Business Case'!C11*$C641*'Business Case'!C12*$B641)-'Business Case'!C11*$C641*'Business Case'!C13*$D641-'Business Case'!C14*$E641)-MAX(0,(('Business Case'!C11*$C641*'Business Case'!C12*$B641)-'Business Case'!C11*$C641*'Business Case'!C13*$D641-'Business Case'!C14*$E641))*'Business Case'!$B$7-'Business Case'!$B$8*(('Business Case'!C11*$C641*'Business Case'!C12*$B641)-('Business Case'!B11*$C641*'Business Case'!B12*$B641))-'Business Case'!C15*$F641</f>
        <v>35299122.2280459</v>
      </c>
      <c r="J641" s="39" t="n">
        <f aca="false">(('Business Case'!D11*$C641*'Business Case'!D12*$B641)-'Business Case'!D11*$C641*'Business Case'!D13*$D641-'Business Case'!D14*$E641)-MAX(0,(('Business Case'!D11*$C641*'Business Case'!D12*$B641)-'Business Case'!D11*$C641*'Business Case'!D13*$D641-'Business Case'!D14*$E641))*'Business Case'!$B$7-'Business Case'!$B$8*(('Business Case'!D11*$C641*'Business Case'!D12*$B641)-('Business Case'!C11*$C641*'Business Case'!C12*$B641))-'Business Case'!D15*$F641</f>
        <v>366952378.787426</v>
      </c>
      <c r="K641" s="39" t="n">
        <f aca="false">(('Business Case'!E11*$C641*'Business Case'!E12*$B641)-'Business Case'!E11*$C641*'Business Case'!E13*$D641-'Business Case'!E14*$E641)-MAX(0,(('Business Case'!E11*$C641*'Business Case'!E12*$B641)-'Business Case'!E11*$C641*'Business Case'!E13*$D641-'Business Case'!E14*$E641))*'Business Case'!$B$7-'Business Case'!$B$8*(('Business Case'!E11*$C641*'Business Case'!E12*$B641)-('Business Case'!D11*$C641*'Business Case'!D12*$B641))-'Business Case'!E15*$F641</f>
        <v>748444603.504959</v>
      </c>
      <c r="L641" s="39" t="n">
        <f aca="false">(('Business Case'!F11*$C641*'Business Case'!F12*$B641)-'Business Case'!F11*$C641*'Business Case'!F13*$D641-'Business Case'!F14*$E641)-MAX(0,(('Business Case'!F11*$C641*'Business Case'!F12*$B641)-'Business Case'!F11*$C641*'Business Case'!F13*$D641-'Business Case'!F14*$E641))*'Business Case'!$B$7-'Business Case'!$B$8*(('Business Case'!F11*$C641*'Business Case'!F12*$B641)-('Business Case'!E11*$C641*'Business Case'!E12*$B641))-'Business Case'!F15*$F641</f>
        <v>895599779.030213</v>
      </c>
      <c r="M641" s="39" t="n">
        <f aca="false">(('Business Case'!G11*$C641*'Business Case'!G12*$B641)-'Business Case'!G11*$C641*'Business Case'!G13*$D641-'Business Case'!G14*$E641)-MAX(0,(('Business Case'!G11*$C641*'Business Case'!G12*$B641)-'Business Case'!G11*$C641*'Business Case'!G13*$D641-'Business Case'!G14*$E641))*'Business Case'!$B$7-'Business Case'!$B$8*(('Business Case'!G11*$C641*'Business Case'!G12*$B641)-('Business Case'!F11*$C641*'Business Case'!F12*$B641))-'Business Case'!G15*$F641+'Business Case'!$B$8*('Business Case'!G11*$C641*'Business Case'!G12*$B641)</f>
        <v>1096922274.06025</v>
      </c>
      <c r="N641" s="39" t="n">
        <f aca="false">IF(COUNT('Business Case'!B11:G11)=0,"",H641+NPV(G641,I641:M641))</f>
        <v>192873769.277292</v>
      </c>
      <c r="P641" s="40" t="n">
        <f aca="true">RAND()</f>
        <v>0.778408709012267</v>
      </c>
      <c r="Q641" s="40" t="n">
        <f aca="true">RAND()</f>
        <v>0.814744936339366</v>
      </c>
      <c r="R641" s="40" t="n">
        <f aca="true">RAND()</f>
        <v>0.320145867604023</v>
      </c>
      <c r="S641" s="40" t="n">
        <f aca="true">RAND()</f>
        <v>0.294239288280946</v>
      </c>
      <c r="T641" s="40" t="n">
        <f aca="true">RAND()</f>
        <v>0.175064705435268</v>
      </c>
      <c r="U641" s="40" t="n">
        <f aca="true">RAND()</f>
        <v>0.369206260245956</v>
      </c>
    </row>
    <row r="642" customFormat="false" ht="15" hidden="false" customHeight="false" outlineLevel="0" collapsed="false">
      <c r="A642" s="36" t="n">
        <v>562</v>
      </c>
      <c r="B642" s="37" t="n">
        <f aca="false">1+IF($G$6=$E$6,$F$6,IF(P642&lt;($F$6-$E$6)/($G$6-$E$6),$E$6+SQRT(P642*($G$6-$E$6)*($F$6-$E$6)),$G$6-SQRT((1-P642)*($G$6-$E$6)*($G$6-$F$6))))</f>
        <v>1.00764314037847</v>
      </c>
      <c r="C642" s="37" t="n">
        <f aca="false">1+IF($G$7=$E$7,$F$7,IF(Q642&lt;($F$7-$E$7)/($G$7-$E$7),$E$7+SQRT(Q642*($G$7-$E$7)*($F$7-$E$7)),$G$7-SQRT((1-Q642)*($G$7-$E$7)*($G$7-$F$7))))</f>
        <v>0.913556435734397</v>
      </c>
      <c r="D642" s="37" t="n">
        <f aca="false">1+IF($G$8=$E$8,$F$8,IF(R642&lt;($F$8-$E$8)/($G$8-$E$8),$E$8+SQRT(R642*($G$8-$E$8)*($F$8-$E$8)),$G$8-SQRT((1-R642)*($G$8-$E$8)*($G$8-$F$8))))</f>
        <v>1.00710570727837</v>
      </c>
      <c r="E642" s="37" t="n">
        <f aca="false">1+IF($G$9=$E$9,$F$9,IF(S642&lt;($F$9-$E$9)/($G$9-$E$9),$E$9+SQRT(S642*($G$9-$E$9)*($F$9-$E$9)),$G$9-SQRT((1-S642)*($G$9-$E$9)*($G$9-$F$9))))</f>
        <v>1.01344447149331</v>
      </c>
      <c r="F642" s="37" t="n">
        <f aca="false">1+IF($G$10=$E$10,$F$10,IF(T642&lt;($F$10-$E$10)/($G$10-$E$10),$E$10+SQRT(T642*($G$10-$E$10)*($F$10-$E$10)),$G$10-SQRT((1-T642)*($G$10-$E$10)*($G$10-$F$10))))</f>
        <v>1.08877897766933</v>
      </c>
      <c r="G642" s="38" t="n">
        <f aca="false">IF($G$11=$E$11,$F$11,IF(U642&lt;($F$11-$E$11)/($G$11-$E$11),$E$11+SQRT(U642*($G$11-$E$11)*($F$11-$E$11)),$G$11-SQRT((1-U642)*($G$11-$E$11)*($G$11-$F$11))))</f>
        <v>0.103622360789374</v>
      </c>
      <c r="H642" s="39" t="n">
        <f aca="false">(('Business Case'!B11*$C642*'Business Case'!B12*$B642)-'Business Case'!B11*$C642*'Business Case'!B13*$D642-'Business Case'!B14*$E642)-MAX(0,(('Business Case'!B11*$C642*'Business Case'!B12*$B642)-'Business Case'!B11*$C642*'Business Case'!B13*$D642-'Business Case'!B14*$E642))*'Business Case'!$B$7-'Business Case'!$B$8*('Business Case'!B11*$C642*'Business Case'!B12*$B642)-'Business Case'!B15*$F642</f>
        <v>-2177557955.33866</v>
      </c>
      <c r="I642" s="39" t="n">
        <f aca="false">(('Business Case'!C11*$C642*'Business Case'!C12*$B642)-'Business Case'!C11*$C642*'Business Case'!C13*$D642-'Business Case'!C14*$E642)-MAX(0,(('Business Case'!C11*$C642*'Business Case'!C12*$B642)-'Business Case'!C11*$C642*'Business Case'!C13*$D642-'Business Case'!C14*$E642))*'Business Case'!$B$7-'Business Case'!$B$8*(('Business Case'!C11*$C642*'Business Case'!C12*$B642)-('Business Case'!B11*$C642*'Business Case'!B12*$B642))-'Business Case'!C15*$F642</f>
        <v>-17713739.9895974</v>
      </c>
      <c r="J642" s="39" t="n">
        <f aca="false">(('Business Case'!D11*$C642*'Business Case'!D12*$B642)-'Business Case'!D11*$C642*'Business Case'!D13*$D642-'Business Case'!D14*$E642)-MAX(0,(('Business Case'!D11*$C642*'Business Case'!D12*$B642)-'Business Case'!D11*$C642*'Business Case'!D13*$D642-'Business Case'!D14*$E642))*'Business Case'!$B$7-'Business Case'!$B$8*(('Business Case'!D11*$C642*'Business Case'!D12*$B642)-('Business Case'!C11*$C642*'Business Case'!C12*$B642))-'Business Case'!D15*$F642</f>
        <v>265282956.956407</v>
      </c>
      <c r="K642" s="39" t="n">
        <f aca="false">(('Business Case'!E11*$C642*'Business Case'!E12*$B642)-'Business Case'!E11*$C642*'Business Case'!E13*$D642-'Business Case'!E14*$E642)-MAX(0,(('Business Case'!E11*$C642*'Business Case'!E12*$B642)-'Business Case'!E11*$C642*'Business Case'!E13*$D642-'Business Case'!E14*$E642))*'Business Case'!$B$7-'Business Case'!$B$8*(('Business Case'!E11*$C642*'Business Case'!E12*$B642)-('Business Case'!D11*$C642*'Business Case'!D12*$B642))-'Business Case'!E15*$F642</f>
        <v>602718602.785879</v>
      </c>
      <c r="L642" s="39" t="n">
        <f aca="false">(('Business Case'!F11*$C642*'Business Case'!F12*$B642)-'Business Case'!F11*$C642*'Business Case'!F13*$D642-'Business Case'!F14*$E642)-MAX(0,(('Business Case'!F11*$C642*'Business Case'!F12*$B642)-'Business Case'!F11*$C642*'Business Case'!F13*$D642-'Business Case'!F14*$E642))*'Business Case'!$B$7-'Business Case'!$B$8*(('Business Case'!F11*$C642*'Business Case'!F12*$B642)-('Business Case'!E11*$C642*'Business Case'!E12*$B642))-'Business Case'!F15*$F642</f>
        <v>728864658.649427</v>
      </c>
      <c r="M642" s="39" t="n">
        <f aca="false">(('Business Case'!G11*$C642*'Business Case'!G12*$B642)-'Business Case'!G11*$C642*'Business Case'!G13*$D642-'Business Case'!G14*$E642)-MAX(0,(('Business Case'!G11*$C642*'Business Case'!G12*$B642)-'Business Case'!G11*$C642*'Business Case'!G13*$D642-'Business Case'!G14*$E642))*'Business Case'!$B$7-'Business Case'!$B$8*(('Business Case'!G11*$C642*'Business Case'!G12*$B642)-('Business Case'!F11*$C642*'Business Case'!F12*$B642))-'Business Case'!G15*$F642+'Business Case'!$B$8*('Business Case'!G11*$C642*'Business Case'!G12*$B642)</f>
        <v>903840688.164603</v>
      </c>
      <c r="N642" s="39" t="n">
        <f aca="false">IF(COUNT('Business Case'!B11:G11)=0,"",H642+NPV(G642,I642:M642))</f>
        <v>-484031572.009654</v>
      </c>
      <c r="P642" s="40" t="n">
        <f aca="true">RAND()</f>
        <v>0.781882007381782</v>
      </c>
      <c r="Q642" s="40" t="n">
        <f aca="true">RAND()</f>
        <v>0.184215201381431</v>
      </c>
      <c r="R642" s="40" t="n">
        <f aca="true">RAND()</f>
        <v>0.489079046982101</v>
      </c>
      <c r="S642" s="40" t="n">
        <f aca="true">RAND()</f>
        <v>0.500542698995182</v>
      </c>
      <c r="T642" s="40" t="n">
        <f aca="true">RAND()</f>
        <v>0.75259768383441</v>
      </c>
      <c r="U642" s="40" t="n">
        <f aca="true">RAND()</f>
        <v>0.552954889810944</v>
      </c>
    </row>
    <row r="643" customFormat="false" ht="15" hidden="false" customHeight="false" outlineLevel="0" collapsed="false">
      <c r="A643" s="36" t="n">
        <v>563</v>
      </c>
      <c r="B643" s="37" t="n">
        <f aca="false">1+IF($G$6=$E$6,$F$6,IF(P643&lt;($F$6-$E$6)/($G$6-$E$6),$E$6+SQRT(P643*($G$6-$E$6)*($F$6-$E$6)),$G$6-SQRT((1-P643)*($G$6-$E$6)*($G$6-$F$6))))</f>
        <v>1.00381008105788</v>
      </c>
      <c r="C643" s="37" t="n">
        <f aca="false">1+IF($G$7=$E$7,$F$7,IF(Q643&lt;($F$7-$E$7)/($G$7-$E$7),$E$7+SQRT(Q643*($G$7-$E$7)*($F$7-$E$7)),$G$7-SQRT((1-Q643)*($G$7-$E$7)*($G$7-$F$7))))</f>
        <v>0.971723304300336</v>
      </c>
      <c r="D643" s="37" t="n">
        <f aca="false">1+IF($G$8=$E$8,$F$8,IF(R643&lt;($F$8-$E$8)/($G$8-$E$8),$E$8+SQRT(R643*($G$8-$E$8)*($F$8-$E$8)),$G$8-SQRT((1-R643)*($G$8-$E$8)*($G$8-$F$8))))</f>
        <v>1.02173988179491</v>
      </c>
      <c r="E643" s="37" t="n">
        <f aca="false">1+IF($G$9=$E$9,$F$9,IF(S643&lt;($F$9-$E$9)/($G$9-$E$9),$E$9+SQRT(S643*($G$9-$E$9)*($F$9-$E$9)),$G$9-SQRT((1-S643)*($G$9-$E$9)*($G$9-$F$9))))</f>
        <v>1.02499275426606</v>
      </c>
      <c r="F643" s="37" t="n">
        <f aca="false">1+IF($G$10=$E$10,$F$10,IF(T643&lt;($F$10-$E$10)/($G$10-$E$10),$E$10+SQRT(T643*($G$10-$E$10)*($F$10-$E$10)),$G$10-SQRT((1-T643)*($G$10-$E$10)*($G$10-$F$10))))</f>
        <v>1.01908976212607</v>
      </c>
      <c r="G643" s="38" t="n">
        <f aca="false">IF($G$11=$E$11,$F$11,IF(U643&lt;($F$11-$E$11)/($G$11-$E$11),$E$11+SQRT(U643*($G$11-$E$11)*($F$11-$E$11)),$G$11-SQRT((1-U643)*($G$11-$E$11)*($G$11-$F$11))))</f>
        <v>0.0985345822171303</v>
      </c>
      <c r="H643" s="39" t="n">
        <f aca="false">(('Business Case'!B11*$C643*'Business Case'!B12*$B643)-'Business Case'!B11*$C643*'Business Case'!B13*$D643-'Business Case'!B14*$E643)-MAX(0,(('Business Case'!B11*$C643*'Business Case'!B12*$B643)-'Business Case'!B11*$C643*'Business Case'!B13*$D643-'Business Case'!B14*$E643))*'Business Case'!$B$7-'Business Case'!$B$8*('Business Case'!B11*$C643*'Business Case'!B12*$B643)-'Business Case'!B15*$F643</f>
        <v>-2038179524.25214</v>
      </c>
      <c r="I643" s="39" t="n">
        <f aca="false">(('Business Case'!C11*$C643*'Business Case'!C12*$B643)-'Business Case'!C11*$C643*'Business Case'!C13*$D643-'Business Case'!C14*$E643)-MAX(0,(('Business Case'!C11*$C643*'Business Case'!C12*$B643)-'Business Case'!C11*$C643*'Business Case'!C13*$D643-'Business Case'!C14*$E643))*'Business Case'!$B$7-'Business Case'!$B$8*(('Business Case'!C11*$C643*'Business Case'!C12*$B643)-('Business Case'!B11*$C643*'Business Case'!B12*$B643))-'Business Case'!C15*$F643</f>
        <v>-7544155.05564676</v>
      </c>
      <c r="J643" s="39" t="n">
        <f aca="false">(('Business Case'!D11*$C643*'Business Case'!D12*$B643)-'Business Case'!D11*$C643*'Business Case'!D13*$D643-'Business Case'!D14*$E643)-MAX(0,(('Business Case'!D11*$C643*'Business Case'!D12*$B643)-'Business Case'!D11*$C643*'Business Case'!D13*$D643-'Business Case'!D14*$E643))*'Business Case'!$B$7-'Business Case'!$B$8*(('Business Case'!D11*$C643*'Business Case'!D12*$B643)-('Business Case'!C11*$C643*'Business Case'!C12*$B643))-'Business Case'!D15*$F643</f>
        <v>283140701.39462</v>
      </c>
      <c r="K643" s="39" t="n">
        <f aca="false">(('Business Case'!E11*$C643*'Business Case'!E12*$B643)-'Business Case'!E11*$C643*'Business Case'!E13*$D643-'Business Case'!E14*$E643)-MAX(0,(('Business Case'!E11*$C643*'Business Case'!E12*$B643)-'Business Case'!E11*$C643*'Business Case'!E13*$D643-'Business Case'!E14*$E643))*'Business Case'!$B$7-'Business Case'!$B$8*(('Business Case'!E11*$C643*'Business Case'!E12*$B643)-('Business Case'!D11*$C643*'Business Case'!D12*$B643))-'Business Case'!E15*$F643</f>
        <v>624780045.95119</v>
      </c>
      <c r="L643" s="39" t="n">
        <f aca="false">(('Business Case'!F11*$C643*'Business Case'!F12*$B643)-'Business Case'!F11*$C643*'Business Case'!F13*$D643-'Business Case'!F14*$E643)-MAX(0,(('Business Case'!F11*$C643*'Business Case'!F12*$B643)-'Business Case'!F11*$C643*'Business Case'!F13*$D643-'Business Case'!F14*$E643))*'Business Case'!$B$7-'Business Case'!$B$8*(('Business Case'!F11*$C643*'Business Case'!F12*$B643)-('Business Case'!E11*$C643*'Business Case'!E12*$B643))-'Business Case'!F15*$F643</f>
        <v>755385708.525726</v>
      </c>
      <c r="M643" s="39" t="n">
        <f aca="false">(('Business Case'!G11*$C643*'Business Case'!G12*$B643)-'Business Case'!G11*$C643*'Business Case'!G13*$D643-'Business Case'!G14*$E643)-MAX(0,(('Business Case'!G11*$C643*'Business Case'!G12*$B643)-'Business Case'!G11*$C643*'Business Case'!G13*$D643-'Business Case'!G14*$E643))*'Business Case'!$B$7-'Business Case'!$B$8*(('Business Case'!G11*$C643*'Business Case'!G12*$B643)-('Business Case'!F11*$C643*'Business Case'!F12*$B643))-'Business Case'!G15*$F643+'Business Case'!$B$8*('Business Case'!G11*$C643*'Business Case'!G12*$B643)</f>
        <v>940794615.860189</v>
      </c>
      <c r="N643" s="39" t="n">
        <f aca="false">IF(COUNT('Business Case'!B11:G11)=0,"",H643+NPV(G643,I643:M643))</f>
        <v>-232370934.573813</v>
      </c>
      <c r="P643" s="40" t="n">
        <f aca="true">RAND()</f>
        <v>0.727143701450524</v>
      </c>
      <c r="Q643" s="40" t="n">
        <f aca="true">RAND()</f>
        <v>0.421269903426084</v>
      </c>
      <c r="R643" s="40" t="n">
        <f aca="true">RAND()</f>
        <v>0.673630637185479</v>
      </c>
      <c r="S643" s="40" t="n">
        <f aca="true">RAND()</f>
        <v>0.624927539160595</v>
      </c>
      <c r="T643" s="40" t="n">
        <f aca="true">RAND()</f>
        <v>0.345429716647971</v>
      </c>
      <c r="U643" s="40" t="n">
        <f aca="true">RAND()</f>
        <v>0.242796978736525</v>
      </c>
    </row>
    <row r="644" customFormat="false" ht="15" hidden="false" customHeight="false" outlineLevel="0" collapsed="false">
      <c r="A644" s="36" t="n">
        <v>564</v>
      </c>
      <c r="B644" s="37" t="n">
        <f aca="false">1+IF($G$6=$E$6,$F$6,IF(P644&lt;($F$6-$E$6)/($G$6-$E$6),$E$6+SQRT(P644*($G$6-$E$6)*($F$6-$E$6)),$G$6-SQRT((1-P644)*($G$6-$E$6)*($G$6-$F$6))))</f>
        <v>0.987959714362083</v>
      </c>
      <c r="C644" s="37" t="n">
        <f aca="false">1+IF($G$7=$E$7,$F$7,IF(Q644&lt;($F$7-$E$7)/($G$7-$E$7),$E$7+SQRT(Q644*($G$7-$E$7)*($F$7-$E$7)),$G$7-SQRT((1-Q644)*($G$7-$E$7)*($G$7-$F$7))))</f>
        <v>0.968111751933012</v>
      </c>
      <c r="D644" s="37" t="n">
        <f aca="false">1+IF($G$8=$E$8,$F$8,IF(R644&lt;($F$8-$E$8)/($G$8-$E$8),$E$8+SQRT(R644*($G$8-$E$8)*($F$8-$E$8)),$G$8-SQRT((1-R644)*($G$8-$E$8)*($G$8-$F$8))))</f>
        <v>0.991515155025181</v>
      </c>
      <c r="E644" s="37" t="n">
        <f aca="false">1+IF($G$9=$E$9,$F$9,IF(S644&lt;($F$9-$E$9)/($G$9-$E$9),$E$9+SQRT(S644*($G$9-$E$9)*($F$9-$E$9)),$G$9-SQRT((1-S644)*($G$9-$E$9)*($G$9-$F$9))))</f>
        <v>1.07551709236686</v>
      </c>
      <c r="F644" s="37" t="n">
        <f aca="false">1+IF($G$10=$E$10,$F$10,IF(T644&lt;($F$10-$E$10)/($G$10-$E$10),$E$10+SQRT(T644*($G$10-$E$10)*($F$10-$E$10)),$G$10-SQRT((1-T644)*($G$10-$E$10)*($G$10-$F$10))))</f>
        <v>1.09601756992338</v>
      </c>
      <c r="G644" s="38" t="n">
        <f aca="false">IF($G$11=$E$11,$F$11,IF(U644&lt;($F$11-$E$11)/($G$11-$E$11),$E$11+SQRT(U644*($G$11-$E$11)*($F$11-$E$11)),$G$11-SQRT((1-U644)*($G$11-$E$11)*($G$11-$F$11))))</f>
        <v>0.103255161433521</v>
      </c>
      <c r="H644" s="39" t="n">
        <f aca="false">(('Business Case'!B11*$C644*'Business Case'!B12*$B644)-'Business Case'!B11*$C644*'Business Case'!B13*$D644-'Business Case'!B14*$E644)-MAX(0,(('Business Case'!B11*$C644*'Business Case'!B12*$B644)-'Business Case'!B11*$C644*'Business Case'!B13*$D644-'Business Case'!B14*$E644))*'Business Case'!$B$7-'Business Case'!$B$8*('Business Case'!B11*$C644*'Business Case'!B12*$B644)-'Business Case'!B15*$F644</f>
        <v>-2192035139.84677</v>
      </c>
      <c r="I644" s="39" t="n">
        <f aca="false">(('Business Case'!C11*$C644*'Business Case'!C12*$B644)-'Business Case'!C11*$C644*'Business Case'!C13*$D644-'Business Case'!C14*$E644)-MAX(0,(('Business Case'!C11*$C644*'Business Case'!C12*$B644)-'Business Case'!C11*$C644*'Business Case'!C13*$D644-'Business Case'!C14*$E644))*'Business Case'!$B$7-'Business Case'!$B$8*(('Business Case'!C11*$C644*'Business Case'!C12*$B644)-('Business Case'!B11*$C644*'Business Case'!B12*$B644))-'Business Case'!C15*$F644</f>
        <v>-20107805.2580665</v>
      </c>
      <c r="J644" s="39" t="n">
        <f aca="false">(('Business Case'!D11*$C644*'Business Case'!D12*$B644)-'Business Case'!D11*$C644*'Business Case'!D13*$D644-'Business Case'!D14*$E644)-MAX(0,(('Business Case'!D11*$C644*'Business Case'!D12*$B644)-'Business Case'!D11*$C644*'Business Case'!D13*$D644-'Business Case'!D14*$E644))*'Business Case'!$B$7-'Business Case'!$B$8*(('Business Case'!D11*$C644*'Business Case'!D12*$B644)-('Business Case'!C11*$C644*'Business Case'!C12*$B644))-'Business Case'!D15*$F644</f>
        <v>271907325.460524</v>
      </c>
      <c r="K644" s="39" t="n">
        <f aca="false">(('Business Case'!E11*$C644*'Business Case'!E12*$B644)-'Business Case'!E11*$C644*'Business Case'!E13*$D644-'Business Case'!E14*$E644)-MAX(0,(('Business Case'!E11*$C644*'Business Case'!E12*$B644)-'Business Case'!E11*$C644*'Business Case'!E13*$D644-'Business Case'!E14*$E644))*'Business Case'!$B$7-'Business Case'!$B$8*(('Business Case'!E11*$C644*'Business Case'!E12*$B644)-('Business Case'!D11*$C644*'Business Case'!D12*$B644))-'Business Case'!E15*$F644</f>
        <v>618723334.675283</v>
      </c>
      <c r="L644" s="39" t="n">
        <f aca="false">(('Business Case'!F11*$C644*'Business Case'!F12*$B644)-'Business Case'!F11*$C644*'Business Case'!F13*$D644-'Business Case'!F14*$E644)-MAX(0,(('Business Case'!F11*$C644*'Business Case'!F12*$B644)-'Business Case'!F11*$C644*'Business Case'!F13*$D644-'Business Case'!F14*$E644))*'Business Case'!$B$7-'Business Case'!$B$8*(('Business Case'!F11*$C644*'Business Case'!F12*$B644)-('Business Case'!E11*$C644*'Business Case'!E12*$B644))-'Business Case'!F15*$F644</f>
        <v>749116810.54798</v>
      </c>
      <c r="M644" s="39" t="n">
        <f aca="false">(('Business Case'!G11*$C644*'Business Case'!G12*$B644)-'Business Case'!G11*$C644*'Business Case'!G13*$D644-'Business Case'!G14*$E644)-MAX(0,(('Business Case'!G11*$C644*'Business Case'!G12*$B644)-'Business Case'!G11*$C644*'Business Case'!G13*$D644-'Business Case'!G14*$E644))*'Business Case'!$B$7-'Business Case'!$B$8*(('Business Case'!G11*$C644*'Business Case'!G12*$B644)-('Business Case'!F11*$C644*'Business Case'!F12*$B644))-'Business Case'!G15*$F644+'Business Case'!$B$8*('Business Case'!G11*$C644*'Business Case'!G12*$B644)</f>
        <v>930919854.863732</v>
      </c>
      <c r="N644" s="39" t="n">
        <f aca="false">IF(COUNT('Business Case'!B11:G11)=0,"",H644+NPV(G644,I644:M644))</f>
        <v>-450919154.922881</v>
      </c>
      <c r="P644" s="40" t="n">
        <f aca="true">RAND()</f>
        <v>0.481096122518321</v>
      </c>
      <c r="Q644" s="40" t="n">
        <f aca="true">RAND()</f>
        <v>0.403736587685521</v>
      </c>
      <c r="R644" s="40" t="n">
        <f aca="true">RAND()</f>
        <v>0.265155091809966</v>
      </c>
      <c r="S644" s="40" t="n">
        <f aca="true">RAND()</f>
        <v>0.960039148921815</v>
      </c>
      <c r="T644" s="40" t="n">
        <f aca="true">RAND()</f>
        <v>0.783753084707227</v>
      </c>
      <c r="U644" s="40" t="n">
        <f aca="true">RAND()</f>
        <v>0.53268396897092</v>
      </c>
    </row>
    <row r="645" customFormat="false" ht="15" hidden="false" customHeight="false" outlineLevel="0" collapsed="false">
      <c r="A645" s="36" t="n">
        <v>565</v>
      </c>
      <c r="B645" s="37" t="n">
        <f aca="false">1+IF($G$6=$E$6,$F$6,IF(P645&lt;($F$6-$E$6)/($G$6-$E$6),$E$6+SQRT(P645*($G$6-$E$6)*($F$6-$E$6)),$G$6-SQRT((1-P645)*($G$6-$E$6)*($G$6-$F$6))))</f>
        <v>1.01558927848021</v>
      </c>
      <c r="C645" s="37" t="n">
        <f aca="false">1+IF($G$7=$E$7,$F$7,IF(Q645&lt;($F$7-$E$7)/($G$7-$E$7),$E$7+SQRT(Q645*($G$7-$E$7)*($F$7-$E$7)),$G$7-SQRT((1-Q645)*($G$7-$E$7)*($G$7-$F$7))))</f>
        <v>0.920313650864395</v>
      </c>
      <c r="D645" s="37" t="n">
        <f aca="false">1+IF($G$8=$E$8,$F$8,IF(R645&lt;($F$8-$E$8)/($G$8-$E$8),$E$8+SQRT(R645*($G$8-$E$8)*($F$8-$E$8)),$G$8-SQRT((1-R645)*($G$8-$E$8)*($G$8-$F$8))))</f>
        <v>1.01705971467335</v>
      </c>
      <c r="E645" s="37" t="n">
        <f aca="false">1+IF($G$9=$E$9,$F$9,IF(S645&lt;($F$9-$E$9)/($G$9-$E$9),$E$9+SQRT(S645*($G$9-$E$9)*($F$9-$E$9)),$G$9-SQRT((1-S645)*($G$9-$E$9)*($G$9-$F$9))))</f>
        <v>0.979194843397883</v>
      </c>
      <c r="F645" s="37" t="n">
        <f aca="false">1+IF($G$10=$E$10,$F$10,IF(T645&lt;($F$10-$E$10)/($G$10-$E$10),$E$10+SQRT(T645*($G$10-$E$10)*($F$10-$E$10)),$G$10-SQRT((1-T645)*($G$10-$E$10)*($G$10-$F$10))))</f>
        <v>0.963224462790297</v>
      </c>
      <c r="G645" s="38" t="n">
        <f aca="false">IF($G$11=$E$11,$F$11,IF(U645&lt;($F$11-$E$11)/($G$11-$E$11),$E$11+SQRT(U645*($G$11-$E$11)*($F$11-$E$11)),$G$11-SQRT((1-U645)*($G$11-$E$11)*($G$11-$F$11))))</f>
        <v>0.0938533936133309</v>
      </c>
      <c r="H645" s="39" t="n">
        <f aca="false">(('Business Case'!B11*$C645*'Business Case'!B12*$B645)-'Business Case'!B11*$C645*'Business Case'!B13*$D645-'Business Case'!B14*$E645)-MAX(0,(('Business Case'!B11*$C645*'Business Case'!B12*$B645)-'Business Case'!B11*$C645*'Business Case'!B13*$D645-'Business Case'!B14*$E645))*'Business Case'!$B$7-'Business Case'!$B$8*('Business Case'!B11*$C645*'Business Case'!B12*$B645)-'Business Case'!B15*$F645</f>
        <v>-1926448925.58059</v>
      </c>
      <c r="I645" s="39" t="n">
        <f aca="false">(('Business Case'!C11*$C645*'Business Case'!C12*$B645)-'Business Case'!C11*$C645*'Business Case'!C13*$D645-'Business Case'!C14*$E645)-MAX(0,(('Business Case'!C11*$C645*'Business Case'!C12*$B645)-'Business Case'!C11*$C645*'Business Case'!C13*$D645-'Business Case'!C14*$E645))*'Business Case'!$B$7-'Business Case'!$B$8*(('Business Case'!C11*$C645*'Business Case'!C12*$B645)-('Business Case'!B11*$C645*'Business Case'!B12*$B645))-'Business Case'!C15*$F645</f>
        <v>2373371.52875283</v>
      </c>
      <c r="J645" s="39" t="n">
        <f aca="false">(('Business Case'!D11*$C645*'Business Case'!D12*$B645)-'Business Case'!D11*$C645*'Business Case'!D13*$D645-'Business Case'!D14*$E645)-MAX(0,(('Business Case'!D11*$C645*'Business Case'!D12*$B645)-'Business Case'!D11*$C645*'Business Case'!D13*$D645-'Business Case'!D14*$E645))*'Business Case'!$B$7-'Business Case'!$B$8*(('Business Case'!D11*$C645*'Business Case'!D12*$B645)-('Business Case'!C11*$C645*'Business Case'!C12*$B645))-'Business Case'!D15*$F645</f>
        <v>288763505.545606</v>
      </c>
      <c r="K645" s="39" t="n">
        <f aca="false">(('Business Case'!E11*$C645*'Business Case'!E12*$B645)-'Business Case'!E11*$C645*'Business Case'!E13*$D645-'Business Case'!E14*$E645)-MAX(0,(('Business Case'!E11*$C645*'Business Case'!E12*$B645)-'Business Case'!E11*$C645*'Business Case'!E13*$D645-'Business Case'!E14*$E645))*'Business Case'!$B$7-'Business Case'!$B$8*(('Business Case'!E11*$C645*'Business Case'!E12*$B645)-('Business Case'!D11*$C645*'Business Case'!D12*$B645))-'Business Case'!E15*$F645</f>
        <v>623314862.701973</v>
      </c>
      <c r="L645" s="39" t="n">
        <f aca="false">(('Business Case'!F11*$C645*'Business Case'!F12*$B645)-'Business Case'!F11*$C645*'Business Case'!F13*$D645-'Business Case'!F14*$E645)-MAX(0,(('Business Case'!F11*$C645*'Business Case'!F12*$B645)-'Business Case'!F11*$C645*'Business Case'!F13*$D645-'Business Case'!F14*$E645))*'Business Case'!$B$7-'Business Case'!$B$8*(('Business Case'!F11*$C645*'Business Case'!F12*$B645)-('Business Case'!E11*$C645*'Business Case'!E12*$B645))-'Business Case'!F15*$F645</f>
        <v>751080113.692852</v>
      </c>
      <c r="M645" s="39" t="n">
        <f aca="false">(('Business Case'!G11*$C645*'Business Case'!G12*$B645)-'Business Case'!G11*$C645*'Business Case'!G13*$D645-'Business Case'!G14*$E645)-MAX(0,(('Business Case'!G11*$C645*'Business Case'!G12*$B645)-'Business Case'!G11*$C645*'Business Case'!G13*$D645-'Business Case'!G14*$E645))*'Business Case'!$B$7-'Business Case'!$B$8*(('Business Case'!G11*$C645*'Business Case'!G12*$B645)-('Business Case'!F11*$C645*'Business Case'!F12*$B645))-'Business Case'!G15*$F645+'Business Case'!$B$8*('Business Case'!G11*$C645*'Business Case'!G12*$B645)</f>
        <v>928740415.111787</v>
      </c>
      <c r="N645" s="39" t="n">
        <f aca="false">IF(COUNT('Business Case'!B11:G11)=0,"",H645+NPV(G645,I645:M645))</f>
        <v>-89011296.8021896</v>
      </c>
      <c r="P645" s="40" t="n">
        <f aca="true">RAND()</f>
        <v>0.875857640600634</v>
      </c>
      <c r="Q645" s="40" t="n">
        <f aca="true">RAND()</f>
        <v>0.206791065490279</v>
      </c>
      <c r="R645" s="40" t="n">
        <f aca="true">RAND()</f>
        <v>0.61908850798076</v>
      </c>
      <c r="S645" s="40" t="n">
        <f aca="true">RAND()</f>
        <v>0.11364518413692</v>
      </c>
      <c r="T645" s="40" t="n">
        <f aca="true">RAND()</f>
        <v>0.0139909132873568</v>
      </c>
      <c r="U645" s="40" t="n">
        <f aca="true">RAND()</f>
        <v>0.0494954744641967</v>
      </c>
    </row>
    <row r="646" customFormat="false" ht="15" hidden="false" customHeight="false" outlineLevel="0" collapsed="false">
      <c r="A646" s="36" t="n">
        <v>566</v>
      </c>
      <c r="B646" s="37" t="n">
        <f aca="false">1+IF($G$6=$E$6,$F$6,IF(P646&lt;($F$6-$E$6)/($G$6-$E$6),$E$6+SQRT(P646*($G$6-$E$6)*($F$6-$E$6)),$G$6-SQRT((1-P646)*($G$6-$E$6)*($G$6-$F$6))))</f>
        <v>0.973161652954727</v>
      </c>
      <c r="C646" s="37" t="n">
        <f aca="false">1+IF($G$7=$E$7,$F$7,IF(Q646&lt;($F$7-$E$7)/($G$7-$E$7),$E$7+SQRT(Q646*($G$7-$E$7)*($F$7-$E$7)),$G$7-SQRT((1-Q646)*($G$7-$E$7)*($G$7-$F$7))))</f>
        <v>0.8623943262147</v>
      </c>
      <c r="D646" s="37" t="n">
        <f aca="false">1+IF($G$8=$E$8,$F$8,IF(R646&lt;($F$8-$E$8)/($G$8-$E$8),$E$8+SQRT(R646*($G$8-$E$8)*($F$8-$E$8)),$G$8-SQRT((1-R646)*($G$8-$E$8)*($G$8-$F$8))))</f>
        <v>1.02996825752274</v>
      </c>
      <c r="E646" s="37" t="n">
        <f aca="false">1+IF($G$9=$E$9,$F$9,IF(S646&lt;($F$9-$E$9)/($G$9-$E$9),$E$9+SQRT(S646*($G$9-$E$9)*($F$9-$E$9)),$G$9-SQRT((1-S646)*($G$9-$E$9)*($G$9-$F$9))))</f>
        <v>1.04668424094879</v>
      </c>
      <c r="F646" s="37" t="n">
        <f aca="false">1+IF($G$10=$E$10,$F$10,IF(T646&lt;($F$10-$E$10)/($G$10-$E$10),$E$10+SQRT(T646*($G$10-$E$10)*($F$10-$E$10)),$G$10-SQRT((1-T646)*($G$10-$E$10)*($G$10-$F$10))))</f>
        <v>1.02380311161759</v>
      </c>
      <c r="G646" s="38" t="n">
        <f aca="false">IF($G$11=$E$11,$F$11,IF(U646&lt;($F$11-$E$11)/($G$11-$E$11),$E$11+SQRT(U646*($G$11-$E$11)*($F$11-$E$11)),$G$11-SQRT((1-U646)*($G$11-$E$11)*($G$11-$F$11))))</f>
        <v>0.115685401085835</v>
      </c>
      <c r="H646" s="39" t="n">
        <f aca="false">(('Business Case'!B11*$C646*'Business Case'!B12*$B646)-'Business Case'!B11*$C646*'Business Case'!B13*$D646-'Business Case'!B14*$E646)-MAX(0,(('Business Case'!B11*$C646*'Business Case'!B12*$B646)-'Business Case'!B11*$C646*'Business Case'!B13*$D646-'Business Case'!B14*$E646))*'Business Case'!$B$7-'Business Case'!$B$8*('Business Case'!B11*$C646*'Business Case'!B12*$B646)-'Business Case'!B15*$F646</f>
        <v>-2047606223.23517</v>
      </c>
      <c r="I646" s="39" t="n">
        <f aca="false">(('Business Case'!C11*$C646*'Business Case'!C12*$B646)-'Business Case'!C11*$C646*'Business Case'!C13*$D646-'Business Case'!C14*$E646)-MAX(0,(('Business Case'!C11*$C646*'Business Case'!C12*$B646)-'Business Case'!C11*$C646*'Business Case'!C13*$D646-'Business Case'!C14*$E646))*'Business Case'!$B$7-'Business Case'!$B$8*(('Business Case'!C11*$C646*'Business Case'!C12*$B646)-('Business Case'!B11*$C646*'Business Case'!B12*$B646))-'Business Case'!C15*$F646</f>
        <v>-62027250.9514256</v>
      </c>
      <c r="J646" s="39" t="n">
        <f aca="false">(('Business Case'!D11*$C646*'Business Case'!D12*$B646)-'Business Case'!D11*$C646*'Business Case'!D13*$D646-'Business Case'!D14*$E646)-MAX(0,(('Business Case'!D11*$C646*'Business Case'!D12*$B646)-'Business Case'!D11*$C646*'Business Case'!D13*$D646-'Business Case'!D14*$E646))*'Business Case'!$B$7-'Business Case'!$B$8*(('Business Case'!D11*$C646*'Business Case'!D12*$B646)-('Business Case'!C11*$C646*'Business Case'!C12*$B646))-'Business Case'!D15*$F646</f>
        <v>170670981.043635</v>
      </c>
      <c r="K646" s="39" t="n">
        <f aca="false">(('Business Case'!E11*$C646*'Business Case'!E12*$B646)-'Business Case'!E11*$C646*'Business Case'!E13*$D646-'Business Case'!E14*$E646)-MAX(0,(('Business Case'!E11*$C646*'Business Case'!E12*$B646)-'Business Case'!E11*$C646*'Business Case'!E13*$D646-'Business Case'!E14*$E646))*'Business Case'!$B$7-'Business Case'!$B$8*(('Business Case'!E11*$C646*'Business Case'!E12*$B646)-('Business Case'!D11*$C646*'Business Case'!D12*$B646))-'Business Case'!E15*$F646</f>
        <v>454559368.619575</v>
      </c>
      <c r="L646" s="39" t="n">
        <f aca="false">(('Business Case'!F11*$C646*'Business Case'!F12*$B646)-'Business Case'!F11*$C646*'Business Case'!F13*$D646-'Business Case'!F14*$E646)-MAX(0,(('Business Case'!F11*$C646*'Business Case'!F12*$B646)-'Business Case'!F11*$C646*'Business Case'!F13*$D646-'Business Case'!F14*$E646))*'Business Case'!$B$7-'Business Case'!$B$8*(('Business Case'!F11*$C646*'Business Case'!F12*$B646)-('Business Case'!E11*$C646*'Business Case'!E12*$B646))-'Business Case'!F15*$F646</f>
        <v>561129894.432469</v>
      </c>
      <c r="M646" s="39" t="n">
        <f aca="false">(('Business Case'!G11*$C646*'Business Case'!G12*$B646)-'Business Case'!G11*$C646*'Business Case'!G13*$D646-'Business Case'!G14*$E646)-MAX(0,(('Business Case'!G11*$C646*'Business Case'!G12*$B646)-'Business Case'!G11*$C646*'Business Case'!G13*$D646-'Business Case'!G14*$E646))*'Business Case'!$B$7-'Business Case'!$B$8*(('Business Case'!G11*$C646*'Business Case'!G12*$B646)-('Business Case'!F11*$C646*'Business Case'!F12*$B646))-'Business Case'!G15*$F646+'Business Case'!$B$8*('Business Case'!G11*$C646*'Business Case'!G12*$B646)</f>
        <v>720654361.079105</v>
      </c>
      <c r="N646" s="39" t="n">
        <f aca="false">IF(COUNT('Business Case'!B11:G11)=0,"",H646+NPV(G646,I646:M646))</f>
        <v>-859731534.929292</v>
      </c>
      <c r="P646" s="40" t="n">
        <f aca="true">RAND()</f>
        <v>0.294391806758212</v>
      </c>
      <c r="Q646" s="40" t="n">
        <f aca="true">RAND()</f>
        <v>0.0556150277683768</v>
      </c>
      <c r="R646" s="40" t="n">
        <f aca="true">RAND()</f>
        <v>0.759310071604734</v>
      </c>
      <c r="S646" s="40" t="n">
        <f aca="true">RAND()</f>
        <v>0.810495322452881</v>
      </c>
      <c r="T646" s="40" t="n">
        <f aca="true">RAND()</f>
        <v>0.379093130487104</v>
      </c>
      <c r="U646" s="40" t="n">
        <f aca="true">RAND()</f>
        <v>0.96897372701648</v>
      </c>
    </row>
    <row r="647" customFormat="false" ht="15" hidden="false" customHeight="false" outlineLevel="0" collapsed="false">
      <c r="A647" s="36" t="n">
        <v>567</v>
      </c>
      <c r="B647" s="37" t="n">
        <f aca="false">1+IF($G$6=$E$6,$F$6,IF(P647&lt;($F$6-$E$6)/($G$6-$E$6),$E$6+SQRT(P647*($G$6-$E$6)*($F$6-$E$6)),$G$6-SQRT((1-P647)*($G$6-$E$6)*($G$6-$F$6))))</f>
        <v>0.948404989633994</v>
      </c>
      <c r="C647" s="37" t="n">
        <f aca="false">1+IF($G$7=$E$7,$F$7,IF(Q647&lt;($F$7-$E$7)/($G$7-$E$7),$E$7+SQRT(Q647*($G$7-$E$7)*($F$7-$E$7)),$G$7-SQRT((1-Q647)*($G$7-$E$7)*($G$7-$F$7))))</f>
        <v>1.06837862073112</v>
      </c>
      <c r="D647" s="37" t="n">
        <f aca="false">1+IF($G$8=$E$8,$F$8,IF(R647&lt;($F$8-$E$8)/($G$8-$E$8),$E$8+SQRT(R647*($G$8-$E$8)*($F$8-$E$8)),$G$8-SQRT((1-R647)*($G$8-$E$8)*($G$8-$F$8))))</f>
        <v>0.991854288568112</v>
      </c>
      <c r="E647" s="37" t="n">
        <f aca="false">1+IF($G$9=$E$9,$F$9,IF(S647&lt;($F$9-$E$9)/($G$9-$E$9),$E$9+SQRT(S647*($G$9-$E$9)*($F$9-$E$9)),$G$9-SQRT((1-S647)*($G$9-$E$9)*($G$9-$F$9))))</f>
        <v>1.03550490094881</v>
      </c>
      <c r="F647" s="37" t="n">
        <f aca="false">1+IF($G$10=$E$10,$F$10,IF(T647&lt;($F$10-$E$10)/($G$10-$E$10),$E$10+SQRT(T647*($G$10-$E$10)*($F$10-$E$10)),$G$10-SQRT((1-T647)*($G$10-$E$10)*($G$10-$F$10))))</f>
        <v>1.11367950779368</v>
      </c>
      <c r="G647" s="38" t="n">
        <f aca="false">IF($G$11=$E$11,$F$11,IF(U647&lt;($F$11-$E$11)/($G$11-$E$11),$E$11+SQRT(U647*($G$11-$E$11)*($F$11-$E$11)),$G$11-SQRT((1-U647)*($G$11-$E$11)*($G$11-$F$11))))</f>
        <v>0.106331585327244</v>
      </c>
      <c r="H647" s="39" t="n">
        <f aca="false">(('Business Case'!B11*$C647*'Business Case'!B12*$B647)-'Business Case'!B11*$C647*'Business Case'!B13*$D647-'Business Case'!B14*$E647)-MAX(0,(('Business Case'!B11*$C647*'Business Case'!B12*$B647)-'Business Case'!B11*$C647*'Business Case'!B13*$D647-'Business Case'!B14*$E647))*'Business Case'!$B$7-'Business Case'!$B$8*('Business Case'!B11*$C647*'Business Case'!B12*$B647)-'Business Case'!B15*$F647</f>
        <v>-2227359015.58736</v>
      </c>
      <c r="I647" s="39" t="n">
        <f aca="false">(('Business Case'!C11*$C647*'Business Case'!C12*$B647)-'Business Case'!C11*$C647*'Business Case'!C13*$D647-'Business Case'!C14*$E647)-MAX(0,(('Business Case'!C11*$C647*'Business Case'!C12*$B647)-'Business Case'!C11*$C647*'Business Case'!C13*$D647-'Business Case'!C14*$E647))*'Business Case'!$B$7-'Business Case'!$B$8*(('Business Case'!C11*$C647*'Business Case'!C12*$B647)-('Business Case'!B11*$C647*'Business Case'!B12*$B647))-'Business Case'!C15*$F647</f>
        <v>-23683911.2231</v>
      </c>
      <c r="J647" s="39" t="n">
        <f aca="false">(('Business Case'!D11*$C647*'Business Case'!D12*$B647)-'Business Case'!D11*$C647*'Business Case'!D13*$D647-'Business Case'!D14*$E647)-MAX(0,(('Business Case'!D11*$C647*'Business Case'!D12*$B647)-'Business Case'!D11*$C647*'Business Case'!D13*$D647-'Business Case'!D14*$E647))*'Business Case'!$B$7-'Business Case'!$B$8*(('Business Case'!D11*$C647*'Business Case'!D12*$B647)-('Business Case'!C11*$C647*'Business Case'!C12*$B647))-'Business Case'!D15*$F647</f>
        <v>263776096.315157</v>
      </c>
      <c r="K647" s="39" t="n">
        <f aca="false">(('Business Case'!E11*$C647*'Business Case'!E12*$B647)-'Business Case'!E11*$C647*'Business Case'!E13*$D647-'Business Case'!E14*$E647)-MAX(0,(('Business Case'!E11*$C647*'Business Case'!E12*$B647)-'Business Case'!E11*$C647*'Business Case'!E13*$D647-'Business Case'!E14*$E647))*'Business Case'!$B$7-'Business Case'!$B$8*(('Business Case'!E11*$C647*'Business Case'!E12*$B647)-('Business Case'!D11*$C647*'Business Case'!D12*$B647))-'Business Case'!E15*$F647</f>
        <v>606920079.243099</v>
      </c>
      <c r="L647" s="39" t="n">
        <f aca="false">(('Business Case'!F11*$C647*'Business Case'!F12*$B647)-'Business Case'!F11*$C647*'Business Case'!F13*$D647-'Business Case'!F14*$E647)-MAX(0,(('Business Case'!F11*$C647*'Business Case'!F12*$B647)-'Business Case'!F11*$C647*'Business Case'!F13*$D647-'Business Case'!F14*$E647))*'Business Case'!$B$7-'Business Case'!$B$8*(('Business Case'!F11*$C647*'Business Case'!F12*$B647)-('Business Case'!E11*$C647*'Business Case'!E12*$B647))-'Business Case'!F15*$F647</f>
        <v>737758195.800564</v>
      </c>
      <c r="M647" s="39" t="n">
        <f aca="false">(('Business Case'!G11*$C647*'Business Case'!G12*$B647)-'Business Case'!G11*$C647*'Business Case'!G13*$D647-'Business Case'!G14*$E647)-MAX(0,(('Business Case'!G11*$C647*'Business Case'!G12*$B647)-'Business Case'!G11*$C647*'Business Case'!G13*$D647-'Business Case'!G14*$E647))*'Business Case'!$B$7-'Business Case'!$B$8*(('Business Case'!G11*$C647*'Business Case'!G12*$B647)-('Business Case'!F11*$C647*'Business Case'!F12*$B647))-'Business Case'!G15*$F647+'Business Case'!$B$8*('Business Case'!G11*$C647*'Business Case'!G12*$B647)</f>
        <v>930357823.04648</v>
      </c>
      <c r="N647" s="39" t="n">
        <f aca="false">IF(COUNT('Business Case'!B11:G11)=0,"",H647+NPV(G647,I647:M647))</f>
        <v>-531255273.904221</v>
      </c>
      <c r="P647" s="40" t="n">
        <f aca="true">RAND()</f>
        <v>0.0840461912611768</v>
      </c>
      <c r="Q647" s="40" t="n">
        <f aca="true">RAND()</f>
        <v>0.873103818023729</v>
      </c>
      <c r="R647" s="40" t="n">
        <f aca="true">RAND()</f>
        <v>0.269504841775809</v>
      </c>
      <c r="S647" s="40" t="n">
        <f aca="true">RAND()</f>
        <v>0.722692146558487</v>
      </c>
      <c r="T647" s="40" t="n">
        <f aca="true">RAND()</f>
        <v>0.850975452505175</v>
      </c>
      <c r="U647" s="40" t="n">
        <f aca="true">RAND()</f>
        <v>0.688624067222643</v>
      </c>
    </row>
    <row r="648" customFormat="false" ht="15" hidden="false" customHeight="false" outlineLevel="0" collapsed="false">
      <c r="A648" s="36" t="n">
        <v>568</v>
      </c>
      <c r="B648" s="37" t="n">
        <f aca="false">1+IF($G$6=$E$6,$F$6,IF(P648&lt;($F$6-$E$6)/($G$6-$E$6),$E$6+SQRT(P648*($G$6-$E$6)*($F$6-$E$6)),$G$6-SQRT((1-P648)*($G$6-$E$6)*($G$6-$F$6))))</f>
        <v>0.974921161489258</v>
      </c>
      <c r="C648" s="37" t="n">
        <f aca="false">1+IF($G$7=$E$7,$F$7,IF(Q648&lt;($F$7-$E$7)/($G$7-$E$7),$E$7+SQRT(Q648*($G$7-$E$7)*($F$7-$E$7)),$G$7-SQRT((1-Q648)*($G$7-$E$7)*($G$7-$F$7))))</f>
        <v>0.952219365540438</v>
      </c>
      <c r="D648" s="37" t="n">
        <f aca="false">1+IF($G$8=$E$8,$F$8,IF(R648&lt;($F$8-$E$8)/($G$8-$E$8),$E$8+SQRT(R648*($G$8-$E$8)*($F$8-$E$8)),$G$8-SQRT((1-R648)*($G$8-$E$8)*($G$8-$F$8))))</f>
        <v>0.960183198026862</v>
      </c>
      <c r="E648" s="37" t="n">
        <f aca="false">1+IF($G$9=$E$9,$F$9,IF(S648&lt;($F$9-$E$9)/($G$9-$E$9),$E$9+SQRT(S648*($G$9-$E$9)*($F$9-$E$9)),$G$9-SQRT((1-S648)*($G$9-$E$9)*($G$9-$F$9))))</f>
        <v>1.01327036452506</v>
      </c>
      <c r="F648" s="37" t="n">
        <f aca="false">1+IF($G$10=$E$10,$F$10,IF(T648&lt;($F$10-$E$10)/($G$10-$E$10),$E$10+SQRT(T648*($G$10-$E$10)*($F$10-$E$10)),$G$10-SQRT((1-T648)*($G$10-$E$10)*($G$10-$F$10))))</f>
        <v>1.11525038676571</v>
      </c>
      <c r="G648" s="38" t="n">
        <f aca="false">IF($G$11=$E$11,$F$11,IF(U648&lt;($F$11-$E$11)/($G$11-$E$11),$E$11+SQRT(U648*($G$11-$E$11)*($F$11-$E$11)),$G$11-SQRT((1-U648)*($G$11-$E$11)*($G$11-$F$11))))</f>
        <v>0.115206332055482</v>
      </c>
      <c r="H648" s="39" t="n">
        <f aca="false">(('Business Case'!B11*$C648*'Business Case'!B12*$B648)-'Business Case'!B11*$C648*'Business Case'!B13*$D648-'Business Case'!B14*$E648)-MAX(0,(('Business Case'!B11*$C648*'Business Case'!B12*$B648)-'Business Case'!B11*$C648*'Business Case'!B13*$D648-'Business Case'!B14*$E648))*'Business Case'!$B$7-'Business Case'!$B$8*('Business Case'!B11*$C648*'Business Case'!B12*$B648)-'Business Case'!B15*$F648</f>
        <v>-2230500773.53142</v>
      </c>
      <c r="I648" s="39" t="n">
        <f aca="false">(('Business Case'!C11*$C648*'Business Case'!C12*$B648)-'Business Case'!C11*$C648*'Business Case'!C13*$D648-'Business Case'!C14*$E648)-MAX(0,(('Business Case'!C11*$C648*'Business Case'!C12*$B648)-'Business Case'!C11*$C648*'Business Case'!C13*$D648-'Business Case'!C14*$E648))*'Business Case'!$B$7-'Business Case'!$B$8*(('Business Case'!C11*$C648*'Business Case'!C12*$B648)-('Business Case'!B11*$C648*'Business Case'!B12*$B648))-'Business Case'!C15*$F648</f>
        <v>-11411876.5953908</v>
      </c>
      <c r="J648" s="39" t="n">
        <f aca="false">(('Business Case'!D11*$C648*'Business Case'!D12*$B648)-'Business Case'!D11*$C648*'Business Case'!D13*$D648-'Business Case'!D14*$E648)-MAX(0,(('Business Case'!D11*$C648*'Business Case'!D12*$B648)-'Business Case'!D11*$C648*'Business Case'!D13*$D648-'Business Case'!D14*$E648))*'Business Case'!$B$7-'Business Case'!$B$8*(('Business Case'!D11*$C648*'Business Case'!D12*$B648)-('Business Case'!C11*$C648*'Business Case'!C12*$B648))-'Business Case'!D15*$F648</f>
        <v>280913415.22363</v>
      </c>
      <c r="K648" s="39" t="n">
        <f aca="false">(('Business Case'!E11*$C648*'Business Case'!E12*$B648)-'Business Case'!E11*$C648*'Business Case'!E13*$D648-'Business Case'!E14*$E648)-MAX(0,(('Business Case'!E11*$C648*'Business Case'!E12*$B648)-'Business Case'!E11*$C648*'Business Case'!E13*$D648-'Business Case'!E14*$E648))*'Business Case'!$B$7-'Business Case'!$B$8*(('Business Case'!E11*$C648*'Business Case'!E12*$B648)-('Business Case'!D11*$C648*'Business Case'!D12*$B648))-'Business Case'!E15*$F648</f>
        <v>629001226.380937</v>
      </c>
      <c r="L648" s="39" t="n">
        <f aca="false">(('Business Case'!F11*$C648*'Business Case'!F12*$B648)-'Business Case'!F11*$C648*'Business Case'!F13*$D648-'Business Case'!F14*$E648)-MAX(0,(('Business Case'!F11*$C648*'Business Case'!F12*$B648)-'Business Case'!F11*$C648*'Business Case'!F13*$D648-'Business Case'!F14*$E648))*'Business Case'!$B$7-'Business Case'!$B$8*(('Business Case'!F11*$C648*'Business Case'!F12*$B648)-('Business Case'!E11*$C648*'Business Case'!E12*$B648))-'Business Case'!F15*$F648</f>
        <v>758526379.588862</v>
      </c>
      <c r="M648" s="39" t="n">
        <f aca="false">(('Business Case'!G11*$C648*'Business Case'!G12*$B648)-'Business Case'!G11*$C648*'Business Case'!G13*$D648-'Business Case'!G14*$E648)-MAX(0,(('Business Case'!G11*$C648*'Business Case'!G12*$B648)-'Business Case'!G11*$C648*'Business Case'!G13*$D648-'Business Case'!G14*$E648))*'Business Case'!$B$7-'Business Case'!$B$8*(('Business Case'!G11*$C648*'Business Case'!G12*$B648)-('Business Case'!F11*$C648*'Business Case'!F12*$B648))-'Business Case'!G15*$F648+'Business Case'!$B$8*('Business Case'!G11*$C648*'Business Case'!G12*$B648)</f>
        <v>934985020.564247</v>
      </c>
      <c r="N648" s="39" t="n">
        <f aca="false">IF(COUNT('Business Case'!B11:G11)=0,"",H648+NPV(G648,I648:M648))</f>
        <v>-528917324.398026</v>
      </c>
      <c r="P648" s="40" t="n">
        <f aca="true">RAND()</f>
        <v>0.314201456180117</v>
      </c>
      <c r="Q648" s="40" t="n">
        <f aca="true">RAND()</f>
        <v>0.331010503507622</v>
      </c>
      <c r="R648" s="40" t="n">
        <f aca="true">RAND()</f>
        <v>0.0159534649314278</v>
      </c>
      <c r="S648" s="40" t="n">
        <f aca="true">RAND()</f>
        <v>0.498531355358886</v>
      </c>
      <c r="T648" s="40" t="n">
        <f aca="true">RAND()</f>
        <v>0.856350061132769</v>
      </c>
      <c r="U648" s="40" t="n">
        <f aca="true">RAND()</f>
        <v>0.961701246062827</v>
      </c>
    </row>
    <row r="649" customFormat="false" ht="15" hidden="false" customHeight="false" outlineLevel="0" collapsed="false">
      <c r="A649" s="36" t="n">
        <v>569</v>
      </c>
      <c r="B649" s="37" t="n">
        <f aca="false">1+IF($G$6=$E$6,$F$6,IF(P649&lt;($F$6-$E$6)/($G$6-$E$6),$E$6+SQRT(P649*($G$6-$E$6)*($F$6-$E$6)),$G$6-SQRT((1-P649)*($G$6-$E$6)*($G$6-$F$6))))</f>
        <v>0.989110494984051</v>
      </c>
      <c r="C649" s="37" t="n">
        <f aca="false">1+IF($G$7=$E$7,$F$7,IF(Q649&lt;($F$7-$E$7)/($G$7-$E$7),$E$7+SQRT(Q649*($G$7-$E$7)*($F$7-$E$7)),$G$7-SQRT((1-Q649)*($G$7-$E$7)*($G$7-$F$7))))</f>
        <v>0.923791687175182</v>
      </c>
      <c r="D649" s="37" t="n">
        <f aca="false">1+IF($G$8=$E$8,$F$8,IF(R649&lt;($F$8-$E$8)/($G$8-$E$8),$E$8+SQRT(R649*($G$8-$E$8)*($F$8-$E$8)),$G$8-SQRT((1-R649)*($G$8-$E$8)*($G$8-$F$8))))</f>
        <v>1.07033703574302</v>
      </c>
      <c r="E649" s="37" t="n">
        <f aca="false">1+IF($G$9=$E$9,$F$9,IF(S649&lt;($F$9-$E$9)/($G$9-$E$9),$E$9+SQRT(S649*($G$9-$E$9)*($F$9-$E$9)),$G$9-SQRT((1-S649)*($G$9-$E$9)*($G$9-$F$9))))</f>
        <v>0.986067613852673</v>
      </c>
      <c r="F649" s="37" t="n">
        <f aca="false">1+IF($G$10=$E$10,$F$10,IF(T649&lt;($F$10-$E$10)/($G$10-$E$10),$E$10+SQRT(T649*($G$10-$E$10)*($F$10-$E$10)),$G$10-SQRT((1-T649)*($G$10-$E$10)*($G$10-$F$10))))</f>
        <v>0.992373205513228</v>
      </c>
      <c r="G649" s="38" t="n">
        <f aca="false">IF($G$11=$E$11,$F$11,IF(U649&lt;($F$11-$E$11)/($G$11-$E$11),$E$11+SQRT(U649*($G$11-$E$11)*($F$11-$E$11)),$G$11-SQRT((1-U649)*($G$11-$E$11)*($G$11-$F$11))))</f>
        <v>0.110615748115622</v>
      </c>
      <c r="H649" s="39" t="n">
        <f aca="false">(('Business Case'!B11*$C649*'Business Case'!B12*$B649)-'Business Case'!B11*$C649*'Business Case'!B13*$D649-'Business Case'!B14*$E649)-MAX(0,(('Business Case'!B11*$C649*'Business Case'!B12*$B649)-'Business Case'!B11*$C649*'Business Case'!B13*$D649-'Business Case'!B14*$E649))*'Business Case'!$B$7-'Business Case'!$B$8*('Business Case'!B11*$C649*'Business Case'!B12*$B649)-'Business Case'!B15*$F649</f>
        <v>-1984746411.02646</v>
      </c>
      <c r="I649" s="39" t="n">
        <f aca="false">(('Business Case'!C11*$C649*'Business Case'!C12*$B649)-'Business Case'!C11*$C649*'Business Case'!C13*$D649-'Business Case'!C14*$E649)-MAX(0,(('Business Case'!C11*$C649*'Business Case'!C12*$B649)-'Business Case'!C11*$C649*'Business Case'!C13*$D649-'Business Case'!C14*$E649))*'Business Case'!$B$7-'Business Case'!$B$8*(('Business Case'!C11*$C649*'Business Case'!C12*$B649)-('Business Case'!B11*$C649*'Business Case'!B12*$B649))-'Business Case'!C15*$F649</f>
        <v>-44582012.8257167</v>
      </c>
      <c r="J649" s="39" t="n">
        <f aca="false">(('Business Case'!D11*$C649*'Business Case'!D12*$B649)-'Business Case'!D11*$C649*'Business Case'!D13*$D649-'Business Case'!D14*$E649)-MAX(0,(('Business Case'!D11*$C649*'Business Case'!D12*$B649)-'Business Case'!D11*$C649*'Business Case'!D13*$D649-'Business Case'!D14*$E649))*'Business Case'!$B$7-'Business Case'!$B$8*(('Business Case'!D11*$C649*'Business Case'!D12*$B649)-('Business Case'!C11*$C649*'Business Case'!C12*$B649))-'Business Case'!D15*$F649</f>
        <v>197659979.215393</v>
      </c>
      <c r="K649" s="39" t="n">
        <f aca="false">(('Business Case'!E11*$C649*'Business Case'!E12*$B649)-'Business Case'!E11*$C649*'Business Case'!E13*$D649-'Business Case'!E14*$E649)-MAX(0,(('Business Case'!E11*$C649*'Business Case'!E12*$B649)-'Business Case'!E11*$C649*'Business Case'!E13*$D649-'Business Case'!E14*$E649))*'Business Case'!$B$7-'Business Case'!$B$8*(('Business Case'!E11*$C649*'Business Case'!E12*$B649)-('Business Case'!D11*$C649*'Business Case'!D12*$B649))-'Business Case'!E15*$F649</f>
        <v>489520631.532165</v>
      </c>
      <c r="L649" s="39" t="n">
        <f aca="false">(('Business Case'!F11*$C649*'Business Case'!F12*$B649)-'Business Case'!F11*$C649*'Business Case'!F13*$D649-'Business Case'!F14*$E649)-MAX(0,(('Business Case'!F11*$C649*'Business Case'!F12*$B649)-'Business Case'!F11*$C649*'Business Case'!F13*$D649-'Business Case'!F14*$E649))*'Business Case'!$B$7-'Business Case'!$B$8*(('Business Case'!F11*$C649*'Business Case'!F12*$B649)-('Business Case'!E11*$C649*'Business Case'!E12*$B649))-'Business Case'!F15*$F649</f>
        <v>601846541.962971</v>
      </c>
      <c r="M649" s="39" t="n">
        <f aca="false">(('Business Case'!G11*$C649*'Business Case'!G12*$B649)-'Business Case'!G11*$C649*'Business Case'!G13*$D649-'Business Case'!G14*$E649)-MAX(0,(('Business Case'!G11*$C649*'Business Case'!G12*$B649)-'Business Case'!G11*$C649*'Business Case'!G13*$D649-'Business Case'!G14*$E649))*'Business Case'!$B$7-'Business Case'!$B$8*(('Business Case'!G11*$C649*'Business Case'!G12*$B649)-('Business Case'!F11*$C649*'Business Case'!F12*$B649))-'Business Case'!G15*$F649+'Business Case'!$B$8*('Business Case'!G11*$C649*'Business Case'!G12*$B649)</f>
        <v>775528730.590367</v>
      </c>
      <c r="N649" s="39" t="n">
        <f aca="false">IF(COUNT('Business Case'!B11:G11)=0,"",H649+NPV(G649,I649:M649))</f>
        <v>-652761802.770721</v>
      </c>
      <c r="P649" s="40" t="n">
        <f aca="true">RAND()</f>
        <v>0.497527137181298</v>
      </c>
      <c r="Q649" s="40" t="n">
        <f aca="true">RAND()</f>
        <v>0.218919740195401</v>
      </c>
      <c r="R649" s="40" t="n">
        <f aca="true">RAND()</f>
        <v>0.991021838631562</v>
      </c>
      <c r="S649" s="40" t="n">
        <f aca="true">RAND()</f>
        <v>0.173449702536741</v>
      </c>
      <c r="T649" s="40" t="n">
        <f aca="true">RAND()</f>
        <v>0.143639083637303</v>
      </c>
      <c r="U649" s="40" t="n">
        <f aca="true">RAND()</f>
        <v>0.853226360950927</v>
      </c>
    </row>
    <row r="650" customFormat="false" ht="15" hidden="false" customHeight="false" outlineLevel="0" collapsed="false">
      <c r="A650" s="36" t="n">
        <v>570</v>
      </c>
      <c r="B650" s="37" t="n">
        <f aca="false">1+IF($G$6=$E$6,$F$6,IF(P650&lt;($F$6-$E$6)/($G$6-$E$6),$E$6+SQRT(P650*($G$6-$E$6)*($F$6-$E$6)),$G$6-SQRT((1-P650)*($G$6-$E$6)*($G$6-$F$6))))</f>
        <v>0.996386798705013</v>
      </c>
      <c r="C650" s="37" t="n">
        <f aca="false">1+IF($G$7=$E$7,$F$7,IF(Q650&lt;($F$7-$E$7)/($G$7-$E$7),$E$7+SQRT(Q650*($G$7-$E$7)*($F$7-$E$7)),$G$7-SQRT((1-Q650)*($G$7-$E$7)*($G$7-$F$7))))</f>
        <v>1.01195265872716</v>
      </c>
      <c r="D650" s="37" t="n">
        <f aca="false">1+IF($G$8=$E$8,$F$8,IF(R650&lt;($F$8-$E$8)/($G$8-$E$8),$E$8+SQRT(R650*($G$8-$E$8)*($F$8-$E$8)),$G$8-SQRT((1-R650)*($G$8-$E$8)*($G$8-$F$8))))</f>
        <v>1.00744208218358</v>
      </c>
      <c r="E650" s="37" t="n">
        <f aca="false">1+IF($G$9=$E$9,$F$9,IF(S650&lt;($F$9-$E$9)/($G$9-$E$9),$E$9+SQRT(S650*($G$9-$E$9)*($F$9-$E$9)),$G$9-SQRT((1-S650)*($G$9-$E$9)*($G$9-$F$9))))</f>
        <v>1.02806583597946</v>
      </c>
      <c r="F650" s="37" t="n">
        <f aca="false">1+IF($G$10=$E$10,$F$10,IF(T650&lt;($F$10-$E$10)/($G$10-$E$10),$E$10+SQRT(T650*($G$10-$E$10)*($F$10-$E$10)),$G$10-SQRT((1-T650)*($G$10-$E$10)*($G$10-$F$10))))</f>
        <v>1.13951864310258</v>
      </c>
      <c r="G650" s="38" t="n">
        <f aca="false">IF($G$11=$E$11,$F$11,IF(U650&lt;($F$11-$E$11)/($G$11-$E$11),$E$11+SQRT(U650*($G$11-$E$11)*($F$11-$E$11)),$G$11-SQRT((1-U650)*($G$11-$E$11)*($G$11-$F$11))))</f>
        <v>0.105221879797177</v>
      </c>
      <c r="H650" s="39" t="n">
        <f aca="false">(('Business Case'!B11*$C650*'Business Case'!B12*$B650)-'Business Case'!B11*$C650*'Business Case'!B13*$D650-'Business Case'!B14*$E650)-MAX(0,(('Business Case'!B11*$C650*'Business Case'!B12*$B650)-'Business Case'!B11*$C650*'Business Case'!B13*$D650-'Business Case'!B14*$E650))*'Business Case'!$B$7-'Business Case'!$B$8*('Business Case'!B11*$C650*'Business Case'!B12*$B650)-'Business Case'!B15*$F650</f>
        <v>-2279037286.20517</v>
      </c>
      <c r="I650" s="39" t="n">
        <f aca="false">(('Business Case'!C11*$C650*'Business Case'!C12*$B650)-'Business Case'!C11*$C650*'Business Case'!C13*$D650-'Business Case'!C14*$E650)-MAX(0,(('Business Case'!C11*$C650*'Business Case'!C12*$B650)-'Business Case'!C11*$C650*'Business Case'!C13*$D650-'Business Case'!C14*$E650))*'Business Case'!$B$7-'Business Case'!$B$8*(('Business Case'!C11*$C650*'Business Case'!C12*$B650)-('Business Case'!B11*$C650*'Business Case'!B12*$B650))-'Business Case'!C15*$F650</f>
        <v>-8439754.72516778</v>
      </c>
      <c r="J650" s="39" t="n">
        <f aca="false">(('Business Case'!D11*$C650*'Business Case'!D12*$B650)-'Business Case'!D11*$C650*'Business Case'!D13*$D650-'Business Case'!D14*$E650)-MAX(0,(('Business Case'!D11*$C650*'Business Case'!D12*$B650)-'Business Case'!D11*$C650*'Business Case'!D13*$D650-'Business Case'!D14*$E650))*'Business Case'!$B$7-'Business Case'!$B$8*(('Business Case'!D11*$C650*'Business Case'!D12*$B650)-('Business Case'!C11*$C650*'Business Case'!C12*$B650))-'Business Case'!D15*$F650</f>
        <v>295533395.37664</v>
      </c>
      <c r="K650" s="39" t="n">
        <f aca="false">(('Business Case'!E11*$C650*'Business Case'!E12*$B650)-'Business Case'!E11*$C650*'Business Case'!E13*$D650-'Business Case'!E14*$E650)-MAX(0,(('Business Case'!E11*$C650*'Business Case'!E12*$B650)-'Business Case'!E11*$C650*'Business Case'!E13*$D650-'Business Case'!E14*$E650))*'Business Case'!$B$7-'Business Case'!$B$8*(('Business Case'!E11*$C650*'Business Case'!E12*$B650)-('Business Case'!D11*$C650*'Business Case'!D12*$B650))-'Business Case'!E15*$F650</f>
        <v>656482477.633577</v>
      </c>
      <c r="L650" s="39" t="n">
        <f aca="false">(('Business Case'!F11*$C650*'Business Case'!F12*$B650)-'Business Case'!F11*$C650*'Business Case'!F13*$D650-'Business Case'!F14*$E650)-MAX(0,(('Business Case'!F11*$C650*'Business Case'!F12*$B650)-'Business Case'!F11*$C650*'Business Case'!F13*$D650-'Business Case'!F14*$E650))*'Business Case'!$B$7-'Business Case'!$B$8*(('Business Case'!F11*$C650*'Business Case'!F12*$B650)-('Business Case'!E11*$C650*'Business Case'!E12*$B650))-'Business Case'!F15*$F650</f>
        <v>792653580.094472</v>
      </c>
      <c r="M650" s="39" t="n">
        <f aca="false">(('Business Case'!G11*$C650*'Business Case'!G12*$B650)-'Business Case'!G11*$C650*'Business Case'!G13*$D650-'Business Case'!G14*$E650)-MAX(0,(('Business Case'!G11*$C650*'Business Case'!G12*$B650)-'Business Case'!G11*$C650*'Business Case'!G13*$D650-'Business Case'!G14*$E650))*'Business Case'!$B$7-'Business Case'!$B$8*(('Business Case'!G11*$C650*'Business Case'!G12*$B650)-('Business Case'!F11*$C650*'Business Case'!F12*$B650))-'Business Case'!G15*$F650+'Business Case'!$B$8*('Business Case'!G11*$C650*'Business Case'!G12*$B650)</f>
        <v>984310535.109413</v>
      </c>
      <c r="N650" s="39" t="n">
        <f aca="false">IF(COUNT('Business Case'!B11:G11)=0,"",H650+NPV(G650,I650:M650))</f>
        <v>-430356182.486678</v>
      </c>
      <c r="P650" s="40" t="n">
        <f aca="true">RAND()</f>
        <v>0.60780656420835</v>
      </c>
      <c r="Q650" s="40" t="n">
        <f aca="true">RAND()</f>
        <v>0.637008220333351</v>
      </c>
      <c r="R650" s="40" t="n">
        <f aca="true">RAND()</f>
        <v>0.493783515590966</v>
      </c>
      <c r="S650" s="40" t="n">
        <f aca="true">RAND()</f>
        <v>0.655031736444389</v>
      </c>
      <c r="T650" s="40" t="n">
        <f aca="true">RAND()</f>
        <v>0.926840109356947</v>
      </c>
      <c r="U650" s="40" t="n">
        <f aca="true">RAND()</f>
        <v>0.636011938784862</v>
      </c>
    </row>
    <row r="651" customFormat="false" ht="15" hidden="false" customHeight="false" outlineLevel="0" collapsed="false">
      <c r="A651" s="36" t="n">
        <v>571</v>
      </c>
      <c r="B651" s="37" t="n">
        <f aca="false">1+IF($G$6=$E$6,$F$6,IF(P651&lt;($F$6-$E$6)/($G$6-$E$6),$E$6+SQRT(P651*($G$6-$E$6)*($F$6-$E$6)),$G$6-SQRT((1-P651)*($G$6-$E$6)*($G$6-$F$6))))</f>
        <v>0.978814512886953</v>
      </c>
      <c r="C651" s="37" t="n">
        <f aca="false">1+IF($G$7=$E$7,$F$7,IF(Q651&lt;($F$7-$E$7)/($G$7-$E$7),$E$7+SQRT(Q651*($G$7-$E$7)*($F$7-$E$7)),$G$7-SQRT((1-Q651)*($G$7-$E$7)*($G$7-$F$7))))</f>
        <v>1.08218880265146</v>
      </c>
      <c r="D651" s="37" t="n">
        <f aca="false">1+IF($G$8=$E$8,$F$8,IF(R651&lt;($F$8-$E$8)/($G$8-$E$8),$E$8+SQRT(R651*($G$8-$E$8)*($F$8-$E$8)),$G$8-SQRT((1-R651)*($G$8-$E$8)*($G$8-$F$8))))</f>
        <v>1.02470753681334</v>
      </c>
      <c r="E651" s="37" t="n">
        <f aca="false">1+IF($G$9=$E$9,$F$9,IF(S651&lt;($F$9-$E$9)/($G$9-$E$9),$E$9+SQRT(S651*($G$9-$E$9)*($F$9-$E$9)),$G$9-SQRT((1-S651)*($G$9-$E$9)*($G$9-$F$9))))</f>
        <v>1.00765093555235</v>
      </c>
      <c r="F651" s="37" t="n">
        <f aca="false">1+IF($G$10=$E$10,$F$10,IF(T651&lt;($F$10-$E$10)/($G$10-$E$10),$E$10+SQRT(T651*($G$10-$E$10)*($F$10-$E$10)),$G$10-SQRT((1-T651)*($G$10-$E$10)*($G$10-$F$10))))</f>
        <v>0.999925317149912</v>
      </c>
      <c r="G651" s="38" t="n">
        <f aca="false">IF($G$11=$E$11,$F$11,IF(U651&lt;($F$11-$E$11)/($G$11-$E$11),$E$11+SQRT(U651*($G$11-$E$11)*($F$11-$E$11)),$G$11-SQRT((1-U651)*($G$11-$E$11)*($G$11-$F$11))))</f>
        <v>0.109828918551206</v>
      </c>
      <c r="H651" s="39" t="n">
        <f aca="false">(('Business Case'!B11*$C651*'Business Case'!B12*$B651)-'Business Case'!B11*$C651*'Business Case'!B13*$D651-'Business Case'!B14*$E651)-MAX(0,(('Business Case'!B11*$C651*'Business Case'!B12*$B651)-'Business Case'!B11*$C651*'Business Case'!B13*$D651-'Business Case'!B14*$E651))*'Business Case'!$B$7-'Business Case'!$B$8*('Business Case'!B11*$C651*'Business Case'!B12*$B651)-'Business Case'!B15*$F651</f>
        <v>-1999850634.29982</v>
      </c>
      <c r="I651" s="39" t="n">
        <f aca="false">(('Business Case'!C11*$C651*'Business Case'!C12*$B651)-'Business Case'!C11*$C651*'Business Case'!C13*$D651-'Business Case'!C14*$E651)-MAX(0,(('Business Case'!C11*$C651*'Business Case'!C12*$B651)-'Business Case'!C11*$C651*'Business Case'!C13*$D651-'Business Case'!C14*$E651))*'Business Case'!$B$7-'Business Case'!$B$8*(('Business Case'!C11*$C651*'Business Case'!C12*$B651)-('Business Case'!B11*$C651*'Business Case'!B12*$B651))-'Business Case'!C15*$F651</f>
        <v>1737367.87229022</v>
      </c>
      <c r="J651" s="39" t="n">
        <f aca="false">(('Business Case'!D11*$C651*'Business Case'!D12*$B651)-'Business Case'!D11*$C651*'Business Case'!D13*$D651-'Business Case'!D14*$E651)-MAX(0,(('Business Case'!D11*$C651*'Business Case'!D12*$B651)-'Business Case'!D11*$C651*'Business Case'!D13*$D651-'Business Case'!D14*$E651))*'Business Case'!$B$7-'Business Case'!$B$8*(('Business Case'!D11*$C651*'Business Case'!D12*$B651)-('Business Case'!C11*$C651*'Business Case'!C12*$B651))-'Business Case'!D15*$F651</f>
        <v>301667378.055588</v>
      </c>
      <c r="K651" s="39" t="n">
        <f aca="false">(('Business Case'!E11*$C651*'Business Case'!E12*$B651)-'Business Case'!E11*$C651*'Business Case'!E13*$D651-'Business Case'!E14*$E651)-MAX(0,(('Business Case'!E11*$C651*'Business Case'!E12*$B651)-'Business Case'!E11*$C651*'Business Case'!E13*$D651-'Business Case'!E14*$E651))*'Business Case'!$B$7-'Business Case'!$B$8*(('Business Case'!E11*$C651*'Business Case'!E12*$B651)-('Business Case'!D11*$C651*'Business Case'!D12*$B651))-'Business Case'!E15*$F651</f>
        <v>651593654.096382</v>
      </c>
      <c r="L651" s="39" t="n">
        <f aca="false">(('Business Case'!F11*$C651*'Business Case'!F12*$B651)-'Business Case'!F11*$C651*'Business Case'!F13*$D651-'Business Case'!F14*$E651)-MAX(0,(('Business Case'!F11*$C651*'Business Case'!F12*$B651)-'Business Case'!F11*$C651*'Business Case'!F13*$D651-'Business Case'!F14*$E651))*'Business Case'!$B$7-'Business Case'!$B$8*(('Business Case'!F11*$C651*'Business Case'!F12*$B651)-('Business Case'!E11*$C651*'Business Case'!E12*$B651))-'Business Case'!F15*$F651</f>
        <v>788178422.53113</v>
      </c>
      <c r="M651" s="39" t="n">
        <f aca="false">(('Business Case'!G11*$C651*'Business Case'!G12*$B651)-'Business Case'!G11*$C651*'Business Case'!G13*$D651-'Business Case'!G14*$E651)-MAX(0,(('Business Case'!G11*$C651*'Business Case'!G12*$B651)-'Business Case'!G11*$C651*'Business Case'!G13*$D651-'Business Case'!G14*$E651))*'Business Case'!$B$7-'Business Case'!$B$8*(('Business Case'!G11*$C651*'Business Case'!G12*$B651)-('Business Case'!F11*$C651*'Business Case'!F12*$B651))-'Business Case'!G15*$F651+'Business Case'!$B$8*('Business Case'!G11*$C651*'Business Case'!G12*$B651)</f>
        <v>989522963.586197</v>
      </c>
      <c r="N651" s="39" t="n">
        <f aca="false">IF(COUNT('Business Case'!B11:G11)=0,"",H651+NPV(G651,I651:M651))</f>
        <v>-169505441.469871</v>
      </c>
      <c r="P651" s="40" t="n">
        <f aca="true">RAND()</f>
        <v>0.360327804805166</v>
      </c>
      <c r="Q651" s="40" t="n">
        <f aca="true">RAND()</f>
        <v>0.912412219317273</v>
      </c>
      <c r="R651" s="40" t="n">
        <f aca="true">RAND()</f>
        <v>0.706033030264644</v>
      </c>
      <c r="S651" s="40" t="n">
        <f aca="true">RAND()</f>
        <v>0.431443353042893</v>
      </c>
      <c r="T651" s="40" t="n">
        <f aca="true">RAND()</f>
        <v>0.19940298340154</v>
      </c>
      <c r="U651" s="40" t="n">
        <f aca="true">RAND()</f>
        <v>0.827581836936661</v>
      </c>
    </row>
    <row r="652" customFormat="false" ht="15" hidden="false" customHeight="false" outlineLevel="0" collapsed="false">
      <c r="A652" s="36" t="n">
        <v>572</v>
      </c>
      <c r="B652" s="37" t="n">
        <f aca="false">1+IF($G$6=$E$6,$F$6,IF(P652&lt;($F$6-$E$6)/($G$6-$E$6),$E$6+SQRT(P652*($G$6-$E$6)*($F$6-$E$6)),$G$6-SQRT((1-P652)*($G$6-$E$6)*($G$6-$F$6))))</f>
        <v>0.999627501257001</v>
      </c>
      <c r="C652" s="37" t="n">
        <f aca="false">1+IF($G$7=$E$7,$F$7,IF(Q652&lt;($F$7-$E$7)/($G$7-$E$7),$E$7+SQRT(Q652*($G$7-$E$7)*($F$7-$E$7)),$G$7-SQRT((1-Q652)*($G$7-$E$7)*($G$7-$F$7))))</f>
        <v>0.883258491906821</v>
      </c>
      <c r="D652" s="37" t="n">
        <f aca="false">1+IF($G$8=$E$8,$F$8,IF(R652&lt;($F$8-$E$8)/($G$8-$E$8),$E$8+SQRT(R652*($G$8-$E$8)*($F$8-$E$8)),$G$8-SQRT((1-R652)*($G$8-$E$8)*($G$8-$F$8))))</f>
        <v>0.992254685299289</v>
      </c>
      <c r="E652" s="37" t="n">
        <f aca="false">1+IF($G$9=$E$9,$F$9,IF(S652&lt;($F$9-$E$9)/($G$9-$E$9),$E$9+SQRT(S652*($G$9-$E$9)*($F$9-$E$9)),$G$9-SQRT((1-S652)*($G$9-$E$9)*($G$9-$F$9))))</f>
        <v>0.983096934597811</v>
      </c>
      <c r="F652" s="37" t="n">
        <f aca="false">1+IF($G$10=$E$10,$F$10,IF(T652&lt;($F$10-$E$10)/($G$10-$E$10),$E$10+SQRT(T652*($G$10-$E$10)*($F$10-$E$10)),$G$10-SQRT((1-T652)*($G$10-$E$10)*($G$10-$F$10))))</f>
        <v>0.999635293197072</v>
      </c>
      <c r="G652" s="38" t="n">
        <f aca="false">IF($G$11=$E$11,$F$11,IF(U652&lt;($F$11-$E$11)/($G$11-$E$11),$E$11+SQRT(U652*($G$11-$E$11)*($F$11-$E$11)),$G$11-SQRT((1-U652)*($G$11-$E$11)*($G$11-$F$11))))</f>
        <v>0.108729827869821</v>
      </c>
      <c r="H652" s="39" t="n">
        <f aca="false">(('Business Case'!B11*$C652*'Business Case'!B12*$B652)-'Business Case'!B11*$C652*'Business Case'!B13*$D652-'Business Case'!B14*$E652)-MAX(0,(('Business Case'!B11*$C652*'Business Case'!B12*$B652)-'Business Case'!B11*$C652*'Business Case'!B13*$D652-'Business Case'!B14*$E652))*'Business Case'!$B$7-'Business Case'!$B$8*('Business Case'!B11*$C652*'Business Case'!B12*$B652)-'Business Case'!B15*$F652</f>
        <v>-1999270586.39414</v>
      </c>
      <c r="I652" s="39" t="n">
        <f aca="false">(('Business Case'!C11*$C652*'Business Case'!C12*$B652)-'Business Case'!C11*$C652*'Business Case'!C13*$D652-'Business Case'!C14*$E652)-MAX(0,(('Business Case'!C11*$C652*'Business Case'!C12*$B652)-'Business Case'!C11*$C652*'Business Case'!C13*$D652-'Business Case'!C14*$E652))*'Business Case'!$B$7-'Business Case'!$B$8*(('Business Case'!C11*$C652*'Business Case'!C12*$B652)-('Business Case'!B11*$C652*'Business Case'!B12*$B652))-'Business Case'!C15*$F652</f>
        <v>-11003746.8072213</v>
      </c>
      <c r="J652" s="39" t="n">
        <f aca="false">(('Business Case'!D11*$C652*'Business Case'!D12*$B652)-'Business Case'!D11*$C652*'Business Case'!D13*$D652-'Business Case'!D14*$E652)-MAX(0,(('Business Case'!D11*$C652*'Business Case'!D12*$B652)-'Business Case'!D11*$C652*'Business Case'!D13*$D652-'Business Case'!D14*$E652))*'Business Case'!$B$7-'Business Case'!$B$8*(('Business Case'!D11*$C652*'Business Case'!D12*$B652)-('Business Case'!C11*$C652*'Business Case'!C12*$B652))-'Business Case'!D15*$F652</f>
        <v>263523484.008297</v>
      </c>
      <c r="K652" s="39" t="n">
        <f aca="false">(('Business Case'!E11*$C652*'Business Case'!E12*$B652)-'Business Case'!E11*$C652*'Business Case'!E13*$D652-'Business Case'!E14*$E652)-MAX(0,(('Business Case'!E11*$C652*'Business Case'!E12*$B652)-'Business Case'!E11*$C652*'Business Case'!E13*$D652-'Business Case'!E14*$E652))*'Business Case'!$B$7-'Business Case'!$B$8*(('Business Case'!E11*$C652*'Business Case'!E12*$B652)-('Business Case'!D11*$C652*'Business Case'!D12*$B652))-'Business Case'!E15*$F652</f>
        <v>588032479.483668</v>
      </c>
      <c r="L652" s="39" t="n">
        <f aca="false">(('Business Case'!F11*$C652*'Business Case'!F12*$B652)-'Business Case'!F11*$C652*'Business Case'!F13*$D652-'Business Case'!F14*$E652)-MAX(0,(('Business Case'!F11*$C652*'Business Case'!F12*$B652)-'Business Case'!F11*$C652*'Business Case'!F13*$D652-'Business Case'!F14*$E652))*'Business Case'!$B$7-'Business Case'!$B$8*(('Business Case'!F11*$C652*'Business Case'!F12*$B652)-('Business Case'!E11*$C652*'Business Case'!E12*$B652))-'Business Case'!F15*$F652</f>
        <v>710055599.224323</v>
      </c>
      <c r="M652" s="39" t="n">
        <f aca="false">(('Business Case'!G11*$C652*'Business Case'!G12*$B652)-'Business Case'!G11*$C652*'Business Case'!G13*$D652-'Business Case'!G14*$E652)-MAX(0,(('Business Case'!G11*$C652*'Business Case'!G12*$B652)-'Business Case'!G11*$C652*'Business Case'!G13*$D652-'Business Case'!G14*$E652))*'Business Case'!$B$7-'Business Case'!$B$8*(('Business Case'!G11*$C652*'Business Case'!G12*$B652)-('Business Case'!F11*$C652*'Business Case'!F12*$B652))-'Business Case'!G15*$F652+'Business Case'!$B$8*('Business Case'!G11*$C652*'Business Case'!G12*$B652)</f>
        <v>877882834.636141</v>
      </c>
      <c r="N652" s="39" t="n">
        <f aca="false">IF(COUNT('Business Case'!B11:G11)=0,"",H652+NPV(G652,I652:M652))</f>
        <v>-369525181.29573</v>
      </c>
      <c r="P652" s="40" t="n">
        <f aca="true">RAND()</f>
        <v>0.660472807961844</v>
      </c>
      <c r="Q652" s="40" t="n">
        <f aca="true">RAND()</f>
        <v>0.099028235351403</v>
      </c>
      <c r="R652" s="40" t="n">
        <f aca="true">RAND()</f>
        <v>0.27468591226799</v>
      </c>
      <c r="S652" s="40" t="n">
        <f aca="true">RAND()</f>
        <v>0.146054277302908</v>
      </c>
      <c r="T652" s="40" t="n">
        <f aca="true">RAND()</f>
        <v>0.197092986460742</v>
      </c>
      <c r="U652" s="40" t="n">
        <f aca="true">RAND()</f>
        <v>0.788305366926902</v>
      </c>
    </row>
    <row r="653" customFormat="false" ht="15" hidden="false" customHeight="false" outlineLevel="0" collapsed="false">
      <c r="A653" s="36" t="n">
        <v>573</v>
      </c>
      <c r="B653" s="37" t="n">
        <f aca="false">1+IF($G$6=$E$6,$F$6,IF(P653&lt;($F$6-$E$6)/($G$6-$E$6),$E$6+SQRT(P653*($G$6-$E$6)*($F$6-$E$6)),$G$6-SQRT((1-P653)*($G$6-$E$6)*($G$6-$F$6))))</f>
        <v>1.0070491721417</v>
      </c>
      <c r="C653" s="37" t="n">
        <f aca="false">1+IF($G$7=$E$7,$F$7,IF(Q653&lt;($F$7-$E$7)/($G$7-$E$7),$E$7+SQRT(Q653*($G$7-$E$7)*($F$7-$E$7)),$G$7-SQRT((1-Q653)*($G$7-$E$7)*($G$7-$F$7))))</f>
        <v>1.01733397156952</v>
      </c>
      <c r="D653" s="37" t="n">
        <f aca="false">1+IF($G$8=$E$8,$F$8,IF(R653&lt;($F$8-$E$8)/($G$8-$E$8),$E$8+SQRT(R653*($G$8-$E$8)*($F$8-$E$8)),$G$8-SQRT((1-R653)*($G$8-$E$8)*($G$8-$F$8))))</f>
        <v>0.978238030338233</v>
      </c>
      <c r="E653" s="37" t="n">
        <f aca="false">1+IF($G$9=$E$9,$F$9,IF(S653&lt;($F$9-$E$9)/($G$9-$E$9),$E$9+SQRT(S653*($G$9-$E$9)*($F$9-$E$9)),$G$9-SQRT((1-S653)*($G$9-$E$9)*($G$9-$F$9))))</f>
        <v>1.04768139821468</v>
      </c>
      <c r="F653" s="37" t="n">
        <f aca="false">1+IF($G$10=$E$10,$F$10,IF(T653&lt;($F$10-$E$10)/($G$10-$E$10),$E$10+SQRT(T653*($G$10-$E$10)*($F$10-$E$10)),$G$10-SQRT((1-T653)*($G$10-$E$10)*($G$10-$F$10))))</f>
        <v>1.05371795712083</v>
      </c>
      <c r="G653" s="38" t="n">
        <f aca="false">IF($G$11=$E$11,$F$11,IF(U653&lt;($F$11-$E$11)/($G$11-$E$11),$E$11+SQRT(U653*($G$11-$E$11)*($F$11-$E$11)),$G$11-SQRT((1-U653)*($G$11-$E$11)*($G$11-$F$11))))</f>
        <v>0.114652684263397</v>
      </c>
      <c r="H653" s="39" t="n">
        <f aca="false">(('Business Case'!B11*$C653*'Business Case'!B12*$B653)-'Business Case'!B11*$C653*'Business Case'!B13*$D653-'Business Case'!B14*$E653)-MAX(0,(('Business Case'!B11*$C653*'Business Case'!B12*$B653)-'Business Case'!B11*$C653*'Business Case'!B13*$D653-'Business Case'!B14*$E653))*'Business Case'!$B$7-'Business Case'!$B$8*('Business Case'!B11*$C653*'Business Case'!B12*$B653)-'Business Case'!B15*$F653</f>
        <v>-2107435914.24166</v>
      </c>
      <c r="I653" s="39" t="n">
        <f aca="false">(('Business Case'!C11*$C653*'Business Case'!C12*$B653)-'Business Case'!C11*$C653*'Business Case'!C13*$D653-'Business Case'!C14*$E653)-MAX(0,(('Business Case'!C11*$C653*'Business Case'!C12*$B653)-'Business Case'!C11*$C653*'Business Case'!C13*$D653-'Business Case'!C14*$E653))*'Business Case'!$B$7-'Business Case'!$B$8*(('Business Case'!C11*$C653*'Business Case'!C12*$B653)-('Business Case'!B11*$C653*'Business Case'!B12*$B653))-'Business Case'!C15*$F653</f>
        <v>22221073.7141562</v>
      </c>
      <c r="J653" s="39" t="n">
        <f aca="false">(('Business Case'!D11*$C653*'Business Case'!D12*$B653)-'Business Case'!D11*$C653*'Business Case'!D13*$D653-'Business Case'!D14*$E653)-MAX(0,(('Business Case'!D11*$C653*'Business Case'!D12*$B653)-'Business Case'!D11*$C653*'Business Case'!D13*$D653-'Business Case'!D14*$E653))*'Business Case'!$B$7-'Business Case'!$B$8*(('Business Case'!D11*$C653*'Business Case'!D12*$B653)-('Business Case'!C11*$C653*'Business Case'!C12*$B653))-'Business Case'!D15*$F653</f>
        <v>351904594.473862</v>
      </c>
      <c r="K653" s="39" t="n">
        <f aca="false">(('Business Case'!E11*$C653*'Business Case'!E12*$B653)-'Business Case'!E11*$C653*'Business Case'!E13*$D653-'Business Case'!E14*$E653)-MAX(0,(('Business Case'!E11*$C653*'Business Case'!E12*$B653)-'Business Case'!E11*$C653*'Business Case'!E13*$D653-'Business Case'!E14*$E653))*'Business Case'!$B$7-'Business Case'!$B$8*(('Business Case'!E11*$C653*'Business Case'!E12*$B653)-('Business Case'!D11*$C653*'Business Case'!D12*$B653))-'Business Case'!E15*$F653</f>
        <v>734274013.08961</v>
      </c>
      <c r="L653" s="39" t="n">
        <f aca="false">(('Business Case'!F11*$C653*'Business Case'!F12*$B653)-'Business Case'!F11*$C653*'Business Case'!F13*$D653-'Business Case'!F14*$E653)-MAX(0,(('Business Case'!F11*$C653*'Business Case'!F12*$B653)-'Business Case'!F11*$C653*'Business Case'!F13*$D653-'Business Case'!F14*$E653))*'Business Case'!$B$7-'Business Case'!$B$8*(('Business Case'!F11*$C653*'Business Case'!F12*$B653)-('Business Case'!E11*$C653*'Business Case'!E12*$B653))-'Business Case'!F15*$F653</f>
        <v>879575424.347738</v>
      </c>
      <c r="M653" s="39" t="n">
        <f aca="false">(('Business Case'!G11*$C653*'Business Case'!G12*$B653)-'Business Case'!G11*$C653*'Business Case'!G13*$D653-'Business Case'!G14*$E653)-MAX(0,(('Business Case'!G11*$C653*'Business Case'!G12*$B653)-'Business Case'!G11*$C653*'Business Case'!G13*$D653-'Business Case'!G14*$E653))*'Business Case'!$B$7-'Business Case'!$B$8*(('Business Case'!G11*$C653*'Business Case'!G12*$B653)-('Business Case'!F11*$C653*'Business Case'!F12*$B653))-'Business Case'!G15*$F653+'Business Case'!$B$8*('Business Case'!G11*$C653*'Business Case'!G12*$B653)</f>
        <v>1074313398.20798</v>
      </c>
      <c r="N653" s="39" t="n">
        <f aca="false">IF(COUNT('Business Case'!B11:G11)=0,"",H653+NPV(G653,I653:M653))</f>
        <v>-79919288.2925949</v>
      </c>
      <c r="P653" s="40" t="n">
        <f aca="true">RAND()</f>
        <v>0.77380061321935</v>
      </c>
      <c r="Q653" s="40" t="n">
        <f aca="true">RAND()</f>
        <v>0.664756664771105</v>
      </c>
      <c r="R653" s="40" t="n">
        <f aca="true">RAND()</f>
        <v>0.122674824212764</v>
      </c>
      <c r="S653" s="40" t="n">
        <f aca="true">RAND()</f>
        <v>0.817517593815276</v>
      </c>
      <c r="T653" s="40" t="n">
        <f aca="true">RAND()</f>
        <v>0.572031278621924</v>
      </c>
      <c r="U653" s="40" t="n">
        <f aca="true">RAND()</f>
        <v>0.952343690688471</v>
      </c>
    </row>
    <row r="654" customFormat="false" ht="15" hidden="false" customHeight="false" outlineLevel="0" collapsed="false">
      <c r="A654" s="36" t="n">
        <v>574</v>
      </c>
      <c r="B654" s="37" t="n">
        <f aca="false">1+IF($G$6=$E$6,$F$6,IF(P654&lt;($F$6-$E$6)/($G$6-$E$6),$E$6+SQRT(P654*($G$6-$E$6)*($F$6-$E$6)),$G$6-SQRT((1-P654)*($G$6-$E$6)*($G$6-$F$6))))</f>
        <v>0.935502549565644</v>
      </c>
      <c r="C654" s="37" t="n">
        <f aca="false">1+IF($G$7=$E$7,$F$7,IF(Q654&lt;($F$7-$E$7)/($G$7-$E$7),$E$7+SQRT(Q654*($G$7-$E$7)*($F$7-$E$7)),$G$7-SQRT((1-Q654)*($G$7-$E$7)*($G$7-$F$7))))</f>
        <v>1.01701046090057</v>
      </c>
      <c r="D654" s="37" t="n">
        <f aca="false">1+IF($G$8=$E$8,$F$8,IF(R654&lt;($F$8-$E$8)/($G$8-$E$8),$E$8+SQRT(R654*($G$8-$E$8)*($F$8-$E$8)),$G$8-SQRT((1-R654)*($G$8-$E$8)*($G$8-$F$8))))</f>
        <v>0.983548404283884</v>
      </c>
      <c r="E654" s="37" t="n">
        <f aca="false">1+IF($G$9=$E$9,$F$9,IF(S654&lt;($F$9-$E$9)/($G$9-$E$9),$E$9+SQRT(S654*($G$9-$E$9)*($F$9-$E$9)),$G$9-SQRT((1-S654)*($G$9-$E$9)*($G$9-$F$9))))</f>
        <v>1.06289410352275</v>
      </c>
      <c r="F654" s="37" t="n">
        <f aca="false">1+IF($G$10=$E$10,$F$10,IF(T654&lt;($F$10-$E$10)/($G$10-$E$10),$E$10+SQRT(T654*($G$10-$E$10)*($F$10-$E$10)),$G$10-SQRT((1-T654)*($G$10-$E$10)*($G$10-$F$10))))</f>
        <v>1.15511896537855</v>
      </c>
      <c r="G654" s="38" t="n">
        <f aca="false">IF($G$11=$E$11,$F$11,IF(U654&lt;($F$11-$E$11)/($G$11-$E$11),$E$11+SQRT(U654*($G$11-$E$11)*($F$11-$E$11)),$G$11-SQRT((1-U654)*($G$11-$E$11)*($G$11-$F$11))))</f>
        <v>0.114201082087733</v>
      </c>
      <c r="H654" s="39" t="n">
        <f aca="false">(('Business Case'!B11*$C654*'Business Case'!B12*$B654)-'Business Case'!B11*$C654*'Business Case'!B13*$D654-'Business Case'!B14*$E654)-MAX(0,(('Business Case'!B11*$C654*'Business Case'!B12*$B654)-'Business Case'!B11*$C654*'Business Case'!B13*$D654-'Business Case'!B14*$E654))*'Business Case'!$B$7-'Business Case'!$B$8*('Business Case'!B11*$C654*'Business Case'!B12*$B654)-'Business Case'!B15*$F654</f>
        <v>-2310237930.75711</v>
      </c>
      <c r="I654" s="39" t="n">
        <f aca="false">(('Business Case'!C11*$C654*'Business Case'!C12*$B654)-'Business Case'!C11*$C654*'Business Case'!C13*$D654-'Business Case'!C14*$E654)-MAX(0,(('Business Case'!C11*$C654*'Business Case'!C12*$B654)-'Business Case'!C11*$C654*'Business Case'!C13*$D654-'Business Case'!C14*$E654))*'Business Case'!$B$7-'Business Case'!$B$8*(('Business Case'!C11*$C654*'Business Case'!C12*$B654)-('Business Case'!B11*$C654*'Business Case'!B12*$B654))-'Business Case'!C15*$F654</f>
        <v>-48761564.1490642</v>
      </c>
      <c r="J654" s="39" t="n">
        <f aca="false">(('Business Case'!D11*$C654*'Business Case'!D12*$B654)-'Business Case'!D11*$C654*'Business Case'!D13*$D654-'Business Case'!D14*$E654)-MAX(0,(('Business Case'!D11*$C654*'Business Case'!D12*$B654)-'Business Case'!D11*$C654*'Business Case'!D13*$D654-'Business Case'!D14*$E654))*'Business Case'!$B$7-'Business Case'!$B$8*(('Business Case'!D11*$C654*'Business Case'!D12*$B654)-('Business Case'!C11*$C654*'Business Case'!C12*$B654))-'Business Case'!D15*$F654</f>
        <v>218453708.93359</v>
      </c>
      <c r="K654" s="39" t="n">
        <f aca="false">(('Business Case'!E11*$C654*'Business Case'!E12*$B654)-'Business Case'!E11*$C654*'Business Case'!E13*$D654-'Business Case'!E14*$E654)-MAX(0,(('Business Case'!E11*$C654*'Business Case'!E12*$B654)-'Business Case'!E11*$C654*'Business Case'!E13*$D654-'Business Case'!E14*$E654))*'Business Case'!$B$7-'Business Case'!$B$8*(('Business Case'!E11*$C654*'Business Case'!E12*$B654)-('Business Case'!D11*$C654*'Business Case'!D12*$B654))-'Business Case'!E15*$F654</f>
        <v>543424930.285172</v>
      </c>
      <c r="L654" s="39" t="n">
        <f aca="false">(('Business Case'!F11*$C654*'Business Case'!F12*$B654)-'Business Case'!F11*$C654*'Business Case'!F13*$D654-'Business Case'!F14*$E654)-MAX(0,(('Business Case'!F11*$C654*'Business Case'!F12*$B654)-'Business Case'!F11*$C654*'Business Case'!F13*$D654-'Business Case'!F14*$E654))*'Business Case'!$B$7-'Business Case'!$B$8*(('Business Case'!F11*$C654*'Business Case'!F12*$B654)-('Business Case'!E11*$C654*'Business Case'!E12*$B654))-'Business Case'!F15*$F654</f>
        <v>665377620.761342</v>
      </c>
      <c r="M654" s="39" t="n">
        <f aca="false">(('Business Case'!G11*$C654*'Business Case'!G12*$B654)-'Business Case'!G11*$C654*'Business Case'!G13*$D654-'Business Case'!G14*$E654)-MAX(0,(('Business Case'!G11*$C654*'Business Case'!G12*$B654)-'Business Case'!G11*$C654*'Business Case'!G13*$D654-'Business Case'!G14*$E654))*'Business Case'!$B$7-'Business Case'!$B$8*(('Business Case'!G11*$C654*'Business Case'!G12*$B654)-('Business Case'!F11*$C654*'Business Case'!F12*$B654))-'Business Case'!G15*$F654+'Business Case'!$B$8*('Business Case'!G11*$C654*'Business Case'!G12*$B654)</f>
        <v>846222751.06208</v>
      </c>
      <c r="N654" s="39" t="n">
        <f aca="false">IF(COUNT('Business Case'!B11:G11)=0,"",H654+NPV(G654,I654:M654))</f>
        <v>-860636999.518295</v>
      </c>
      <c r="P654" s="40" t="n">
        <f aca="true">RAND()</f>
        <v>0.0250342753161724</v>
      </c>
      <c r="Q654" s="40" t="n">
        <f aca="true">RAND()</f>
        <v>0.663119666478522</v>
      </c>
      <c r="R654" s="40" t="n">
        <f aca="true">RAND()</f>
        <v>0.173153143076139</v>
      </c>
      <c r="S654" s="40" t="n">
        <f aca="true">RAND()</f>
        <v>0.908210163107951</v>
      </c>
      <c r="T654" s="40" t="n">
        <f aca="true">RAND()</f>
        <v>0.95971385462617</v>
      </c>
      <c r="U654" s="40" t="n">
        <f aca="true">RAND()</f>
        <v>0.943954251744658</v>
      </c>
    </row>
    <row r="655" customFormat="false" ht="15" hidden="false" customHeight="false" outlineLevel="0" collapsed="false">
      <c r="A655" s="36" t="n">
        <v>575</v>
      </c>
      <c r="B655" s="37" t="n">
        <f aca="false">1+IF($G$6=$E$6,$F$6,IF(P655&lt;($F$6-$E$6)/($G$6-$E$6),$E$6+SQRT(P655*($G$6-$E$6)*($F$6-$E$6)),$G$6-SQRT((1-P655)*($G$6-$E$6)*($G$6-$F$6))))</f>
        <v>0.949033780816303</v>
      </c>
      <c r="C655" s="37" t="n">
        <f aca="false">1+IF($G$7=$E$7,$F$7,IF(Q655&lt;($F$7-$E$7)/($G$7-$E$7),$E$7+SQRT(Q655*($G$7-$E$7)*($F$7-$E$7)),$G$7-SQRT((1-Q655)*($G$7-$E$7)*($G$7-$F$7))))</f>
        <v>0.948002372126287</v>
      </c>
      <c r="D655" s="37" t="n">
        <f aca="false">1+IF($G$8=$E$8,$F$8,IF(R655&lt;($F$8-$E$8)/($G$8-$E$8),$E$8+SQRT(R655*($G$8-$E$8)*($F$8-$E$8)),$G$8-SQRT((1-R655)*($G$8-$E$8)*($G$8-$F$8))))</f>
        <v>1.06021577847053</v>
      </c>
      <c r="E655" s="37" t="n">
        <f aca="false">1+IF($G$9=$E$9,$F$9,IF(S655&lt;($F$9-$E$9)/($G$9-$E$9),$E$9+SQRT(S655*($G$9-$E$9)*($F$9-$E$9)),$G$9-SQRT((1-S655)*($G$9-$E$9)*($G$9-$F$9))))</f>
        <v>1.02057336198243</v>
      </c>
      <c r="F655" s="37" t="n">
        <f aca="false">1+IF($G$10=$E$10,$F$10,IF(T655&lt;($F$10-$E$10)/($G$10-$E$10),$E$10+SQRT(T655*($G$10-$E$10)*($F$10-$E$10)),$G$10-SQRT((1-T655)*($G$10-$E$10)*($G$10-$F$10))))</f>
        <v>1.08427797088805</v>
      </c>
      <c r="G655" s="38" t="n">
        <f aca="false">IF($G$11=$E$11,$F$11,IF(U655&lt;($F$11-$E$11)/($G$11-$E$11),$E$11+SQRT(U655*($G$11-$E$11)*($F$11-$E$11)),$G$11-SQRT((1-U655)*($G$11-$E$11)*($G$11-$F$11))))</f>
        <v>0.103639213945738</v>
      </c>
      <c r="H655" s="39" t="n">
        <f aca="false">(('Business Case'!B11*$C655*'Business Case'!B12*$B655)-'Business Case'!B11*$C655*'Business Case'!B13*$D655-'Business Case'!B14*$E655)-MAX(0,(('Business Case'!B11*$C655*'Business Case'!B12*$B655)-'Business Case'!B11*$C655*'Business Case'!B13*$D655-'Business Case'!B14*$E655))*'Business Case'!$B$7-'Business Case'!$B$8*('Business Case'!B11*$C655*'Business Case'!B12*$B655)-'Business Case'!B15*$F655</f>
        <v>-2168555941.7761</v>
      </c>
      <c r="I655" s="39" t="n">
        <f aca="false">(('Business Case'!C11*$C655*'Business Case'!C12*$B655)-'Business Case'!C11*$C655*'Business Case'!C13*$D655-'Business Case'!C14*$E655)-MAX(0,(('Business Case'!C11*$C655*'Business Case'!C12*$B655)-'Business Case'!C11*$C655*'Business Case'!C13*$D655-'Business Case'!C14*$E655))*'Business Case'!$B$7-'Business Case'!$B$8*(('Business Case'!C11*$C655*'Business Case'!C12*$B655)-('Business Case'!B11*$C655*'Business Case'!B12*$B655))-'Business Case'!C15*$F655</f>
        <v>-77809403.0704396</v>
      </c>
      <c r="J655" s="39" t="n">
        <f aca="false">(('Business Case'!D11*$C655*'Business Case'!D12*$B655)-'Business Case'!D11*$C655*'Business Case'!D13*$D655-'Business Case'!D14*$E655)-MAX(0,(('Business Case'!D11*$C655*'Business Case'!D12*$B655)-'Business Case'!D11*$C655*'Business Case'!D13*$D655-'Business Case'!D14*$E655))*'Business Case'!$B$7-'Business Case'!$B$8*(('Business Case'!D11*$C655*'Business Case'!D12*$B655)-('Business Case'!C11*$C655*'Business Case'!C12*$B655))-'Business Case'!D15*$F655</f>
        <v>144574259.540731</v>
      </c>
      <c r="K655" s="39" t="n">
        <f aca="false">(('Business Case'!E11*$C655*'Business Case'!E12*$B655)-'Business Case'!E11*$C655*'Business Case'!E13*$D655-'Business Case'!E14*$E655)-MAX(0,(('Business Case'!E11*$C655*'Business Case'!E12*$B655)-'Business Case'!E11*$C655*'Business Case'!E13*$D655-'Business Case'!E14*$E655))*'Business Case'!$B$7-'Business Case'!$B$8*(('Business Case'!E11*$C655*'Business Case'!E12*$B655)-('Business Case'!D11*$C655*'Business Case'!D12*$B655))-'Business Case'!E15*$F655</f>
        <v>421171820.696305</v>
      </c>
      <c r="L655" s="39" t="n">
        <f aca="false">(('Business Case'!F11*$C655*'Business Case'!F12*$B655)-'Business Case'!F11*$C655*'Business Case'!F13*$D655-'Business Case'!F14*$E655)-MAX(0,(('Business Case'!F11*$C655*'Business Case'!F12*$B655)-'Business Case'!F11*$C655*'Business Case'!F13*$D655-'Business Case'!F14*$E655))*'Business Case'!$B$7-'Business Case'!$B$8*(('Business Case'!F11*$C655*'Business Case'!F12*$B655)-('Business Case'!E11*$C655*'Business Case'!E12*$B655))-'Business Case'!F15*$F655</f>
        <v>526392865.912632</v>
      </c>
      <c r="M655" s="39" t="n">
        <f aca="false">(('Business Case'!G11*$C655*'Business Case'!G12*$B655)-'Business Case'!G11*$C655*'Business Case'!G13*$D655-'Business Case'!G14*$E655)-MAX(0,(('Business Case'!G11*$C655*'Business Case'!G12*$B655)-'Business Case'!G11*$C655*'Business Case'!G13*$D655-'Business Case'!G14*$E655))*'Business Case'!$B$7-'Business Case'!$B$8*(('Business Case'!G11*$C655*'Business Case'!G12*$B655)-('Business Case'!F11*$C655*'Business Case'!F12*$B655))-'Business Case'!G15*$F655+'Business Case'!$B$8*('Business Case'!G11*$C655*'Business Case'!G12*$B655)</f>
        <v>697405233.148616</v>
      </c>
      <c r="N655" s="39" t="n">
        <f aca="false">IF(COUNT('Business Case'!B11:G11)=0,"",H655+NPV(G655,I655:M655))</f>
        <v>-1026293928.93857</v>
      </c>
      <c r="P655" s="40" t="n">
        <f aca="true">RAND()</f>
        <v>0.0878083779676182</v>
      </c>
      <c r="Q655" s="40" t="n">
        <f aca="true">RAND()</f>
        <v>0.312924316500114</v>
      </c>
      <c r="R655" s="40" t="n">
        <f aca="true">RAND()</f>
        <v>0.962363901776234</v>
      </c>
      <c r="S655" s="40" t="n">
        <f aca="true">RAND()</f>
        <v>0.579427278215026</v>
      </c>
      <c r="T655" s="40" t="n">
        <f aca="true">RAND()</f>
        <v>0.732168239564254</v>
      </c>
      <c r="U655" s="40" t="n">
        <f aca="true">RAND()</f>
        <v>0.553874466144455</v>
      </c>
    </row>
    <row r="656" customFormat="false" ht="15" hidden="false" customHeight="false" outlineLevel="0" collapsed="false">
      <c r="A656" s="36" t="n">
        <v>576</v>
      </c>
      <c r="B656" s="37" t="n">
        <f aca="false">1+IF($G$6=$E$6,$F$6,IF(P656&lt;($F$6-$E$6)/($G$6-$E$6),$E$6+SQRT(P656*($G$6-$E$6)*($F$6-$E$6)),$G$6-SQRT((1-P656)*($G$6-$E$6)*($G$6-$F$6))))</f>
        <v>1.00882747835822</v>
      </c>
      <c r="C656" s="37" t="n">
        <f aca="false">1+IF($G$7=$E$7,$F$7,IF(Q656&lt;($F$7-$E$7)/($G$7-$E$7),$E$7+SQRT(Q656*($G$7-$E$7)*($F$7-$E$7)),$G$7-SQRT((1-Q656)*($G$7-$E$7)*($G$7-$F$7))))</f>
        <v>1.00066743320231</v>
      </c>
      <c r="D656" s="37" t="n">
        <f aca="false">1+IF($G$8=$E$8,$F$8,IF(R656&lt;($F$8-$E$8)/($G$8-$E$8),$E$8+SQRT(R656*($G$8-$E$8)*($F$8-$E$8)),$G$8-SQRT((1-R656)*($G$8-$E$8)*($G$8-$F$8))))</f>
        <v>1.01701292770601</v>
      </c>
      <c r="E656" s="37" t="n">
        <f aca="false">1+IF($G$9=$E$9,$F$9,IF(S656&lt;($F$9-$E$9)/($G$9-$E$9),$E$9+SQRT(S656*($G$9-$E$9)*($F$9-$E$9)),$G$9-SQRT((1-S656)*($G$9-$E$9)*($G$9-$F$9))))</f>
        <v>1.04663970001429</v>
      </c>
      <c r="F656" s="37" t="n">
        <f aca="false">1+IF($G$10=$E$10,$F$10,IF(T656&lt;($F$10-$E$10)/($G$10-$E$10),$E$10+SQRT(T656*($G$10-$E$10)*($F$10-$E$10)),$G$10-SQRT((1-T656)*($G$10-$E$10)*($G$10-$F$10))))</f>
        <v>1.0457436375258</v>
      </c>
      <c r="G656" s="38" t="n">
        <f aca="false">IF($G$11=$E$11,$F$11,IF(U656&lt;($F$11-$E$11)/($G$11-$E$11),$E$11+SQRT(U656*($G$11-$E$11)*($F$11-$E$11)),$G$11-SQRT((1-U656)*($G$11-$E$11)*($G$11-$F$11))))</f>
        <v>0.103480232886979</v>
      </c>
      <c r="H656" s="39" t="n">
        <f aca="false">(('Business Case'!B11*$C656*'Business Case'!B12*$B656)-'Business Case'!B11*$C656*'Business Case'!B13*$D656-'Business Case'!B14*$E656)-MAX(0,(('Business Case'!B11*$C656*'Business Case'!B12*$B656)-'Business Case'!B11*$C656*'Business Case'!B13*$D656-'Business Case'!B14*$E656))*'Business Case'!$B$7-'Business Case'!$B$8*('Business Case'!B11*$C656*'Business Case'!B12*$B656)-'Business Case'!B15*$F656</f>
        <v>-2091487275.0516</v>
      </c>
      <c r="I656" s="39" t="n">
        <f aca="false">(('Business Case'!C11*$C656*'Business Case'!C12*$B656)-'Business Case'!C11*$C656*'Business Case'!C13*$D656-'Business Case'!C14*$E656)-MAX(0,(('Business Case'!C11*$C656*'Business Case'!C12*$B656)-'Business Case'!C11*$C656*'Business Case'!C13*$D656-'Business Case'!C14*$E656))*'Business Case'!$B$7-'Business Case'!$B$8*(('Business Case'!C11*$C656*'Business Case'!C12*$B656)-('Business Case'!B11*$C656*'Business Case'!B12*$B656))-'Business Case'!C15*$F656</f>
        <v>138048.028475732</v>
      </c>
      <c r="J656" s="39" t="n">
        <f aca="false">(('Business Case'!D11*$C656*'Business Case'!D12*$B656)-'Business Case'!D11*$C656*'Business Case'!D13*$D656-'Business Case'!D14*$E656)-MAX(0,(('Business Case'!D11*$C656*'Business Case'!D12*$B656)-'Business Case'!D11*$C656*'Business Case'!D13*$D656-'Business Case'!D14*$E656))*'Business Case'!$B$7-'Business Case'!$B$8*(('Business Case'!D11*$C656*'Business Case'!D12*$B656)-('Business Case'!C11*$C656*'Business Case'!C12*$B656))-'Business Case'!D15*$F656</f>
        <v>306015146.795293</v>
      </c>
      <c r="K656" s="39" t="n">
        <f aca="false">(('Business Case'!E11*$C656*'Business Case'!E12*$B656)-'Business Case'!E11*$C656*'Business Case'!E13*$D656-'Business Case'!E14*$E656)-MAX(0,(('Business Case'!E11*$C656*'Business Case'!E12*$B656)-'Business Case'!E11*$C656*'Business Case'!E13*$D656-'Business Case'!E14*$E656))*'Business Case'!$B$7-'Business Case'!$B$8*(('Business Case'!E11*$C656*'Business Case'!E12*$B656)-('Business Case'!D11*$C656*'Business Case'!D12*$B656))-'Business Case'!E15*$F656</f>
        <v>664179427.4384</v>
      </c>
      <c r="L656" s="39" t="n">
        <f aca="false">(('Business Case'!F11*$C656*'Business Case'!F12*$B656)-'Business Case'!F11*$C656*'Business Case'!F13*$D656-'Business Case'!F14*$E656)-MAX(0,(('Business Case'!F11*$C656*'Business Case'!F12*$B656)-'Business Case'!F11*$C656*'Business Case'!F13*$D656-'Business Case'!F14*$E656))*'Business Case'!$B$7-'Business Case'!$B$8*(('Business Case'!F11*$C656*'Business Case'!F12*$B656)-('Business Case'!E11*$C656*'Business Case'!E12*$B656))-'Business Case'!F15*$F656</f>
        <v>801026808.123159</v>
      </c>
      <c r="M656" s="39" t="n">
        <f aca="false">(('Business Case'!G11*$C656*'Business Case'!G12*$B656)-'Business Case'!G11*$C656*'Business Case'!G13*$D656-'Business Case'!G14*$E656)-MAX(0,(('Business Case'!G11*$C656*'Business Case'!G12*$B656)-'Business Case'!G11*$C656*'Business Case'!G13*$D656-'Business Case'!G14*$E656))*'Business Case'!$B$7-'Business Case'!$B$8*(('Business Case'!G11*$C656*'Business Case'!G12*$B656)-('Business Case'!F11*$C656*'Business Case'!F12*$B656))-'Business Case'!G15*$F656+'Business Case'!$B$8*('Business Case'!G11*$C656*'Business Case'!G12*$B656)</f>
        <v>992912720.816834</v>
      </c>
      <c r="N656" s="39" t="n">
        <f aca="false">IF(COUNT('Business Case'!B11:G11)=0,"",H656+NPV(G656,I656:M656))</f>
        <v>-198646270.886842</v>
      </c>
      <c r="P656" s="40" t="n">
        <f aca="true">RAND()</f>
        <v>0.797557061352718</v>
      </c>
      <c r="Q656" s="40" t="n">
        <f aca="true">RAND()</f>
        <v>0.575233990354534</v>
      </c>
      <c r="R656" s="40" t="n">
        <f aca="true">RAND()</f>
        <v>0.618521992676061</v>
      </c>
      <c r="S656" s="40" t="n">
        <f aca="true">RAND()</f>
        <v>0.81017855902902</v>
      </c>
      <c r="T656" s="40" t="n">
        <f aca="true">RAND()</f>
        <v>0.524099492724552</v>
      </c>
      <c r="U656" s="40" t="n">
        <f aca="true">RAND()</f>
        <v>0.545162157552572</v>
      </c>
    </row>
    <row r="657" customFormat="false" ht="15" hidden="false" customHeight="false" outlineLevel="0" collapsed="false">
      <c r="A657" s="36" t="n">
        <v>577</v>
      </c>
      <c r="B657" s="37" t="n">
        <f aca="false">1+IF($G$6=$E$6,$F$6,IF(P657&lt;($F$6-$E$6)/($G$6-$E$6),$E$6+SQRT(P657*($G$6-$E$6)*($F$6-$E$6)),$G$6-SQRT((1-P657)*($G$6-$E$6)*($G$6-$F$6))))</f>
        <v>1.0197533281908</v>
      </c>
      <c r="C657" s="37" t="n">
        <f aca="false">1+IF($G$7=$E$7,$F$7,IF(Q657&lt;($F$7-$E$7)/($G$7-$E$7),$E$7+SQRT(Q657*($G$7-$E$7)*($F$7-$E$7)),$G$7-SQRT((1-Q657)*($G$7-$E$7)*($G$7-$F$7))))</f>
        <v>1.02367382081368</v>
      </c>
      <c r="D657" s="37" t="n">
        <f aca="false">1+IF($G$8=$E$8,$F$8,IF(R657&lt;($F$8-$E$8)/($G$8-$E$8),$E$8+SQRT(R657*($G$8-$E$8)*($F$8-$E$8)),$G$8-SQRT((1-R657)*($G$8-$E$8)*($G$8-$F$8))))</f>
        <v>0.979830717379848</v>
      </c>
      <c r="E657" s="37" t="n">
        <f aca="false">1+IF($G$9=$E$9,$F$9,IF(S657&lt;($F$9-$E$9)/($G$9-$E$9),$E$9+SQRT(S657*($G$9-$E$9)*($F$9-$E$9)),$G$9-SQRT((1-S657)*($G$9-$E$9)*($G$9-$F$9))))</f>
        <v>0.974155248843733</v>
      </c>
      <c r="F657" s="37" t="n">
        <f aca="false">1+IF($G$10=$E$10,$F$10,IF(T657&lt;($F$10-$E$10)/($G$10-$E$10),$E$10+SQRT(T657*($G$10-$E$10)*($F$10-$E$10)),$G$10-SQRT((1-T657)*($G$10-$E$10)*($G$10-$F$10))))</f>
        <v>1.15973425928996</v>
      </c>
      <c r="G657" s="38" t="n">
        <f aca="false">IF($G$11=$E$11,$F$11,IF(U657&lt;($F$11-$E$11)/($G$11-$E$11),$E$11+SQRT(U657*($G$11-$E$11)*($F$11-$E$11)),$G$11-SQRT((1-U657)*($G$11-$E$11)*($G$11-$F$11))))</f>
        <v>0.114795439714405</v>
      </c>
      <c r="H657" s="39" t="n">
        <f aca="false">(('Business Case'!B11*$C657*'Business Case'!B12*$B657)-'Business Case'!B11*$C657*'Business Case'!B13*$D657-'Business Case'!B14*$E657)-MAX(0,(('Business Case'!B11*$C657*'Business Case'!B12*$B657)-'Business Case'!B11*$C657*'Business Case'!B13*$D657-'Business Case'!B14*$E657))*'Business Case'!$B$7-'Business Case'!$B$8*('Business Case'!B11*$C657*'Business Case'!B12*$B657)-'Business Case'!B15*$F657</f>
        <v>-2319468518.57991</v>
      </c>
      <c r="I657" s="39" t="n">
        <f aca="false">(('Business Case'!C11*$C657*'Business Case'!C12*$B657)-'Business Case'!C11*$C657*'Business Case'!C13*$D657-'Business Case'!C14*$E657)-MAX(0,(('Business Case'!C11*$C657*'Business Case'!C12*$B657)-'Business Case'!C11*$C657*'Business Case'!C13*$D657-'Business Case'!C14*$E657))*'Business Case'!$B$7-'Business Case'!$B$8*(('Business Case'!C11*$C657*'Business Case'!C12*$B657)-('Business Case'!B11*$C657*'Business Case'!B12*$B657))-'Business Case'!C15*$F657</f>
        <v>32941572.3593763</v>
      </c>
      <c r="J657" s="39" t="n">
        <f aca="false">(('Business Case'!D11*$C657*'Business Case'!D12*$B657)-'Business Case'!D11*$C657*'Business Case'!D13*$D657-'Business Case'!D14*$E657)-MAX(0,(('Business Case'!D11*$C657*'Business Case'!D12*$B657)-'Business Case'!D11*$C657*'Business Case'!D13*$D657-'Business Case'!D14*$E657))*'Business Case'!$B$7-'Business Case'!$B$8*(('Business Case'!D11*$C657*'Business Case'!D12*$B657)-('Business Case'!C11*$C657*'Business Case'!C12*$B657))-'Business Case'!D15*$F657</f>
        <v>374496952.726946</v>
      </c>
      <c r="K657" s="39" t="n">
        <f aca="false">(('Business Case'!E11*$C657*'Business Case'!E12*$B657)-'Business Case'!E11*$C657*'Business Case'!E13*$D657-'Business Case'!E14*$E657)-MAX(0,(('Business Case'!E11*$C657*'Business Case'!E12*$B657)-'Business Case'!E11*$C657*'Business Case'!E13*$D657-'Business Case'!E14*$E657))*'Business Case'!$B$7-'Business Case'!$B$8*(('Business Case'!E11*$C657*'Business Case'!E12*$B657)-('Business Case'!D11*$C657*'Business Case'!D12*$B657))-'Business Case'!E15*$F657</f>
        <v>774039046.059014</v>
      </c>
      <c r="L657" s="39" t="n">
        <f aca="false">(('Business Case'!F11*$C657*'Business Case'!F12*$B657)-'Business Case'!F11*$C657*'Business Case'!F13*$D657-'Business Case'!F14*$E657)-MAX(0,(('Business Case'!F11*$C657*'Business Case'!F12*$B657)-'Business Case'!F11*$C657*'Business Case'!F13*$D657-'Business Case'!F14*$E657))*'Business Case'!$B$7-'Business Case'!$B$8*(('Business Case'!F11*$C657*'Business Case'!F12*$B657)-('Business Case'!E11*$C657*'Business Case'!E12*$B657))-'Business Case'!F15*$F657</f>
        <v>923967843.310617</v>
      </c>
      <c r="M657" s="39" t="n">
        <f aca="false">(('Business Case'!G11*$C657*'Business Case'!G12*$B657)-'Business Case'!G11*$C657*'Business Case'!G13*$D657-'Business Case'!G14*$E657)-MAX(0,(('Business Case'!G11*$C657*'Business Case'!G12*$B657)-'Business Case'!G11*$C657*'Business Case'!G13*$D657-'Business Case'!G14*$E657))*'Business Case'!$B$7-'Business Case'!$B$8*(('Business Case'!G11*$C657*'Business Case'!G12*$B657)-('Business Case'!F11*$C657*'Business Case'!F12*$B657))-'Business Case'!G15*$F657+'Business Case'!$B$8*('Business Case'!G11*$C657*'Business Case'!G12*$B657)</f>
        <v>1122391364.18722</v>
      </c>
      <c r="N657" s="39" t="n">
        <f aca="false">IF(COUNT('Business Case'!B11:G11)=0,"",H657+NPV(G657,I657:M657))</f>
        <v>-179757993.387177</v>
      </c>
      <c r="P657" s="40" t="n">
        <f aca="true">RAND()</f>
        <v>0.914598391802197</v>
      </c>
      <c r="Q657" s="40" t="n">
        <f aca="true">RAND()</f>
        <v>0.696032313374955</v>
      </c>
      <c r="R657" s="40" t="n">
        <f aca="true">RAND()</f>
        <v>0.136903338368673</v>
      </c>
      <c r="S657" s="40" t="n">
        <f aca="true">RAND()</f>
        <v>0.0777968062270242</v>
      </c>
      <c r="T657" s="40" t="n">
        <f aca="true">RAND()</f>
        <v>0.967573402501431</v>
      </c>
      <c r="U657" s="40" t="n">
        <f aca="true">RAND()</f>
        <v>0.954854253722672</v>
      </c>
    </row>
    <row r="658" customFormat="false" ht="15" hidden="false" customHeight="false" outlineLevel="0" collapsed="false">
      <c r="A658" s="36" t="n">
        <v>578</v>
      </c>
      <c r="B658" s="37" t="n">
        <f aca="false">1+IF($G$6=$E$6,$F$6,IF(P658&lt;($F$6-$E$6)/($G$6-$E$6),$E$6+SQRT(P658*($G$6-$E$6)*($F$6-$E$6)),$G$6-SQRT((1-P658)*($G$6-$E$6)*($G$6-$F$6))))</f>
        <v>1.00157626244174</v>
      </c>
      <c r="C658" s="37" t="n">
        <f aca="false">1+IF($G$7=$E$7,$F$7,IF(Q658&lt;($F$7-$E$7)/($G$7-$E$7),$E$7+SQRT(Q658*($G$7-$E$7)*($F$7-$E$7)),$G$7-SQRT((1-Q658)*($G$7-$E$7)*($G$7-$F$7))))</f>
        <v>0.875463002971402</v>
      </c>
      <c r="D658" s="37" t="n">
        <f aca="false">1+IF($G$8=$E$8,$F$8,IF(R658&lt;($F$8-$E$8)/($G$8-$E$8),$E$8+SQRT(R658*($G$8-$E$8)*($F$8-$E$8)),$G$8-SQRT((1-R658)*($G$8-$E$8)*($G$8-$F$8))))</f>
        <v>0.999440250805142</v>
      </c>
      <c r="E658" s="37" t="n">
        <f aca="false">1+IF($G$9=$E$9,$F$9,IF(S658&lt;($F$9-$E$9)/($G$9-$E$9),$E$9+SQRT(S658*($G$9-$E$9)*($F$9-$E$9)),$G$9-SQRT((1-S658)*($G$9-$E$9)*($G$9-$F$9))))</f>
        <v>0.982357052099827</v>
      </c>
      <c r="F658" s="37" t="n">
        <f aca="false">1+IF($G$10=$E$10,$F$10,IF(T658&lt;($F$10-$E$10)/($G$10-$E$10),$E$10+SQRT(T658*($G$10-$E$10)*($F$10-$E$10)),$G$10-SQRT((1-T658)*($G$10-$E$10)*($G$10-$F$10))))</f>
        <v>0.966645289068686</v>
      </c>
      <c r="G658" s="38" t="n">
        <f aca="false">IF($G$11=$E$11,$F$11,IF(U658&lt;($F$11-$E$11)/($G$11-$E$11),$E$11+SQRT(U658*($G$11-$E$11)*($F$11-$E$11)),$G$11-SQRT((1-U658)*($G$11-$E$11)*($G$11-$F$11))))</f>
        <v>0.104482839311642</v>
      </c>
      <c r="H658" s="39" t="n">
        <f aca="false">(('Business Case'!B11*$C658*'Business Case'!B12*$B658)-'Business Case'!B11*$C658*'Business Case'!B13*$D658-'Business Case'!B14*$E658)-MAX(0,(('Business Case'!B11*$C658*'Business Case'!B12*$B658)-'Business Case'!B11*$C658*'Business Case'!B13*$D658-'Business Case'!B14*$E658))*'Business Case'!$B$7-'Business Case'!$B$8*('Business Case'!B11*$C658*'Business Case'!B12*$B658)-'Business Case'!B15*$F658</f>
        <v>-1933290578.13737</v>
      </c>
      <c r="I658" s="39" t="n">
        <f aca="false">(('Business Case'!C11*$C658*'Business Case'!C12*$B658)-'Business Case'!C11*$C658*'Business Case'!C13*$D658-'Business Case'!C14*$E658)-MAX(0,(('Business Case'!C11*$C658*'Business Case'!C12*$B658)-'Business Case'!C11*$C658*'Business Case'!C13*$D658-'Business Case'!C14*$E658))*'Business Case'!$B$7-'Business Case'!$B$8*(('Business Case'!C11*$C658*'Business Case'!C12*$B658)-('Business Case'!B11*$C658*'Business Case'!B12*$B658))-'Business Case'!C15*$F658</f>
        <v>-11529881.3226593</v>
      </c>
      <c r="J658" s="39" t="n">
        <f aca="false">(('Business Case'!D11*$C658*'Business Case'!D12*$B658)-'Business Case'!D11*$C658*'Business Case'!D13*$D658-'Business Case'!D14*$E658)-MAX(0,(('Business Case'!D11*$C658*'Business Case'!D12*$B658)-'Business Case'!D11*$C658*'Business Case'!D13*$D658-'Business Case'!D14*$E658))*'Business Case'!$B$7-'Business Case'!$B$8*(('Business Case'!D11*$C658*'Business Case'!D12*$B658)-('Business Case'!C11*$C658*'Business Case'!C12*$B658))-'Business Case'!D15*$F658</f>
        <v>258751478.242108</v>
      </c>
      <c r="K658" s="39" t="n">
        <f aca="false">(('Business Case'!E11*$C658*'Business Case'!E12*$B658)-'Business Case'!E11*$C658*'Business Case'!E13*$D658-'Business Case'!E14*$E658)-MAX(0,(('Business Case'!E11*$C658*'Business Case'!E12*$B658)-'Business Case'!E11*$C658*'Business Case'!E13*$D658-'Business Case'!E14*$E658))*'Business Case'!$B$7-'Business Case'!$B$8*(('Business Case'!E11*$C658*'Business Case'!E12*$B658)-('Business Case'!D11*$C658*'Business Case'!D12*$B658))-'Business Case'!E15*$F658</f>
        <v>577365102.26031</v>
      </c>
      <c r="L658" s="39" t="n">
        <f aca="false">(('Business Case'!F11*$C658*'Business Case'!F12*$B658)-'Business Case'!F11*$C658*'Business Case'!F13*$D658-'Business Case'!F14*$E658)-MAX(0,(('Business Case'!F11*$C658*'Business Case'!F12*$B658)-'Business Case'!F11*$C658*'Business Case'!F13*$D658-'Business Case'!F14*$E658))*'Business Case'!$B$7-'Business Case'!$B$8*(('Business Case'!F11*$C658*'Business Case'!F12*$B658)-('Business Case'!E11*$C658*'Business Case'!E12*$B658))-'Business Case'!F15*$F658</f>
        <v>697762581.563208</v>
      </c>
      <c r="M658" s="39" t="n">
        <f aca="false">(('Business Case'!G11*$C658*'Business Case'!G12*$B658)-'Business Case'!G11*$C658*'Business Case'!G13*$D658-'Business Case'!G14*$E658)-MAX(0,(('Business Case'!G11*$C658*'Business Case'!G12*$B658)-'Business Case'!G11*$C658*'Business Case'!G13*$D658-'Business Case'!G14*$E658))*'Business Case'!$B$7-'Business Case'!$B$8*(('Business Case'!G11*$C658*'Business Case'!G12*$B658)-('Business Case'!F11*$C658*'Business Case'!F12*$B658))-'Business Case'!G15*$F658+'Business Case'!$B$8*('Business Case'!G11*$C658*'Business Case'!G12*$B658)</f>
        <v>864432891.860404</v>
      </c>
      <c r="N658" s="39" t="n">
        <f aca="false">IF(COUNT('Business Case'!B11:G11)=0,"",H658+NPV(G658,I658:M658))</f>
        <v>-308264285.020845</v>
      </c>
      <c r="P658" s="40" t="n">
        <f aca="true">RAND()</f>
        <v>0.692420081677947</v>
      </c>
      <c r="Q658" s="40" t="n">
        <f aca="true">RAND()</f>
        <v>0.0813523545351686</v>
      </c>
      <c r="R658" s="40" t="n">
        <f aca="true">RAND()</f>
        <v>0.376052061488514</v>
      </c>
      <c r="S658" s="40" t="n">
        <f aca="true">RAND()</f>
        <v>0.139597176078785</v>
      </c>
      <c r="T658" s="40" t="n">
        <f aca="true">RAND()</f>
        <v>0.0221652518544096</v>
      </c>
      <c r="U658" s="40" t="n">
        <f aca="true">RAND()</f>
        <v>0.598696206952814</v>
      </c>
    </row>
    <row r="659" customFormat="false" ht="15" hidden="false" customHeight="false" outlineLevel="0" collapsed="false">
      <c r="A659" s="36" t="n">
        <v>579</v>
      </c>
      <c r="B659" s="37" t="n">
        <f aca="false">1+IF($G$6=$E$6,$F$6,IF(P659&lt;($F$6-$E$6)/($G$6-$E$6),$E$6+SQRT(P659*($G$6-$E$6)*($F$6-$E$6)),$G$6-SQRT((1-P659)*($G$6-$E$6)*($G$6-$F$6))))</f>
        <v>1.00841503158319</v>
      </c>
      <c r="C659" s="37" t="n">
        <f aca="false">1+IF($G$7=$E$7,$F$7,IF(Q659&lt;($F$7-$E$7)/($G$7-$E$7),$E$7+SQRT(Q659*($G$7-$E$7)*($F$7-$E$7)),$G$7-SQRT((1-Q659)*($G$7-$E$7)*($G$7-$F$7))))</f>
        <v>1.03270973932341</v>
      </c>
      <c r="D659" s="37" t="n">
        <f aca="false">1+IF($G$8=$E$8,$F$8,IF(R659&lt;($F$8-$E$8)/($G$8-$E$8),$E$8+SQRT(R659*($G$8-$E$8)*($F$8-$E$8)),$G$8-SQRT((1-R659)*($G$8-$E$8)*($G$8-$F$8))))</f>
        <v>0.999317562577729</v>
      </c>
      <c r="E659" s="37" t="n">
        <f aca="false">1+IF($G$9=$E$9,$F$9,IF(S659&lt;($F$9-$E$9)/($G$9-$E$9),$E$9+SQRT(S659*($G$9-$E$9)*($F$9-$E$9)),$G$9-SQRT((1-S659)*($G$9-$E$9)*($G$9-$F$9))))</f>
        <v>1.06202155083328</v>
      </c>
      <c r="F659" s="37" t="n">
        <f aca="false">1+IF($G$10=$E$10,$F$10,IF(T659&lt;($F$10-$E$10)/($G$10-$E$10),$E$10+SQRT(T659*($G$10-$E$10)*($F$10-$E$10)),$G$10-SQRT((1-T659)*($G$10-$E$10)*($G$10-$F$10))))</f>
        <v>1.09871933178917</v>
      </c>
      <c r="G659" s="38" t="n">
        <f aca="false">IF($G$11=$E$11,$F$11,IF(U659&lt;($F$11-$E$11)/($G$11-$E$11),$E$11+SQRT(U659*($G$11-$E$11)*($F$11-$E$11)),$G$11-SQRT((1-U659)*($G$11-$E$11)*($G$11-$F$11))))</f>
        <v>0.0967263626179516</v>
      </c>
      <c r="H659" s="39" t="n">
        <f aca="false">(('Business Case'!B11*$C659*'Business Case'!B12*$B659)-'Business Case'!B11*$C659*'Business Case'!B13*$D659-'Business Case'!B14*$E659)-MAX(0,(('Business Case'!B11*$C659*'Business Case'!B12*$B659)-'Business Case'!B11*$C659*'Business Case'!B13*$D659-'Business Case'!B14*$E659))*'Business Case'!$B$7-'Business Case'!$B$8*('Business Case'!B11*$C659*'Business Case'!B12*$B659)-'Business Case'!B15*$F659</f>
        <v>-2197438663.57834</v>
      </c>
      <c r="I659" s="39" t="n">
        <f aca="false">(('Business Case'!C11*$C659*'Business Case'!C12*$B659)-'Business Case'!C11*$C659*'Business Case'!C13*$D659-'Business Case'!C14*$E659)-MAX(0,(('Business Case'!C11*$C659*'Business Case'!C12*$B659)-'Business Case'!C11*$C659*'Business Case'!C13*$D659-'Business Case'!C14*$E659))*'Business Case'!$B$7-'Business Case'!$B$8*(('Business Case'!C11*$C659*'Business Case'!C12*$B659)-('Business Case'!B11*$C659*'Business Case'!B12*$B659))-'Business Case'!C15*$F659</f>
        <v>9800036.67832248</v>
      </c>
      <c r="J659" s="39" t="n">
        <f aca="false">(('Business Case'!D11*$C659*'Business Case'!D12*$B659)-'Business Case'!D11*$C659*'Business Case'!D13*$D659-'Business Case'!D14*$E659)-MAX(0,(('Business Case'!D11*$C659*'Business Case'!D12*$B659)-'Business Case'!D11*$C659*'Business Case'!D13*$D659-'Business Case'!D14*$E659))*'Business Case'!$B$7-'Business Case'!$B$8*(('Business Case'!D11*$C659*'Business Case'!D12*$B659)-('Business Case'!C11*$C659*'Business Case'!C12*$B659))-'Business Case'!D15*$F659</f>
        <v>334477648.328747</v>
      </c>
      <c r="K659" s="39" t="n">
        <f aca="false">(('Business Case'!E11*$C659*'Business Case'!E12*$B659)-'Business Case'!E11*$C659*'Business Case'!E13*$D659-'Business Case'!E14*$E659)-MAX(0,(('Business Case'!E11*$C659*'Business Case'!E12*$B659)-'Business Case'!E11*$C659*'Business Case'!E13*$D659-'Business Case'!E14*$E659))*'Business Case'!$B$7-'Business Case'!$B$8*(('Business Case'!E11*$C659*'Business Case'!E12*$B659)-('Business Case'!D11*$C659*'Business Case'!D12*$B659))-'Business Case'!E15*$F659</f>
        <v>714091226.56863</v>
      </c>
      <c r="L659" s="39" t="n">
        <f aca="false">(('Business Case'!F11*$C659*'Business Case'!F12*$B659)-'Business Case'!F11*$C659*'Business Case'!F13*$D659-'Business Case'!F14*$E659)-MAX(0,(('Business Case'!F11*$C659*'Business Case'!F12*$B659)-'Business Case'!F11*$C659*'Business Case'!F13*$D659-'Business Case'!F14*$E659))*'Business Case'!$B$7-'Business Case'!$B$8*(('Business Case'!F11*$C659*'Business Case'!F12*$B659)-('Business Case'!E11*$C659*'Business Case'!E12*$B659))-'Business Case'!F15*$F659</f>
        <v>858307881.961901</v>
      </c>
      <c r="M659" s="39" t="n">
        <f aca="false">(('Business Case'!G11*$C659*'Business Case'!G12*$B659)-'Business Case'!G11*$C659*'Business Case'!G13*$D659-'Business Case'!G14*$E659)-MAX(0,(('Business Case'!G11*$C659*'Business Case'!G12*$B659)-'Business Case'!G11*$C659*'Business Case'!G13*$D659-'Business Case'!G14*$E659))*'Business Case'!$B$7-'Business Case'!$B$8*(('Business Case'!G11*$C659*'Business Case'!G12*$B659)-('Business Case'!F11*$C659*'Business Case'!F12*$B659))-'Business Case'!G15*$F659+'Business Case'!$B$8*('Business Case'!G11*$C659*'Business Case'!G12*$B659)</f>
        <v>1056257198.59911</v>
      </c>
      <c r="N659" s="39" t="n">
        <f aca="false">IF(COUNT('Business Case'!B11:G11)=0,"",H659+NPV(G659,I659:M659))</f>
        <v>-110130243.649998</v>
      </c>
      <c r="P659" s="40" t="n">
        <f aca="true">RAND()</f>
        <v>0.792164535439358</v>
      </c>
      <c r="Q659" s="40" t="n">
        <f aca="true">RAND()</f>
        <v>0.737961804769875</v>
      </c>
      <c r="R659" s="40" t="n">
        <f aca="true">RAND()</f>
        <v>0.374187996708963</v>
      </c>
      <c r="S659" s="40" t="n">
        <f aca="true">RAND()</f>
        <v>0.903842493259387</v>
      </c>
      <c r="T659" s="40" t="n">
        <f aca="true">RAND()</f>
        <v>0.794844524935347</v>
      </c>
      <c r="U659" s="40" t="n">
        <f aca="true">RAND()</f>
        <v>0.150813180227256</v>
      </c>
    </row>
    <row r="660" customFormat="false" ht="15" hidden="false" customHeight="false" outlineLevel="0" collapsed="false">
      <c r="A660" s="36" t="n">
        <v>580</v>
      </c>
      <c r="B660" s="37" t="n">
        <f aca="false">1+IF($G$6=$E$6,$F$6,IF(P660&lt;($F$6-$E$6)/($G$6-$E$6),$E$6+SQRT(P660*($G$6-$E$6)*($F$6-$E$6)),$G$6-SQRT((1-P660)*($G$6-$E$6)*($G$6-$F$6))))</f>
        <v>1.01321586712262</v>
      </c>
      <c r="C660" s="37" t="n">
        <f aca="false">1+IF($G$7=$E$7,$F$7,IF(Q660&lt;($F$7-$E$7)/($G$7-$E$7),$E$7+SQRT(Q660*($G$7-$E$7)*($F$7-$E$7)),$G$7-SQRT((1-Q660)*($G$7-$E$7)*($G$7-$F$7))))</f>
        <v>0.984301630106214</v>
      </c>
      <c r="D660" s="37" t="n">
        <f aca="false">1+IF($G$8=$E$8,$F$8,IF(R660&lt;($F$8-$E$8)/($G$8-$E$8),$E$8+SQRT(R660*($G$8-$E$8)*($F$8-$E$8)),$G$8-SQRT((1-R660)*($G$8-$E$8)*($G$8-$F$8))))</f>
        <v>0.998826102265662</v>
      </c>
      <c r="E660" s="37" t="n">
        <f aca="false">1+IF($G$9=$E$9,$F$9,IF(S660&lt;($F$9-$E$9)/($G$9-$E$9),$E$9+SQRT(S660*($G$9-$E$9)*($F$9-$E$9)),$G$9-SQRT((1-S660)*($G$9-$E$9)*($G$9-$F$9))))</f>
        <v>0.979636797535982</v>
      </c>
      <c r="F660" s="37" t="n">
        <f aca="false">1+IF($G$10=$E$10,$F$10,IF(T660&lt;($F$10-$E$10)/($G$10-$E$10),$E$10+SQRT(T660*($G$10-$E$10)*($F$10-$E$10)),$G$10-SQRT((1-T660)*($G$10-$E$10)*($G$10-$F$10))))</f>
        <v>0.999461966636636</v>
      </c>
      <c r="G660" s="38" t="n">
        <f aca="false">IF($G$11=$E$11,$F$11,IF(U660&lt;($F$11-$E$11)/($G$11-$E$11),$E$11+SQRT(U660*($G$11-$E$11)*($F$11-$E$11)),$G$11-SQRT((1-U660)*($G$11-$E$11)*($G$11-$F$11))))</f>
        <v>0.100309234995982</v>
      </c>
      <c r="H660" s="39" t="n">
        <f aca="false">(('Business Case'!B11*$C660*'Business Case'!B12*$B660)-'Business Case'!B11*$C660*'Business Case'!B13*$D660-'Business Case'!B14*$E660)-MAX(0,(('Business Case'!B11*$C660*'Business Case'!B12*$B660)-'Business Case'!B11*$C660*'Business Case'!B13*$D660-'Business Case'!B14*$E660))*'Business Case'!$B$7-'Business Case'!$B$8*('Business Case'!B11*$C660*'Business Case'!B12*$B660)-'Business Case'!B15*$F660</f>
        <v>-1998923933.27327</v>
      </c>
      <c r="I660" s="39" t="n">
        <f aca="false">(('Business Case'!C11*$C660*'Business Case'!C12*$B660)-'Business Case'!C11*$C660*'Business Case'!C13*$D660-'Business Case'!C14*$E660)-MAX(0,(('Business Case'!C11*$C660*'Business Case'!C12*$B660)-'Business Case'!C11*$C660*'Business Case'!C13*$D660-'Business Case'!C14*$E660))*'Business Case'!$B$7-'Business Case'!$B$8*(('Business Case'!C11*$C660*'Business Case'!C12*$B660)-('Business Case'!B11*$C660*'Business Case'!B12*$B660))-'Business Case'!C15*$F660</f>
        <v>22625436.8401517</v>
      </c>
      <c r="J660" s="39" t="n">
        <f aca="false">(('Business Case'!D11*$C660*'Business Case'!D12*$B660)-'Business Case'!D11*$C660*'Business Case'!D13*$D660-'Business Case'!D14*$E660)-MAX(0,(('Business Case'!D11*$C660*'Business Case'!D12*$B660)-'Business Case'!D11*$C660*'Business Case'!D13*$D660-'Business Case'!D14*$E660))*'Business Case'!$B$7-'Business Case'!$B$8*(('Business Case'!D11*$C660*'Business Case'!D12*$B660)-('Business Case'!C11*$C660*'Business Case'!C12*$B660))-'Business Case'!D15*$F660</f>
        <v>336201974.891069</v>
      </c>
      <c r="K660" s="39" t="n">
        <f aca="false">(('Business Case'!E11*$C660*'Business Case'!E12*$B660)-'Business Case'!E11*$C660*'Business Case'!E13*$D660-'Business Case'!E14*$E660)-MAX(0,(('Business Case'!E11*$C660*'Business Case'!E12*$B660)-'Business Case'!E11*$C660*'Business Case'!E13*$D660-'Business Case'!E14*$E660))*'Business Case'!$B$7-'Business Case'!$B$8*(('Business Case'!E11*$C660*'Business Case'!E12*$B660)-('Business Case'!D11*$C660*'Business Case'!D12*$B660))-'Business Case'!E15*$F660</f>
        <v>699751611.273817</v>
      </c>
      <c r="L660" s="39" t="n">
        <f aca="false">(('Business Case'!F11*$C660*'Business Case'!F12*$B660)-'Business Case'!F11*$C660*'Business Case'!F13*$D660-'Business Case'!F14*$E660)-MAX(0,(('Business Case'!F11*$C660*'Business Case'!F12*$B660)-'Business Case'!F11*$C660*'Business Case'!F13*$D660-'Business Case'!F14*$E660))*'Business Case'!$B$7-'Business Case'!$B$8*(('Business Case'!F11*$C660*'Business Case'!F12*$B660)-('Business Case'!E11*$C660*'Business Case'!E12*$B660))-'Business Case'!F15*$F660</f>
        <v>838744158.582447</v>
      </c>
      <c r="M660" s="39" t="n">
        <f aca="false">(('Business Case'!G11*$C660*'Business Case'!G12*$B660)-'Business Case'!G11*$C660*'Business Case'!G13*$D660-'Business Case'!G14*$E660)-MAX(0,(('Business Case'!G11*$C660*'Business Case'!G12*$B660)-'Business Case'!G11*$C660*'Business Case'!G13*$D660-'Business Case'!G14*$E660))*'Business Case'!$B$7-'Business Case'!$B$8*(('Business Case'!G11*$C660*'Business Case'!G12*$B660)-('Business Case'!F11*$C660*'Business Case'!F12*$B660))-'Business Case'!G15*$F660+'Business Case'!$B$8*('Business Case'!G11*$C660*'Business Case'!G12*$B660)</f>
        <v>1028312849.01989</v>
      </c>
      <c r="N660" s="39" t="n">
        <f aca="false">IF(COUNT('Business Case'!B11:G11)=0,"",H660+NPV(G660,I660:M660))</f>
        <v>34460637.9699311</v>
      </c>
      <c r="P660" s="40" t="n">
        <f aca="true">RAND()</f>
        <v>0.850543797084727</v>
      </c>
      <c r="Q660" s="40" t="n">
        <f aca="true">RAND()</f>
        <v>0.485244155140112</v>
      </c>
      <c r="R660" s="40" t="n">
        <f aca="true">RAND()</f>
        <v>0.366767424993371</v>
      </c>
      <c r="S660" s="40" t="n">
        <f aca="true">RAND()</f>
        <v>0.117111969091837</v>
      </c>
      <c r="T660" s="40" t="n">
        <f aca="true">RAND()</f>
        <v>0.195718891485097</v>
      </c>
      <c r="U660" s="40" t="n">
        <f aca="true">RAND()</f>
        <v>0.353789622594214</v>
      </c>
    </row>
    <row r="661" customFormat="false" ht="15" hidden="false" customHeight="false" outlineLevel="0" collapsed="false">
      <c r="A661" s="36" t="n">
        <v>581</v>
      </c>
      <c r="B661" s="37" t="n">
        <f aca="false">1+IF($G$6=$E$6,$F$6,IF(P661&lt;($F$6-$E$6)/($G$6-$E$6),$E$6+SQRT(P661*($G$6-$E$6)*($F$6-$E$6)),$G$6-SQRT((1-P661)*($G$6-$E$6)*($G$6-$F$6))))</f>
        <v>1.01796931229181</v>
      </c>
      <c r="C661" s="37" t="n">
        <f aca="false">1+IF($G$7=$E$7,$F$7,IF(Q661&lt;($F$7-$E$7)/($G$7-$E$7),$E$7+SQRT(Q661*($G$7-$E$7)*($F$7-$E$7)),$G$7-SQRT((1-Q661)*($G$7-$E$7)*($G$7-$F$7))))</f>
        <v>0.962657287150304</v>
      </c>
      <c r="D661" s="37" t="n">
        <f aca="false">1+IF($G$8=$E$8,$F$8,IF(R661&lt;($F$8-$E$8)/($G$8-$E$8),$E$8+SQRT(R661*($G$8-$E$8)*($F$8-$E$8)),$G$8-SQRT((1-R661)*($G$8-$E$8)*($G$8-$F$8))))</f>
        <v>0.984319192893386</v>
      </c>
      <c r="E661" s="37" t="n">
        <f aca="false">1+IF($G$9=$E$9,$F$9,IF(S661&lt;($F$9-$E$9)/($G$9-$E$9),$E$9+SQRT(S661*($G$9-$E$9)*($F$9-$E$9)),$G$9-SQRT((1-S661)*($G$9-$E$9)*($G$9-$F$9))))</f>
        <v>1.06936511674759</v>
      </c>
      <c r="F661" s="37" t="n">
        <f aca="false">1+IF($G$10=$E$10,$F$10,IF(T661&lt;($F$10-$E$10)/($G$10-$E$10),$E$10+SQRT(T661*($G$10-$E$10)*($F$10-$E$10)),$G$10-SQRT((1-T661)*($G$10-$E$10)*($G$10-$F$10))))</f>
        <v>1.14549261417258</v>
      </c>
      <c r="G661" s="38" t="n">
        <f aca="false">IF($G$11=$E$11,$F$11,IF(U661&lt;($F$11-$E$11)/($G$11-$E$11),$E$11+SQRT(U661*($G$11-$E$11)*($F$11-$E$11)),$G$11-SQRT((1-U661)*($G$11-$E$11)*($G$11-$F$11))))</f>
        <v>0.101751977632382</v>
      </c>
      <c r="H661" s="39" t="n">
        <f aca="false">(('Business Case'!B11*$C661*'Business Case'!B12*$B661)-'Business Case'!B11*$C661*'Business Case'!B13*$D661-'Business Case'!B14*$E661)-MAX(0,(('Business Case'!B11*$C661*'Business Case'!B12*$B661)-'Business Case'!B11*$C661*'Business Case'!B13*$D661-'Business Case'!B14*$E661))*'Business Case'!$B$7-'Business Case'!$B$8*('Business Case'!B11*$C661*'Business Case'!B12*$B661)-'Business Case'!B15*$F661</f>
        <v>-2290985228.34516</v>
      </c>
      <c r="I661" s="39" t="n">
        <f aca="false">(('Business Case'!C11*$C661*'Business Case'!C12*$B661)-'Business Case'!C11*$C661*'Business Case'!C13*$D661-'Business Case'!C14*$E661)-MAX(0,(('Business Case'!C11*$C661*'Business Case'!C12*$B661)-'Business Case'!C11*$C661*'Business Case'!C13*$D661-'Business Case'!C14*$E661))*'Business Case'!$B$7-'Business Case'!$B$8*(('Business Case'!C11*$C661*'Business Case'!C12*$B661)-('Business Case'!B11*$C661*'Business Case'!B12*$B661))-'Business Case'!C15*$F661</f>
        <v>164334.382668719</v>
      </c>
      <c r="J661" s="39" t="n">
        <f aca="false">(('Business Case'!D11*$C661*'Business Case'!D12*$B661)-'Business Case'!D11*$C661*'Business Case'!D13*$D661-'Business Case'!D14*$E661)-MAX(0,(('Business Case'!D11*$C661*'Business Case'!D12*$B661)-'Business Case'!D11*$C661*'Business Case'!D13*$D661-'Business Case'!D14*$E661))*'Business Case'!$B$7-'Business Case'!$B$8*(('Business Case'!D11*$C661*'Business Case'!D12*$B661)-('Business Case'!C11*$C661*'Business Case'!C12*$B661))-'Business Case'!D15*$F661</f>
        <v>317742546.873652</v>
      </c>
      <c r="K661" s="39" t="n">
        <f aca="false">(('Business Case'!E11*$C661*'Business Case'!E12*$B661)-'Business Case'!E11*$C661*'Business Case'!E13*$D661-'Business Case'!E14*$E661)-MAX(0,(('Business Case'!E11*$C661*'Business Case'!E12*$B661)-'Business Case'!E11*$C661*'Business Case'!E13*$D661-'Business Case'!E14*$E661))*'Business Case'!$B$7-'Business Case'!$B$8*(('Business Case'!E11*$C661*'Business Case'!E12*$B661)-('Business Case'!D11*$C661*'Business Case'!D12*$B661))-'Business Case'!E15*$F661</f>
        <v>692595390.073264</v>
      </c>
      <c r="L661" s="39" t="n">
        <f aca="false">(('Business Case'!F11*$C661*'Business Case'!F12*$B661)-'Business Case'!F11*$C661*'Business Case'!F13*$D661-'Business Case'!F14*$E661)-MAX(0,(('Business Case'!F11*$C661*'Business Case'!F12*$B661)-'Business Case'!F11*$C661*'Business Case'!F13*$D661-'Business Case'!F14*$E661))*'Business Case'!$B$7-'Business Case'!$B$8*(('Business Case'!F11*$C661*'Business Case'!F12*$B661)-('Business Case'!E11*$C661*'Business Case'!E12*$B661))-'Business Case'!F15*$F661</f>
        <v>832322058.963291</v>
      </c>
      <c r="M661" s="39" t="n">
        <f aca="false">(('Business Case'!G11*$C661*'Business Case'!G12*$B661)-'Business Case'!G11*$C661*'Business Case'!G13*$D661-'Business Case'!G14*$E661)-MAX(0,(('Business Case'!G11*$C661*'Business Case'!G12*$B661)-'Business Case'!G11*$C661*'Business Case'!G13*$D661-'Business Case'!G14*$E661))*'Business Case'!$B$7-'Business Case'!$B$8*(('Business Case'!G11*$C661*'Business Case'!G12*$B661)-('Business Case'!F11*$C661*'Business Case'!F12*$B661))-'Business Case'!G15*$F661+'Business Case'!$B$8*('Business Case'!G11*$C661*'Business Case'!G12*$B661)</f>
        <v>1018592014.95831</v>
      </c>
      <c r="N661" s="39" t="n">
        <f aca="false">IF(COUNT('Business Case'!B11:G11)=0,"",H661+NPV(G661,I661:M661))</f>
        <v>-318862050.072237</v>
      </c>
      <c r="P661" s="40" t="n">
        <f aca="true">RAND()</f>
        <v>0.898885166480072</v>
      </c>
      <c r="Q661" s="40" t="n">
        <f aca="true">RAND()</f>
        <v>0.377962758044235</v>
      </c>
      <c r="R661" s="40" t="n">
        <f aca="true">RAND()</f>
        <v>0.181201077054377</v>
      </c>
      <c r="S661" s="40" t="n">
        <f aca="true">RAND()</f>
        <v>0.937433595207403</v>
      </c>
      <c r="T661" s="40" t="n">
        <f aca="true">RAND()</f>
        <v>0.940578897805216</v>
      </c>
      <c r="U661" s="40" t="n">
        <f aca="true">RAND()</f>
        <v>0.445016132784834</v>
      </c>
    </row>
    <row r="662" customFormat="false" ht="15" hidden="false" customHeight="false" outlineLevel="0" collapsed="false">
      <c r="A662" s="36" t="n">
        <v>582</v>
      </c>
      <c r="B662" s="37" t="n">
        <f aca="false">1+IF($G$6=$E$6,$F$6,IF(P662&lt;($F$6-$E$6)/($G$6-$E$6),$E$6+SQRT(P662*($G$6-$E$6)*($F$6-$E$6)),$G$6-SQRT((1-P662)*($G$6-$E$6)*($G$6-$F$6))))</f>
        <v>0.980203994946806</v>
      </c>
      <c r="C662" s="37" t="n">
        <f aca="false">1+IF($G$7=$E$7,$F$7,IF(Q662&lt;($F$7-$E$7)/($G$7-$E$7),$E$7+SQRT(Q662*($G$7-$E$7)*($F$7-$E$7)),$G$7-SQRT((1-Q662)*($G$7-$E$7)*($G$7-$F$7))))</f>
        <v>1.03418922110435</v>
      </c>
      <c r="D662" s="37" t="n">
        <f aca="false">1+IF($G$8=$E$8,$F$8,IF(R662&lt;($F$8-$E$8)/($G$8-$E$8),$E$8+SQRT(R662*($G$8-$E$8)*($F$8-$E$8)),$G$8-SQRT((1-R662)*($G$8-$E$8)*($G$8-$F$8))))</f>
        <v>1.00914344808911</v>
      </c>
      <c r="E662" s="37" t="n">
        <f aca="false">1+IF($G$9=$E$9,$F$9,IF(S662&lt;($F$9-$E$9)/($G$9-$E$9),$E$9+SQRT(S662*($G$9-$E$9)*($F$9-$E$9)),$G$9-SQRT((1-S662)*($G$9-$E$9)*($G$9-$F$9))))</f>
        <v>1.02791492629427</v>
      </c>
      <c r="F662" s="37" t="n">
        <f aca="false">1+IF($G$10=$E$10,$F$10,IF(T662&lt;($F$10-$E$10)/($G$10-$E$10),$E$10+SQRT(T662*($G$10-$E$10)*($F$10-$E$10)),$G$10-SQRT((1-T662)*($G$10-$E$10)*($G$10-$F$10))))</f>
        <v>0.970379195383899</v>
      </c>
      <c r="G662" s="38" t="n">
        <f aca="false">IF($G$11=$E$11,$F$11,IF(U662&lt;($F$11-$E$11)/($G$11-$E$11),$E$11+SQRT(U662*($G$11-$E$11)*($F$11-$E$11)),$G$11-SQRT((1-U662)*($G$11-$E$11)*($G$11-$F$11))))</f>
        <v>0.111245285937675</v>
      </c>
      <c r="H662" s="39" t="n">
        <f aca="false">(('Business Case'!B11*$C662*'Business Case'!B12*$B662)-'Business Case'!B11*$C662*'Business Case'!B13*$D662-'Business Case'!B14*$E662)-MAX(0,(('Business Case'!B11*$C662*'Business Case'!B12*$B662)-'Business Case'!B11*$C662*'Business Case'!B13*$D662-'Business Case'!B14*$E662))*'Business Case'!$B$7-'Business Case'!$B$8*('Business Case'!B11*$C662*'Business Case'!B12*$B662)-'Business Case'!B15*$F662</f>
        <v>-1940758390.7678</v>
      </c>
      <c r="I662" s="39" t="n">
        <f aca="false">(('Business Case'!C11*$C662*'Business Case'!C12*$B662)-'Business Case'!C11*$C662*'Business Case'!C13*$D662-'Business Case'!C14*$E662)-MAX(0,(('Business Case'!C11*$C662*'Business Case'!C12*$B662)-'Business Case'!C11*$C662*'Business Case'!C13*$D662-'Business Case'!C14*$E662))*'Business Case'!$B$7-'Business Case'!$B$8*(('Business Case'!C11*$C662*'Business Case'!C12*$B662)-('Business Case'!B11*$C662*'Business Case'!B12*$B662))-'Business Case'!C15*$F662</f>
        <v>285353.617269352</v>
      </c>
      <c r="J662" s="39" t="n">
        <f aca="false">(('Business Case'!D11*$C662*'Business Case'!D12*$B662)-'Business Case'!D11*$C662*'Business Case'!D13*$D662-'Business Case'!D14*$E662)-MAX(0,(('Business Case'!D11*$C662*'Business Case'!D12*$B662)-'Business Case'!D11*$C662*'Business Case'!D13*$D662-'Business Case'!D14*$E662))*'Business Case'!$B$7-'Business Case'!$B$8*(('Business Case'!D11*$C662*'Business Case'!D12*$B662)-('Business Case'!C11*$C662*'Business Case'!C12*$B662))-'Business Case'!D15*$F662</f>
        <v>296329187.78199</v>
      </c>
      <c r="K662" s="39" t="n">
        <f aca="false">(('Business Case'!E11*$C662*'Business Case'!E12*$B662)-'Business Case'!E11*$C662*'Business Case'!E13*$D662-'Business Case'!E14*$E662)-MAX(0,(('Business Case'!E11*$C662*'Business Case'!E12*$B662)-'Business Case'!E11*$C662*'Business Case'!E13*$D662-'Business Case'!E14*$E662))*'Business Case'!$B$7-'Business Case'!$B$8*(('Business Case'!E11*$C662*'Business Case'!E12*$B662)-('Business Case'!D11*$C662*'Business Case'!D12*$B662))-'Business Case'!E15*$F662</f>
        <v>640891981.715905</v>
      </c>
      <c r="L662" s="39" t="n">
        <f aca="false">(('Business Case'!F11*$C662*'Business Case'!F12*$B662)-'Business Case'!F11*$C662*'Business Case'!F13*$D662-'Business Case'!F14*$E662)-MAX(0,(('Business Case'!F11*$C662*'Business Case'!F12*$B662)-'Business Case'!F11*$C662*'Business Case'!F13*$D662-'Business Case'!F14*$E662))*'Business Case'!$B$7-'Business Case'!$B$8*(('Business Case'!F11*$C662*'Business Case'!F12*$B662)-('Business Case'!E11*$C662*'Business Case'!E12*$B662))-'Business Case'!F15*$F662</f>
        <v>774607298.764157</v>
      </c>
      <c r="M662" s="39" t="n">
        <f aca="false">(('Business Case'!G11*$C662*'Business Case'!G12*$B662)-'Business Case'!G11*$C662*'Business Case'!G13*$D662-'Business Case'!G14*$E662)-MAX(0,(('Business Case'!G11*$C662*'Business Case'!G12*$B662)-'Business Case'!G11*$C662*'Business Case'!G13*$D662-'Business Case'!G14*$E662))*'Business Case'!$B$7-'Business Case'!$B$8*(('Business Case'!G11*$C662*'Business Case'!G12*$B662)-('Business Case'!F11*$C662*'Business Case'!F12*$B662))-'Business Case'!G15*$F662+'Business Case'!$B$8*('Business Case'!G11*$C662*'Business Case'!G12*$B662)</f>
        <v>967294513.227549</v>
      </c>
      <c r="N662" s="39" t="n">
        <f aca="false">IF(COUNT('Business Case'!B11:G11)=0,"",H662+NPV(G662,I662:M662))</f>
        <v>-154684452.365651</v>
      </c>
      <c r="P662" s="40" t="n">
        <f aca="true">RAND()</f>
        <v>0.377554271620321</v>
      </c>
      <c r="Q662" s="40" t="n">
        <f aca="true">RAND()</f>
        <v>0.744530733173005</v>
      </c>
      <c r="R662" s="40" t="n">
        <f aca="true">RAND()</f>
        <v>0.517245101086462</v>
      </c>
      <c r="S662" s="40" t="n">
        <f aca="true">RAND()</f>
        <v>0.65358280992265</v>
      </c>
      <c r="T662" s="40" t="n">
        <f aca="true">RAND()</f>
        <v>0.0332249283596104</v>
      </c>
      <c r="U662" s="40" t="n">
        <f aca="true">RAND()</f>
        <v>0.872258302811544</v>
      </c>
    </row>
    <row r="663" customFormat="false" ht="15" hidden="false" customHeight="false" outlineLevel="0" collapsed="false">
      <c r="A663" s="36" t="n">
        <v>583</v>
      </c>
      <c r="B663" s="37" t="n">
        <f aca="false">1+IF($G$6=$E$6,$F$6,IF(P663&lt;($F$6-$E$6)/($G$6-$E$6),$E$6+SQRT(P663*($G$6-$E$6)*($F$6-$E$6)),$G$6-SQRT((1-P663)*($G$6-$E$6)*($G$6-$F$6))))</f>
        <v>1.01177703262202</v>
      </c>
      <c r="C663" s="37" t="n">
        <f aca="false">1+IF($G$7=$E$7,$F$7,IF(Q663&lt;($F$7-$E$7)/($G$7-$E$7),$E$7+SQRT(Q663*($G$7-$E$7)*($F$7-$E$7)),$G$7-SQRT((1-Q663)*($G$7-$E$7)*($G$7-$F$7))))</f>
        <v>0.871327610303534</v>
      </c>
      <c r="D663" s="37" t="n">
        <f aca="false">1+IF($G$8=$E$8,$F$8,IF(R663&lt;($F$8-$E$8)/($G$8-$E$8),$E$8+SQRT(R663*($G$8-$E$8)*($F$8-$E$8)),$G$8-SQRT((1-R663)*($G$8-$E$8)*($G$8-$F$8))))</f>
        <v>1.0343214681549</v>
      </c>
      <c r="E663" s="37" t="n">
        <f aca="false">1+IF($G$9=$E$9,$F$9,IF(S663&lt;($F$9-$E$9)/($G$9-$E$9),$E$9+SQRT(S663*($G$9-$E$9)*($F$9-$E$9)),$G$9-SQRT((1-S663)*($G$9-$E$9)*($G$9-$F$9))))</f>
        <v>1.06861182179606</v>
      </c>
      <c r="F663" s="37" t="n">
        <f aca="false">1+IF($G$10=$E$10,$F$10,IF(T663&lt;($F$10-$E$10)/($G$10-$E$10),$E$10+SQRT(T663*($G$10-$E$10)*($F$10-$E$10)),$G$10-SQRT((1-T663)*($G$10-$E$10)*($G$10-$F$10))))</f>
        <v>1.12119828058041</v>
      </c>
      <c r="G663" s="38" t="n">
        <f aca="false">IF($G$11=$E$11,$F$11,IF(U663&lt;($F$11-$E$11)/($G$11-$E$11),$E$11+SQRT(U663*($G$11-$E$11)*($F$11-$E$11)),$G$11-SQRT((1-U663)*($G$11-$E$11)*($G$11-$F$11))))</f>
        <v>0.105361997428041</v>
      </c>
      <c r="H663" s="39" t="n">
        <f aca="false">(('Business Case'!B11*$C663*'Business Case'!B12*$B663)-'Business Case'!B11*$C663*'Business Case'!B13*$D663-'Business Case'!B14*$E663)-MAX(0,(('Business Case'!B11*$C663*'Business Case'!B12*$B663)-'Business Case'!B11*$C663*'Business Case'!B13*$D663-'Business Case'!B14*$E663))*'Business Case'!$B$7-'Business Case'!$B$8*('Business Case'!B11*$C663*'Business Case'!B12*$B663)-'Business Case'!B15*$F663</f>
        <v>-2242396561.16082</v>
      </c>
      <c r="I663" s="39" t="n">
        <f aca="false">(('Business Case'!C11*$C663*'Business Case'!C12*$B663)-'Business Case'!C11*$C663*'Business Case'!C13*$D663-'Business Case'!C14*$E663)-MAX(0,(('Business Case'!C11*$C663*'Business Case'!C12*$B663)-'Business Case'!C11*$C663*'Business Case'!C13*$D663-'Business Case'!C14*$E663))*'Business Case'!$B$7-'Business Case'!$B$8*(('Business Case'!C11*$C663*'Business Case'!C12*$B663)-('Business Case'!B11*$C663*'Business Case'!B12*$B663))-'Business Case'!C15*$F663</f>
        <v>-49052057.1002494</v>
      </c>
      <c r="J663" s="39" t="n">
        <f aca="false">(('Business Case'!D11*$C663*'Business Case'!D12*$B663)-'Business Case'!D11*$C663*'Business Case'!D13*$D663-'Business Case'!D14*$E663)-MAX(0,(('Business Case'!D11*$C663*'Business Case'!D12*$B663)-'Business Case'!D11*$C663*'Business Case'!D13*$D663-'Business Case'!D14*$E663))*'Business Case'!$B$7-'Business Case'!$B$8*(('Business Case'!D11*$C663*'Business Case'!D12*$B663)-('Business Case'!C11*$C663*'Business Case'!C12*$B663))-'Business Case'!D15*$F663</f>
        <v>211673902.362419</v>
      </c>
      <c r="K663" s="39" t="n">
        <f aca="false">(('Business Case'!E11*$C663*'Business Case'!E12*$B663)-'Business Case'!E11*$C663*'Business Case'!E13*$D663-'Business Case'!E14*$E663)-MAX(0,(('Business Case'!E11*$C663*'Business Case'!E12*$B663)-'Business Case'!E11*$C663*'Business Case'!E13*$D663-'Business Case'!E14*$E663))*'Business Case'!$B$7-'Business Case'!$B$8*(('Business Case'!E11*$C663*'Business Case'!E12*$B663)-('Business Case'!D11*$C663*'Business Case'!D12*$B663))-'Business Case'!E15*$F663</f>
        <v>528459775.854108</v>
      </c>
      <c r="L663" s="39" t="n">
        <f aca="false">(('Business Case'!F11*$C663*'Business Case'!F12*$B663)-'Business Case'!F11*$C663*'Business Case'!F13*$D663-'Business Case'!F14*$E663)-MAX(0,(('Business Case'!F11*$C663*'Business Case'!F12*$B663)-'Business Case'!F11*$C663*'Business Case'!F13*$D663-'Business Case'!F14*$E663))*'Business Case'!$B$7-'Business Case'!$B$8*(('Business Case'!F11*$C663*'Business Case'!F12*$B663)-('Business Case'!E11*$C663*'Business Case'!E12*$B663))-'Business Case'!F15*$F663</f>
        <v>645836153.971982</v>
      </c>
      <c r="M663" s="39" t="n">
        <f aca="false">(('Business Case'!G11*$C663*'Business Case'!G12*$B663)-'Business Case'!G11*$C663*'Business Case'!G13*$D663-'Business Case'!G14*$E663)-MAX(0,(('Business Case'!G11*$C663*'Business Case'!G12*$B663)-'Business Case'!G11*$C663*'Business Case'!G13*$D663-'Business Case'!G14*$E663))*'Business Case'!$B$7-'Business Case'!$B$8*(('Business Case'!G11*$C663*'Business Case'!G12*$B663)-('Business Case'!F11*$C663*'Business Case'!F12*$B663))-'Business Case'!G15*$F663+'Business Case'!$B$8*('Business Case'!G11*$C663*'Business Case'!G12*$B663)</f>
        <v>813408641.272065</v>
      </c>
      <c r="N663" s="39" t="n">
        <f aca="false">IF(COUNT('Business Case'!B11:G11)=0,"",H663+NPV(G663,I663:M663))</f>
        <v>-796690708.634791</v>
      </c>
      <c r="P663" s="40" t="n">
        <f aca="true">RAND()</f>
        <v>0.834055023412791</v>
      </c>
      <c r="Q663" s="40" t="n">
        <f aca="true">RAND()</f>
        <v>0.0726803998801838</v>
      </c>
      <c r="R663" s="40" t="n">
        <f aca="true">RAND()</f>
        <v>0.799372281584238</v>
      </c>
      <c r="S663" s="40" t="n">
        <f aca="true">RAND()</f>
        <v>0.934318817935829</v>
      </c>
      <c r="T663" s="40" t="n">
        <f aca="true">RAND()</f>
        <v>0.87580578033033</v>
      </c>
      <c r="U663" s="40" t="n">
        <f aca="true">RAND()</f>
        <v>0.642881467838855</v>
      </c>
    </row>
    <row r="664" customFormat="false" ht="15" hidden="false" customHeight="false" outlineLevel="0" collapsed="false">
      <c r="A664" s="36" t="n">
        <v>584</v>
      </c>
      <c r="B664" s="37" t="n">
        <f aca="false">1+IF($G$6=$E$6,$F$6,IF(P664&lt;($F$6-$E$6)/($G$6-$E$6),$E$6+SQRT(P664*($G$6-$E$6)*($F$6-$E$6)),$G$6-SQRT((1-P664)*($G$6-$E$6)*($G$6-$F$6))))</f>
        <v>0.986073845742453</v>
      </c>
      <c r="C664" s="37" t="n">
        <f aca="false">1+IF($G$7=$E$7,$F$7,IF(Q664&lt;($F$7-$E$7)/($G$7-$E$7),$E$7+SQRT(Q664*($G$7-$E$7)*($F$7-$E$7)),$G$7-SQRT((1-Q664)*($G$7-$E$7)*($G$7-$F$7))))</f>
        <v>0.822303319673023</v>
      </c>
      <c r="D664" s="37" t="n">
        <f aca="false">1+IF($G$8=$E$8,$F$8,IF(R664&lt;($F$8-$E$8)/($G$8-$E$8),$E$8+SQRT(R664*($G$8-$E$8)*($F$8-$E$8)),$G$8-SQRT((1-R664)*($G$8-$E$8)*($G$8-$F$8))))</f>
        <v>1.03123388981973</v>
      </c>
      <c r="E664" s="37" t="n">
        <f aca="false">1+IF($G$9=$E$9,$F$9,IF(S664&lt;($F$9-$E$9)/($G$9-$E$9),$E$9+SQRT(S664*($G$9-$E$9)*($F$9-$E$9)),$G$9-SQRT((1-S664)*($G$9-$E$9)*($G$9-$F$9))))</f>
        <v>0.989706067724891</v>
      </c>
      <c r="F664" s="37" t="n">
        <f aca="false">1+IF($G$10=$E$10,$F$10,IF(T664&lt;($F$10-$E$10)/($G$10-$E$10),$E$10+SQRT(T664*($G$10-$E$10)*($F$10-$E$10)),$G$10-SQRT((1-T664)*($G$10-$E$10)*($G$10-$F$10))))</f>
        <v>1.10818631411231</v>
      </c>
      <c r="G664" s="38" t="n">
        <f aca="false">IF($G$11=$E$11,$F$11,IF(U664&lt;($F$11-$E$11)/($G$11-$E$11),$E$11+SQRT(U664*($G$11-$E$11)*($F$11-$E$11)),$G$11-SQRT((1-U664)*($G$11-$E$11)*($G$11-$F$11))))</f>
        <v>0.0927810564146304</v>
      </c>
      <c r="H664" s="39" t="n">
        <f aca="false">(('Business Case'!B11*$C664*'Business Case'!B12*$B664)-'Business Case'!B11*$C664*'Business Case'!B13*$D664-'Business Case'!B14*$E664)-MAX(0,(('Business Case'!B11*$C664*'Business Case'!B12*$B664)-'Business Case'!B11*$C664*'Business Case'!B13*$D664-'Business Case'!B14*$E664))*'Business Case'!$B$7-'Business Case'!$B$8*('Business Case'!B11*$C664*'Business Case'!B12*$B664)-'Business Case'!B15*$F664</f>
        <v>-2216372628.22463</v>
      </c>
      <c r="I664" s="39" t="n">
        <f aca="false">(('Business Case'!C11*$C664*'Business Case'!C12*$B664)-'Business Case'!C11*$C664*'Business Case'!C13*$D664-'Business Case'!C14*$E664)-MAX(0,(('Business Case'!C11*$C664*'Business Case'!C12*$B664)-'Business Case'!C11*$C664*'Business Case'!C13*$D664-'Business Case'!C14*$E664))*'Business Case'!$B$7-'Business Case'!$B$8*(('Business Case'!C11*$C664*'Business Case'!C12*$B664)-('Business Case'!B11*$C664*'Business Case'!B12*$B664))-'Business Case'!C15*$F664</f>
        <v>-63544919.6082019</v>
      </c>
      <c r="J664" s="39" t="n">
        <f aca="false">(('Business Case'!D11*$C664*'Business Case'!D12*$B664)-'Business Case'!D11*$C664*'Business Case'!D13*$D664-'Business Case'!D14*$E664)-MAX(0,(('Business Case'!D11*$C664*'Business Case'!D12*$B664)-'Business Case'!D11*$C664*'Business Case'!D13*$D664-'Business Case'!D14*$E664))*'Business Case'!$B$7-'Business Case'!$B$8*(('Business Case'!D11*$C664*'Business Case'!D12*$B664)-('Business Case'!C11*$C664*'Business Case'!C12*$B664))-'Business Case'!D15*$F664</f>
        <v>166499552.171251</v>
      </c>
      <c r="K664" s="39" t="n">
        <f aca="false">(('Business Case'!E11*$C664*'Business Case'!E12*$B664)-'Business Case'!E11*$C664*'Business Case'!E13*$D664-'Business Case'!E14*$E664)-MAX(0,(('Business Case'!E11*$C664*'Business Case'!E12*$B664)-'Business Case'!E11*$C664*'Business Case'!E13*$D664-'Business Case'!E14*$E664))*'Business Case'!$B$7-'Business Case'!$B$8*(('Business Case'!E11*$C664*'Business Case'!E12*$B664)-('Business Case'!D11*$C664*'Business Case'!D12*$B664))-'Business Case'!E15*$F664</f>
        <v>451953339.65632</v>
      </c>
      <c r="L664" s="39" t="n">
        <f aca="false">(('Business Case'!F11*$C664*'Business Case'!F12*$B664)-'Business Case'!F11*$C664*'Business Case'!F13*$D664-'Business Case'!F14*$E664)-MAX(0,(('Business Case'!F11*$C664*'Business Case'!F12*$B664)-'Business Case'!F11*$C664*'Business Case'!F13*$D664-'Business Case'!F14*$E664))*'Business Case'!$B$7-'Business Case'!$B$8*(('Business Case'!F11*$C664*'Business Case'!F12*$B664)-('Business Case'!E11*$C664*'Business Case'!E12*$B664))-'Business Case'!F15*$F664</f>
        <v>556657868.346767</v>
      </c>
      <c r="M664" s="39" t="n">
        <f aca="false">(('Business Case'!G11*$C664*'Business Case'!G12*$B664)-'Business Case'!G11*$C664*'Business Case'!G13*$D664-'Business Case'!G14*$E664)-MAX(0,(('Business Case'!G11*$C664*'Business Case'!G12*$B664)-'Business Case'!G11*$C664*'Business Case'!G13*$D664-'Business Case'!G14*$E664))*'Business Case'!$B$7-'Business Case'!$B$8*(('Business Case'!G11*$C664*'Business Case'!G12*$B664)-('Business Case'!F11*$C664*'Business Case'!F12*$B664))-'Business Case'!G15*$F664+'Business Case'!$B$8*('Business Case'!G11*$C664*'Business Case'!G12*$B664)</f>
        <v>710784577.881896</v>
      </c>
      <c r="N664" s="39" t="n">
        <f aca="false">IF(COUNT('Business Case'!B11:G11)=0,"",H664+NPV(G664,I664:M664))</f>
        <v>-942298069.465544</v>
      </c>
      <c r="P664" s="40" t="n">
        <f aca="true">RAND()</f>
        <v>0.454765946999743</v>
      </c>
      <c r="Q664" s="40" t="n">
        <f aca="true">RAND()</f>
        <v>0.00710625812052916</v>
      </c>
      <c r="R664" s="40" t="n">
        <f aca="true">RAND()</f>
        <v>0.771333317104424</v>
      </c>
      <c r="S664" s="40" t="n">
        <f aca="true">RAND()</f>
        <v>0.210209575223155</v>
      </c>
      <c r="T664" s="40" t="n">
        <f aca="true">RAND()</f>
        <v>0.831404941674345</v>
      </c>
      <c r="U664" s="40" t="n">
        <f aca="true">RAND()</f>
        <v>0.025780915937856</v>
      </c>
    </row>
    <row r="665" customFormat="false" ht="15" hidden="false" customHeight="false" outlineLevel="0" collapsed="false">
      <c r="A665" s="36" t="n">
        <v>585</v>
      </c>
      <c r="B665" s="37" t="n">
        <f aca="false">1+IF($G$6=$E$6,$F$6,IF(P665&lt;($F$6-$E$6)/($G$6-$E$6),$E$6+SQRT(P665*($G$6-$E$6)*($F$6-$E$6)),$G$6-SQRT((1-P665)*($G$6-$E$6)*($G$6-$F$6))))</f>
        <v>0.987496293471236</v>
      </c>
      <c r="C665" s="37" t="n">
        <f aca="false">1+IF($G$7=$E$7,$F$7,IF(Q665&lt;($F$7-$E$7)/($G$7-$E$7),$E$7+SQRT(Q665*($G$7-$E$7)*($F$7-$E$7)),$G$7-SQRT((1-Q665)*($G$7-$E$7)*($G$7-$F$7))))</f>
        <v>0.899656916240248</v>
      </c>
      <c r="D665" s="37" t="n">
        <f aca="false">1+IF($G$8=$E$8,$F$8,IF(R665&lt;($F$8-$E$8)/($G$8-$E$8),$E$8+SQRT(R665*($G$8-$E$8)*($F$8-$E$8)),$G$8-SQRT((1-R665)*($G$8-$E$8)*($G$8-$F$8))))</f>
        <v>1.00962351066213</v>
      </c>
      <c r="E665" s="37" t="n">
        <f aca="false">1+IF($G$9=$E$9,$F$9,IF(S665&lt;($F$9-$E$9)/($G$9-$E$9),$E$9+SQRT(S665*($G$9-$E$9)*($F$9-$E$9)),$G$9-SQRT((1-S665)*($G$9-$E$9)*($G$9-$F$9))))</f>
        <v>1.04735483668413</v>
      </c>
      <c r="F665" s="37" t="n">
        <f aca="false">1+IF($G$10=$E$10,$F$10,IF(T665&lt;($F$10-$E$10)/($G$10-$E$10),$E$10+SQRT(T665*($G$10-$E$10)*($F$10-$E$10)),$G$10-SQRT((1-T665)*($G$10-$E$10)*($G$10-$F$10))))</f>
        <v>1.07329624138062</v>
      </c>
      <c r="G665" s="38" t="n">
        <f aca="false">IF($G$11=$E$11,$F$11,IF(U665&lt;($F$11-$E$11)/($G$11-$E$11),$E$11+SQRT(U665*($G$11-$E$11)*($F$11-$E$11)),$G$11-SQRT((1-U665)*($G$11-$E$11)*($G$11-$F$11))))</f>
        <v>0.111194499547892</v>
      </c>
      <c r="H665" s="39" t="n">
        <f aca="false">(('Business Case'!B11*$C665*'Business Case'!B12*$B665)-'Business Case'!B11*$C665*'Business Case'!B13*$D665-'Business Case'!B14*$E665)-MAX(0,(('Business Case'!B11*$C665*'Business Case'!B12*$B665)-'Business Case'!B11*$C665*'Business Case'!B13*$D665-'Business Case'!B14*$E665))*'Business Case'!$B$7-'Business Case'!$B$8*('Business Case'!B11*$C665*'Business Case'!B12*$B665)-'Business Case'!B15*$F665</f>
        <v>-2146592482.76124</v>
      </c>
      <c r="I665" s="39" t="n">
        <f aca="false">(('Business Case'!C11*$C665*'Business Case'!C12*$B665)-'Business Case'!C11*$C665*'Business Case'!C13*$D665-'Business Case'!C14*$E665)-MAX(0,(('Business Case'!C11*$C665*'Business Case'!C12*$B665)-'Business Case'!C11*$C665*'Business Case'!C13*$D665-'Business Case'!C14*$E665))*'Business Case'!$B$7-'Business Case'!$B$8*(('Business Case'!C11*$C665*'Business Case'!C12*$B665)-('Business Case'!B11*$C665*'Business Case'!B12*$B665))-'Business Case'!C15*$F665</f>
        <v>-39633034.0493267</v>
      </c>
      <c r="J665" s="39" t="n">
        <f aca="false">(('Business Case'!D11*$C665*'Business Case'!D12*$B665)-'Business Case'!D11*$C665*'Business Case'!D13*$D665-'Business Case'!D14*$E665)-MAX(0,(('Business Case'!D11*$C665*'Business Case'!D12*$B665)-'Business Case'!D11*$C665*'Business Case'!D13*$D665-'Business Case'!D14*$E665))*'Business Case'!$B$7-'Business Case'!$B$8*(('Business Case'!D11*$C665*'Business Case'!D12*$B665)-('Business Case'!C11*$C665*'Business Case'!C12*$B665))-'Business Case'!D15*$F665</f>
        <v>223052477.806179</v>
      </c>
      <c r="K665" s="39" t="n">
        <f aca="false">(('Business Case'!E11*$C665*'Business Case'!E12*$B665)-'Business Case'!E11*$C665*'Business Case'!E13*$D665-'Business Case'!E14*$E665)-MAX(0,(('Business Case'!E11*$C665*'Business Case'!E12*$B665)-'Business Case'!E11*$C665*'Business Case'!E13*$D665-'Business Case'!E14*$E665))*'Business Case'!$B$7-'Business Case'!$B$8*(('Business Case'!E11*$C665*'Business Case'!E12*$B665)-('Business Case'!D11*$C665*'Business Case'!D12*$B665))-'Business Case'!E15*$F665</f>
        <v>539402801.730715</v>
      </c>
      <c r="L665" s="39" t="n">
        <f aca="false">(('Business Case'!F11*$C665*'Business Case'!F12*$B665)-'Business Case'!F11*$C665*'Business Case'!F13*$D665-'Business Case'!F14*$E665)-MAX(0,(('Business Case'!F11*$C665*'Business Case'!F12*$B665)-'Business Case'!F11*$C665*'Business Case'!F13*$D665-'Business Case'!F14*$E665))*'Business Case'!$B$7-'Business Case'!$B$8*(('Business Case'!F11*$C665*'Business Case'!F12*$B665)-('Business Case'!E11*$C665*'Business Case'!E12*$B665))-'Business Case'!F15*$F665</f>
        <v>657668015.009408</v>
      </c>
      <c r="M665" s="39" t="n">
        <f aca="false">(('Business Case'!G11*$C665*'Business Case'!G12*$B665)-'Business Case'!G11*$C665*'Business Case'!G13*$D665-'Business Case'!G14*$E665)-MAX(0,(('Business Case'!G11*$C665*'Business Case'!G12*$B665)-'Business Case'!G11*$C665*'Business Case'!G13*$D665-'Business Case'!G14*$E665))*'Business Case'!$B$7-'Business Case'!$B$8*(('Business Case'!G11*$C665*'Business Case'!G12*$B665)-('Business Case'!F11*$C665*'Business Case'!F12*$B665))-'Business Case'!G15*$F665+'Business Case'!$B$8*('Business Case'!G11*$C665*'Business Case'!G12*$B665)</f>
        <v>826536582.973794</v>
      </c>
      <c r="N665" s="39" t="n">
        <f aca="false">IF(COUNT('Business Case'!B11:G11)=0,"",H665+NPV(G665,I665:M665))</f>
        <v>-689233065.082152</v>
      </c>
      <c r="P665" s="40" t="n">
        <f aca="true">RAND()</f>
        <v>0.474557253370333</v>
      </c>
      <c r="Q665" s="40" t="n">
        <f aca="true">RAND()</f>
        <v>0.141878585064511</v>
      </c>
      <c r="R665" s="40" t="n">
        <f aca="true">RAND()</f>
        <v>0.523764398891993</v>
      </c>
      <c r="S665" s="40" t="n">
        <f aca="true">RAND()</f>
        <v>0.815232451963012</v>
      </c>
      <c r="T665" s="40" t="n">
        <f aca="true">RAND()</f>
        <v>0.67892315103443</v>
      </c>
      <c r="U665" s="40" t="n">
        <f aca="true">RAND()</f>
        <v>0.870771936313198</v>
      </c>
    </row>
    <row r="666" customFormat="false" ht="15" hidden="false" customHeight="false" outlineLevel="0" collapsed="false">
      <c r="A666" s="36" t="n">
        <v>586</v>
      </c>
      <c r="B666" s="37" t="n">
        <f aca="false">1+IF($G$6=$E$6,$F$6,IF(P666&lt;($F$6-$E$6)/($G$6-$E$6),$E$6+SQRT(P666*($G$6-$E$6)*($F$6-$E$6)),$G$6-SQRT((1-P666)*($G$6-$E$6)*($G$6-$F$6))))</f>
        <v>0.99771554310613</v>
      </c>
      <c r="C666" s="37" t="n">
        <f aca="false">1+IF($G$7=$E$7,$F$7,IF(Q666&lt;($F$7-$E$7)/($G$7-$E$7),$E$7+SQRT(Q666*($G$7-$E$7)*($F$7-$E$7)),$G$7-SQRT((1-Q666)*($G$7-$E$7)*($G$7-$F$7))))</f>
        <v>0.856978749684567</v>
      </c>
      <c r="D666" s="37" t="n">
        <f aca="false">1+IF($G$8=$E$8,$F$8,IF(R666&lt;($F$8-$E$8)/($G$8-$E$8),$E$8+SQRT(R666*($G$8-$E$8)*($F$8-$E$8)),$G$8-SQRT((1-R666)*($G$8-$E$8)*($G$8-$F$8))))</f>
        <v>0.983129636531034</v>
      </c>
      <c r="E666" s="37" t="n">
        <f aca="false">1+IF($G$9=$E$9,$F$9,IF(S666&lt;($F$9-$E$9)/($G$9-$E$9),$E$9+SQRT(S666*($G$9-$E$9)*($F$9-$E$9)),$G$9-SQRT((1-S666)*($G$9-$E$9)*($G$9-$F$9))))</f>
        <v>1.00242563233984</v>
      </c>
      <c r="F666" s="37" t="n">
        <f aca="false">1+IF($G$10=$E$10,$F$10,IF(T666&lt;($F$10-$E$10)/($G$10-$E$10),$E$10+SQRT(T666*($G$10-$E$10)*($F$10-$E$10)),$G$10-SQRT((1-T666)*($G$10-$E$10)*($G$10-$F$10))))</f>
        <v>1.12713626257058</v>
      </c>
      <c r="G666" s="38" t="n">
        <f aca="false">IF($G$11=$E$11,$F$11,IF(U666&lt;($F$11-$E$11)/($G$11-$E$11),$E$11+SQRT(U666*($G$11-$E$11)*($F$11-$E$11)),$G$11-SQRT((1-U666)*($G$11-$E$11)*($G$11-$F$11))))</f>
        <v>0.103790046827852</v>
      </c>
      <c r="H666" s="39" t="n">
        <f aca="false">(('Business Case'!B11*$C666*'Business Case'!B12*$B666)-'Business Case'!B11*$C666*'Business Case'!B13*$D666-'Business Case'!B14*$E666)-MAX(0,(('Business Case'!B11*$C666*'Business Case'!B12*$B666)-'Business Case'!B11*$C666*'Business Case'!B13*$D666-'Business Case'!B14*$E666))*'Business Case'!$B$7-'Business Case'!$B$8*('Business Case'!B11*$C666*'Business Case'!B12*$B666)-'Business Case'!B15*$F666</f>
        <v>-2254272525.14116</v>
      </c>
      <c r="I666" s="39" t="n">
        <f aca="false">(('Business Case'!C11*$C666*'Business Case'!C12*$B666)-'Business Case'!C11*$C666*'Business Case'!C13*$D666-'Business Case'!C14*$E666)-MAX(0,(('Business Case'!C11*$C666*'Business Case'!C12*$B666)-'Business Case'!C11*$C666*'Business Case'!C13*$D666-'Business Case'!C14*$E666))*'Business Case'!$B$7-'Business Case'!$B$8*(('Business Case'!C11*$C666*'Business Case'!C12*$B666)-('Business Case'!B11*$C666*'Business Case'!B12*$B666))-'Business Case'!C15*$F666</f>
        <v>-30562521.1079411</v>
      </c>
      <c r="J666" s="39" t="n">
        <f aca="false">(('Business Case'!D11*$C666*'Business Case'!D12*$B666)-'Business Case'!D11*$C666*'Business Case'!D13*$D666-'Business Case'!D14*$E666)-MAX(0,(('Business Case'!D11*$C666*'Business Case'!D12*$B666)-'Business Case'!D11*$C666*'Business Case'!D13*$D666-'Business Case'!D14*$E666))*'Business Case'!$B$7-'Business Case'!$B$8*(('Business Case'!D11*$C666*'Business Case'!D12*$B666)-('Business Case'!C11*$C666*'Business Case'!C12*$B666))-'Business Case'!D15*$F666</f>
        <v>238457798.567855</v>
      </c>
      <c r="K666" s="39" t="n">
        <f aca="false">(('Business Case'!E11*$C666*'Business Case'!E12*$B666)-'Business Case'!E11*$C666*'Business Case'!E13*$D666-'Business Case'!E14*$E666)-MAX(0,(('Business Case'!E11*$C666*'Business Case'!E12*$B666)-'Business Case'!E11*$C666*'Business Case'!E13*$D666-'Business Case'!E14*$E666))*'Business Case'!$B$7-'Business Case'!$B$8*(('Business Case'!E11*$C666*'Business Case'!E12*$B666)-('Business Case'!D11*$C666*'Business Case'!D12*$B666))-'Business Case'!E15*$F666</f>
        <v>563834931.372179</v>
      </c>
      <c r="L666" s="39" t="n">
        <f aca="false">(('Business Case'!F11*$C666*'Business Case'!F12*$B666)-'Business Case'!F11*$C666*'Business Case'!F13*$D666-'Business Case'!F14*$E666)-MAX(0,(('Business Case'!F11*$C666*'Business Case'!F12*$B666)-'Business Case'!F11*$C666*'Business Case'!F13*$D666-'Business Case'!F14*$E666))*'Business Case'!$B$7-'Business Case'!$B$8*(('Business Case'!F11*$C666*'Business Case'!F12*$B666)-('Business Case'!E11*$C666*'Business Case'!E12*$B666))-'Business Case'!F15*$F666</f>
        <v>683057897.669414</v>
      </c>
      <c r="M666" s="39" t="n">
        <f aca="false">(('Business Case'!G11*$C666*'Business Case'!G12*$B666)-'Business Case'!G11*$C666*'Business Case'!G13*$D666-'Business Case'!G14*$E666)-MAX(0,(('Business Case'!G11*$C666*'Business Case'!G12*$B666)-'Business Case'!G11*$C666*'Business Case'!G13*$D666-'Business Case'!G14*$E666))*'Business Case'!$B$7-'Business Case'!$B$8*(('Business Case'!G11*$C666*'Business Case'!G12*$B666)-('Business Case'!F11*$C666*'Business Case'!F12*$B666))-'Business Case'!G15*$F666+'Business Case'!$B$8*('Business Case'!G11*$C666*'Business Case'!G12*$B666)</f>
        <v>845580292.898578</v>
      </c>
      <c r="N666" s="39" t="n">
        <f aca="false">IF(COUNT('Business Case'!B11:G11)=0,"",H666+NPV(G666,I666:M666))</f>
        <v>-690721494.814331</v>
      </c>
      <c r="P666" s="40" t="n">
        <f aca="true">RAND()</f>
        <v>0.629136004195903</v>
      </c>
      <c r="Q666" s="40" t="n">
        <f aca="true">RAND()</f>
        <v>0.0463796845088081</v>
      </c>
      <c r="R666" s="40" t="n">
        <f aca="true">RAND()</f>
        <v>0.168857356412068</v>
      </c>
      <c r="S666" s="40" t="n">
        <f aca="true">RAND()</f>
        <v>0.36528285171462</v>
      </c>
      <c r="T666" s="40" t="n">
        <f aca="true">RAND()</f>
        <v>0.893817515356336</v>
      </c>
      <c r="U666" s="40" t="n">
        <f aca="true">RAND()</f>
        <v>0.562062363594624</v>
      </c>
    </row>
    <row r="667" customFormat="false" ht="15" hidden="false" customHeight="false" outlineLevel="0" collapsed="false">
      <c r="A667" s="36" t="n">
        <v>587</v>
      </c>
      <c r="B667" s="37" t="n">
        <f aca="false">1+IF($G$6=$E$6,$F$6,IF(P667&lt;($F$6-$E$6)/($G$6-$E$6),$E$6+SQRT(P667*($G$6-$E$6)*($F$6-$E$6)),$G$6-SQRT((1-P667)*($G$6-$E$6)*($G$6-$F$6))))</f>
        <v>0.951857836991891</v>
      </c>
      <c r="C667" s="37" t="n">
        <f aca="false">1+IF($G$7=$E$7,$F$7,IF(Q667&lt;($F$7-$E$7)/($G$7-$E$7),$E$7+SQRT(Q667*($G$7-$E$7)*($F$7-$E$7)),$G$7-SQRT((1-Q667)*($G$7-$E$7)*($G$7-$F$7))))</f>
        <v>1.02957828826109</v>
      </c>
      <c r="D667" s="37" t="n">
        <f aca="false">1+IF($G$8=$E$8,$F$8,IF(R667&lt;($F$8-$E$8)/($G$8-$E$8),$E$8+SQRT(R667*($G$8-$E$8)*($F$8-$E$8)),$G$8-SQRT((1-R667)*($G$8-$E$8)*($G$8-$F$8))))</f>
        <v>1.0182460168162</v>
      </c>
      <c r="E667" s="37" t="n">
        <f aca="false">1+IF($G$9=$E$9,$F$9,IF(S667&lt;($F$9-$E$9)/($G$9-$E$9),$E$9+SQRT(S667*($G$9-$E$9)*($F$9-$E$9)),$G$9-SQRT((1-S667)*($G$9-$E$9)*($G$9-$F$9))))</f>
        <v>1.00957103719513</v>
      </c>
      <c r="F667" s="37" t="n">
        <f aca="false">1+IF($G$10=$E$10,$F$10,IF(T667&lt;($F$10-$E$10)/($G$10-$E$10),$E$10+SQRT(T667*($G$10-$E$10)*($F$10-$E$10)),$G$10-SQRT((1-T667)*($G$10-$E$10)*($G$10-$F$10))))</f>
        <v>0.97137515786226</v>
      </c>
      <c r="G667" s="38" t="n">
        <f aca="false">IF($G$11=$E$11,$F$11,IF(U667&lt;($F$11-$E$11)/($G$11-$E$11),$E$11+SQRT(U667*($G$11-$E$11)*($F$11-$E$11)),$G$11-SQRT((1-U667)*($G$11-$E$11)*($G$11-$F$11))))</f>
        <v>0.100428379208459</v>
      </c>
      <c r="H667" s="39" t="n">
        <f aca="false">(('Business Case'!B11*$C667*'Business Case'!B12*$B667)-'Business Case'!B11*$C667*'Business Case'!B13*$D667-'Business Case'!B14*$E667)-MAX(0,(('Business Case'!B11*$C667*'Business Case'!B12*$B667)-'Business Case'!B11*$C667*'Business Case'!B13*$D667-'Business Case'!B14*$E667))*'Business Case'!$B$7-'Business Case'!$B$8*('Business Case'!B11*$C667*'Business Case'!B12*$B667)-'Business Case'!B15*$F667</f>
        <v>-1942750315.72452</v>
      </c>
      <c r="I667" s="39" t="n">
        <f aca="false">(('Business Case'!C11*$C667*'Business Case'!C12*$B667)-'Business Case'!C11*$C667*'Business Case'!C13*$D667-'Business Case'!C14*$E667)-MAX(0,(('Business Case'!C11*$C667*'Business Case'!C12*$B667)-'Business Case'!C11*$C667*'Business Case'!C13*$D667-'Business Case'!C14*$E667))*'Business Case'!$B$7-'Business Case'!$B$8*(('Business Case'!C11*$C667*'Business Case'!C12*$B667)-('Business Case'!B11*$C667*'Business Case'!B12*$B667))-'Business Case'!C15*$F667</f>
        <v>-25480320.117175</v>
      </c>
      <c r="J667" s="39" t="n">
        <f aca="false">(('Business Case'!D11*$C667*'Business Case'!D12*$B667)-'Business Case'!D11*$C667*'Business Case'!D13*$D667-'Business Case'!D14*$E667)-MAX(0,(('Business Case'!D11*$C667*'Business Case'!D12*$B667)-'Business Case'!D11*$C667*'Business Case'!D13*$D667-'Business Case'!D14*$E667))*'Business Case'!$B$7-'Business Case'!$B$8*(('Business Case'!D11*$C667*'Business Case'!D12*$B667)-('Business Case'!C11*$C667*'Business Case'!C12*$B667))-'Business Case'!D15*$F667</f>
        <v>240541707.543884</v>
      </c>
      <c r="K667" s="39" t="n">
        <f aca="false">(('Business Case'!E11*$C667*'Business Case'!E12*$B667)-'Business Case'!E11*$C667*'Business Case'!E13*$D667-'Business Case'!E14*$E667)-MAX(0,(('Business Case'!E11*$C667*'Business Case'!E12*$B667)-'Business Case'!E11*$C667*'Business Case'!E13*$D667-'Business Case'!E14*$E667))*'Business Case'!$B$7-'Business Case'!$B$8*(('Business Case'!E11*$C667*'Business Case'!E12*$B667)-('Business Case'!D11*$C667*'Business Case'!D12*$B667))-'Business Case'!E15*$F667</f>
        <v>555132493.098057</v>
      </c>
      <c r="L667" s="39" t="n">
        <f aca="false">(('Business Case'!F11*$C667*'Business Case'!F12*$B667)-'Business Case'!F11*$C667*'Business Case'!F13*$D667-'Business Case'!F14*$E667)-MAX(0,(('Business Case'!F11*$C667*'Business Case'!F12*$B667)-'Business Case'!F11*$C667*'Business Case'!F13*$D667-'Business Case'!F14*$E667))*'Business Case'!$B$7-'Business Case'!$B$8*(('Business Case'!F11*$C667*'Business Case'!F12*$B667)-('Business Case'!E11*$C667*'Business Case'!E12*$B667))-'Business Case'!F15*$F667</f>
        <v>677675722.653651</v>
      </c>
      <c r="M667" s="39" t="n">
        <f aca="false">(('Business Case'!G11*$C667*'Business Case'!G12*$B667)-'Business Case'!G11*$C667*'Business Case'!G13*$D667-'Business Case'!G14*$E667)-MAX(0,(('Business Case'!G11*$C667*'Business Case'!G12*$B667)-'Business Case'!G11*$C667*'Business Case'!G13*$D667-'Business Case'!G14*$E667))*'Business Case'!$B$7-'Business Case'!$B$8*(('Business Case'!G11*$C667*'Business Case'!G12*$B667)-('Business Case'!F11*$C667*'Business Case'!F12*$B667))-'Business Case'!G15*$F667+'Business Case'!$B$8*('Business Case'!G11*$C667*'Business Case'!G12*$B667)</f>
        <v>863956434.497472</v>
      </c>
      <c r="N667" s="39" t="n">
        <f aca="false">IF(COUNT('Business Case'!B11:G11)=0,"",H667+NPV(G667,I667:M667))</f>
        <v>-353125861.10068</v>
      </c>
      <c r="P667" s="40" t="n">
        <f aca="true">RAND()</f>
        <v>0.105721018521033</v>
      </c>
      <c r="Q667" s="40" t="n">
        <f aca="true">RAND()</f>
        <v>0.723783073178496</v>
      </c>
      <c r="R667" s="40" t="n">
        <f aca="true">RAND()</f>
        <v>0.633312073166812</v>
      </c>
      <c r="S667" s="40" t="n">
        <f aca="true">RAND()</f>
        <v>0.454840179069088</v>
      </c>
      <c r="T667" s="40" t="n">
        <f aca="true">RAND()</f>
        <v>0.0365517898909232</v>
      </c>
      <c r="U667" s="40" t="n">
        <f aca="true">RAND()</f>
        <v>0.361586099320221</v>
      </c>
    </row>
    <row r="668" customFormat="false" ht="15" hidden="false" customHeight="false" outlineLevel="0" collapsed="false">
      <c r="A668" s="36" t="n">
        <v>588</v>
      </c>
      <c r="B668" s="37" t="n">
        <f aca="false">1+IF($G$6=$E$6,$F$6,IF(P668&lt;($F$6-$E$6)/($G$6-$E$6),$E$6+SQRT(P668*($G$6-$E$6)*($F$6-$E$6)),$G$6-SQRT((1-P668)*($G$6-$E$6)*($G$6-$F$6))))</f>
        <v>0.992145522739253</v>
      </c>
      <c r="C668" s="37" t="n">
        <f aca="false">1+IF($G$7=$E$7,$F$7,IF(Q668&lt;($F$7-$E$7)/($G$7-$E$7),$E$7+SQRT(Q668*($G$7-$E$7)*($F$7-$E$7)),$G$7-SQRT((1-Q668)*($G$7-$E$7)*($G$7-$F$7))))</f>
        <v>1.01439959175888</v>
      </c>
      <c r="D668" s="37" t="n">
        <f aca="false">1+IF($G$8=$E$8,$F$8,IF(R668&lt;($F$8-$E$8)/($G$8-$E$8),$E$8+SQRT(R668*($G$8-$E$8)*($F$8-$E$8)),$G$8-SQRT((1-R668)*($G$8-$E$8)*($G$8-$F$8))))</f>
        <v>1.04656322659559</v>
      </c>
      <c r="E668" s="37" t="n">
        <f aca="false">1+IF($G$9=$E$9,$F$9,IF(S668&lt;($F$9-$E$9)/($G$9-$E$9),$E$9+SQRT(S668*($G$9-$E$9)*($F$9-$E$9)),$G$9-SQRT((1-S668)*($G$9-$E$9)*($G$9-$F$9))))</f>
        <v>0.977470267361187</v>
      </c>
      <c r="F668" s="37" t="n">
        <f aca="false">1+IF($G$10=$E$10,$F$10,IF(T668&lt;($F$10-$E$10)/($G$10-$E$10),$E$10+SQRT(T668*($G$10-$E$10)*($F$10-$E$10)),$G$10-SQRT((1-T668)*($G$10-$E$10)*($G$10-$F$10))))</f>
        <v>1.05940460003156</v>
      </c>
      <c r="G668" s="38" t="n">
        <f aca="false">IF($G$11=$E$11,$F$11,IF(U668&lt;($F$11-$E$11)/($G$11-$E$11),$E$11+SQRT(U668*($G$11-$E$11)*($F$11-$E$11)),$G$11-SQRT((1-U668)*($G$11-$E$11)*($G$11-$F$11))))</f>
        <v>0.110803800291337</v>
      </c>
      <c r="H668" s="39" t="n">
        <f aca="false">(('Business Case'!B11*$C668*'Business Case'!B12*$B668)-'Business Case'!B11*$C668*'Business Case'!B13*$D668-'Business Case'!B14*$E668)-MAX(0,(('Business Case'!B11*$C668*'Business Case'!B12*$B668)-'Business Case'!B11*$C668*'Business Case'!B13*$D668-'Business Case'!B14*$E668))*'Business Case'!$B$7-'Business Case'!$B$8*('Business Case'!B11*$C668*'Business Case'!B12*$B668)-'Business Case'!B15*$F668</f>
        <v>-2118809200.06312</v>
      </c>
      <c r="I668" s="39" t="n">
        <f aca="false">(('Business Case'!C11*$C668*'Business Case'!C12*$B668)-'Business Case'!C11*$C668*'Business Case'!C13*$D668-'Business Case'!C14*$E668)-MAX(0,(('Business Case'!C11*$C668*'Business Case'!C12*$B668)-'Business Case'!C11*$C668*'Business Case'!C13*$D668-'Business Case'!C14*$E668))*'Business Case'!$B$7-'Business Case'!$B$8*(('Business Case'!C11*$C668*'Business Case'!C12*$B668)-('Business Case'!B11*$C668*'Business Case'!B12*$B668))-'Business Case'!C15*$F668</f>
        <v>-16241209.6029544</v>
      </c>
      <c r="J668" s="39" t="n">
        <f aca="false">(('Business Case'!D11*$C668*'Business Case'!D12*$B668)-'Business Case'!D11*$C668*'Business Case'!D13*$D668-'Business Case'!D14*$E668)-MAX(0,(('Business Case'!D11*$C668*'Business Case'!D12*$B668)-'Business Case'!D11*$C668*'Business Case'!D13*$D668-'Business Case'!D14*$E668))*'Business Case'!$B$7-'Business Case'!$B$8*(('Business Case'!D11*$C668*'Business Case'!D12*$B668)-('Business Case'!C11*$C668*'Business Case'!C12*$B668))-'Business Case'!D15*$F668</f>
        <v>264627748.38196</v>
      </c>
      <c r="K668" s="39" t="n">
        <f aca="false">(('Business Case'!E11*$C668*'Business Case'!E12*$B668)-'Business Case'!E11*$C668*'Business Case'!E13*$D668-'Business Case'!E14*$E668)-MAX(0,(('Business Case'!E11*$C668*'Business Case'!E12*$B668)-'Business Case'!E11*$C668*'Business Case'!E13*$D668-'Business Case'!E14*$E668))*'Business Case'!$B$7-'Business Case'!$B$8*(('Business Case'!E11*$C668*'Business Case'!E12*$B668)-('Business Case'!D11*$C668*'Business Case'!D12*$B668))-'Business Case'!E15*$F668</f>
        <v>598466936.368452</v>
      </c>
      <c r="L668" s="39" t="n">
        <f aca="false">(('Business Case'!F11*$C668*'Business Case'!F12*$B668)-'Business Case'!F11*$C668*'Business Case'!F13*$D668-'Business Case'!F14*$E668)-MAX(0,(('Business Case'!F11*$C668*'Business Case'!F12*$B668)-'Business Case'!F11*$C668*'Business Case'!F13*$D668-'Business Case'!F14*$E668))*'Business Case'!$B$7-'Business Case'!$B$8*(('Business Case'!F11*$C668*'Business Case'!F12*$B668)-('Business Case'!E11*$C668*'Business Case'!E12*$B668))-'Business Case'!F15*$F668</f>
        <v>726872212.740725</v>
      </c>
      <c r="M668" s="39" t="n">
        <f aca="false">(('Business Case'!G11*$C668*'Business Case'!G12*$B668)-'Business Case'!G11*$C668*'Business Case'!G13*$D668-'Business Case'!G14*$E668)-MAX(0,(('Business Case'!G11*$C668*'Business Case'!G12*$B668)-'Business Case'!G11*$C668*'Business Case'!G13*$D668-'Business Case'!G14*$E668))*'Business Case'!$B$7-'Business Case'!$B$8*(('Business Case'!G11*$C668*'Business Case'!G12*$B668)-('Business Case'!F11*$C668*'Business Case'!F12*$B668))-'Business Case'!G15*$F668+'Business Case'!$B$8*('Business Case'!G11*$C668*'Business Case'!G12*$B668)</f>
        <v>918174809.815882</v>
      </c>
      <c r="N668" s="39" t="n">
        <f aca="false">IF(COUNT('Business Case'!B11:G11)=0,"",H668+NPV(G668,I668:M668))</f>
        <v>-461966376.158826</v>
      </c>
      <c r="P668" s="40" t="n">
        <f aca="true">RAND()</f>
        <v>0.542185047012509</v>
      </c>
      <c r="Q668" s="40" t="n">
        <f aca="true">RAND()</f>
        <v>0.649762462568402</v>
      </c>
      <c r="R668" s="40" t="n">
        <f aca="true">RAND()</f>
        <v>0.89249828695212</v>
      </c>
      <c r="S668" s="40" t="n">
        <f aca="true">RAND()</f>
        <v>0.100615411852681</v>
      </c>
      <c r="T668" s="40" t="n">
        <f aca="true">RAND()</f>
        <v>0.604658670154282</v>
      </c>
      <c r="U668" s="40" t="n">
        <f aca="true">RAND()</f>
        <v>0.859049851530631</v>
      </c>
    </row>
    <row r="669" customFormat="false" ht="15" hidden="false" customHeight="false" outlineLevel="0" collapsed="false">
      <c r="A669" s="36" t="n">
        <v>589</v>
      </c>
      <c r="B669" s="37" t="n">
        <f aca="false">1+IF($G$6=$E$6,$F$6,IF(P669&lt;($F$6-$E$6)/($G$6-$E$6),$E$6+SQRT(P669*($G$6-$E$6)*($F$6-$E$6)),$G$6-SQRT((1-P669)*($G$6-$E$6)*($G$6-$F$6))))</f>
        <v>0.995276461825318</v>
      </c>
      <c r="C669" s="37" t="n">
        <f aca="false">1+IF($G$7=$E$7,$F$7,IF(Q669&lt;($F$7-$E$7)/($G$7-$E$7),$E$7+SQRT(Q669*($G$7-$E$7)*($F$7-$E$7)),$G$7-SQRT((1-Q669)*($G$7-$E$7)*($G$7-$F$7))))</f>
        <v>0.926468585895959</v>
      </c>
      <c r="D669" s="37" t="n">
        <f aca="false">1+IF($G$8=$E$8,$F$8,IF(R669&lt;($F$8-$E$8)/($G$8-$E$8),$E$8+SQRT(R669*($G$8-$E$8)*($F$8-$E$8)),$G$8-SQRT((1-R669)*($G$8-$E$8)*($G$8-$F$8))))</f>
        <v>1.02682165901458</v>
      </c>
      <c r="E669" s="37" t="n">
        <f aca="false">1+IF($G$9=$E$9,$F$9,IF(S669&lt;($F$9-$E$9)/($G$9-$E$9),$E$9+SQRT(S669*($G$9-$E$9)*($F$9-$E$9)),$G$9-SQRT((1-S669)*($G$9-$E$9)*($G$9-$F$9))))</f>
        <v>1.03912671619988</v>
      </c>
      <c r="F669" s="37" t="n">
        <f aca="false">1+IF($G$10=$E$10,$F$10,IF(T669&lt;($F$10-$E$10)/($G$10-$E$10),$E$10+SQRT(T669*($G$10-$E$10)*($F$10-$E$10)),$G$10-SQRT((1-T669)*($G$10-$E$10)*($G$10-$F$10))))</f>
        <v>1.08522610378898</v>
      </c>
      <c r="G669" s="38" t="n">
        <f aca="false">IF($G$11=$E$11,$F$11,IF(U669&lt;($F$11-$E$11)/($G$11-$E$11),$E$11+SQRT(U669*($G$11-$E$11)*($F$11-$E$11)),$G$11-SQRT((1-U669)*($G$11-$E$11)*($G$11-$F$11))))</f>
        <v>0.0971979860985848</v>
      </c>
      <c r="H669" s="39" t="n">
        <f aca="false">(('Business Case'!B11*$C669*'Business Case'!B12*$B669)-'Business Case'!B11*$C669*'Business Case'!B13*$D669-'Business Case'!B14*$E669)-MAX(0,(('Business Case'!B11*$C669*'Business Case'!B12*$B669)-'Business Case'!B11*$C669*'Business Case'!B13*$D669-'Business Case'!B14*$E669))*'Business Case'!$B$7-'Business Case'!$B$8*('Business Case'!B11*$C669*'Business Case'!B12*$B669)-'Business Case'!B15*$F669</f>
        <v>-2170452207.57796</v>
      </c>
      <c r="I669" s="39" t="n">
        <f aca="false">(('Business Case'!C11*$C669*'Business Case'!C12*$B669)-'Business Case'!C11*$C669*'Business Case'!C13*$D669-'Business Case'!C14*$E669)-MAX(0,(('Business Case'!C11*$C669*'Business Case'!C12*$B669)-'Business Case'!C11*$C669*'Business Case'!C13*$D669-'Business Case'!C14*$E669))*'Business Case'!$B$7-'Business Case'!$B$8*(('Business Case'!C11*$C669*'Business Case'!C12*$B669)-('Business Case'!B11*$C669*'Business Case'!B12*$B669))-'Business Case'!C15*$F669</f>
        <v>-35826367.355547</v>
      </c>
      <c r="J669" s="39" t="n">
        <f aca="false">(('Business Case'!D11*$C669*'Business Case'!D12*$B669)-'Business Case'!D11*$C669*'Business Case'!D13*$D669-'Business Case'!D14*$E669)-MAX(0,(('Business Case'!D11*$C669*'Business Case'!D12*$B669)-'Business Case'!D11*$C669*'Business Case'!D13*$D669-'Business Case'!D14*$E669))*'Business Case'!$B$7-'Business Case'!$B$8*(('Business Case'!D11*$C669*'Business Case'!D12*$B669)-('Business Case'!C11*$C669*'Business Case'!C12*$B669))-'Business Case'!D15*$F669</f>
        <v>232434963.491708</v>
      </c>
      <c r="K669" s="39" t="n">
        <f aca="false">(('Business Case'!E11*$C669*'Business Case'!E12*$B669)-'Business Case'!E11*$C669*'Business Case'!E13*$D669-'Business Case'!E14*$E669)-MAX(0,(('Business Case'!E11*$C669*'Business Case'!E12*$B669)-'Business Case'!E11*$C669*'Business Case'!E13*$D669-'Business Case'!E14*$E669))*'Business Case'!$B$7-'Business Case'!$B$8*(('Business Case'!E11*$C669*'Business Case'!E12*$B669)-('Business Case'!D11*$C669*'Business Case'!D12*$B669))-'Business Case'!E15*$F669</f>
        <v>554957599.528411</v>
      </c>
      <c r="L669" s="39" t="n">
        <f aca="false">(('Business Case'!F11*$C669*'Business Case'!F12*$B669)-'Business Case'!F11*$C669*'Business Case'!F13*$D669-'Business Case'!F14*$E669)-MAX(0,(('Business Case'!F11*$C669*'Business Case'!F12*$B669)-'Business Case'!F11*$C669*'Business Case'!F13*$D669-'Business Case'!F14*$E669))*'Business Case'!$B$7-'Business Case'!$B$8*(('Business Case'!F11*$C669*'Business Case'!F12*$B669)-('Business Case'!E11*$C669*'Business Case'!E12*$B669))-'Business Case'!F15*$F669</f>
        <v>676245555.66435</v>
      </c>
      <c r="M669" s="39" t="n">
        <f aca="false">(('Business Case'!G11*$C669*'Business Case'!G12*$B669)-'Business Case'!G11*$C669*'Business Case'!G13*$D669-'Business Case'!G14*$E669)-MAX(0,(('Business Case'!G11*$C669*'Business Case'!G12*$B669)-'Business Case'!G11*$C669*'Business Case'!G13*$D669-'Business Case'!G14*$E669))*'Business Case'!$B$7-'Business Case'!$B$8*(('Business Case'!G11*$C669*'Business Case'!G12*$B669)-('Business Case'!F11*$C669*'Business Case'!F12*$B669))-'Business Case'!G15*$F669+'Business Case'!$B$8*('Business Case'!G11*$C669*'Business Case'!G12*$B669)</f>
        <v>851516874.525382</v>
      </c>
      <c r="N669" s="39" t="n">
        <f aca="false">IF(COUNT('Business Case'!B11:G11)=0,"",H669+NPV(G669,I669:M669))</f>
        <v>-587745020.907854</v>
      </c>
      <c r="P669" s="40" t="n">
        <f aca="true">RAND()</f>
        <v>0.590265177597758</v>
      </c>
      <c r="Q669" s="40" t="n">
        <f aca="true">RAND()</f>
        <v>0.228490045978908</v>
      </c>
      <c r="R669" s="40" t="n">
        <f aca="true">RAND()</f>
        <v>0.72808308173441</v>
      </c>
      <c r="S669" s="40" t="n">
        <f aca="true">RAND()</f>
        <v>0.752962887959303</v>
      </c>
      <c r="T669" s="40" t="n">
        <f aca="true">RAND()</f>
        <v>0.73653905497084</v>
      </c>
      <c r="U669" s="40" t="n">
        <f aca="true">RAND()</f>
        <v>0.172703346251402</v>
      </c>
    </row>
    <row r="670" customFormat="false" ht="15" hidden="false" customHeight="false" outlineLevel="0" collapsed="false">
      <c r="A670" s="36" t="n">
        <v>590</v>
      </c>
      <c r="B670" s="37" t="n">
        <f aca="false">1+IF($G$6=$E$6,$F$6,IF(P670&lt;($F$6-$E$6)/($G$6-$E$6),$E$6+SQRT(P670*($G$6-$E$6)*($F$6-$E$6)),$G$6-SQRT((1-P670)*($G$6-$E$6)*($G$6-$F$6))))</f>
        <v>0.970730516418228</v>
      </c>
      <c r="C670" s="37" t="n">
        <f aca="false">1+IF($G$7=$E$7,$F$7,IF(Q670&lt;($F$7-$E$7)/($G$7-$E$7),$E$7+SQRT(Q670*($G$7-$E$7)*($F$7-$E$7)),$G$7-SQRT((1-Q670)*($G$7-$E$7)*($G$7-$F$7))))</f>
        <v>0.91987156235663</v>
      </c>
      <c r="D670" s="37" t="n">
        <f aca="false">1+IF($G$8=$E$8,$F$8,IF(R670&lt;($F$8-$E$8)/($G$8-$E$8),$E$8+SQRT(R670*($G$8-$E$8)*($F$8-$E$8)),$G$8-SQRT((1-R670)*($G$8-$E$8)*($G$8-$F$8))))</f>
        <v>1.04848667156752</v>
      </c>
      <c r="E670" s="37" t="n">
        <f aca="false">1+IF($G$9=$E$9,$F$9,IF(S670&lt;($F$9-$E$9)/($G$9-$E$9),$E$9+SQRT(S670*($G$9-$E$9)*($F$9-$E$9)),$G$9-SQRT((1-S670)*($G$9-$E$9)*($G$9-$F$9))))</f>
        <v>1.09103111561534</v>
      </c>
      <c r="F670" s="37" t="n">
        <f aca="false">1+IF($G$10=$E$10,$F$10,IF(T670&lt;($F$10-$E$10)/($G$10-$E$10),$E$10+SQRT(T670*($G$10-$E$10)*($F$10-$E$10)),$G$10-SQRT((1-T670)*($G$10-$E$10)*($G$10-$F$10))))</f>
        <v>1.03393588945739</v>
      </c>
      <c r="G670" s="38" t="n">
        <f aca="false">IF($G$11=$E$11,$F$11,IF(U670&lt;($F$11-$E$11)/($G$11-$E$11),$E$11+SQRT(U670*($G$11-$E$11)*($F$11-$E$11)),$G$11-SQRT((1-U670)*($G$11-$E$11)*($G$11-$F$11))))</f>
        <v>0.103945021892116</v>
      </c>
      <c r="H670" s="39" t="n">
        <f aca="false">(('Business Case'!B11*$C670*'Business Case'!B12*$B670)-'Business Case'!B11*$C670*'Business Case'!B13*$D670-'Business Case'!B14*$E670)-MAX(0,(('Business Case'!B11*$C670*'Business Case'!B12*$B670)-'Business Case'!B11*$C670*'Business Case'!B13*$D670-'Business Case'!B14*$E670))*'Business Case'!$B$7-'Business Case'!$B$8*('Business Case'!B11*$C670*'Business Case'!B12*$B670)-'Business Case'!B15*$F670</f>
        <v>-2067871778.91478</v>
      </c>
      <c r="I670" s="39" t="n">
        <f aca="false">(('Business Case'!C11*$C670*'Business Case'!C12*$B670)-'Business Case'!C11*$C670*'Business Case'!C13*$D670-'Business Case'!C14*$E670)-MAX(0,(('Business Case'!C11*$C670*'Business Case'!C12*$B670)-'Business Case'!C11*$C670*'Business Case'!C13*$D670-'Business Case'!C14*$E670))*'Business Case'!$B$7-'Business Case'!$B$8*(('Business Case'!C11*$C670*'Business Case'!C12*$B670)-('Business Case'!B11*$C670*'Business Case'!B12*$B670))-'Business Case'!C15*$F670</f>
        <v>-67173451.8403811</v>
      </c>
      <c r="J670" s="39" t="n">
        <f aca="false">(('Business Case'!D11*$C670*'Business Case'!D12*$B670)-'Business Case'!D11*$C670*'Business Case'!D13*$D670-'Business Case'!D14*$E670)-MAX(0,(('Business Case'!D11*$C670*'Business Case'!D12*$B670)-'Business Case'!D11*$C670*'Business Case'!D13*$D670-'Business Case'!D14*$E670))*'Business Case'!$B$7-'Business Case'!$B$8*(('Business Case'!D11*$C670*'Business Case'!D12*$B670)-('Business Case'!C11*$C670*'Business Case'!C12*$B670))-'Business Case'!D15*$F670</f>
        <v>170481702.953771</v>
      </c>
      <c r="K670" s="39" t="n">
        <f aca="false">(('Business Case'!E11*$C670*'Business Case'!E12*$B670)-'Business Case'!E11*$C670*'Business Case'!E13*$D670-'Business Case'!E14*$E670)-MAX(0,(('Business Case'!E11*$C670*'Business Case'!E12*$B670)-'Business Case'!E11*$C670*'Business Case'!E13*$D670-'Business Case'!E14*$E670))*'Business Case'!$B$7-'Business Case'!$B$8*(('Business Case'!E11*$C670*'Business Case'!E12*$B670)-('Business Case'!D11*$C670*'Business Case'!D12*$B670))-'Business Case'!E15*$F670</f>
        <v>459833652.220792</v>
      </c>
      <c r="L670" s="39" t="n">
        <f aca="false">(('Business Case'!F11*$C670*'Business Case'!F12*$B670)-'Business Case'!F11*$C670*'Business Case'!F13*$D670-'Business Case'!F14*$E670)-MAX(0,(('Business Case'!F11*$C670*'Business Case'!F12*$B670)-'Business Case'!F11*$C670*'Business Case'!F13*$D670-'Business Case'!F14*$E670))*'Business Case'!$B$7-'Business Case'!$B$8*(('Business Case'!F11*$C670*'Business Case'!F12*$B670)-('Business Case'!E11*$C670*'Business Case'!E12*$B670))-'Business Case'!F15*$F670</f>
        <v>569912299.18437</v>
      </c>
      <c r="M670" s="39" t="n">
        <f aca="false">(('Business Case'!G11*$C670*'Business Case'!G12*$B670)-'Business Case'!G11*$C670*'Business Case'!G13*$D670-'Business Case'!G14*$E670)-MAX(0,(('Business Case'!G11*$C670*'Business Case'!G12*$B670)-'Business Case'!G11*$C670*'Business Case'!G13*$D670-'Business Case'!G14*$E670))*'Business Case'!$B$7-'Business Case'!$B$8*(('Business Case'!G11*$C670*'Business Case'!G12*$B670)-('Business Case'!F11*$C670*'Business Case'!F12*$B670))-'Business Case'!G15*$F670+'Business Case'!$B$8*('Business Case'!G11*$C670*'Business Case'!G12*$B670)</f>
        <v>739643740.361442</v>
      </c>
      <c r="N670" s="39" t="n">
        <f aca="false">IF(COUNT('Business Case'!B11:G11)=0,"",H670+NPV(G670,I670:M670))</f>
        <v>-812205898.878975</v>
      </c>
      <c r="P670" s="40" t="n">
        <f aca="true">RAND()</f>
        <v>0.268081801672932</v>
      </c>
      <c r="Q670" s="40" t="n">
        <f aca="true">RAND()</f>
        <v>0.205274163740279</v>
      </c>
      <c r="R670" s="40" t="n">
        <f aca="true">RAND()</f>
        <v>0.904510589529496</v>
      </c>
      <c r="S670" s="40" t="n">
        <f aca="true">RAND()</f>
        <v>0.994637274192974</v>
      </c>
      <c r="T670" s="40" t="n">
        <f aca="true">RAND()</f>
        <v>0.448454223793842</v>
      </c>
      <c r="U670" s="40" t="n">
        <f aca="true">RAND()</f>
        <v>0.570396129925622</v>
      </c>
    </row>
    <row r="671" customFormat="false" ht="15" hidden="false" customHeight="false" outlineLevel="0" collapsed="false">
      <c r="A671" s="36" t="n">
        <v>591</v>
      </c>
      <c r="B671" s="37" t="n">
        <f aca="false">1+IF($G$6=$E$6,$F$6,IF(P671&lt;($F$6-$E$6)/($G$6-$E$6),$E$6+SQRT(P671*($G$6-$E$6)*($F$6-$E$6)),$G$6-SQRT((1-P671)*($G$6-$E$6)*($G$6-$F$6))))</f>
        <v>0.963696591844362</v>
      </c>
      <c r="C671" s="37" t="n">
        <f aca="false">1+IF($G$7=$E$7,$F$7,IF(Q671&lt;($F$7-$E$7)/($G$7-$E$7),$E$7+SQRT(Q671*($G$7-$E$7)*($F$7-$E$7)),$G$7-SQRT((1-Q671)*($G$7-$E$7)*($G$7-$F$7))))</f>
        <v>1.06465927353919</v>
      </c>
      <c r="D671" s="37" t="n">
        <f aca="false">1+IF($G$8=$E$8,$F$8,IF(R671&lt;($F$8-$E$8)/($G$8-$E$8),$E$8+SQRT(R671*($G$8-$E$8)*($F$8-$E$8)),$G$8-SQRT((1-R671)*($G$8-$E$8)*($G$8-$F$8))))</f>
        <v>0.995392769655136</v>
      </c>
      <c r="E671" s="37" t="n">
        <f aca="false">1+IF($G$9=$E$9,$F$9,IF(S671&lt;($F$9-$E$9)/($G$9-$E$9),$E$9+SQRT(S671*($G$9-$E$9)*($F$9-$E$9)),$G$9-SQRT((1-S671)*($G$9-$E$9)*($G$9-$F$9))))</f>
        <v>1.03902615876339</v>
      </c>
      <c r="F671" s="37" t="n">
        <f aca="false">1+IF($G$10=$E$10,$F$10,IF(T671&lt;($F$10-$E$10)/($G$10-$E$10),$E$10+SQRT(T671*($G$10-$E$10)*($F$10-$E$10)),$G$10-SQRT((1-T671)*($G$10-$E$10)*($G$10-$F$10))))</f>
        <v>1.09211236051251</v>
      </c>
      <c r="G671" s="38" t="n">
        <f aca="false">IF($G$11=$E$11,$F$11,IF(U671&lt;($F$11-$E$11)/($G$11-$E$11),$E$11+SQRT(U671*($G$11-$E$11)*($F$11-$E$11)),$G$11-SQRT((1-U671)*($G$11-$E$11)*($G$11-$F$11))))</f>
        <v>0.100864729466266</v>
      </c>
      <c r="H671" s="39" t="n">
        <f aca="false">(('Business Case'!B11*$C671*'Business Case'!B12*$B671)-'Business Case'!B11*$C671*'Business Case'!B13*$D671-'Business Case'!B14*$E671)-MAX(0,(('Business Case'!B11*$C671*'Business Case'!B12*$B671)-'Business Case'!B11*$C671*'Business Case'!B13*$D671-'Business Case'!B14*$E671))*'Business Case'!$B$7-'Business Case'!$B$8*('Business Case'!B11*$C671*'Business Case'!B12*$B671)-'Business Case'!B15*$F671</f>
        <v>-2184224721.02502</v>
      </c>
      <c r="I671" s="39" t="n">
        <f aca="false">(('Business Case'!C11*$C671*'Business Case'!C12*$B671)-'Business Case'!C11*$C671*'Business Case'!C13*$D671-'Business Case'!C14*$E671)-MAX(0,(('Business Case'!C11*$C671*'Business Case'!C12*$B671)-'Business Case'!C11*$C671*'Business Case'!C13*$D671-'Business Case'!C14*$E671))*'Business Case'!$B$7-'Business Case'!$B$8*(('Business Case'!C11*$C671*'Business Case'!C12*$B671)-('Business Case'!B11*$C671*'Business Case'!B12*$B671))-'Business Case'!C15*$F671</f>
        <v>-12283532.9843248</v>
      </c>
      <c r="J671" s="39" t="n">
        <f aca="false">(('Business Case'!D11*$C671*'Business Case'!D12*$B671)-'Business Case'!D11*$C671*'Business Case'!D13*$D671-'Business Case'!D14*$E671)-MAX(0,(('Business Case'!D11*$C671*'Business Case'!D12*$B671)-'Business Case'!D11*$C671*'Business Case'!D13*$D671-'Business Case'!D14*$E671))*'Business Case'!$B$7-'Business Case'!$B$8*(('Business Case'!D11*$C671*'Business Case'!D12*$B671)-('Business Case'!C11*$C671*'Business Case'!C12*$B671))-'Business Case'!D15*$F671</f>
        <v>285581971.192644</v>
      </c>
      <c r="K671" s="39" t="n">
        <f aca="false">(('Business Case'!E11*$C671*'Business Case'!E12*$B671)-'Business Case'!E11*$C671*'Business Case'!E13*$D671-'Business Case'!E14*$E671)-MAX(0,(('Business Case'!E11*$C671*'Business Case'!E12*$B671)-'Business Case'!E11*$C671*'Business Case'!E13*$D671-'Business Case'!E14*$E671))*'Business Case'!$B$7-'Business Case'!$B$8*(('Business Case'!E11*$C671*'Business Case'!E12*$B671)-('Business Case'!D11*$C671*'Business Case'!D12*$B671))-'Business Case'!E15*$F671</f>
        <v>638053093.395239</v>
      </c>
      <c r="L671" s="39" t="n">
        <f aca="false">(('Business Case'!F11*$C671*'Business Case'!F12*$B671)-'Business Case'!F11*$C671*'Business Case'!F13*$D671-'Business Case'!F14*$E671)-MAX(0,(('Business Case'!F11*$C671*'Business Case'!F12*$B671)-'Business Case'!F11*$C671*'Business Case'!F13*$D671-'Business Case'!F14*$E671))*'Business Case'!$B$7-'Business Case'!$B$8*(('Business Case'!F11*$C671*'Business Case'!F12*$B671)-('Business Case'!E11*$C671*'Business Case'!E12*$B671))-'Business Case'!F15*$F671</f>
        <v>772800449.010155</v>
      </c>
      <c r="M671" s="39" t="n">
        <f aca="false">(('Business Case'!G11*$C671*'Business Case'!G12*$B671)-'Business Case'!G11*$C671*'Business Case'!G13*$D671-'Business Case'!G14*$E671)-MAX(0,(('Business Case'!G11*$C671*'Business Case'!G12*$B671)-'Business Case'!G11*$C671*'Business Case'!G13*$D671-'Business Case'!G14*$E671))*'Business Case'!$B$7-'Business Case'!$B$8*(('Business Case'!G11*$C671*'Business Case'!G12*$B671)-('Business Case'!F11*$C671*'Business Case'!F12*$B671))-'Business Case'!G15*$F671+'Business Case'!$B$8*('Business Case'!G11*$C671*'Business Case'!G12*$B671)</f>
        <v>967824147.234416</v>
      </c>
      <c r="N671" s="39" t="n">
        <f aca="false">IF(COUNT('Business Case'!B11:G11)=0,"",H671+NPV(G671,I671:M671))</f>
        <v>-356722556.857001</v>
      </c>
      <c r="P671" s="40" t="n">
        <f aca="true">RAND()</f>
        <v>0.198895014459665</v>
      </c>
      <c r="Q671" s="40" t="n">
        <f aca="true">RAND()</f>
        <v>0.861275436326509</v>
      </c>
      <c r="R671" s="40" t="n">
        <f aca="true">RAND()</f>
        <v>0.317000544148348</v>
      </c>
      <c r="S671" s="40" t="n">
        <f aca="true">RAND()</f>
        <v>0.752146045656817</v>
      </c>
      <c r="T671" s="40" t="n">
        <f aca="true">RAND()</f>
        <v>0.767205144916342</v>
      </c>
      <c r="U671" s="40" t="n">
        <f aca="true">RAND()</f>
        <v>0.389735702668035</v>
      </c>
    </row>
    <row r="672" customFormat="false" ht="15" hidden="false" customHeight="false" outlineLevel="0" collapsed="false">
      <c r="A672" s="36" t="n">
        <v>592</v>
      </c>
      <c r="B672" s="37" t="n">
        <f aca="false">1+IF($G$6=$E$6,$F$6,IF(P672&lt;($F$6-$E$6)/($G$6-$E$6),$E$6+SQRT(P672*($G$6-$E$6)*($F$6-$E$6)),$G$6-SQRT((1-P672)*($G$6-$E$6)*($G$6-$F$6))))</f>
        <v>0.970372807836783</v>
      </c>
      <c r="C672" s="37" t="n">
        <f aca="false">1+IF($G$7=$E$7,$F$7,IF(Q672&lt;($F$7-$E$7)/($G$7-$E$7),$E$7+SQRT(Q672*($G$7-$E$7)*($F$7-$E$7)),$G$7-SQRT((1-Q672)*($G$7-$E$7)*($G$7-$F$7))))</f>
        <v>1.09449747514066</v>
      </c>
      <c r="D672" s="37" t="n">
        <f aca="false">1+IF($G$8=$E$8,$F$8,IF(R672&lt;($F$8-$E$8)/($G$8-$E$8),$E$8+SQRT(R672*($G$8-$E$8)*($F$8-$E$8)),$G$8-SQRT((1-R672)*($G$8-$E$8)*($G$8-$F$8))))</f>
        <v>0.993500177180567</v>
      </c>
      <c r="E672" s="37" t="n">
        <f aca="false">1+IF($G$9=$E$9,$F$9,IF(S672&lt;($F$9-$E$9)/($G$9-$E$9),$E$9+SQRT(S672*($G$9-$E$9)*($F$9-$E$9)),$G$9-SQRT((1-S672)*($G$9-$E$9)*($G$9-$F$9))))</f>
        <v>0.98163224350474</v>
      </c>
      <c r="F672" s="37" t="n">
        <f aca="false">1+IF($G$10=$E$10,$F$10,IF(T672&lt;($F$10-$E$10)/($G$10-$E$10),$E$10+SQRT(T672*($G$10-$E$10)*($F$10-$E$10)),$G$10-SQRT((1-T672)*($G$10-$E$10)*($G$10-$F$10))))</f>
        <v>1.00154666383685</v>
      </c>
      <c r="G672" s="38" t="n">
        <f aca="false">IF($G$11=$E$11,$F$11,IF(U672&lt;($F$11-$E$11)/($G$11-$E$11),$E$11+SQRT(U672*($G$11-$E$11)*($F$11-$E$11)),$G$11-SQRT((1-U672)*($G$11-$E$11)*($G$11-$F$11))))</f>
        <v>0.0969633813410472</v>
      </c>
      <c r="H672" s="39" t="n">
        <f aca="false">(('Business Case'!B11*$C672*'Business Case'!B12*$B672)-'Business Case'!B11*$C672*'Business Case'!B13*$D672-'Business Case'!B14*$E672)-MAX(0,(('Business Case'!B11*$C672*'Business Case'!B12*$B672)-'Business Case'!B11*$C672*'Business Case'!B13*$D672-'Business Case'!B14*$E672))*'Business Case'!$B$7-'Business Case'!$B$8*('Business Case'!B11*$C672*'Business Case'!B12*$B672)-'Business Case'!B15*$F672</f>
        <v>-2003093327.67371</v>
      </c>
      <c r="I672" s="39" t="n">
        <f aca="false">(('Business Case'!C11*$C672*'Business Case'!C12*$B672)-'Business Case'!C11*$C672*'Business Case'!C13*$D672-'Business Case'!C14*$E672)-MAX(0,(('Business Case'!C11*$C672*'Business Case'!C12*$B672)-'Business Case'!C11*$C672*'Business Case'!C13*$D672-'Business Case'!C14*$E672))*'Business Case'!$B$7-'Business Case'!$B$8*(('Business Case'!C11*$C672*'Business Case'!C12*$B672)-('Business Case'!B11*$C672*'Business Case'!B12*$B672))-'Business Case'!C15*$F672</f>
        <v>18458441.7675147</v>
      </c>
      <c r="J672" s="39" t="n">
        <f aca="false">(('Business Case'!D11*$C672*'Business Case'!D12*$B672)-'Business Case'!D11*$C672*'Business Case'!D13*$D672-'Business Case'!D14*$E672)-MAX(0,(('Business Case'!D11*$C672*'Business Case'!D12*$B672)-'Business Case'!D11*$C672*'Business Case'!D13*$D672-'Business Case'!D14*$E672))*'Business Case'!$B$7-'Business Case'!$B$8*(('Business Case'!D11*$C672*'Business Case'!D12*$B672)-('Business Case'!C11*$C672*'Business Case'!C12*$B672))-'Business Case'!D15*$F672</f>
        <v>331717394.23336</v>
      </c>
      <c r="K672" s="39" t="n">
        <f aca="false">(('Business Case'!E11*$C672*'Business Case'!E12*$B672)-'Business Case'!E11*$C672*'Business Case'!E13*$D672-'Business Case'!E14*$E672)-MAX(0,(('Business Case'!E11*$C672*'Business Case'!E12*$B672)-'Business Case'!E11*$C672*'Business Case'!E13*$D672-'Business Case'!E14*$E672))*'Business Case'!$B$7-'Business Case'!$B$8*(('Business Case'!E11*$C672*'Business Case'!E12*$B672)-('Business Case'!D11*$C672*'Business Case'!D12*$B672))-'Business Case'!E15*$F672</f>
        <v>695053679.891049</v>
      </c>
      <c r="L672" s="39" t="n">
        <f aca="false">(('Business Case'!F11*$C672*'Business Case'!F12*$B672)-'Business Case'!F11*$C672*'Business Case'!F13*$D672-'Business Case'!F14*$E672)-MAX(0,(('Business Case'!F11*$C672*'Business Case'!F12*$B672)-'Business Case'!F11*$C672*'Business Case'!F13*$D672-'Business Case'!F14*$E672))*'Business Case'!$B$7-'Business Case'!$B$8*(('Business Case'!F11*$C672*'Business Case'!F12*$B672)-('Business Case'!E11*$C672*'Business Case'!E12*$B672))-'Business Case'!F15*$F672</f>
        <v>836178490.238512</v>
      </c>
      <c r="M672" s="39" t="n">
        <f aca="false">(('Business Case'!G11*$C672*'Business Case'!G12*$B672)-'Business Case'!G11*$C672*'Business Case'!G13*$D672-'Business Case'!G14*$E672)-MAX(0,(('Business Case'!G11*$C672*'Business Case'!G12*$B672)-'Business Case'!G11*$C672*'Business Case'!G13*$D672-'Business Case'!G14*$E672))*'Business Case'!$B$7-'Business Case'!$B$8*(('Business Case'!G11*$C672*'Business Case'!G12*$B672)-('Business Case'!F11*$C672*'Business Case'!F12*$B672))-'Business Case'!G15*$F672+'Business Case'!$B$8*('Business Case'!G11*$C672*'Business Case'!G12*$B672)</f>
        <v>1038056867.62884</v>
      </c>
      <c r="N672" s="39" t="n">
        <f aca="false">IF(COUNT('Business Case'!B11:G11)=0,"",H672+NPV(G672,I672:M672))</f>
        <v>46946669.1221778</v>
      </c>
      <c r="P672" s="40" t="n">
        <f aca="true">RAND()</f>
        <v>0.264314559308481</v>
      </c>
      <c r="Q672" s="40" t="n">
        <f aca="true">RAND()</f>
        <v>0.941323233033122</v>
      </c>
      <c r="R672" s="40" t="n">
        <f aca="true">RAND()</f>
        <v>0.291117756113954</v>
      </c>
      <c r="S672" s="40" t="n">
        <f aca="true">RAND()</f>
        <v>0.13341317721909</v>
      </c>
      <c r="T672" s="40" t="n">
        <f aca="true">RAND()</f>
        <v>0.212325467314351</v>
      </c>
      <c r="U672" s="40" t="n">
        <f aca="true">RAND()</f>
        <v>0.161628932336149</v>
      </c>
    </row>
    <row r="673" customFormat="false" ht="15" hidden="false" customHeight="false" outlineLevel="0" collapsed="false">
      <c r="A673" s="36" t="n">
        <v>593</v>
      </c>
      <c r="B673" s="37" t="n">
        <f aca="false">1+IF($G$6=$E$6,$F$6,IF(P673&lt;($F$6-$E$6)/($G$6-$E$6),$E$6+SQRT(P673*($G$6-$E$6)*($F$6-$E$6)),$G$6-SQRT((1-P673)*($G$6-$E$6)*($G$6-$F$6))))</f>
        <v>0.960597071410261</v>
      </c>
      <c r="C673" s="37" t="n">
        <f aca="false">1+IF($G$7=$E$7,$F$7,IF(Q673&lt;($F$7-$E$7)/($G$7-$E$7),$E$7+SQRT(Q673*($G$7-$E$7)*($F$7-$E$7)),$G$7-SQRT((1-Q673)*($G$7-$E$7)*($G$7-$F$7))))</f>
        <v>0.856811561433656</v>
      </c>
      <c r="D673" s="37" t="n">
        <f aca="false">1+IF($G$8=$E$8,$F$8,IF(R673&lt;($F$8-$E$8)/($G$8-$E$8),$E$8+SQRT(R673*($G$8-$E$8)*($F$8-$E$8)),$G$8-SQRT((1-R673)*($G$8-$E$8)*($G$8-$F$8))))</f>
        <v>0.979926982894255</v>
      </c>
      <c r="E673" s="37" t="n">
        <f aca="false">1+IF($G$9=$E$9,$F$9,IF(S673&lt;($F$9-$E$9)/($G$9-$E$9),$E$9+SQRT(S673*($G$9-$E$9)*($F$9-$E$9)),$G$9-SQRT((1-S673)*($G$9-$E$9)*($G$9-$F$9))))</f>
        <v>1.00838608118549</v>
      </c>
      <c r="F673" s="37" t="n">
        <f aca="false">1+IF($G$10=$E$10,$F$10,IF(T673&lt;($F$10-$E$10)/($G$10-$E$10),$E$10+SQRT(T673*($G$10-$E$10)*($F$10-$E$10)),$G$10-SQRT((1-T673)*($G$10-$E$10)*($G$10-$F$10))))</f>
        <v>1.181472086489</v>
      </c>
      <c r="G673" s="38" t="n">
        <f aca="false">IF($G$11=$E$11,$F$11,IF(U673&lt;($F$11-$E$11)/($G$11-$E$11),$E$11+SQRT(U673*($G$11-$E$11)*($F$11-$E$11)),$G$11-SQRT((1-U673)*($G$11-$E$11)*($G$11-$F$11))))</f>
        <v>0.100532778800628</v>
      </c>
      <c r="H673" s="39" t="n">
        <f aca="false">(('Business Case'!B11*$C673*'Business Case'!B12*$B673)-'Business Case'!B11*$C673*'Business Case'!B13*$D673-'Business Case'!B14*$E673)-MAX(0,(('Business Case'!B11*$C673*'Business Case'!B12*$B673)-'Business Case'!B11*$C673*'Business Case'!B13*$D673-'Business Case'!B14*$E673))*'Business Case'!$B$7-'Business Case'!$B$8*('Business Case'!B11*$C673*'Business Case'!B12*$B673)-'Business Case'!B15*$F673</f>
        <v>-2362944172.97801</v>
      </c>
      <c r="I673" s="39" t="n">
        <f aca="false">(('Business Case'!C11*$C673*'Business Case'!C12*$B673)-'Business Case'!C11*$C673*'Business Case'!C13*$D673-'Business Case'!C14*$E673)-MAX(0,(('Business Case'!C11*$C673*'Business Case'!C12*$B673)-'Business Case'!C11*$C673*'Business Case'!C13*$D673-'Business Case'!C14*$E673))*'Business Case'!$B$7-'Business Case'!$B$8*(('Business Case'!C11*$C673*'Business Case'!C12*$B673)-('Business Case'!B11*$C673*'Business Case'!B12*$B673))-'Business Case'!C15*$F673</f>
        <v>-59883460.9859827</v>
      </c>
      <c r="J673" s="39" t="n">
        <f aca="false">(('Business Case'!D11*$C673*'Business Case'!D12*$B673)-'Business Case'!D11*$C673*'Business Case'!D13*$D673-'Business Case'!D14*$E673)-MAX(0,(('Business Case'!D11*$C673*'Business Case'!D12*$B673)-'Business Case'!D11*$C673*'Business Case'!D13*$D673-'Business Case'!D14*$E673))*'Business Case'!$B$7-'Business Case'!$B$8*(('Business Case'!D11*$C673*'Business Case'!D12*$B673)-('Business Case'!C11*$C673*'Business Case'!C12*$B673))-'Business Case'!D15*$F673</f>
        <v>184439734.499754</v>
      </c>
      <c r="K673" s="39" t="n">
        <f aca="false">(('Business Case'!E11*$C673*'Business Case'!E12*$B673)-'Business Case'!E11*$C673*'Business Case'!E13*$D673-'Business Case'!E14*$E673)-MAX(0,(('Business Case'!E11*$C673*'Business Case'!E12*$B673)-'Business Case'!E11*$C673*'Business Case'!E13*$D673-'Business Case'!E14*$E673))*'Business Case'!$B$7-'Business Case'!$B$8*(('Business Case'!E11*$C673*'Business Case'!E12*$B673)-('Business Case'!D11*$C673*'Business Case'!D12*$B673))-'Business Case'!E15*$F673</f>
        <v>487836534.30994</v>
      </c>
      <c r="L673" s="39" t="n">
        <f aca="false">(('Business Case'!F11*$C673*'Business Case'!F12*$B673)-'Business Case'!F11*$C673*'Business Case'!F13*$D673-'Business Case'!F14*$E673)-MAX(0,(('Business Case'!F11*$C673*'Business Case'!F12*$B673)-'Business Case'!F11*$C673*'Business Case'!F13*$D673-'Business Case'!F14*$E673))*'Business Case'!$B$7-'Business Case'!$B$8*(('Business Case'!F11*$C673*'Business Case'!F12*$B673)-('Business Case'!E11*$C673*'Business Case'!E12*$B673))-'Business Case'!F15*$F673</f>
        <v>597722230.857347</v>
      </c>
      <c r="M673" s="39" t="n">
        <f aca="false">(('Business Case'!G11*$C673*'Business Case'!G12*$B673)-'Business Case'!G11*$C673*'Business Case'!G13*$D673-'Business Case'!G14*$E673)-MAX(0,(('Business Case'!G11*$C673*'Business Case'!G12*$B673)-'Business Case'!G11*$C673*'Business Case'!G13*$D673-'Business Case'!G14*$E673))*'Business Case'!$B$7-'Business Case'!$B$8*(('Business Case'!G11*$C673*'Business Case'!G12*$B673)-('Business Case'!F11*$C673*'Business Case'!F12*$B673))-'Business Case'!G15*$F673+'Business Case'!$B$8*('Business Case'!G11*$C673*'Business Case'!G12*$B673)</f>
        <v>754167703.477569</v>
      </c>
      <c r="N673" s="39" t="n">
        <f aca="false">IF(COUNT('Business Case'!B11:G11)=0,"",H673+NPV(G673,I673:M673))</f>
        <v>-1024479827.65292</v>
      </c>
      <c r="P673" s="40" t="n">
        <f aca="true">RAND()</f>
        <v>0.171679396571853</v>
      </c>
      <c r="Q673" s="40" t="n">
        <f aca="true">RAND()</f>
        <v>0.0461079073218573</v>
      </c>
      <c r="R673" s="40" t="n">
        <f aca="true">RAND()</f>
        <v>0.13778835463893</v>
      </c>
      <c r="S673" s="40" t="n">
        <f aca="true">RAND()</f>
        <v>0.440459325296565</v>
      </c>
      <c r="T673" s="40" t="n">
        <f aca="true">RAND()</f>
        <v>0.99313432841858</v>
      </c>
      <c r="U673" s="40" t="n">
        <f aca="true">RAND()</f>
        <v>0.3683788312912</v>
      </c>
    </row>
    <row r="674" customFormat="false" ht="15" hidden="false" customHeight="false" outlineLevel="0" collapsed="false">
      <c r="A674" s="36" t="n">
        <v>594</v>
      </c>
      <c r="B674" s="37" t="n">
        <f aca="false">1+IF($G$6=$E$6,$F$6,IF(P674&lt;($F$6-$E$6)/($G$6-$E$6),$E$6+SQRT(P674*($G$6-$E$6)*($F$6-$E$6)),$G$6-SQRT((1-P674)*($G$6-$E$6)*($G$6-$F$6))))</f>
        <v>1.02057477521444</v>
      </c>
      <c r="C674" s="37" t="n">
        <f aca="false">1+IF($G$7=$E$7,$F$7,IF(Q674&lt;($F$7-$E$7)/($G$7-$E$7),$E$7+SQRT(Q674*($G$7-$E$7)*($F$7-$E$7)),$G$7-SQRT((1-Q674)*($G$7-$E$7)*($G$7-$F$7))))</f>
        <v>1.05832339310039</v>
      </c>
      <c r="D674" s="37" t="n">
        <f aca="false">1+IF($G$8=$E$8,$F$8,IF(R674&lt;($F$8-$E$8)/($G$8-$E$8),$E$8+SQRT(R674*($G$8-$E$8)*($F$8-$E$8)),$G$8-SQRT((1-R674)*($G$8-$E$8)*($G$8-$F$8))))</f>
        <v>1.00125887204088</v>
      </c>
      <c r="E674" s="37" t="n">
        <f aca="false">1+IF($G$9=$E$9,$F$9,IF(S674&lt;($F$9-$E$9)/($G$9-$E$9),$E$9+SQRT(S674*($G$9-$E$9)*($F$9-$E$9)),$G$9-SQRT((1-S674)*($G$9-$E$9)*($G$9-$F$9))))</f>
        <v>0.99614551643478</v>
      </c>
      <c r="F674" s="37" t="n">
        <f aca="false">1+IF($G$10=$E$10,$F$10,IF(T674&lt;($F$10-$E$10)/($G$10-$E$10),$E$10+SQRT(T674*($G$10-$E$10)*($F$10-$E$10)),$G$10-SQRT((1-T674)*($G$10-$E$10)*($G$10-$F$10))))</f>
        <v>1.07578091334221</v>
      </c>
      <c r="G674" s="38" t="n">
        <f aca="false">IF($G$11=$E$11,$F$11,IF(U674&lt;($F$11-$E$11)/($G$11-$E$11),$E$11+SQRT(U674*($G$11-$E$11)*($F$11-$E$11)),$G$11-SQRT((1-U674)*($G$11-$E$11)*($G$11-$F$11))))</f>
        <v>0.110153216648573</v>
      </c>
      <c r="H674" s="39" t="n">
        <f aca="false">(('Business Case'!B11*$C674*'Business Case'!B12*$B674)-'Business Case'!B11*$C674*'Business Case'!B13*$D674-'Business Case'!B14*$E674)-MAX(0,(('Business Case'!B11*$C674*'Business Case'!B12*$B674)-'Business Case'!B11*$C674*'Business Case'!B13*$D674-'Business Case'!B14*$E674))*'Business Case'!$B$7-'Business Case'!$B$8*('Business Case'!B11*$C674*'Business Case'!B12*$B674)-'Business Case'!B15*$F674</f>
        <v>-2151561826.68441</v>
      </c>
      <c r="I674" s="39" t="n">
        <f aca="false">(('Business Case'!C11*$C674*'Business Case'!C12*$B674)-'Business Case'!C11*$C674*'Business Case'!C13*$D674-'Business Case'!C14*$E674)-MAX(0,(('Business Case'!C11*$C674*'Business Case'!C12*$B674)-'Business Case'!C11*$C674*'Business Case'!C13*$D674-'Business Case'!C14*$E674))*'Business Case'!$B$7-'Business Case'!$B$8*(('Business Case'!C11*$C674*'Business Case'!C12*$B674)-('Business Case'!B11*$C674*'Business Case'!B12*$B674))-'Business Case'!C15*$F674</f>
        <v>36996947.7660508</v>
      </c>
      <c r="J674" s="39" t="n">
        <f aca="false">(('Business Case'!D11*$C674*'Business Case'!D12*$B674)-'Business Case'!D11*$C674*'Business Case'!D13*$D674-'Business Case'!D14*$E674)-MAX(0,(('Business Case'!D11*$C674*'Business Case'!D12*$B674)-'Business Case'!D11*$C674*'Business Case'!D13*$D674-'Business Case'!D14*$E674))*'Business Case'!$B$7-'Business Case'!$B$8*(('Business Case'!D11*$C674*'Business Case'!D12*$B674)-('Business Case'!C11*$C674*'Business Case'!C12*$B674))-'Business Case'!D15*$F674</f>
        <v>379216167.866821</v>
      </c>
      <c r="K674" s="39" t="n">
        <f aca="false">(('Business Case'!E11*$C674*'Business Case'!E12*$B674)-'Business Case'!E11*$C674*'Business Case'!E13*$D674-'Business Case'!E14*$E674)-MAX(0,(('Business Case'!E11*$C674*'Business Case'!E12*$B674)-'Business Case'!E11*$C674*'Business Case'!E13*$D674-'Business Case'!E14*$E674))*'Business Case'!$B$7-'Business Case'!$B$8*(('Business Case'!E11*$C674*'Business Case'!E12*$B674)-('Business Case'!D11*$C674*'Business Case'!D12*$B674))-'Business Case'!E15*$F674</f>
        <v>775224433.634701</v>
      </c>
      <c r="L674" s="39" t="n">
        <f aca="false">(('Business Case'!F11*$C674*'Business Case'!F12*$B674)-'Business Case'!F11*$C674*'Business Case'!F13*$D674-'Business Case'!F14*$E674)-MAX(0,(('Business Case'!F11*$C674*'Business Case'!F12*$B674)-'Business Case'!F11*$C674*'Business Case'!F13*$D674-'Business Case'!F14*$E674))*'Business Case'!$B$7-'Business Case'!$B$8*(('Business Case'!F11*$C674*'Business Case'!F12*$B674)-('Business Case'!E11*$C674*'Business Case'!E12*$B674))-'Business Case'!F15*$F674</f>
        <v>926625699.377272</v>
      </c>
      <c r="M674" s="39" t="n">
        <f aca="false">(('Business Case'!G11*$C674*'Business Case'!G12*$B674)-'Business Case'!G11*$C674*'Business Case'!G13*$D674-'Business Case'!G14*$E674)-MAX(0,(('Business Case'!G11*$C674*'Business Case'!G12*$B674)-'Business Case'!G11*$C674*'Business Case'!G13*$D674-'Business Case'!G14*$E674))*'Business Case'!$B$7-'Business Case'!$B$8*(('Business Case'!G11*$C674*'Business Case'!G12*$B674)-('Business Case'!F11*$C674*'Business Case'!F12*$B674))-'Business Case'!G15*$F674+'Business Case'!$B$8*('Business Case'!G11*$C674*'Business Case'!G12*$B674)</f>
        <v>1131930757.44334</v>
      </c>
      <c r="N674" s="39" t="n">
        <f aca="false">IF(COUNT('Business Case'!B11:G11)=0,"",H674+NPV(G674,I674:M674))</f>
        <v>37404851.7684798</v>
      </c>
      <c r="P674" s="40" t="n">
        <f aca="true">RAND()</f>
        <v>0.921387633756329</v>
      </c>
      <c r="Q674" s="40" t="n">
        <f aca="true">RAND()</f>
        <v>0.839912376140447</v>
      </c>
      <c r="R674" s="40" t="n">
        <f aca="true">RAND()</f>
        <v>0.403830266127436</v>
      </c>
      <c r="S674" s="40" t="n">
        <f aca="true">RAND()</f>
        <v>0.283921158271004</v>
      </c>
      <c r="T674" s="40" t="n">
        <f aca="true">RAND()</f>
        <v>0.691392370198074</v>
      </c>
      <c r="U674" s="40" t="n">
        <f aca="true">RAND()</f>
        <v>0.838401429383428</v>
      </c>
    </row>
    <row r="675" customFormat="false" ht="15" hidden="false" customHeight="false" outlineLevel="0" collapsed="false">
      <c r="A675" s="36" t="n">
        <v>595</v>
      </c>
      <c r="B675" s="37" t="n">
        <f aca="false">1+IF($G$6=$E$6,$F$6,IF(P675&lt;($F$6-$E$6)/($G$6-$E$6),$E$6+SQRT(P675*($G$6-$E$6)*($F$6-$E$6)),$G$6-SQRT((1-P675)*($G$6-$E$6)*($G$6-$F$6))))</f>
        <v>1.00618836119177</v>
      </c>
      <c r="C675" s="37" t="n">
        <f aca="false">1+IF($G$7=$E$7,$F$7,IF(Q675&lt;($F$7-$E$7)/($G$7-$E$7),$E$7+SQRT(Q675*($G$7-$E$7)*($F$7-$E$7)),$G$7-SQRT((1-Q675)*($G$7-$E$7)*($G$7-$F$7))))</f>
        <v>0.990576212202691</v>
      </c>
      <c r="D675" s="37" t="n">
        <f aca="false">1+IF($G$8=$E$8,$F$8,IF(R675&lt;($F$8-$E$8)/($G$8-$E$8),$E$8+SQRT(R675*($G$8-$E$8)*($F$8-$E$8)),$G$8-SQRT((1-R675)*($G$8-$E$8)*($G$8-$F$8))))</f>
        <v>1.05720930190459</v>
      </c>
      <c r="E675" s="37" t="n">
        <f aca="false">1+IF($G$9=$E$9,$F$9,IF(S675&lt;($F$9-$E$9)/($G$9-$E$9),$E$9+SQRT(S675*($G$9-$E$9)*($F$9-$E$9)),$G$9-SQRT((1-S675)*($G$9-$E$9)*($G$9-$F$9))))</f>
        <v>0.997172987346158</v>
      </c>
      <c r="F675" s="37" t="n">
        <f aca="false">1+IF($G$10=$E$10,$F$10,IF(T675&lt;($F$10-$E$10)/($G$10-$E$10),$E$10+SQRT(T675*($G$10-$E$10)*($F$10-$E$10)),$G$10-SQRT((1-T675)*($G$10-$E$10)*($G$10-$F$10))))</f>
        <v>1.01275287279093</v>
      </c>
      <c r="G675" s="38" t="n">
        <f aca="false">IF($G$11=$E$11,$F$11,IF(U675&lt;($F$11-$E$11)/($G$11-$E$11),$E$11+SQRT(U675*($G$11-$E$11)*($F$11-$E$11)),$G$11-SQRT((1-U675)*($G$11-$E$11)*($G$11-$F$11))))</f>
        <v>0.0983184236412666</v>
      </c>
      <c r="H675" s="39" t="n">
        <f aca="false">(('Business Case'!B11*$C675*'Business Case'!B12*$B675)-'Business Case'!B11*$C675*'Business Case'!B13*$D675-'Business Case'!B14*$E675)-MAX(0,(('Business Case'!B11*$C675*'Business Case'!B12*$B675)-'Business Case'!B11*$C675*'Business Case'!B13*$D675-'Business Case'!B14*$E675))*'Business Case'!$B$7-'Business Case'!$B$8*('Business Case'!B11*$C675*'Business Case'!B12*$B675)-'Business Case'!B15*$F675</f>
        <v>-2025505745.58187</v>
      </c>
      <c r="I675" s="39" t="n">
        <f aca="false">(('Business Case'!C11*$C675*'Business Case'!C12*$B675)-'Business Case'!C11*$C675*'Business Case'!C13*$D675-'Business Case'!C14*$E675)-MAX(0,(('Business Case'!C11*$C675*'Business Case'!C12*$B675)-'Business Case'!C11*$C675*'Business Case'!C13*$D675-'Business Case'!C14*$E675))*'Business Case'!$B$7-'Business Case'!$B$8*(('Business Case'!C11*$C675*'Business Case'!C12*$B675)-('Business Case'!B11*$C675*'Business Case'!B12*$B675))-'Business Case'!C15*$F675</f>
        <v>-14474722.0011459</v>
      </c>
      <c r="J675" s="39" t="n">
        <f aca="false">(('Business Case'!D11*$C675*'Business Case'!D12*$B675)-'Business Case'!D11*$C675*'Business Case'!D13*$D675-'Business Case'!D14*$E675)-MAX(0,(('Business Case'!D11*$C675*'Business Case'!D12*$B675)-'Business Case'!D11*$C675*'Business Case'!D13*$D675-'Business Case'!D14*$E675))*'Business Case'!$B$7-'Business Case'!$B$8*(('Business Case'!D11*$C675*'Business Case'!D12*$B675)-('Business Case'!C11*$C675*'Business Case'!C12*$B675))-'Business Case'!D15*$F675</f>
        <v>265793094.367303</v>
      </c>
      <c r="K675" s="39" t="n">
        <f aca="false">(('Business Case'!E11*$C675*'Business Case'!E12*$B675)-'Business Case'!E11*$C675*'Business Case'!E13*$D675-'Business Case'!E14*$E675)-MAX(0,(('Business Case'!E11*$C675*'Business Case'!E12*$B675)-'Business Case'!E11*$C675*'Business Case'!E13*$D675-'Business Case'!E14*$E675))*'Business Case'!$B$7-'Business Case'!$B$8*(('Business Case'!E11*$C675*'Business Case'!E12*$B675)-('Business Case'!D11*$C675*'Business Case'!D12*$B675))-'Business Case'!E15*$F675</f>
        <v>596698554.375298</v>
      </c>
      <c r="L675" s="39" t="n">
        <f aca="false">(('Business Case'!F11*$C675*'Business Case'!F12*$B675)-'Business Case'!F11*$C675*'Business Case'!F13*$D675-'Business Case'!F14*$E675)-MAX(0,(('Business Case'!F11*$C675*'Business Case'!F12*$B675)-'Business Case'!F11*$C675*'Business Case'!F13*$D675-'Business Case'!F14*$E675))*'Business Case'!$B$7-'Business Case'!$B$8*(('Business Case'!F11*$C675*'Business Case'!F12*$B675)-('Business Case'!E11*$C675*'Business Case'!E12*$B675))-'Business Case'!F15*$F675</f>
        <v>724567328.024699</v>
      </c>
      <c r="M675" s="39" t="n">
        <f aca="false">(('Business Case'!G11*$C675*'Business Case'!G12*$B675)-'Business Case'!G11*$C675*'Business Case'!G13*$D675-'Business Case'!G14*$E675)-MAX(0,(('Business Case'!G11*$C675*'Business Case'!G12*$B675)-'Business Case'!G11*$C675*'Business Case'!G13*$D675-'Business Case'!G14*$E675))*'Business Case'!$B$7-'Business Case'!$B$8*(('Business Case'!G11*$C675*'Business Case'!G12*$B675)-('Business Case'!F11*$C675*'Business Case'!F12*$B675))-'Business Case'!G15*$F675+'Business Case'!$B$8*('Business Case'!G11*$C675*'Business Case'!G12*$B675)</f>
        <v>914021253.087584</v>
      </c>
      <c r="N675" s="39" t="n">
        <f aca="false">IF(COUNT('Business Case'!B11:G11)=0,"",H675+NPV(G675,I675:M675))</f>
        <v>-298156898.835314</v>
      </c>
      <c r="P675" s="40" t="n">
        <f aca="true">RAND()</f>
        <v>0.761827725229543</v>
      </c>
      <c r="Q675" s="40" t="n">
        <f aca="true">RAND()</f>
        <v>0.518847037964644</v>
      </c>
      <c r="R675" s="40" t="n">
        <f aca="true">RAND()</f>
        <v>0.950056161569593</v>
      </c>
      <c r="S675" s="40" t="n">
        <f aca="true">RAND()</f>
        <v>0.296705431354774</v>
      </c>
      <c r="T675" s="40" t="n">
        <f aca="true">RAND()</f>
        <v>0.298770267039027</v>
      </c>
      <c r="U675" s="40" t="n">
        <f aca="true">RAND()</f>
        <v>0.230653906251944</v>
      </c>
    </row>
    <row r="676" customFormat="false" ht="15" hidden="false" customHeight="false" outlineLevel="0" collapsed="false">
      <c r="A676" s="36" t="n">
        <v>596</v>
      </c>
      <c r="B676" s="37" t="n">
        <f aca="false">1+IF($G$6=$E$6,$F$6,IF(P676&lt;($F$6-$E$6)/($G$6-$E$6),$E$6+SQRT(P676*($G$6-$E$6)*($F$6-$E$6)),$G$6-SQRT((1-P676)*($G$6-$E$6)*($G$6-$F$6))))</f>
        <v>1.03018230749207</v>
      </c>
      <c r="C676" s="37" t="n">
        <f aca="false">1+IF($G$7=$E$7,$F$7,IF(Q676&lt;($F$7-$E$7)/($G$7-$E$7),$E$7+SQRT(Q676*($G$7-$E$7)*($F$7-$E$7)),$G$7-SQRT((1-Q676)*($G$7-$E$7)*($G$7-$F$7))))</f>
        <v>0.984896550554626</v>
      </c>
      <c r="D676" s="37" t="n">
        <f aca="false">1+IF($G$8=$E$8,$F$8,IF(R676&lt;($F$8-$E$8)/($G$8-$E$8),$E$8+SQRT(R676*($G$8-$E$8)*($F$8-$E$8)),$G$8-SQRT((1-R676)*($G$8-$E$8)*($G$8-$F$8))))</f>
        <v>1.05848272208062</v>
      </c>
      <c r="E676" s="37" t="n">
        <f aca="false">1+IF($G$9=$E$9,$F$9,IF(S676&lt;($F$9-$E$9)/($G$9-$E$9),$E$9+SQRT(S676*($G$9-$E$9)*($F$9-$E$9)),$G$9-SQRT((1-S676)*($G$9-$E$9)*($G$9-$F$9))))</f>
        <v>1.03056345272895</v>
      </c>
      <c r="F676" s="37" t="n">
        <f aca="false">1+IF($G$10=$E$10,$F$10,IF(T676&lt;($F$10-$E$10)/($G$10-$E$10),$E$10+SQRT(T676*($G$10-$E$10)*($F$10-$E$10)),$G$10-SQRT((1-T676)*($G$10-$E$10)*($G$10-$F$10))))</f>
        <v>1.0135343630361</v>
      </c>
      <c r="G676" s="38" t="n">
        <f aca="false">IF($G$11=$E$11,$F$11,IF(U676&lt;($F$11-$E$11)/($G$11-$E$11),$E$11+SQRT(U676*($G$11-$E$11)*($F$11-$E$11)),$G$11-SQRT((1-U676)*($G$11-$E$11)*($G$11-$F$11))))</f>
        <v>0.107005430011907</v>
      </c>
      <c r="H676" s="39" t="n">
        <f aca="false">(('Business Case'!B11*$C676*'Business Case'!B12*$B676)-'Business Case'!B11*$C676*'Business Case'!B13*$D676-'Business Case'!B14*$E676)-MAX(0,(('Business Case'!B11*$C676*'Business Case'!B12*$B676)-'Business Case'!B11*$C676*'Business Case'!B13*$D676-'Business Case'!B14*$E676))*'Business Case'!$B$7-'Business Case'!$B$8*('Business Case'!B11*$C676*'Business Case'!B12*$B676)-'Business Case'!B15*$F676</f>
        <v>-2027068726.0722</v>
      </c>
      <c r="I676" s="39" t="n">
        <f aca="false">(('Business Case'!C11*$C676*'Business Case'!C12*$B676)-'Business Case'!C11*$C676*'Business Case'!C13*$D676-'Business Case'!C14*$E676)-MAX(0,(('Business Case'!C11*$C676*'Business Case'!C12*$B676)-'Business Case'!C11*$C676*'Business Case'!C13*$D676-'Business Case'!C14*$E676))*'Business Case'!$B$7-'Business Case'!$B$8*(('Business Case'!C11*$C676*'Business Case'!C12*$B676)-('Business Case'!B11*$C676*'Business Case'!B12*$B676))-'Business Case'!C15*$F676</f>
        <v>-3122867.91083342</v>
      </c>
      <c r="J676" s="39" t="n">
        <f aca="false">(('Business Case'!D11*$C676*'Business Case'!D12*$B676)-'Business Case'!D11*$C676*'Business Case'!D13*$D676-'Business Case'!D14*$E676)-MAX(0,(('Business Case'!D11*$C676*'Business Case'!D12*$B676)-'Business Case'!D11*$C676*'Business Case'!D13*$D676-'Business Case'!D14*$E676))*'Business Case'!$B$7-'Business Case'!$B$8*(('Business Case'!D11*$C676*'Business Case'!D12*$B676)-('Business Case'!C11*$C676*'Business Case'!C12*$B676))-'Business Case'!D15*$F676</f>
        <v>294251879.836576</v>
      </c>
      <c r="K676" s="39" t="n">
        <f aca="false">(('Business Case'!E11*$C676*'Business Case'!E12*$B676)-'Business Case'!E11*$C676*'Business Case'!E13*$D676-'Business Case'!E14*$E676)-MAX(0,(('Business Case'!E11*$C676*'Business Case'!E12*$B676)-'Business Case'!E11*$C676*'Business Case'!E13*$D676-'Business Case'!E14*$E676))*'Business Case'!$B$7-'Business Case'!$B$8*(('Business Case'!E11*$C676*'Business Case'!E12*$B676)-('Business Case'!D11*$C676*'Business Case'!D12*$B676))-'Business Case'!E15*$F676</f>
        <v>642303345.73579</v>
      </c>
      <c r="L676" s="39" t="n">
        <f aca="false">(('Business Case'!F11*$C676*'Business Case'!F12*$B676)-'Business Case'!F11*$C676*'Business Case'!F13*$D676-'Business Case'!F14*$E676)-MAX(0,(('Business Case'!F11*$C676*'Business Case'!F12*$B676)-'Business Case'!F11*$C676*'Business Case'!F13*$D676-'Business Case'!F14*$E676))*'Business Case'!$B$7-'Business Case'!$B$8*(('Business Case'!F11*$C676*'Business Case'!F12*$B676)-('Business Case'!E11*$C676*'Business Case'!E12*$B676))-'Business Case'!F15*$F676</f>
        <v>776493632.56931</v>
      </c>
      <c r="M676" s="39" t="n">
        <f aca="false">(('Business Case'!G11*$C676*'Business Case'!G12*$B676)-'Business Case'!G11*$C676*'Business Case'!G13*$D676-'Business Case'!G14*$E676)-MAX(0,(('Business Case'!G11*$C676*'Business Case'!G12*$B676)-'Business Case'!G11*$C676*'Business Case'!G13*$D676-'Business Case'!G14*$E676))*'Business Case'!$B$7-'Business Case'!$B$8*(('Business Case'!G11*$C676*'Business Case'!G12*$B676)-('Business Case'!F11*$C676*'Business Case'!F12*$B676))-'Business Case'!G15*$F676+'Business Case'!$B$8*('Business Case'!G11*$C676*'Business Case'!G12*$B676)</f>
        <v>969353172.616752</v>
      </c>
      <c r="N676" s="39" t="n">
        <f aca="false">IF(COUNT('Business Case'!B11:G11)=0,"",H676+NPV(G676,I676:M676))</f>
        <v>-216161698.694412</v>
      </c>
      <c r="P676" s="40" t="n">
        <f aca="true">RAND()</f>
        <v>0.979919357045769</v>
      </c>
      <c r="Q676" s="40" t="n">
        <f aca="true">RAND()</f>
        <v>0.488381920099989</v>
      </c>
      <c r="R676" s="40" t="n">
        <f aca="true">RAND()</f>
        <v>0.955481418359629</v>
      </c>
      <c r="S676" s="40" t="n">
        <f aca="true">RAND()</f>
        <v>0.678571060205052</v>
      </c>
      <c r="T676" s="40" t="n">
        <f aca="true">RAND()</f>
        <v>0.304611324632955</v>
      </c>
      <c r="U676" s="40" t="n">
        <f aca="true">RAND()</f>
        <v>0.718568584707582</v>
      </c>
    </row>
    <row r="677" customFormat="false" ht="15" hidden="false" customHeight="false" outlineLevel="0" collapsed="false">
      <c r="A677" s="36" t="n">
        <v>597</v>
      </c>
      <c r="B677" s="37" t="n">
        <f aca="false">1+IF($G$6=$E$6,$F$6,IF(P677&lt;($F$6-$E$6)/($G$6-$E$6),$E$6+SQRT(P677*($G$6-$E$6)*($F$6-$E$6)),$G$6-SQRT((1-P677)*($G$6-$E$6)*($G$6-$F$6))))</f>
        <v>0.982208121058605</v>
      </c>
      <c r="C677" s="37" t="n">
        <f aca="false">1+IF($G$7=$E$7,$F$7,IF(Q677&lt;($F$7-$E$7)/($G$7-$E$7),$E$7+SQRT(Q677*($G$7-$E$7)*($F$7-$E$7)),$G$7-SQRT((1-Q677)*($G$7-$E$7)*($G$7-$F$7))))</f>
        <v>0.960569257861156</v>
      </c>
      <c r="D677" s="37" t="n">
        <f aca="false">1+IF($G$8=$E$8,$F$8,IF(R677&lt;($F$8-$E$8)/($G$8-$E$8),$E$8+SQRT(R677*($G$8-$E$8)*($F$8-$E$8)),$G$8-SQRT((1-R677)*($G$8-$E$8)*($G$8-$F$8))))</f>
        <v>1.0020319353496</v>
      </c>
      <c r="E677" s="37" t="n">
        <f aca="false">1+IF($G$9=$E$9,$F$9,IF(S677&lt;($F$9-$E$9)/($G$9-$E$9),$E$9+SQRT(S677*($G$9-$E$9)*($F$9-$E$9)),$G$9-SQRT((1-S677)*($G$9-$E$9)*($G$9-$F$9))))</f>
        <v>1.08232348000768</v>
      </c>
      <c r="F677" s="37" t="n">
        <f aca="false">1+IF($G$10=$E$10,$F$10,IF(T677&lt;($F$10-$E$10)/($G$10-$E$10),$E$10+SQRT(T677*($G$10-$E$10)*($F$10-$E$10)),$G$10-SQRT((1-T677)*($G$10-$E$10)*($G$10-$F$10))))</f>
        <v>1.00448187811401</v>
      </c>
      <c r="G677" s="38" t="n">
        <f aca="false">IF($G$11=$E$11,$F$11,IF(U677&lt;($F$11-$E$11)/($G$11-$E$11),$E$11+SQRT(U677*($G$11-$E$11)*($F$11-$E$11)),$G$11-SQRT((1-U677)*($G$11-$E$11)*($G$11-$F$11))))</f>
        <v>0.103107555920294</v>
      </c>
      <c r="H677" s="39" t="n">
        <f aca="false">(('Business Case'!B11*$C677*'Business Case'!B12*$B677)-'Business Case'!B11*$C677*'Business Case'!B13*$D677-'Business Case'!B14*$E677)-MAX(0,(('Business Case'!B11*$C677*'Business Case'!B12*$B677)-'Business Case'!B11*$C677*'Business Case'!B13*$D677-'Business Case'!B14*$E677))*'Business Case'!$B$7-'Business Case'!$B$8*('Business Case'!B11*$C677*'Business Case'!B12*$B677)-'Business Case'!B15*$F677</f>
        <v>-2008963756.22803</v>
      </c>
      <c r="I677" s="39" t="n">
        <f aca="false">(('Business Case'!C11*$C677*'Business Case'!C12*$B677)-'Business Case'!C11*$C677*'Business Case'!C13*$D677-'Business Case'!C14*$E677)-MAX(0,(('Business Case'!C11*$C677*'Business Case'!C12*$B677)-'Business Case'!C11*$C677*'Business Case'!C13*$D677-'Business Case'!C14*$E677))*'Business Case'!$B$7-'Business Case'!$B$8*(('Business Case'!C11*$C677*'Business Case'!C12*$B677)-('Business Case'!B11*$C677*'Business Case'!B12*$B677))-'Business Case'!C15*$F677</f>
        <v>-23221150.81443</v>
      </c>
      <c r="J677" s="39" t="n">
        <f aca="false">(('Business Case'!D11*$C677*'Business Case'!D12*$B677)-'Business Case'!D11*$C677*'Business Case'!D13*$D677-'Business Case'!D14*$E677)-MAX(0,(('Business Case'!D11*$C677*'Business Case'!D12*$B677)-'Business Case'!D11*$C677*'Business Case'!D13*$D677-'Business Case'!D14*$E677))*'Business Case'!$B$7-'Business Case'!$B$8*(('Business Case'!D11*$C677*'Business Case'!D12*$B677)-('Business Case'!C11*$C677*'Business Case'!C12*$B677))-'Business Case'!D15*$F677</f>
        <v>256822232.558832</v>
      </c>
      <c r="K677" s="39" t="n">
        <f aca="false">(('Business Case'!E11*$C677*'Business Case'!E12*$B677)-'Business Case'!E11*$C677*'Business Case'!E13*$D677-'Business Case'!E14*$E677)-MAX(0,(('Business Case'!E11*$C677*'Business Case'!E12*$B677)-'Business Case'!E11*$C677*'Business Case'!E13*$D677-'Business Case'!E14*$E677))*'Business Case'!$B$7-'Business Case'!$B$8*(('Business Case'!E11*$C677*'Business Case'!E12*$B677)-('Business Case'!D11*$C677*'Business Case'!D12*$B677))-'Business Case'!E15*$F677</f>
        <v>587089709.837794</v>
      </c>
      <c r="L677" s="39" t="n">
        <f aca="false">(('Business Case'!F11*$C677*'Business Case'!F12*$B677)-'Business Case'!F11*$C677*'Business Case'!F13*$D677-'Business Case'!F14*$E677)-MAX(0,(('Business Case'!F11*$C677*'Business Case'!F12*$B677)-'Business Case'!F11*$C677*'Business Case'!F13*$D677-'Business Case'!F14*$E677))*'Business Case'!$B$7-'Business Case'!$B$8*(('Business Case'!F11*$C677*'Business Case'!F12*$B677)-('Business Case'!E11*$C677*'Business Case'!E12*$B677))-'Business Case'!F15*$F677</f>
        <v>713044135.975014</v>
      </c>
      <c r="M677" s="39" t="n">
        <f aca="false">(('Business Case'!G11*$C677*'Business Case'!G12*$B677)-'Business Case'!G11*$C677*'Business Case'!G13*$D677-'Business Case'!G14*$E677)-MAX(0,(('Business Case'!G11*$C677*'Business Case'!G12*$B677)-'Business Case'!G11*$C677*'Business Case'!G13*$D677-'Business Case'!G14*$E677))*'Business Case'!$B$7-'Business Case'!$B$8*(('Business Case'!G11*$C677*'Business Case'!G12*$B677)-('Business Case'!F11*$C677*'Business Case'!F12*$B677))-'Business Case'!G15*$F677+'Business Case'!$B$8*('Business Case'!G11*$C677*'Business Case'!G12*$B677)</f>
        <v>892380610.212075</v>
      </c>
      <c r="N677" s="39" t="n">
        <f aca="false">IF(COUNT('Business Case'!B11:G11)=0,"",H677+NPV(G677,I677:M677))</f>
        <v>-353695653.503897</v>
      </c>
      <c r="P677" s="40" t="n">
        <f aca="true">RAND()</f>
        <v>0.403109408921048</v>
      </c>
      <c r="Q677" s="40" t="n">
        <f aca="true">RAND()</f>
        <v>0.368321236715461</v>
      </c>
      <c r="R677" s="40" t="n">
        <f aca="true">RAND()</f>
        <v>0.415478932179877</v>
      </c>
      <c r="S677" s="40" t="n">
        <f aca="true">RAND()</f>
        <v>0.97916937606407</v>
      </c>
      <c r="T677" s="40" t="n">
        <f aca="true">RAND()</f>
        <v>0.235453280283525</v>
      </c>
      <c r="U677" s="40" t="n">
        <f aca="true">RAND()</f>
        <v>0.524408888356698</v>
      </c>
    </row>
    <row r="678" customFormat="false" ht="15" hidden="false" customHeight="false" outlineLevel="0" collapsed="false">
      <c r="A678" s="36" t="n">
        <v>598</v>
      </c>
      <c r="B678" s="37" t="n">
        <f aca="false">1+IF($G$6=$E$6,$F$6,IF(P678&lt;($F$6-$E$6)/($G$6-$E$6),$E$6+SQRT(P678*($G$6-$E$6)*($F$6-$E$6)),$G$6-SQRT((1-P678)*($G$6-$E$6)*($G$6-$F$6))))</f>
        <v>0.985924508616465</v>
      </c>
      <c r="C678" s="37" t="n">
        <f aca="false">1+IF($G$7=$E$7,$F$7,IF(Q678&lt;($F$7-$E$7)/($G$7-$E$7),$E$7+SQRT(Q678*($G$7-$E$7)*($F$7-$E$7)),$G$7-SQRT((1-Q678)*($G$7-$E$7)*($G$7-$F$7))))</f>
        <v>1.0809028888513</v>
      </c>
      <c r="D678" s="37" t="n">
        <f aca="false">1+IF($G$8=$E$8,$F$8,IF(R678&lt;($F$8-$E$8)/($G$8-$E$8),$E$8+SQRT(R678*($G$8-$E$8)*($F$8-$E$8)),$G$8-SQRT((1-R678)*($G$8-$E$8)*($G$8-$F$8))))</f>
        <v>1.04864285752764</v>
      </c>
      <c r="E678" s="37" t="n">
        <f aca="false">1+IF($G$9=$E$9,$F$9,IF(S678&lt;($F$9-$E$9)/($G$9-$E$9),$E$9+SQRT(S678*($G$9-$E$9)*($F$9-$E$9)),$G$9-SQRT((1-S678)*($G$9-$E$9)*($G$9-$F$9))))</f>
        <v>0.988574403334504</v>
      </c>
      <c r="F678" s="37" t="n">
        <f aca="false">1+IF($G$10=$E$10,$F$10,IF(T678&lt;($F$10-$E$10)/($G$10-$E$10),$E$10+SQRT(T678*($G$10-$E$10)*($F$10-$E$10)),$G$10-SQRT((1-T678)*($G$10-$E$10)*($G$10-$F$10))))</f>
        <v>1.0165854647624</v>
      </c>
      <c r="G678" s="38" t="n">
        <f aca="false">IF($G$11=$E$11,$F$11,IF(U678&lt;($F$11-$E$11)/($G$11-$E$11),$E$11+SQRT(U678*($G$11-$E$11)*($F$11-$E$11)),$G$11-SQRT((1-U678)*($G$11-$E$11)*($G$11-$F$11))))</f>
        <v>0.097685098949358</v>
      </c>
      <c r="H678" s="39" t="n">
        <f aca="false">(('Business Case'!B11*$C678*'Business Case'!B12*$B678)-'Business Case'!B11*$C678*'Business Case'!B13*$D678-'Business Case'!B14*$E678)-MAX(0,(('Business Case'!B11*$C678*'Business Case'!B12*$B678)-'Business Case'!B11*$C678*'Business Case'!B13*$D678-'Business Case'!B14*$E678))*'Business Case'!$B$7-'Business Case'!$B$8*('Business Case'!B11*$C678*'Business Case'!B12*$B678)-'Business Case'!B15*$F678</f>
        <v>-2033170929.52481</v>
      </c>
      <c r="I678" s="39" t="n">
        <f aca="false">(('Business Case'!C11*$C678*'Business Case'!C12*$B678)-'Business Case'!C11*$C678*'Business Case'!C13*$D678-'Business Case'!C14*$E678)-MAX(0,(('Business Case'!C11*$C678*'Business Case'!C12*$B678)-'Business Case'!C11*$C678*'Business Case'!C13*$D678-'Business Case'!C14*$E678))*'Business Case'!$B$7-'Business Case'!$B$8*(('Business Case'!C11*$C678*'Business Case'!C12*$B678)-('Business Case'!B11*$C678*'Business Case'!B12*$B678))-'Business Case'!C15*$F678</f>
        <v>-4855034.3355125</v>
      </c>
      <c r="J678" s="39" t="n">
        <f aca="false">(('Business Case'!D11*$C678*'Business Case'!D12*$B678)-'Business Case'!D11*$C678*'Business Case'!D13*$D678-'Business Case'!D14*$E678)-MAX(0,(('Business Case'!D11*$C678*'Business Case'!D12*$B678)-'Business Case'!D11*$C678*'Business Case'!D13*$D678-'Business Case'!D14*$E678))*'Business Case'!$B$7-'Business Case'!$B$8*(('Business Case'!D11*$C678*'Business Case'!D12*$B678)-('Business Case'!C11*$C678*'Business Case'!C12*$B678))-'Business Case'!D15*$F678</f>
        <v>287769057.552201</v>
      </c>
      <c r="K678" s="39" t="n">
        <f aca="false">(('Business Case'!E11*$C678*'Business Case'!E12*$B678)-'Business Case'!E11*$C678*'Business Case'!E13*$D678-'Business Case'!E14*$E678)-MAX(0,(('Business Case'!E11*$C678*'Business Case'!E12*$B678)-'Business Case'!E11*$C678*'Business Case'!E13*$D678-'Business Case'!E14*$E678))*'Business Case'!$B$7-'Business Case'!$B$8*(('Business Case'!E11*$C678*'Business Case'!E12*$B678)-('Business Case'!D11*$C678*'Business Case'!D12*$B678))-'Business Case'!E15*$F678</f>
        <v>631222422.678035</v>
      </c>
      <c r="L678" s="39" t="n">
        <f aca="false">(('Business Case'!F11*$C678*'Business Case'!F12*$B678)-'Business Case'!F11*$C678*'Business Case'!F13*$D678-'Business Case'!F14*$E678)-MAX(0,(('Business Case'!F11*$C678*'Business Case'!F12*$B678)-'Business Case'!F11*$C678*'Business Case'!F13*$D678-'Business Case'!F14*$E678))*'Business Case'!$B$7-'Business Case'!$B$8*(('Business Case'!F11*$C678*'Business Case'!F12*$B678)-('Business Case'!E11*$C678*'Business Case'!E12*$B678))-'Business Case'!F15*$F678</f>
        <v>765593986.369152</v>
      </c>
      <c r="M678" s="39" t="n">
        <f aca="false">(('Business Case'!G11*$C678*'Business Case'!G12*$B678)-'Business Case'!G11*$C678*'Business Case'!G13*$D678-'Business Case'!G14*$E678)-MAX(0,(('Business Case'!G11*$C678*'Business Case'!G12*$B678)-'Business Case'!G11*$C678*'Business Case'!G13*$D678-'Business Case'!G14*$E678))*'Business Case'!$B$7-'Business Case'!$B$8*(('Business Case'!G11*$C678*'Business Case'!G12*$B678)-('Business Case'!F11*$C678*'Business Case'!F12*$B678))-'Business Case'!G15*$F678+'Business Case'!$B$8*('Business Case'!G11*$C678*'Business Case'!G12*$B678)</f>
        <v>968160084.876155</v>
      </c>
      <c r="N678" s="39" t="n">
        <f aca="false">IF(COUNT('Business Case'!B11:G11)=0,"",H678+NPV(G678,I678:M678))</f>
        <v>-186657718.450364</v>
      </c>
      <c r="P678" s="40" t="n">
        <f aca="true">RAND()</f>
        <v>0.452712587116908</v>
      </c>
      <c r="Q678" s="40" t="n">
        <f aca="true">RAND()</f>
        <v>0.909058842493423</v>
      </c>
      <c r="R678" s="40" t="n">
        <f aca="true">RAND()</f>
        <v>0.905454770766167</v>
      </c>
      <c r="S678" s="40" t="n">
        <f aca="true">RAND()</f>
        <v>0.198397945681729</v>
      </c>
      <c r="T678" s="40" t="n">
        <f aca="true">RAND()</f>
        <v>0.327182165271537</v>
      </c>
      <c r="U678" s="40" t="n">
        <f aca="true">RAND()</f>
        <v>0.196869152871411</v>
      </c>
    </row>
    <row r="679" customFormat="false" ht="15" hidden="false" customHeight="false" outlineLevel="0" collapsed="false">
      <c r="A679" s="36" t="n">
        <v>599</v>
      </c>
      <c r="B679" s="37" t="n">
        <f aca="false">1+IF($G$6=$E$6,$F$6,IF(P679&lt;($F$6-$E$6)/($G$6-$E$6),$E$6+SQRT(P679*($G$6-$E$6)*($F$6-$E$6)),$G$6-SQRT((1-P679)*($G$6-$E$6)*($G$6-$F$6))))</f>
        <v>0.962374454472159</v>
      </c>
      <c r="C679" s="37" t="n">
        <f aca="false">1+IF($G$7=$E$7,$F$7,IF(Q679&lt;($F$7-$E$7)/($G$7-$E$7),$E$7+SQRT(Q679*($G$7-$E$7)*($F$7-$E$7)),$G$7-SQRT((1-Q679)*($G$7-$E$7)*($G$7-$F$7))))</f>
        <v>0.851360214735564</v>
      </c>
      <c r="D679" s="37" t="n">
        <f aca="false">1+IF($G$8=$E$8,$F$8,IF(R679&lt;($F$8-$E$8)/($G$8-$E$8),$E$8+SQRT(R679*($G$8-$E$8)*($F$8-$E$8)),$G$8-SQRT((1-R679)*($G$8-$E$8)*($G$8-$F$8))))</f>
        <v>0.994138201704179</v>
      </c>
      <c r="E679" s="37" t="n">
        <f aca="false">1+IF($G$9=$E$9,$F$9,IF(S679&lt;($F$9-$E$9)/($G$9-$E$9),$E$9+SQRT(S679*($G$9-$E$9)*($F$9-$E$9)),$G$9-SQRT((1-S679)*($G$9-$E$9)*($G$9-$F$9))))</f>
        <v>0.984574482481995</v>
      </c>
      <c r="F679" s="37" t="n">
        <f aca="false">1+IF($G$10=$E$10,$F$10,IF(T679&lt;($F$10-$E$10)/($G$10-$E$10),$E$10+SQRT(T679*($G$10-$E$10)*($F$10-$E$10)),$G$10-SQRT((1-T679)*($G$10-$E$10)*($G$10-$F$10))))</f>
        <v>1.04661332494878</v>
      </c>
      <c r="G679" s="38" t="n">
        <f aca="false">IF($G$11=$E$11,$F$11,IF(U679&lt;($F$11-$E$11)/($G$11-$E$11),$E$11+SQRT(U679*($G$11-$E$11)*($F$11-$E$11)),$G$11-SQRT((1-U679)*($G$11-$E$11)*($G$11-$F$11))))</f>
        <v>0.0967572508741007</v>
      </c>
      <c r="H679" s="39" t="n">
        <f aca="false">(('Business Case'!B11*$C679*'Business Case'!B12*$B679)-'Business Case'!B11*$C679*'Business Case'!B13*$D679-'Business Case'!B14*$E679)-MAX(0,(('Business Case'!B11*$C679*'Business Case'!B12*$B679)-'Business Case'!B11*$C679*'Business Case'!B13*$D679-'Business Case'!B14*$E679))*'Business Case'!$B$7-'Business Case'!$B$8*('Business Case'!B11*$C679*'Business Case'!B12*$B679)-'Business Case'!B15*$F679</f>
        <v>-2093226649.89757</v>
      </c>
      <c r="I679" s="39" t="n">
        <f aca="false">(('Business Case'!C11*$C679*'Business Case'!C12*$B679)-'Business Case'!C11*$C679*'Business Case'!C13*$D679-'Business Case'!C14*$E679)-MAX(0,(('Business Case'!C11*$C679*'Business Case'!C12*$B679)-'Business Case'!C11*$C679*'Business Case'!C13*$D679-'Business Case'!C14*$E679))*'Business Case'!$B$7-'Business Case'!$B$8*(('Business Case'!C11*$C679*'Business Case'!C12*$B679)-('Business Case'!B11*$C679*'Business Case'!B12*$B679))-'Business Case'!C15*$F679</f>
        <v>-49327267.2431971</v>
      </c>
      <c r="J679" s="39" t="n">
        <f aca="false">(('Business Case'!D11*$C679*'Business Case'!D12*$B679)-'Business Case'!D11*$C679*'Business Case'!D13*$D679-'Business Case'!D14*$E679)-MAX(0,(('Business Case'!D11*$C679*'Business Case'!D12*$B679)-'Business Case'!D11*$C679*'Business Case'!D13*$D679-'Business Case'!D14*$E679))*'Business Case'!$B$7-'Business Case'!$B$8*(('Business Case'!D11*$C679*'Business Case'!D12*$B679)-('Business Case'!C11*$C679*'Business Case'!C12*$B679))-'Business Case'!D15*$F679</f>
        <v>188487217.801072</v>
      </c>
      <c r="K679" s="39" t="n">
        <f aca="false">(('Business Case'!E11*$C679*'Business Case'!E12*$B679)-'Business Case'!E11*$C679*'Business Case'!E13*$D679-'Business Case'!E14*$E679)-MAX(0,(('Business Case'!E11*$C679*'Business Case'!E12*$B679)-'Business Case'!E11*$C679*'Business Case'!E13*$D679-'Business Case'!E14*$E679))*'Business Case'!$B$7-'Business Case'!$B$8*(('Business Case'!E11*$C679*'Business Case'!E12*$B679)-('Business Case'!D11*$C679*'Business Case'!D12*$B679))-'Business Case'!E15*$F679</f>
        <v>478632369.092781</v>
      </c>
      <c r="L679" s="39" t="n">
        <f aca="false">(('Business Case'!F11*$C679*'Business Case'!F12*$B679)-'Business Case'!F11*$C679*'Business Case'!F13*$D679-'Business Case'!F14*$E679)-MAX(0,(('Business Case'!F11*$C679*'Business Case'!F12*$B679)-'Business Case'!F11*$C679*'Business Case'!F13*$D679-'Business Case'!F14*$E679))*'Business Case'!$B$7-'Business Case'!$B$8*(('Business Case'!F11*$C679*'Business Case'!F12*$B679)-('Business Case'!E11*$C679*'Business Case'!E12*$B679))-'Business Case'!F15*$F679</f>
        <v>586219816.363303</v>
      </c>
      <c r="M679" s="39" t="n">
        <f aca="false">(('Business Case'!G11*$C679*'Business Case'!G12*$B679)-'Business Case'!G11*$C679*'Business Case'!G13*$D679-'Business Case'!G14*$E679)-MAX(0,(('Business Case'!G11*$C679*'Business Case'!G12*$B679)-'Business Case'!G11*$C679*'Business Case'!G13*$D679-'Business Case'!G14*$E679))*'Business Case'!$B$7-'Business Case'!$B$8*(('Business Case'!G11*$C679*'Business Case'!G12*$B679)-('Business Case'!F11*$C679*'Business Case'!F12*$B679))-'Business Case'!G15*$F679+'Business Case'!$B$8*('Business Case'!G11*$C679*'Business Case'!G12*$B679)</f>
        <v>741957553.770014</v>
      </c>
      <c r="N679" s="39" t="n">
        <f aca="false">IF(COUNT('Business Case'!B11:G11)=0,"",H679+NPV(G679,I679:M679))</f>
        <v>-746001697.589155</v>
      </c>
      <c r="P679" s="40" t="n">
        <f aca="true">RAND()</f>
        <v>0.187041082480533</v>
      </c>
      <c r="Q679" s="40" t="n">
        <f aca="true">RAND()</f>
        <v>0.0376838808240466</v>
      </c>
      <c r="R679" s="40" t="n">
        <f aca="true">RAND()</f>
        <v>0.299720130719812</v>
      </c>
      <c r="S679" s="40" t="n">
        <f aca="true">RAND()</f>
        <v>0.159385978519708</v>
      </c>
      <c r="T679" s="40" t="n">
        <f aca="true">RAND()</f>
        <v>0.529450558334647</v>
      </c>
      <c r="U679" s="40" t="n">
        <f aca="true">RAND()</f>
        <v>0.152201464585117</v>
      </c>
    </row>
    <row r="680" customFormat="false" ht="15" hidden="false" customHeight="false" outlineLevel="0" collapsed="false">
      <c r="A680" s="36" t="n">
        <v>600</v>
      </c>
      <c r="B680" s="37" t="n">
        <f aca="false">1+IF($G$6=$E$6,$F$6,IF(P680&lt;($F$6-$E$6)/($G$6-$E$6),$E$6+SQRT(P680*($G$6-$E$6)*($F$6-$E$6)),$G$6-SQRT((1-P680)*($G$6-$E$6)*($G$6-$F$6))))</f>
        <v>1.02042398829842</v>
      </c>
      <c r="C680" s="37" t="n">
        <f aca="false">1+IF($G$7=$E$7,$F$7,IF(Q680&lt;($F$7-$E$7)/($G$7-$E$7),$E$7+SQRT(Q680*($G$7-$E$7)*($F$7-$E$7)),$G$7-SQRT((1-Q680)*($G$7-$E$7)*($G$7-$F$7))))</f>
        <v>0.997708543304773</v>
      </c>
      <c r="D680" s="37" t="n">
        <f aca="false">1+IF($G$8=$E$8,$F$8,IF(R680&lt;($F$8-$E$8)/($G$8-$E$8),$E$8+SQRT(R680*($G$8-$E$8)*($F$8-$E$8)),$G$8-SQRT((1-R680)*($G$8-$E$8)*($G$8-$F$8))))</f>
        <v>1.03540824344513</v>
      </c>
      <c r="E680" s="37" t="n">
        <f aca="false">1+IF($G$9=$E$9,$F$9,IF(S680&lt;($F$9-$E$9)/($G$9-$E$9),$E$9+SQRT(S680*($G$9-$E$9)*($F$9-$E$9)),$G$9-SQRT((1-S680)*($G$9-$E$9)*($G$9-$F$9))))</f>
        <v>1.07331897586381</v>
      </c>
      <c r="F680" s="37" t="n">
        <f aca="false">1+IF($G$10=$E$10,$F$10,IF(T680&lt;($F$10-$E$10)/($G$10-$E$10),$E$10+SQRT(T680*($G$10-$E$10)*($F$10-$E$10)),$G$10-SQRT((1-T680)*($G$10-$E$10)*($G$10-$F$10))))</f>
        <v>0.994659329772565</v>
      </c>
      <c r="G680" s="38" t="n">
        <f aca="false">IF($G$11=$E$11,$F$11,IF(U680&lt;($F$11-$E$11)/($G$11-$E$11),$E$11+SQRT(U680*($G$11-$E$11)*($F$11-$E$11)),$G$11-SQRT((1-U680)*($G$11-$E$11)*($G$11-$F$11))))</f>
        <v>0.111461807204733</v>
      </c>
      <c r="H680" s="39" t="n">
        <f aca="false">(('Business Case'!B11*$C680*'Business Case'!B12*$B680)-'Business Case'!B11*$C680*'Business Case'!B13*$D680-'Business Case'!B14*$E680)-MAX(0,(('Business Case'!B11*$C680*'Business Case'!B12*$B680)-'Business Case'!B11*$C680*'Business Case'!B13*$D680-'Business Case'!B14*$E680))*'Business Case'!$B$7-'Business Case'!$B$8*('Business Case'!B11*$C680*'Business Case'!B12*$B680)-'Business Case'!B15*$F680</f>
        <v>-1989318659.54513</v>
      </c>
      <c r="I680" s="39" t="n">
        <f aca="false">(('Business Case'!C11*$C680*'Business Case'!C12*$B680)-'Business Case'!C11*$C680*'Business Case'!C13*$D680-'Business Case'!C14*$E680)-MAX(0,(('Business Case'!C11*$C680*'Business Case'!C12*$B680)-'Business Case'!C11*$C680*'Business Case'!C13*$D680-'Business Case'!C14*$E680))*'Business Case'!$B$7-'Business Case'!$B$8*(('Business Case'!C11*$C680*'Business Case'!C12*$B680)-('Business Case'!B11*$C680*'Business Case'!B12*$B680))-'Business Case'!C15*$F680</f>
        <v>184450.060751438</v>
      </c>
      <c r="J680" s="39" t="n">
        <f aca="false">(('Business Case'!D11*$C680*'Business Case'!D12*$B680)-'Business Case'!D11*$C680*'Business Case'!D13*$D680-'Business Case'!D14*$E680)-MAX(0,(('Business Case'!D11*$C680*'Business Case'!D12*$B680)-'Business Case'!D11*$C680*'Business Case'!D13*$D680-'Business Case'!D14*$E680))*'Business Case'!$B$7-'Business Case'!$B$8*(('Business Case'!D11*$C680*'Business Case'!D12*$B680)-('Business Case'!C11*$C680*'Business Case'!C12*$B680))-'Business Case'!D15*$F680</f>
        <v>305238355.757406</v>
      </c>
      <c r="K680" s="39" t="n">
        <f aca="false">(('Business Case'!E11*$C680*'Business Case'!E12*$B680)-'Business Case'!E11*$C680*'Business Case'!E13*$D680-'Business Case'!E14*$E680)-MAX(0,(('Business Case'!E11*$C680*'Business Case'!E12*$B680)-'Business Case'!E11*$C680*'Business Case'!E13*$D680-'Business Case'!E14*$E680))*'Business Case'!$B$7-'Business Case'!$B$8*(('Business Case'!E11*$C680*'Business Case'!E12*$B680)-('Business Case'!D11*$C680*'Business Case'!D12*$B680))-'Business Case'!E15*$F680</f>
        <v>660025227.942688</v>
      </c>
      <c r="L680" s="39" t="n">
        <f aca="false">(('Business Case'!F11*$C680*'Business Case'!F12*$B680)-'Business Case'!F11*$C680*'Business Case'!F13*$D680-'Business Case'!F14*$E680)-MAX(0,(('Business Case'!F11*$C680*'Business Case'!F12*$B680)-'Business Case'!F11*$C680*'Business Case'!F13*$D680-'Business Case'!F14*$E680))*'Business Case'!$B$7-'Business Case'!$B$8*(('Business Case'!F11*$C680*'Business Case'!F12*$B680)-('Business Case'!E11*$C680*'Business Case'!E12*$B680))-'Business Case'!F15*$F680</f>
        <v>796894906.035448</v>
      </c>
      <c r="M680" s="39" t="n">
        <f aca="false">(('Business Case'!G11*$C680*'Business Case'!G12*$B680)-'Business Case'!G11*$C680*'Business Case'!G13*$D680-'Business Case'!G14*$E680)-MAX(0,(('Business Case'!G11*$C680*'Business Case'!G12*$B680)-'Business Case'!G11*$C680*'Business Case'!G13*$D680-'Business Case'!G14*$E680))*'Business Case'!$B$7-'Business Case'!$B$8*(('Business Case'!G11*$C680*'Business Case'!G12*$B680)-('Business Case'!F11*$C680*'Business Case'!F12*$B680))-'Business Case'!G15*$F680+'Business Case'!$B$8*('Business Case'!G11*$C680*'Business Case'!G12*$B680)</f>
        <v>990412641.768429</v>
      </c>
      <c r="N680" s="39" t="n">
        <f aca="false">IF(COUNT('Business Case'!B11:G11)=0,"",H680+NPV(G680,I680:M680))</f>
        <v>-155272684.962758</v>
      </c>
      <c r="P680" s="40" t="n">
        <f aca="true">RAND()</f>
        <v>0.920162451220748</v>
      </c>
      <c r="Q680" s="40" t="n">
        <f aca="true">RAND()</f>
        <v>0.558409544224216</v>
      </c>
      <c r="R680" s="40" t="n">
        <f aca="true">RAND()</f>
        <v>0.808805312245283</v>
      </c>
      <c r="S680" s="40" t="n">
        <f aca="true">RAND()</f>
        <v>0.952541530069588</v>
      </c>
      <c r="T680" s="40" t="n">
        <f aca="true">RAND()</f>
        <v>0.159556458858779</v>
      </c>
      <c r="U680" s="40" t="n">
        <f aca="true">RAND()</f>
        <v>0.878498772984748</v>
      </c>
    </row>
    <row r="681" customFormat="false" ht="15" hidden="false" customHeight="false" outlineLevel="0" collapsed="false">
      <c r="A681" s="36" t="n">
        <v>601</v>
      </c>
      <c r="B681" s="37" t="n">
        <f aca="false">1+IF($G$6=$E$6,$F$6,IF(P681&lt;($F$6-$E$6)/($G$6-$E$6),$E$6+SQRT(P681*($G$6-$E$6)*($F$6-$E$6)),$G$6-SQRT((1-P681)*($G$6-$E$6)*($G$6-$F$6))))</f>
        <v>0.983689010179365</v>
      </c>
      <c r="C681" s="37" t="n">
        <f aca="false">1+IF($G$7=$E$7,$F$7,IF(Q681&lt;($F$7-$E$7)/($G$7-$E$7),$E$7+SQRT(Q681*($G$7-$E$7)*($F$7-$E$7)),$G$7-SQRT((1-Q681)*($G$7-$E$7)*($G$7-$F$7))))</f>
        <v>0.925972642884054</v>
      </c>
      <c r="D681" s="37" t="n">
        <f aca="false">1+IF($G$8=$E$8,$F$8,IF(R681&lt;($F$8-$E$8)/($G$8-$E$8),$E$8+SQRT(R681*($G$8-$E$8)*($F$8-$E$8)),$G$8-SQRT((1-R681)*($G$8-$E$8)*($G$8-$F$8))))</f>
        <v>0.986543721403217</v>
      </c>
      <c r="E681" s="37" t="n">
        <f aca="false">1+IF($G$9=$E$9,$F$9,IF(S681&lt;($F$9-$E$9)/($G$9-$E$9),$E$9+SQRT(S681*($G$9-$E$9)*($F$9-$E$9)),$G$9-SQRT((1-S681)*($G$9-$E$9)*($G$9-$F$9))))</f>
        <v>0.985876173217243</v>
      </c>
      <c r="F681" s="37" t="n">
        <f aca="false">1+IF($G$10=$E$10,$F$10,IF(T681&lt;($F$10-$E$10)/($G$10-$E$10),$E$10+SQRT(T681*($G$10-$E$10)*($F$10-$E$10)),$G$10-SQRT((1-T681)*($G$10-$E$10)*($G$10-$F$10))))</f>
        <v>1.05425174250282</v>
      </c>
      <c r="G681" s="38" t="n">
        <f aca="false">IF($G$11=$E$11,$F$11,IF(U681&lt;($F$11-$E$11)/($G$11-$E$11),$E$11+SQRT(U681*($G$11-$E$11)*($F$11-$E$11)),$G$11-SQRT((1-U681)*($G$11-$E$11)*($G$11-$F$11))))</f>
        <v>0.104049481066876</v>
      </c>
      <c r="H681" s="39" t="n">
        <f aca="false">(('Business Case'!B11*$C681*'Business Case'!B12*$B681)-'Business Case'!B11*$C681*'Business Case'!B13*$D681-'Business Case'!B14*$E681)-MAX(0,(('Business Case'!B11*$C681*'Business Case'!B12*$B681)-'Business Case'!B11*$C681*'Business Case'!B13*$D681-'Business Case'!B14*$E681))*'Business Case'!$B$7-'Business Case'!$B$8*('Business Case'!B11*$C681*'Business Case'!B12*$B681)-'Business Case'!B15*$F681</f>
        <v>-2108503485.00565</v>
      </c>
      <c r="I681" s="39" t="n">
        <f aca="false">(('Business Case'!C11*$C681*'Business Case'!C12*$B681)-'Business Case'!C11*$C681*'Business Case'!C13*$D681-'Business Case'!C14*$E681)-MAX(0,(('Business Case'!C11*$C681*'Business Case'!C12*$B681)-'Business Case'!C11*$C681*'Business Case'!C13*$D681-'Business Case'!C14*$E681))*'Business Case'!$B$7-'Business Case'!$B$8*(('Business Case'!C11*$C681*'Business Case'!C12*$B681)-('Business Case'!B11*$C681*'Business Case'!B12*$B681))-'Business Case'!C15*$F681</f>
        <v>-14414152.6145694</v>
      </c>
      <c r="J681" s="39" t="n">
        <f aca="false">(('Business Case'!D11*$C681*'Business Case'!D12*$B681)-'Business Case'!D11*$C681*'Business Case'!D13*$D681-'Business Case'!D14*$E681)-MAX(0,(('Business Case'!D11*$C681*'Business Case'!D12*$B681)-'Business Case'!D11*$C681*'Business Case'!D13*$D681-'Business Case'!D14*$E681))*'Business Case'!$B$7-'Business Case'!$B$8*(('Business Case'!D11*$C681*'Business Case'!D12*$B681)-('Business Case'!C11*$C681*'Business Case'!C12*$B681))-'Business Case'!D15*$F681</f>
        <v>264007915.646283</v>
      </c>
      <c r="K681" s="39" t="n">
        <f aca="false">(('Business Case'!E11*$C681*'Business Case'!E12*$B681)-'Business Case'!E11*$C681*'Business Case'!E13*$D681-'Business Case'!E14*$E681)-MAX(0,(('Business Case'!E11*$C681*'Business Case'!E12*$B681)-'Business Case'!E11*$C681*'Business Case'!E13*$D681-'Business Case'!E14*$E681))*'Business Case'!$B$7-'Business Case'!$B$8*(('Business Case'!E11*$C681*'Business Case'!E12*$B681)-('Business Case'!D11*$C681*'Business Case'!D12*$B681))-'Business Case'!E15*$F681</f>
        <v>595142571.032278</v>
      </c>
      <c r="L681" s="39" t="n">
        <f aca="false">(('Business Case'!F11*$C681*'Business Case'!F12*$B681)-'Business Case'!F11*$C681*'Business Case'!F13*$D681-'Business Case'!F14*$E681)-MAX(0,(('Business Case'!F11*$C681*'Business Case'!F12*$B681)-'Business Case'!F11*$C681*'Business Case'!F13*$D681-'Business Case'!F14*$E681))*'Business Case'!$B$7-'Business Case'!$B$8*(('Business Case'!F11*$C681*'Business Case'!F12*$B681)-('Business Case'!E11*$C681*'Business Case'!E12*$B681))-'Business Case'!F15*$F681</f>
        <v>719429563.648327</v>
      </c>
      <c r="M681" s="39" t="n">
        <f aca="false">(('Business Case'!G11*$C681*'Business Case'!G12*$B681)-'Business Case'!G11*$C681*'Business Case'!G13*$D681-'Business Case'!G14*$E681)-MAX(0,(('Business Case'!G11*$C681*'Business Case'!G12*$B681)-'Business Case'!G11*$C681*'Business Case'!G13*$D681-'Business Case'!G14*$E681))*'Business Case'!$B$7-'Business Case'!$B$8*(('Business Case'!G11*$C681*'Business Case'!G12*$B681)-('Business Case'!F11*$C681*'Business Case'!F12*$B681))-'Business Case'!G15*$F681+'Business Case'!$B$8*('Business Case'!G11*$C681*'Business Case'!G12*$B681)</f>
        <v>892567564.558369</v>
      </c>
      <c r="N681" s="39" t="n">
        <f aca="false">IF(COUNT('Business Case'!B11:G11)=0,"",H681+NPV(G681,I681:M681))</f>
        <v>-434396050.094462</v>
      </c>
      <c r="P681" s="40" t="n">
        <f aca="true">RAND()</f>
        <v>0.422530210169511</v>
      </c>
      <c r="Q681" s="40" t="n">
        <f aca="true">RAND()</f>
        <v>0.22670152507419</v>
      </c>
      <c r="R681" s="40" t="n">
        <f aca="true">RAND()</f>
        <v>0.205452857537842</v>
      </c>
      <c r="S681" s="40" t="n">
        <f aca="true">RAND()</f>
        <v>0.17161330729515</v>
      </c>
      <c r="T681" s="40" t="n">
        <f aca="true">RAND()</f>
        <v>0.575148908730739</v>
      </c>
      <c r="U681" s="40" t="n">
        <f aca="true">RAND()</f>
        <v>0.575968242940096</v>
      </c>
    </row>
    <row r="682" customFormat="false" ht="15" hidden="false" customHeight="false" outlineLevel="0" collapsed="false">
      <c r="A682" s="36" t="n">
        <v>602</v>
      </c>
      <c r="B682" s="37" t="n">
        <f aca="false">1+IF($G$6=$E$6,$F$6,IF(P682&lt;($F$6-$E$6)/($G$6-$E$6),$E$6+SQRT(P682*($G$6-$E$6)*($F$6-$E$6)),$G$6-SQRT((1-P682)*($G$6-$E$6)*($G$6-$F$6))))</f>
        <v>0.977961092231667</v>
      </c>
      <c r="C682" s="37" t="n">
        <f aca="false">1+IF($G$7=$E$7,$F$7,IF(Q682&lt;($F$7-$E$7)/($G$7-$E$7),$E$7+SQRT(Q682*($G$7-$E$7)*($F$7-$E$7)),$G$7-SQRT((1-Q682)*($G$7-$E$7)*($G$7-$F$7))))</f>
        <v>1.03878875256587</v>
      </c>
      <c r="D682" s="37" t="n">
        <f aca="false">1+IF($G$8=$E$8,$F$8,IF(R682&lt;($F$8-$E$8)/($G$8-$E$8),$E$8+SQRT(R682*($G$8-$E$8)*($F$8-$E$8)),$G$8-SQRT((1-R682)*($G$8-$E$8)*($G$8-$F$8))))</f>
        <v>1.0060504354511</v>
      </c>
      <c r="E682" s="37" t="n">
        <f aca="false">1+IF($G$9=$E$9,$F$9,IF(S682&lt;($F$9-$E$9)/($G$9-$E$9),$E$9+SQRT(S682*($G$9-$E$9)*($F$9-$E$9)),$G$9-SQRT((1-S682)*($G$9-$E$9)*($G$9-$F$9))))</f>
        <v>0.984637868702985</v>
      </c>
      <c r="F682" s="37" t="n">
        <f aca="false">1+IF($G$10=$E$10,$F$10,IF(T682&lt;($F$10-$E$10)/($G$10-$E$10),$E$10+SQRT(T682*($G$10-$E$10)*($F$10-$E$10)),$G$10-SQRT((1-T682)*($G$10-$E$10)*($G$10-$F$10))))</f>
        <v>1.02034853068286</v>
      </c>
      <c r="G682" s="38" t="n">
        <f aca="false">IF($G$11=$E$11,$F$11,IF(U682&lt;($F$11-$E$11)/($G$11-$E$11),$E$11+SQRT(U682*($G$11-$E$11)*($F$11-$E$11)),$G$11-SQRT((1-U682)*($G$11-$E$11)*($G$11-$F$11))))</f>
        <v>0.102062718715832</v>
      </c>
      <c r="H682" s="39" t="n">
        <f aca="false">(('Business Case'!B11*$C682*'Business Case'!B12*$B682)-'Business Case'!B11*$C682*'Business Case'!B13*$D682-'Business Case'!B14*$E682)-MAX(0,(('Business Case'!B11*$C682*'Business Case'!B12*$B682)-'Business Case'!B11*$C682*'Business Case'!B13*$D682-'Business Case'!B14*$E682))*'Business Case'!$B$7-'Business Case'!$B$8*('Business Case'!B11*$C682*'Business Case'!B12*$B682)-'Business Case'!B15*$F682</f>
        <v>-2040697061.36573</v>
      </c>
      <c r="I682" s="39" t="n">
        <f aca="false">(('Business Case'!C11*$C682*'Business Case'!C12*$B682)-'Business Case'!C11*$C682*'Business Case'!C13*$D682-'Business Case'!C14*$E682)-MAX(0,(('Business Case'!C11*$C682*'Business Case'!C12*$B682)-'Business Case'!C11*$C682*'Business Case'!C13*$D682-'Business Case'!C14*$E682))*'Business Case'!$B$7-'Business Case'!$B$8*(('Business Case'!C11*$C682*'Business Case'!C12*$B682)-('Business Case'!B11*$C682*'Business Case'!B12*$B682))-'Business Case'!C15*$F682</f>
        <v>2382562.60068329</v>
      </c>
      <c r="J682" s="39" t="n">
        <f aca="false">(('Business Case'!D11*$C682*'Business Case'!D12*$B682)-'Business Case'!D11*$C682*'Business Case'!D13*$D682-'Business Case'!D14*$E682)-MAX(0,(('Business Case'!D11*$C682*'Business Case'!D12*$B682)-'Business Case'!D11*$C682*'Business Case'!D13*$D682-'Business Case'!D14*$E682))*'Business Case'!$B$7-'Business Case'!$B$8*(('Business Case'!D11*$C682*'Business Case'!D12*$B682)-('Business Case'!C11*$C682*'Business Case'!C12*$B682))-'Business Case'!D15*$F682</f>
        <v>299479479.120907</v>
      </c>
      <c r="K682" s="39" t="n">
        <f aca="false">(('Business Case'!E11*$C682*'Business Case'!E12*$B682)-'Business Case'!E11*$C682*'Business Case'!E13*$D682-'Business Case'!E14*$E682)-MAX(0,(('Business Case'!E11*$C682*'Business Case'!E12*$B682)-'Business Case'!E11*$C682*'Business Case'!E13*$D682-'Business Case'!E14*$E682))*'Business Case'!$B$7-'Business Case'!$B$8*(('Business Case'!E11*$C682*'Business Case'!E12*$B682)-('Business Case'!D11*$C682*'Business Case'!D12*$B682))-'Business Case'!E15*$F682</f>
        <v>647593822.175275</v>
      </c>
      <c r="L682" s="39" t="n">
        <f aca="false">(('Business Case'!F11*$C682*'Business Case'!F12*$B682)-'Business Case'!F11*$C682*'Business Case'!F13*$D682-'Business Case'!F14*$E682)-MAX(0,(('Business Case'!F11*$C682*'Business Case'!F12*$B682)-'Business Case'!F11*$C682*'Business Case'!F13*$D682-'Business Case'!F14*$E682))*'Business Case'!$B$7-'Business Case'!$B$8*(('Business Case'!F11*$C682*'Business Case'!F12*$B682)-('Business Case'!E11*$C682*'Business Case'!E12*$B682))-'Business Case'!F15*$F682</f>
        <v>781735458.296476</v>
      </c>
      <c r="M682" s="39" t="n">
        <f aca="false">(('Business Case'!G11*$C682*'Business Case'!G12*$B682)-'Business Case'!G11*$C682*'Business Case'!G13*$D682-'Business Case'!G14*$E682)-MAX(0,(('Business Case'!G11*$C682*'Business Case'!G12*$B682)-'Business Case'!G11*$C682*'Business Case'!G13*$D682-'Business Case'!G14*$E682))*'Business Case'!$B$7-'Business Case'!$B$8*(('Business Case'!G11*$C682*'Business Case'!G12*$B682)-('Business Case'!F11*$C682*'Business Case'!F12*$B682))-'Business Case'!G15*$F682+'Business Case'!$B$8*('Business Case'!G11*$C682*'Business Case'!G12*$B682)</f>
        <v>974836776.676005</v>
      </c>
      <c r="N682" s="39" t="n">
        <f aca="false">IF(COUNT('Business Case'!B11:G11)=0,"",H682+NPV(G682,I682:M682))</f>
        <v>-178534073.543714</v>
      </c>
      <c r="P682" s="40" t="n">
        <f aca="true">RAND()</f>
        <v>0.349946688821647</v>
      </c>
      <c r="Q682" s="40" t="n">
        <f aca="true">RAND()</f>
        <v>0.764420160840848</v>
      </c>
      <c r="R682" s="40" t="n">
        <f aca="true">RAND()</f>
        <v>0.474179029137266</v>
      </c>
      <c r="S682" s="40" t="n">
        <f aca="true">RAND()</f>
        <v>0.159970926438027</v>
      </c>
      <c r="T682" s="40" t="n">
        <f aca="true">RAND()</f>
        <v>0.354506991443881</v>
      </c>
      <c r="U682" s="40" t="n">
        <f aca="true">RAND()</f>
        <v>0.463756566887745</v>
      </c>
    </row>
    <row r="683" customFormat="false" ht="15" hidden="false" customHeight="false" outlineLevel="0" collapsed="false">
      <c r="A683" s="36" t="n">
        <v>603</v>
      </c>
      <c r="B683" s="37" t="n">
        <f aca="false">1+IF($G$6=$E$6,$F$6,IF(P683&lt;($F$6-$E$6)/($G$6-$E$6),$E$6+SQRT(P683*($G$6-$E$6)*($F$6-$E$6)),$G$6-SQRT((1-P683)*($G$6-$E$6)*($G$6-$F$6))))</f>
        <v>0.953430514673278</v>
      </c>
      <c r="C683" s="37" t="n">
        <f aca="false">1+IF($G$7=$E$7,$F$7,IF(Q683&lt;($F$7-$E$7)/($G$7-$E$7),$E$7+SQRT(Q683*($G$7-$E$7)*($F$7-$E$7)),$G$7-SQRT((1-Q683)*($G$7-$E$7)*($G$7-$F$7))))</f>
        <v>1.03122681252108</v>
      </c>
      <c r="D683" s="37" t="n">
        <f aca="false">1+IF($G$8=$E$8,$F$8,IF(R683&lt;($F$8-$E$8)/($G$8-$E$8),$E$8+SQRT(R683*($G$8-$E$8)*($F$8-$E$8)),$G$8-SQRT((1-R683)*($G$8-$E$8)*($G$8-$F$8))))</f>
        <v>1.05219570491767</v>
      </c>
      <c r="E683" s="37" t="n">
        <f aca="false">1+IF($G$9=$E$9,$F$9,IF(S683&lt;($F$9-$E$9)/($G$9-$E$9),$E$9+SQRT(S683*($G$9-$E$9)*($F$9-$E$9)),$G$9-SQRT((1-S683)*($G$9-$E$9)*($G$9-$F$9))))</f>
        <v>1.03523740375162</v>
      </c>
      <c r="F683" s="37" t="n">
        <f aca="false">1+IF($G$10=$E$10,$F$10,IF(T683&lt;($F$10-$E$10)/($G$10-$E$10),$E$10+SQRT(T683*($G$10-$E$10)*($F$10-$E$10)),$G$10-SQRT((1-T683)*($G$10-$E$10)*($G$10-$F$10))))</f>
        <v>1.15569277736193</v>
      </c>
      <c r="G683" s="38" t="n">
        <f aca="false">IF($G$11=$E$11,$F$11,IF(U683&lt;($F$11-$E$11)/($G$11-$E$11),$E$11+SQRT(U683*($G$11-$E$11)*($F$11-$E$11)),$G$11-SQRT((1-U683)*($G$11-$E$11)*($G$11-$F$11))))</f>
        <v>0.105719272342754</v>
      </c>
      <c r="H683" s="39" t="n">
        <f aca="false">(('Business Case'!B11*$C683*'Business Case'!B12*$B683)-'Business Case'!B11*$C683*'Business Case'!B13*$D683-'Business Case'!B14*$E683)-MAX(0,(('Business Case'!B11*$C683*'Business Case'!B12*$B683)-'Business Case'!B11*$C683*'Business Case'!B13*$D683-'Business Case'!B14*$E683))*'Business Case'!$B$7-'Business Case'!$B$8*('Business Case'!B11*$C683*'Business Case'!B12*$B683)-'Business Case'!B15*$F683</f>
        <v>-2311385554.72385</v>
      </c>
      <c r="I683" s="39" t="n">
        <f aca="false">(('Business Case'!C11*$C683*'Business Case'!C12*$B683)-'Business Case'!C11*$C683*'Business Case'!C13*$D683-'Business Case'!C14*$E683)-MAX(0,(('Business Case'!C11*$C683*'Business Case'!C12*$B683)-'Business Case'!C11*$C683*'Business Case'!C13*$D683-'Business Case'!C14*$E683))*'Business Case'!$B$7-'Business Case'!$B$8*(('Business Case'!C11*$C683*'Business Case'!C12*$B683)-('Business Case'!B11*$C683*'Business Case'!B12*$B683))-'Business Case'!C15*$F683</f>
        <v>-63895183.9391945</v>
      </c>
      <c r="J683" s="39" t="n">
        <f aca="false">(('Business Case'!D11*$C683*'Business Case'!D12*$B683)-'Business Case'!D11*$C683*'Business Case'!D13*$D683-'Business Case'!D14*$E683)-MAX(0,(('Business Case'!D11*$C683*'Business Case'!D12*$B683)-'Business Case'!D11*$C683*'Business Case'!D13*$D683-'Business Case'!D14*$E683))*'Business Case'!$B$7-'Business Case'!$B$8*(('Business Case'!D11*$C683*'Business Case'!D12*$B683)-('Business Case'!C11*$C683*'Business Case'!C12*$B683))-'Business Case'!D15*$F683</f>
        <v>185958917.925144</v>
      </c>
      <c r="K683" s="39" t="n">
        <f aca="false">(('Business Case'!E11*$C683*'Business Case'!E12*$B683)-'Business Case'!E11*$C683*'Business Case'!E13*$D683-'Business Case'!E14*$E683)-MAX(0,(('Business Case'!E11*$C683*'Business Case'!E12*$B683)-'Business Case'!E11*$C683*'Business Case'!E13*$D683-'Business Case'!E14*$E683))*'Business Case'!$B$7-'Business Case'!$B$8*(('Business Case'!E11*$C683*'Business Case'!E12*$B683)-('Business Case'!D11*$C683*'Business Case'!D12*$B683))-'Business Case'!E15*$F683</f>
        <v>493597658.657579</v>
      </c>
      <c r="L683" s="39" t="n">
        <f aca="false">(('Business Case'!F11*$C683*'Business Case'!F12*$B683)-'Business Case'!F11*$C683*'Business Case'!F13*$D683-'Business Case'!F14*$E683)-MAX(0,(('Business Case'!F11*$C683*'Business Case'!F12*$B683)-'Business Case'!F11*$C683*'Business Case'!F13*$D683-'Business Case'!F14*$E683))*'Business Case'!$B$7-'Business Case'!$B$8*(('Business Case'!F11*$C683*'Business Case'!F12*$B683)-('Business Case'!E11*$C683*'Business Case'!E12*$B683))-'Business Case'!F15*$F683</f>
        <v>610861858.781598</v>
      </c>
      <c r="M683" s="39" t="n">
        <f aca="false">(('Business Case'!G11*$C683*'Business Case'!G12*$B683)-'Business Case'!G11*$C683*'Business Case'!G13*$D683-'Business Case'!G14*$E683)-MAX(0,(('Business Case'!G11*$C683*'Business Case'!G12*$B683)-'Business Case'!G11*$C683*'Business Case'!G13*$D683-'Business Case'!G14*$E683))*'Business Case'!$B$7-'Business Case'!$B$8*(('Business Case'!G11*$C683*'Business Case'!G12*$B683)-('Business Case'!F11*$C683*'Business Case'!F12*$B683))-'Business Case'!G15*$F683+'Business Case'!$B$8*('Business Case'!G11*$C683*'Business Case'!G12*$B683)</f>
        <v>797749106.045749</v>
      </c>
      <c r="N683" s="39" t="n">
        <f aca="false">IF(COUNT('Business Case'!B11:G11)=0,"",H683+NPV(G683,I683:M683))</f>
        <v>-960627972.138034</v>
      </c>
      <c r="P683" s="40" t="n">
        <f aca="true">RAND()</f>
        <v>0.116416594929193</v>
      </c>
      <c r="Q683" s="40" t="n">
        <f aca="true">RAND()</f>
        <v>0.731293903544704</v>
      </c>
      <c r="R683" s="40" t="n">
        <f aca="true">RAND()</f>
        <v>0.925665497593703</v>
      </c>
      <c r="S683" s="40" t="n">
        <f aca="true">RAND()</f>
        <v>0.720387075144662</v>
      </c>
      <c r="T683" s="40" t="n">
        <f aca="true">RAND()</f>
        <v>0.960737400442002</v>
      </c>
      <c r="U683" s="40" t="n">
        <f aca="true">RAND()</f>
        <v>0.660101362632598</v>
      </c>
    </row>
    <row r="684" customFormat="false" ht="15" hidden="false" customHeight="false" outlineLevel="0" collapsed="false">
      <c r="A684" s="36" t="n">
        <v>604</v>
      </c>
      <c r="B684" s="37" t="n">
        <f aca="false">1+IF($G$6=$E$6,$F$6,IF(P684&lt;($F$6-$E$6)/($G$6-$E$6),$E$6+SQRT(P684*($G$6-$E$6)*($F$6-$E$6)),$G$6-SQRT((1-P684)*($G$6-$E$6)*($G$6-$F$6))))</f>
        <v>0.946642479967033</v>
      </c>
      <c r="C684" s="37" t="n">
        <f aca="false">1+IF($G$7=$E$7,$F$7,IF(Q684&lt;($F$7-$E$7)/($G$7-$E$7),$E$7+SQRT(Q684*($G$7-$E$7)*($F$7-$E$7)),$G$7-SQRT((1-Q684)*($G$7-$E$7)*($G$7-$F$7))))</f>
        <v>0.858462888686521</v>
      </c>
      <c r="D684" s="37" t="n">
        <f aca="false">1+IF($G$8=$E$8,$F$8,IF(R684&lt;($F$8-$E$8)/($G$8-$E$8),$E$8+SQRT(R684*($G$8-$E$8)*($F$8-$E$8)),$G$8-SQRT((1-R684)*($G$8-$E$8)*($G$8-$F$8))))</f>
        <v>0.961830369011773</v>
      </c>
      <c r="E684" s="37" t="n">
        <f aca="false">1+IF($G$9=$E$9,$F$9,IF(S684&lt;($F$9-$E$9)/($G$9-$E$9),$E$9+SQRT(S684*($G$9-$E$9)*($F$9-$E$9)),$G$9-SQRT((1-S684)*($G$9-$E$9)*($G$9-$F$9))))</f>
        <v>1.04722719293104</v>
      </c>
      <c r="F684" s="37" t="n">
        <f aca="false">1+IF($G$10=$E$10,$F$10,IF(T684&lt;($F$10-$E$10)/($G$10-$E$10),$E$10+SQRT(T684*($G$10-$E$10)*($F$10-$E$10)),$G$10-SQRT((1-T684)*($G$10-$E$10)*($G$10-$F$10))))</f>
        <v>1.01736062609175</v>
      </c>
      <c r="G684" s="38" t="n">
        <f aca="false">IF($G$11=$E$11,$F$11,IF(U684&lt;($F$11-$E$11)/($G$11-$E$11),$E$11+SQRT(U684*($G$11-$E$11)*($F$11-$E$11)),$G$11-SQRT((1-U684)*($G$11-$E$11)*($G$11-$F$11))))</f>
        <v>0.116914857709793</v>
      </c>
      <c r="H684" s="39" t="n">
        <f aca="false">(('Business Case'!B11*$C684*'Business Case'!B12*$B684)-'Business Case'!B11*$C684*'Business Case'!B13*$D684-'Business Case'!B14*$E684)-MAX(0,(('Business Case'!B11*$C684*'Business Case'!B12*$B684)-'Business Case'!B11*$C684*'Business Case'!B13*$D684-'Business Case'!B14*$E684))*'Business Case'!$B$7-'Business Case'!$B$8*('Business Case'!B11*$C684*'Business Case'!B12*$B684)-'Business Case'!B15*$F684</f>
        <v>-2034721252.18351</v>
      </c>
      <c r="I684" s="39" t="n">
        <f aca="false">(('Business Case'!C11*$C684*'Business Case'!C12*$B684)-'Business Case'!C11*$C684*'Business Case'!C13*$D684-'Business Case'!C14*$E684)-MAX(0,(('Business Case'!C11*$C684*'Business Case'!C12*$B684)-'Business Case'!C11*$C684*'Business Case'!C13*$D684-'Business Case'!C14*$E684))*'Business Case'!$B$7-'Business Case'!$B$8*(('Business Case'!C11*$C684*'Business Case'!C12*$B684)-('Business Case'!B11*$C684*'Business Case'!B12*$B684))-'Business Case'!C15*$F684</f>
        <v>-49845109.0186454</v>
      </c>
      <c r="J684" s="39" t="n">
        <f aca="false">(('Business Case'!D11*$C684*'Business Case'!D12*$B684)-'Business Case'!D11*$C684*'Business Case'!D13*$D684-'Business Case'!D14*$E684)-MAX(0,(('Business Case'!D11*$C684*'Business Case'!D12*$B684)-'Business Case'!D11*$C684*'Business Case'!D13*$D684-'Business Case'!D14*$E684))*'Business Case'!$B$7-'Business Case'!$B$8*(('Business Case'!D11*$C684*'Business Case'!D12*$B684)-('Business Case'!C11*$C684*'Business Case'!C12*$B684))-'Business Case'!D15*$F684</f>
        <v>193089712.987719</v>
      </c>
      <c r="K684" s="39" t="n">
        <f aca="false">(('Business Case'!E11*$C684*'Business Case'!E12*$B684)-'Business Case'!E11*$C684*'Business Case'!E13*$D684-'Business Case'!E14*$E684)-MAX(0,(('Business Case'!E11*$C684*'Business Case'!E12*$B684)-'Business Case'!E11*$C684*'Business Case'!E13*$D684-'Business Case'!E14*$E684))*'Business Case'!$B$7-'Business Case'!$B$8*(('Business Case'!E11*$C684*'Business Case'!E12*$B684)-('Business Case'!D11*$C684*'Business Case'!D12*$B684))-'Business Case'!E15*$F684</f>
        <v>486892566.298671</v>
      </c>
      <c r="L684" s="39" t="n">
        <f aca="false">(('Business Case'!F11*$C684*'Business Case'!F12*$B684)-'Business Case'!F11*$C684*'Business Case'!F13*$D684-'Business Case'!F14*$E684)-MAX(0,(('Business Case'!F11*$C684*'Business Case'!F12*$B684)-'Business Case'!F11*$C684*'Business Case'!F13*$D684-'Business Case'!F14*$E684))*'Business Case'!$B$7-'Business Case'!$B$8*(('Business Case'!F11*$C684*'Business Case'!F12*$B684)-('Business Case'!E11*$C684*'Business Case'!E12*$B684))-'Business Case'!F15*$F684</f>
        <v>595956281.354819</v>
      </c>
      <c r="M684" s="39" t="n">
        <f aca="false">(('Business Case'!G11*$C684*'Business Case'!G12*$B684)-'Business Case'!G11*$C684*'Business Case'!G13*$D684-'Business Case'!G14*$E684)-MAX(0,(('Business Case'!G11*$C684*'Business Case'!G12*$B684)-'Business Case'!G11*$C684*'Business Case'!G13*$D684-'Business Case'!G14*$E684))*'Business Case'!$B$7-'Business Case'!$B$8*(('Business Case'!G11*$C684*'Business Case'!G12*$B684)-('Business Case'!F11*$C684*'Business Case'!F12*$B684))-'Business Case'!G15*$F684+'Business Case'!$B$8*('Business Case'!G11*$C684*'Business Case'!G12*$B684)</f>
        <v>750426207.151967</v>
      </c>
      <c r="N684" s="39" t="n">
        <f aca="false">IF(COUNT('Business Case'!B11:G11)=0,"",H684+NPV(G684,I684:M684))</f>
        <v>-760458557.284164</v>
      </c>
      <c r="P684" s="40" t="n">
        <f aca="true">RAND()</f>
        <v>0.0739397644576803</v>
      </c>
      <c r="Q684" s="40" t="n">
        <f aca="true">RAND()</f>
        <v>0.0488272764796085</v>
      </c>
      <c r="R684" s="40" t="n">
        <f aca="true">RAND()</f>
        <v>0.0215319432238044</v>
      </c>
      <c r="S684" s="40" t="n">
        <f aca="true">RAND()</f>
        <v>0.814335388937493</v>
      </c>
      <c r="T684" s="40" t="n">
        <f aca="true">RAND()</f>
        <v>0.332857181968069</v>
      </c>
      <c r="U684" s="40" t="n">
        <f aca="true">RAND()</f>
        <v>0.984136495081963</v>
      </c>
    </row>
    <row r="685" customFormat="false" ht="15" hidden="false" customHeight="false" outlineLevel="0" collapsed="false">
      <c r="A685" s="36" t="n">
        <v>605</v>
      </c>
      <c r="B685" s="37" t="n">
        <f aca="false">1+IF($G$6=$E$6,$F$6,IF(P685&lt;($F$6-$E$6)/($G$6-$E$6),$E$6+SQRT(P685*($G$6-$E$6)*($F$6-$E$6)),$G$6-SQRT((1-P685)*($G$6-$E$6)*($G$6-$F$6))))</f>
        <v>0.973993781418759</v>
      </c>
      <c r="C685" s="37" t="n">
        <f aca="false">1+IF($G$7=$E$7,$F$7,IF(Q685&lt;($F$7-$E$7)/($G$7-$E$7),$E$7+SQRT(Q685*($G$7-$E$7)*($F$7-$E$7)),$G$7-SQRT((1-Q685)*($G$7-$E$7)*($G$7-$F$7))))</f>
        <v>0.967966991536346</v>
      </c>
      <c r="D685" s="37" t="n">
        <f aca="false">1+IF($G$8=$E$8,$F$8,IF(R685&lt;($F$8-$E$8)/($G$8-$E$8),$E$8+SQRT(R685*($G$8-$E$8)*($F$8-$E$8)),$G$8-SQRT((1-R685)*($G$8-$E$8)*($G$8-$F$8))))</f>
        <v>0.969457387289502</v>
      </c>
      <c r="E685" s="37" t="n">
        <f aca="false">1+IF($G$9=$E$9,$F$9,IF(S685&lt;($F$9-$E$9)/($G$9-$E$9),$E$9+SQRT(S685*($G$9-$E$9)*($F$9-$E$9)),$G$9-SQRT((1-S685)*($G$9-$E$9)*($G$9-$F$9))))</f>
        <v>1.03535687438554</v>
      </c>
      <c r="F685" s="37" t="n">
        <f aca="false">1+IF($G$10=$E$10,$F$10,IF(T685&lt;($F$10-$E$10)/($G$10-$E$10),$E$10+SQRT(T685*($G$10-$E$10)*($F$10-$E$10)),$G$10-SQRT((1-T685)*($G$10-$E$10)*($G$10-$F$10))))</f>
        <v>1.10321744086318</v>
      </c>
      <c r="G685" s="38" t="n">
        <f aca="false">IF($G$11=$E$11,$F$11,IF(U685&lt;($F$11-$E$11)/($G$11-$E$11),$E$11+SQRT(U685*($G$11-$E$11)*($F$11-$E$11)),$G$11-SQRT((1-U685)*($G$11-$E$11)*($G$11-$F$11))))</f>
        <v>0.105493982371112</v>
      </c>
      <c r="H685" s="39" t="n">
        <f aca="false">(('Business Case'!B11*$C685*'Business Case'!B12*$B685)-'Business Case'!B11*$C685*'Business Case'!B13*$D685-'Business Case'!B14*$E685)-MAX(0,(('Business Case'!B11*$C685*'Business Case'!B12*$B685)-'Business Case'!B11*$C685*'Business Case'!B13*$D685-'Business Case'!B14*$E685))*'Business Case'!$B$7-'Business Case'!$B$8*('Business Case'!B11*$C685*'Business Case'!B12*$B685)-'Business Case'!B15*$F685</f>
        <v>-2206434881.72636</v>
      </c>
      <c r="I685" s="39" t="n">
        <f aca="false">(('Business Case'!C11*$C685*'Business Case'!C12*$B685)-'Business Case'!C11*$C685*'Business Case'!C13*$D685-'Business Case'!C14*$E685)-MAX(0,(('Business Case'!C11*$C685*'Business Case'!C12*$B685)-'Business Case'!C11*$C685*'Business Case'!C13*$D685-'Business Case'!C14*$E685))*'Business Case'!$B$7-'Business Case'!$B$8*(('Business Case'!C11*$C685*'Business Case'!C12*$B685)-('Business Case'!B11*$C685*'Business Case'!B12*$B685))-'Business Case'!C15*$F685</f>
        <v>-14595031.6434222</v>
      </c>
      <c r="J685" s="39" t="n">
        <f aca="false">(('Business Case'!D11*$C685*'Business Case'!D12*$B685)-'Business Case'!D11*$C685*'Business Case'!D13*$D685-'Business Case'!D14*$E685)-MAX(0,(('Business Case'!D11*$C685*'Business Case'!D12*$B685)-'Business Case'!D11*$C685*'Business Case'!D13*$D685-'Business Case'!D14*$E685))*'Business Case'!$B$7-'Business Case'!$B$8*(('Business Case'!D11*$C685*'Business Case'!D12*$B685)-('Business Case'!C11*$C685*'Business Case'!C12*$B685))-'Business Case'!D15*$F685</f>
        <v>277233860.503738</v>
      </c>
      <c r="K685" s="39" t="n">
        <f aca="false">(('Business Case'!E11*$C685*'Business Case'!E12*$B685)-'Business Case'!E11*$C685*'Business Case'!E13*$D685-'Business Case'!E14*$E685)-MAX(0,(('Business Case'!E11*$C685*'Business Case'!E12*$B685)-'Business Case'!E11*$C685*'Business Case'!E13*$D685-'Business Case'!E14*$E685))*'Business Case'!$B$7-'Business Case'!$B$8*(('Business Case'!E11*$C685*'Business Case'!E12*$B685)-('Business Case'!D11*$C685*'Business Case'!D12*$B685))-'Business Case'!E15*$F685</f>
        <v>624223624.694058</v>
      </c>
      <c r="L685" s="39" t="n">
        <f aca="false">(('Business Case'!F11*$C685*'Business Case'!F12*$B685)-'Business Case'!F11*$C685*'Business Case'!F13*$D685-'Business Case'!F14*$E685)-MAX(0,(('Business Case'!F11*$C685*'Business Case'!F12*$B685)-'Business Case'!F11*$C685*'Business Case'!F13*$D685-'Business Case'!F14*$E685))*'Business Case'!$B$7-'Business Case'!$B$8*(('Business Case'!F11*$C685*'Business Case'!F12*$B685)-('Business Case'!E11*$C685*'Business Case'!E12*$B685))-'Business Case'!F15*$F685</f>
        <v>754082876.854205</v>
      </c>
      <c r="M685" s="39" t="n">
        <f aca="false">(('Business Case'!G11*$C685*'Business Case'!G12*$B685)-'Business Case'!G11*$C685*'Business Case'!G13*$D685-'Business Case'!G14*$E685)-MAX(0,(('Business Case'!G11*$C685*'Business Case'!G12*$B685)-'Business Case'!G11*$C685*'Business Case'!G13*$D685-'Business Case'!G14*$E685))*'Business Case'!$B$7-'Business Case'!$B$8*(('Business Case'!G11*$C685*'Business Case'!G12*$B685)-('Business Case'!F11*$C685*'Business Case'!F12*$B685))-'Business Case'!G15*$F685+'Business Case'!$B$8*('Business Case'!G11*$C685*'Business Case'!G12*$B685)</f>
        <v>933289128.13189</v>
      </c>
      <c r="N685" s="39" t="n">
        <f aca="false">IF(COUNT('Business Case'!B11:G11)=0,"",H685+NPV(G685,I685:M685))</f>
        <v>-460630893.325138</v>
      </c>
      <c r="P685" s="40" t="n">
        <f aca="true">RAND()</f>
        <v>0.303680044989242</v>
      </c>
      <c r="Q685" s="40" t="n">
        <f aca="true">RAND()</f>
        <v>0.403041574939584</v>
      </c>
      <c r="R685" s="40" t="n">
        <f aca="true">RAND()</f>
        <v>0.058244603097486</v>
      </c>
      <c r="S685" s="40" t="n">
        <f aca="true">RAND()</f>
        <v>0.721417754052856</v>
      </c>
      <c r="T685" s="40" t="n">
        <f aca="true">RAND()</f>
        <v>0.812662724938557</v>
      </c>
      <c r="U685" s="40" t="n">
        <f aca="true">RAND()</f>
        <v>0.649292420917322</v>
      </c>
    </row>
    <row r="686" customFormat="false" ht="15" hidden="false" customHeight="false" outlineLevel="0" collapsed="false">
      <c r="A686" s="36" t="n">
        <v>606</v>
      </c>
      <c r="B686" s="37" t="n">
        <f aca="false">1+IF($G$6=$E$6,$F$6,IF(P686&lt;($F$6-$E$6)/($G$6-$E$6),$E$6+SQRT(P686*($G$6-$E$6)*($F$6-$E$6)),$G$6-SQRT((1-P686)*($G$6-$E$6)*($G$6-$F$6))))</f>
        <v>0.957749423124343</v>
      </c>
      <c r="C686" s="37" t="n">
        <f aca="false">1+IF($G$7=$E$7,$F$7,IF(Q686&lt;($F$7-$E$7)/($G$7-$E$7),$E$7+SQRT(Q686*($G$7-$E$7)*($F$7-$E$7)),$G$7-SQRT((1-Q686)*($G$7-$E$7)*($G$7-$F$7))))</f>
        <v>0.952562586786776</v>
      </c>
      <c r="D686" s="37" t="n">
        <f aca="false">1+IF($G$8=$E$8,$F$8,IF(R686&lt;($F$8-$E$8)/($G$8-$E$8),$E$8+SQRT(R686*($G$8-$E$8)*($F$8-$E$8)),$G$8-SQRT((1-R686)*($G$8-$E$8)*($G$8-$F$8))))</f>
        <v>1.052486827733</v>
      </c>
      <c r="E686" s="37" t="n">
        <f aca="false">1+IF($G$9=$E$9,$F$9,IF(S686&lt;($F$9-$E$9)/($G$9-$E$9),$E$9+SQRT(S686*($G$9-$E$9)*($F$9-$E$9)),$G$9-SQRT((1-S686)*($G$9-$E$9)*($G$9-$F$9))))</f>
        <v>1.07150040955071</v>
      </c>
      <c r="F686" s="37" t="n">
        <f aca="false">1+IF($G$10=$E$10,$F$10,IF(T686&lt;($F$10-$E$10)/($G$10-$E$10),$E$10+SQRT(T686*($G$10-$E$10)*($F$10-$E$10)),$G$10-SQRT((1-T686)*($G$10-$E$10)*($G$10-$F$10))))</f>
        <v>1.07233496605292</v>
      </c>
      <c r="G686" s="38" t="n">
        <f aca="false">IF($G$11=$E$11,$F$11,IF(U686&lt;($F$11-$E$11)/($G$11-$E$11),$E$11+SQRT(U686*($G$11-$E$11)*($F$11-$E$11)),$G$11-SQRT((1-U686)*($G$11-$E$11)*($G$11-$F$11))))</f>
        <v>0.108177443177975</v>
      </c>
      <c r="H686" s="39" t="n">
        <f aca="false">(('Business Case'!B11*$C686*'Business Case'!B12*$B686)-'Business Case'!B11*$C686*'Business Case'!B13*$D686-'Business Case'!B14*$E686)-MAX(0,(('Business Case'!B11*$C686*'Business Case'!B12*$B686)-'Business Case'!B11*$C686*'Business Case'!B13*$D686-'Business Case'!B14*$E686))*'Business Case'!$B$7-'Business Case'!$B$8*('Business Case'!B11*$C686*'Business Case'!B12*$B686)-'Business Case'!B15*$F686</f>
        <v>-2144669932.10584</v>
      </c>
      <c r="I686" s="39" t="n">
        <f aca="false">(('Business Case'!C11*$C686*'Business Case'!C12*$B686)-'Business Case'!C11*$C686*'Business Case'!C13*$D686-'Business Case'!C14*$E686)-MAX(0,(('Business Case'!C11*$C686*'Business Case'!C12*$B686)-'Business Case'!C11*$C686*'Business Case'!C13*$D686-'Business Case'!C14*$E686))*'Business Case'!$B$7-'Business Case'!$B$8*(('Business Case'!C11*$C686*'Business Case'!C12*$B686)-('Business Case'!B11*$C686*'Business Case'!B12*$B686))-'Business Case'!C15*$F686</f>
        <v>-72872917.6532131</v>
      </c>
      <c r="J686" s="39" t="n">
        <f aca="false">(('Business Case'!D11*$C686*'Business Case'!D12*$B686)-'Business Case'!D11*$C686*'Business Case'!D13*$D686-'Business Case'!D14*$E686)-MAX(0,(('Business Case'!D11*$C686*'Business Case'!D12*$B686)-'Business Case'!D11*$C686*'Business Case'!D13*$D686-'Business Case'!D14*$E686))*'Business Case'!$B$7-'Business Case'!$B$8*(('Business Case'!D11*$C686*'Business Case'!D12*$B686)-('Business Case'!C11*$C686*'Business Case'!C12*$B686))-'Business Case'!D15*$F686</f>
        <v>161149494.869312</v>
      </c>
      <c r="K686" s="39" t="n">
        <f aca="false">(('Business Case'!E11*$C686*'Business Case'!E12*$B686)-'Business Case'!E11*$C686*'Business Case'!E13*$D686-'Business Case'!E14*$E686)-MAX(0,(('Business Case'!E11*$C686*'Business Case'!E12*$B686)-'Business Case'!E11*$C686*'Business Case'!E13*$D686-'Business Case'!E14*$E686))*'Business Case'!$B$7-'Business Case'!$B$8*(('Business Case'!E11*$C686*'Business Case'!E12*$B686)-('Business Case'!D11*$C686*'Business Case'!D12*$B686))-'Business Case'!E15*$F686</f>
        <v>448788655.694483</v>
      </c>
      <c r="L686" s="39" t="n">
        <f aca="false">(('Business Case'!F11*$C686*'Business Case'!F12*$B686)-'Business Case'!F11*$C686*'Business Case'!F13*$D686-'Business Case'!F14*$E686)-MAX(0,(('Business Case'!F11*$C686*'Business Case'!F12*$B686)-'Business Case'!F11*$C686*'Business Case'!F13*$D686-'Business Case'!F14*$E686))*'Business Case'!$B$7-'Business Case'!$B$8*(('Business Case'!F11*$C686*'Business Case'!F12*$B686)-('Business Case'!E11*$C686*'Business Case'!E12*$B686))-'Business Case'!F15*$F686</f>
        <v>558325776.756882</v>
      </c>
      <c r="M686" s="39" t="n">
        <f aca="false">(('Business Case'!G11*$C686*'Business Case'!G12*$B686)-'Business Case'!G11*$C686*'Business Case'!G13*$D686-'Business Case'!G14*$E686)-MAX(0,(('Business Case'!G11*$C686*'Business Case'!G12*$B686)-'Business Case'!G11*$C686*'Business Case'!G13*$D686-'Business Case'!G14*$E686))*'Business Case'!$B$7-'Business Case'!$B$8*(('Business Case'!G11*$C686*'Business Case'!G12*$B686)-('Business Case'!F11*$C686*'Business Case'!F12*$B686))-'Business Case'!G15*$F686+'Business Case'!$B$8*('Business Case'!G11*$C686*'Business Case'!G12*$B686)</f>
        <v>731738852.975445</v>
      </c>
      <c r="N686" s="39" t="n">
        <f aca="false">IF(COUNT('Business Case'!B11:G11)=0,"",H686+NPV(G686,I686:M686))</f>
        <v>-941387864.786713</v>
      </c>
      <c r="P686" s="40" t="n">
        <f aca="true">RAND()</f>
        <v>0.148439473564657</v>
      </c>
      <c r="Q686" s="40" t="n">
        <f aca="true">RAND()</f>
        <v>0.332504898386751</v>
      </c>
      <c r="R686" s="40" t="n">
        <f aca="true">RAND()</f>
        <v>0.927213976135241</v>
      </c>
      <c r="S686" s="40" t="n">
        <f aca="true">RAND()</f>
        <v>0.945851556281508</v>
      </c>
      <c r="T686" s="40" t="n">
        <f aca="true">RAND()</f>
        <v>0.674032782145819</v>
      </c>
      <c r="U686" s="40" t="n">
        <f aca="true">RAND()</f>
        <v>0.767045250316654</v>
      </c>
    </row>
    <row r="687" customFormat="false" ht="15" hidden="false" customHeight="false" outlineLevel="0" collapsed="false">
      <c r="A687" s="36" t="n">
        <v>607</v>
      </c>
      <c r="B687" s="37" t="n">
        <f aca="false">1+IF($G$6=$E$6,$F$6,IF(P687&lt;($F$6-$E$6)/($G$6-$E$6),$E$6+SQRT(P687*($G$6-$E$6)*($F$6-$E$6)),$G$6-SQRT((1-P687)*($G$6-$E$6)*($G$6-$F$6))))</f>
        <v>0.979124892417422</v>
      </c>
      <c r="C687" s="37" t="n">
        <f aca="false">1+IF($G$7=$E$7,$F$7,IF(Q687&lt;($F$7-$E$7)/($G$7-$E$7),$E$7+SQRT(Q687*($G$7-$E$7)*($F$7-$E$7)),$G$7-SQRT((1-Q687)*($G$7-$E$7)*($G$7-$F$7))))</f>
        <v>1.05083975634347</v>
      </c>
      <c r="D687" s="37" t="n">
        <f aca="false">1+IF($G$8=$E$8,$F$8,IF(R687&lt;($F$8-$E$8)/($G$8-$E$8),$E$8+SQRT(R687*($G$8-$E$8)*($F$8-$E$8)),$G$8-SQRT((1-R687)*($G$8-$E$8)*($G$8-$F$8))))</f>
        <v>0.977457803137757</v>
      </c>
      <c r="E687" s="37" t="n">
        <f aca="false">1+IF($G$9=$E$9,$F$9,IF(S687&lt;($F$9-$E$9)/($G$9-$E$9),$E$9+SQRT(S687*($G$9-$E$9)*($F$9-$E$9)),$G$9-SQRT((1-S687)*($G$9-$E$9)*($G$9-$F$9))))</f>
        <v>1.01077911211622</v>
      </c>
      <c r="F687" s="37" t="n">
        <f aca="false">1+IF($G$10=$E$10,$F$10,IF(T687&lt;($F$10-$E$10)/($G$10-$E$10),$E$10+SQRT(T687*($G$10-$E$10)*($F$10-$E$10)),$G$10-SQRT((1-T687)*($G$10-$E$10)*($G$10-$F$10))))</f>
        <v>1.03455701547819</v>
      </c>
      <c r="G687" s="38" t="n">
        <f aca="false">IF($G$11=$E$11,$F$11,IF(U687&lt;($F$11-$E$11)/($G$11-$E$11),$E$11+SQRT(U687*($G$11-$E$11)*($F$11-$E$11)),$G$11-SQRT((1-U687)*($G$11-$E$11)*($G$11-$F$11))))</f>
        <v>0.105290298404204</v>
      </c>
      <c r="H687" s="39" t="n">
        <f aca="false">(('Business Case'!B11*$C687*'Business Case'!B12*$B687)-'Business Case'!B11*$C687*'Business Case'!B13*$D687-'Business Case'!B14*$E687)-MAX(0,(('Business Case'!B11*$C687*'Business Case'!B12*$B687)-'Business Case'!B11*$C687*'Business Case'!B13*$D687-'Business Case'!B14*$E687))*'Business Case'!$B$7-'Business Case'!$B$8*('Business Case'!B11*$C687*'Business Case'!B12*$B687)-'Business Case'!B15*$F687</f>
        <v>-2069114030.95637</v>
      </c>
      <c r="I687" s="39" t="n">
        <f aca="false">(('Business Case'!C11*$C687*'Business Case'!C12*$B687)-'Business Case'!C11*$C687*'Business Case'!C13*$D687-'Business Case'!C14*$E687)-MAX(0,(('Business Case'!C11*$C687*'Business Case'!C12*$B687)-'Business Case'!C11*$C687*'Business Case'!C13*$D687-'Business Case'!C14*$E687))*'Business Case'!$B$7-'Business Case'!$B$8*(('Business Case'!C11*$C687*'Business Case'!C12*$B687)-('Business Case'!B11*$C687*'Business Case'!B12*$B687))-'Business Case'!C15*$F687</f>
        <v>16399688.0429918</v>
      </c>
      <c r="J687" s="39" t="n">
        <f aca="false">(('Business Case'!D11*$C687*'Business Case'!D12*$B687)-'Business Case'!D11*$C687*'Business Case'!D13*$D687-'Business Case'!D14*$E687)-MAX(0,(('Business Case'!D11*$C687*'Business Case'!D12*$B687)-'Business Case'!D11*$C687*'Business Case'!D13*$D687-'Business Case'!D14*$E687))*'Business Case'!$B$7-'Business Case'!$B$8*(('Business Case'!D11*$C687*'Business Case'!D12*$B687)-('Business Case'!C11*$C687*'Business Case'!C12*$B687))-'Business Case'!D15*$F687</f>
        <v>333326217.734232</v>
      </c>
      <c r="K687" s="39" t="n">
        <f aca="false">(('Business Case'!E11*$C687*'Business Case'!E12*$B687)-'Business Case'!E11*$C687*'Business Case'!E13*$D687-'Business Case'!E14*$E687)-MAX(0,(('Business Case'!E11*$C687*'Business Case'!E12*$B687)-'Business Case'!E11*$C687*'Business Case'!E13*$D687-'Business Case'!E14*$E687))*'Business Case'!$B$7-'Business Case'!$B$8*(('Business Case'!E11*$C687*'Business Case'!E12*$B687)-('Business Case'!D11*$C687*'Business Case'!D12*$B687))-'Business Case'!E15*$F687</f>
        <v>701980598.199382</v>
      </c>
      <c r="L687" s="39" t="n">
        <f aca="false">(('Business Case'!F11*$C687*'Business Case'!F12*$B687)-'Business Case'!F11*$C687*'Business Case'!F13*$D687-'Business Case'!F14*$E687)-MAX(0,(('Business Case'!F11*$C687*'Business Case'!F12*$B687)-'Business Case'!F11*$C687*'Business Case'!F13*$D687-'Business Case'!F14*$E687))*'Business Case'!$B$7-'Business Case'!$B$8*(('Business Case'!F11*$C687*'Business Case'!F12*$B687)-('Business Case'!E11*$C687*'Business Case'!E12*$B687))-'Business Case'!F15*$F687</f>
        <v>843181675.001463</v>
      </c>
      <c r="M687" s="39" t="n">
        <f aca="false">(('Business Case'!G11*$C687*'Business Case'!G12*$B687)-'Business Case'!G11*$C687*'Business Case'!G13*$D687-'Business Case'!G14*$E687)-MAX(0,(('Business Case'!G11*$C687*'Business Case'!G12*$B687)-'Business Case'!G11*$C687*'Business Case'!G13*$D687-'Business Case'!G14*$E687))*'Business Case'!$B$7-'Business Case'!$B$8*(('Business Case'!G11*$C687*'Business Case'!G12*$B687)-('Business Case'!F11*$C687*'Business Case'!F12*$B687))-'Business Case'!G15*$F687+'Business Case'!$B$8*('Business Case'!G11*$C687*'Business Case'!G12*$B687)</f>
        <v>1038755626.31231</v>
      </c>
      <c r="N687" s="39" t="n">
        <f aca="false">IF(COUNT('Business Case'!B11:G11)=0,"",H687+NPV(G687,I687:M687))</f>
        <v>-66905178.8927121</v>
      </c>
      <c r="P687" s="40" t="n">
        <f aca="true">RAND()</f>
        <v>0.364140927434559</v>
      </c>
      <c r="Q687" s="40" t="n">
        <f aca="true">RAND()</f>
        <v>0.812709449104341</v>
      </c>
      <c r="R687" s="40" t="n">
        <f aca="true">RAND()</f>
        <v>0.115989377407972</v>
      </c>
      <c r="S687" s="40" t="n">
        <f aca="true">RAND()</f>
        <v>0.469308877682056</v>
      </c>
      <c r="T687" s="40" t="n">
        <f aca="true">RAND()</f>
        <v>0.452572377450305</v>
      </c>
      <c r="U687" s="40" t="n">
        <f aca="true">RAND()</f>
        <v>0.639374464937725</v>
      </c>
    </row>
    <row r="688" customFormat="false" ht="15" hidden="false" customHeight="false" outlineLevel="0" collapsed="false">
      <c r="A688" s="36" t="n">
        <v>608</v>
      </c>
      <c r="B688" s="37" t="n">
        <f aca="false">1+IF($G$6=$E$6,$F$6,IF(P688&lt;($F$6-$E$6)/($G$6-$E$6),$E$6+SQRT(P688*($G$6-$E$6)*($F$6-$E$6)),$G$6-SQRT((1-P688)*($G$6-$E$6)*($G$6-$F$6))))</f>
        <v>1.02046808240914</v>
      </c>
      <c r="C688" s="37" t="n">
        <f aca="false">1+IF($G$7=$E$7,$F$7,IF(Q688&lt;($F$7-$E$7)/($G$7-$E$7),$E$7+SQRT(Q688*($G$7-$E$7)*($F$7-$E$7)),$G$7-SQRT((1-Q688)*($G$7-$E$7)*($G$7-$F$7))))</f>
        <v>1.03055949388295</v>
      </c>
      <c r="D688" s="37" t="n">
        <f aca="false">1+IF($G$8=$E$8,$F$8,IF(R688&lt;($F$8-$E$8)/($G$8-$E$8),$E$8+SQRT(R688*($G$8-$E$8)*($F$8-$E$8)),$G$8-SQRT((1-R688)*($G$8-$E$8)*($G$8-$F$8))))</f>
        <v>0.998930946040428</v>
      </c>
      <c r="E688" s="37" t="n">
        <f aca="false">1+IF($G$9=$E$9,$F$9,IF(S688&lt;($F$9-$E$9)/($G$9-$E$9),$E$9+SQRT(S688*($G$9-$E$9)*($F$9-$E$9)),$G$9-SQRT((1-S688)*($G$9-$E$9)*($G$9-$F$9))))</f>
        <v>1.03596108123488</v>
      </c>
      <c r="F688" s="37" t="n">
        <f aca="false">1+IF($G$10=$E$10,$F$10,IF(T688&lt;($F$10-$E$10)/($G$10-$E$10),$E$10+SQRT(T688*($G$10-$E$10)*($F$10-$E$10)),$G$10-SQRT((1-T688)*($G$10-$E$10)*($G$10-$F$10))))</f>
        <v>1.15384894131351</v>
      </c>
      <c r="G688" s="38" t="n">
        <f aca="false">IF($G$11=$E$11,$F$11,IF(U688&lt;($F$11-$E$11)/($G$11-$E$11),$E$11+SQRT(U688*($G$11-$E$11)*($F$11-$E$11)),$G$11-SQRT((1-U688)*($G$11-$E$11)*($G$11-$F$11))))</f>
        <v>0.101288207648294</v>
      </c>
      <c r="H688" s="39" t="n">
        <f aca="false">(('Business Case'!B11*$C688*'Business Case'!B12*$B688)-'Business Case'!B11*$C688*'Business Case'!B13*$D688-'Business Case'!B14*$E688)-MAX(0,(('Business Case'!B11*$C688*'Business Case'!B12*$B688)-'Business Case'!B11*$C688*'Business Case'!B13*$D688-'Business Case'!B14*$E688))*'Business Case'!$B$7-'Business Case'!$B$8*('Business Case'!B11*$C688*'Business Case'!B12*$B688)-'Business Case'!B15*$F688</f>
        <v>-2307697882.62702</v>
      </c>
      <c r="I688" s="39" t="n">
        <f aca="false">(('Business Case'!C11*$C688*'Business Case'!C12*$B688)-'Business Case'!C11*$C688*'Business Case'!C13*$D688-'Business Case'!C14*$E688)-MAX(0,(('Business Case'!C11*$C688*'Business Case'!C12*$B688)-'Business Case'!C11*$C688*'Business Case'!C13*$D688-'Business Case'!C14*$E688))*'Business Case'!$B$7-'Business Case'!$B$8*(('Business Case'!C11*$C688*'Business Case'!C12*$B688)-('Business Case'!B11*$C688*'Business Case'!B12*$B688))-'Business Case'!C15*$F688</f>
        <v>17163307.0186882</v>
      </c>
      <c r="J688" s="39" t="n">
        <f aca="false">(('Business Case'!D11*$C688*'Business Case'!D12*$B688)-'Business Case'!D11*$C688*'Business Case'!D13*$D688-'Business Case'!D14*$E688)-MAX(0,(('Business Case'!D11*$C688*'Business Case'!D12*$B688)-'Business Case'!D11*$C688*'Business Case'!D13*$D688-'Business Case'!D14*$E688))*'Business Case'!$B$7-'Business Case'!$B$8*(('Business Case'!D11*$C688*'Business Case'!D12*$B688)-('Business Case'!C11*$C688*'Business Case'!C12*$B688))-'Business Case'!D15*$F688</f>
        <v>351542869.096668</v>
      </c>
      <c r="K688" s="39" t="n">
        <f aca="false">(('Business Case'!E11*$C688*'Business Case'!E12*$B688)-'Business Case'!E11*$C688*'Business Case'!E13*$D688-'Business Case'!E14*$E688)-MAX(0,(('Business Case'!E11*$C688*'Business Case'!E12*$B688)-'Business Case'!E11*$C688*'Business Case'!E13*$D688-'Business Case'!E14*$E688))*'Business Case'!$B$7-'Business Case'!$B$8*(('Business Case'!E11*$C688*'Business Case'!E12*$B688)-('Business Case'!D11*$C688*'Business Case'!D12*$B688))-'Business Case'!E15*$F688</f>
        <v>743614878.240323</v>
      </c>
      <c r="L688" s="39" t="n">
        <f aca="false">(('Business Case'!F11*$C688*'Business Case'!F12*$B688)-'Business Case'!F11*$C688*'Business Case'!F13*$D688-'Business Case'!F14*$E688)-MAX(0,(('Business Case'!F11*$C688*'Business Case'!F12*$B688)-'Business Case'!F11*$C688*'Business Case'!F13*$D688-'Business Case'!F14*$E688))*'Business Case'!$B$7-'Business Case'!$B$8*(('Business Case'!F11*$C688*'Business Case'!F12*$B688)-('Business Case'!E11*$C688*'Business Case'!E12*$B688))-'Business Case'!F15*$F688</f>
        <v>891419862.383877</v>
      </c>
      <c r="M688" s="39" t="n">
        <f aca="false">(('Business Case'!G11*$C688*'Business Case'!G12*$B688)-'Business Case'!G11*$C688*'Business Case'!G13*$D688-'Business Case'!G14*$E688)-MAX(0,(('Business Case'!G11*$C688*'Business Case'!G12*$B688)-'Business Case'!G11*$C688*'Business Case'!G13*$D688-'Business Case'!G14*$E688))*'Business Case'!$B$7-'Business Case'!$B$8*(('Business Case'!G11*$C688*'Business Case'!G12*$B688)-('Business Case'!F11*$C688*'Business Case'!F12*$B688))-'Business Case'!G15*$F688+'Business Case'!$B$8*('Business Case'!G11*$C688*'Business Case'!G12*$B688)</f>
        <v>1091318078.03046</v>
      </c>
      <c r="N688" s="39" t="n">
        <f aca="false">IF(COUNT('Business Case'!B11:G11)=0,"",H688+NPV(G688,I688:M688))</f>
        <v>-165853758.007493</v>
      </c>
      <c r="P688" s="40" t="n">
        <f aca="true">RAND()</f>
        <v>0.920521707338341</v>
      </c>
      <c r="Q688" s="40" t="n">
        <f aca="true">RAND()</f>
        <v>0.7282660094953</v>
      </c>
      <c r="R688" s="40" t="n">
        <f aca="true">RAND()</f>
        <v>0.368344227755586</v>
      </c>
      <c r="S688" s="40" t="n">
        <f aca="true">RAND()</f>
        <v>0.726601125559584</v>
      </c>
      <c r="T688" s="40" t="n">
        <f aca="true">RAND()</f>
        <v>0.957401595642319</v>
      </c>
      <c r="U688" s="40" t="n">
        <f aca="true">RAND()</f>
        <v>0.416448044977724</v>
      </c>
    </row>
    <row r="689" customFormat="false" ht="15" hidden="false" customHeight="false" outlineLevel="0" collapsed="false">
      <c r="A689" s="36" t="n">
        <v>609</v>
      </c>
      <c r="B689" s="37" t="n">
        <f aca="false">1+IF($G$6=$E$6,$F$6,IF(P689&lt;($F$6-$E$6)/($G$6-$E$6),$E$6+SQRT(P689*($G$6-$E$6)*($F$6-$E$6)),$G$6-SQRT((1-P689)*($G$6-$E$6)*($G$6-$F$6))))</f>
        <v>0.988517875900024</v>
      </c>
      <c r="C689" s="37" t="n">
        <f aca="false">1+IF($G$7=$E$7,$F$7,IF(Q689&lt;($F$7-$E$7)/($G$7-$E$7),$E$7+SQRT(Q689*($G$7-$E$7)*($F$7-$E$7)),$G$7-SQRT((1-Q689)*($G$7-$E$7)*($G$7-$F$7))))</f>
        <v>0.977918657308361</v>
      </c>
      <c r="D689" s="37" t="n">
        <f aca="false">1+IF($G$8=$E$8,$F$8,IF(R689&lt;($F$8-$E$8)/($G$8-$E$8),$E$8+SQRT(R689*($G$8-$E$8)*($F$8-$E$8)),$G$8-SQRT((1-R689)*($G$8-$E$8)*($G$8-$F$8))))</f>
        <v>1.01934278083028</v>
      </c>
      <c r="E689" s="37" t="n">
        <f aca="false">1+IF($G$9=$E$9,$F$9,IF(S689&lt;($F$9-$E$9)/($G$9-$E$9),$E$9+SQRT(S689*($G$9-$E$9)*($F$9-$E$9)),$G$9-SQRT((1-S689)*($G$9-$E$9)*($G$9-$F$9))))</f>
        <v>0.969550994138138</v>
      </c>
      <c r="F689" s="37" t="n">
        <f aca="false">1+IF($G$10=$E$10,$F$10,IF(T689&lt;($F$10-$E$10)/($G$10-$E$10),$E$10+SQRT(T689*($G$10-$E$10)*($F$10-$E$10)),$G$10-SQRT((1-T689)*($G$10-$E$10)*($G$10-$F$10))))</f>
        <v>1.00389705468354</v>
      </c>
      <c r="G689" s="38" t="n">
        <f aca="false">IF($G$11=$E$11,$F$11,IF(U689&lt;($F$11-$E$11)/($G$11-$E$11),$E$11+SQRT(U689*($G$11-$E$11)*($F$11-$E$11)),$G$11-SQRT((1-U689)*($G$11-$E$11)*($G$11-$F$11))))</f>
        <v>0.112431531286278</v>
      </c>
      <c r="H689" s="39" t="n">
        <f aca="false">(('Business Case'!B11*$C689*'Business Case'!B12*$B689)-'Business Case'!B11*$C689*'Business Case'!B13*$D689-'Business Case'!B14*$E689)-MAX(0,(('Business Case'!B11*$C689*'Business Case'!B12*$B689)-'Business Case'!B11*$C689*'Business Case'!B13*$D689-'Business Case'!B14*$E689))*'Business Case'!$B$7-'Business Case'!$B$8*('Business Case'!B11*$C689*'Business Case'!B12*$B689)-'Business Case'!B15*$F689</f>
        <v>-2007794109.36707</v>
      </c>
      <c r="I689" s="39" t="n">
        <f aca="false">(('Business Case'!C11*$C689*'Business Case'!C12*$B689)-'Business Case'!C11*$C689*'Business Case'!C13*$D689-'Business Case'!C14*$E689)-MAX(0,(('Business Case'!C11*$C689*'Business Case'!C12*$B689)-'Business Case'!C11*$C689*'Business Case'!C13*$D689-'Business Case'!C14*$E689))*'Business Case'!$B$7-'Business Case'!$B$8*(('Business Case'!C11*$C689*'Business Case'!C12*$B689)-('Business Case'!B11*$C689*'Business Case'!B12*$B689))-'Business Case'!C15*$F689</f>
        <v>-6883724.956985</v>
      </c>
      <c r="J689" s="39" t="n">
        <f aca="false">(('Business Case'!D11*$C689*'Business Case'!D12*$B689)-'Business Case'!D11*$C689*'Business Case'!D13*$D689-'Business Case'!D14*$E689)-MAX(0,(('Business Case'!D11*$C689*'Business Case'!D12*$B689)-'Business Case'!D11*$C689*'Business Case'!D13*$D689-'Business Case'!D14*$E689))*'Business Case'!$B$7-'Business Case'!$B$8*(('Business Case'!D11*$C689*'Business Case'!D12*$B689)-('Business Case'!C11*$C689*'Business Case'!C12*$B689))-'Business Case'!D15*$F689</f>
        <v>274605620.353123</v>
      </c>
      <c r="K689" s="39" t="n">
        <f aca="false">(('Business Case'!E11*$C689*'Business Case'!E12*$B689)-'Business Case'!E11*$C689*'Business Case'!E13*$D689-'Business Case'!E14*$E689)-MAX(0,(('Business Case'!E11*$C689*'Business Case'!E12*$B689)-'Business Case'!E11*$C689*'Business Case'!E13*$D689-'Business Case'!E14*$E689))*'Business Case'!$B$7-'Business Case'!$B$8*(('Business Case'!E11*$C689*'Business Case'!E12*$B689)-('Business Case'!D11*$C689*'Business Case'!D12*$B689))-'Business Case'!E15*$F689</f>
        <v>606289818.397407</v>
      </c>
      <c r="L689" s="39" t="n">
        <f aca="false">(('Business Case'!F11*$C689*'Business Case'!F12*$B689)-'Business Case'!F11*$C689*'Business Case'!F13*$D689-'Business Case'!F14*$E689)-MAX(0,(('Business Case'!F11*$C689*'Business Case'!F12*$B689)-'Business Case'!F11*$C689*'Business Case'!F13*$D689-'Business Case'!F14*$E689))*'Business Case'!$B$7-'Business Case'!$B$8*(('Business Case'!F11*$C689*'Business Case'!F12*$B689)-('Business Case'!E11*$C689*'Business Case'!E12*$B689))-'Business Case'!F15*$F689</f>
        <v>733528409.122307</v>
      </c>
      <c r="M689" s="39" t="n">
        <f aca="false">(('Business Case'!G11*$C689*'Business Case'!G12*$B689)-'Business Case'!G11*$C689*'Business Case'!G13*$D689-'Business Case'!G14*$E689)-MAX(0,(('Business Case'!G11*$C689*'Business Case'!G12*$B689)-'Business Case'!G11*$C689*'Business Case'!G13*$D689-'Business Case'!G14*$E689))*'Business Case'!$B$7-'Business Case'!$B$8*(('Business Case'!G11*$C689*'Business Case'!G12*$B689)-('Business Case'!F11*$C689*'Business Case'!F12*$B689))-'Business Case'!G15*$F689+'Business Case'!$B$8*('Business Case'!G11*$C689*'Business Case'!G12*$B689)</f>
        <v>917276858.37406</v>
      </c>
      <c r="N689" s="39" t="n">
        <f aca="false">IF(COUNT('Business Case'!B11:G11)=0,"",H689+NPV(G689,I689:M689))</f>
        <v>-334243071.391005</v>
      </c>
      <c r="P689" s="40" t="n">
        <f aca="true">RAND()</f>
        <v>0.489031178942819</v>
      </c>
      <c r="Q689" s="40" t="n">
        <f aca="true">RAND()</f>
        <v>0.452214980263002</v>
      </c>
      <c r="R689" s="40" t="n">
        <f aca="true">RAND()</f>
        <v>0.646221323326548</v>
      </c>
      <c r="S689" s="40" t="n">
        <f aca="true">RAND()</f>
        <v>0.0509655162386018</v>
      </c>
      <c r="T689" s="40" t="n">
        <f aca="true">RAND()</f>
        <v>0.230872696764163</v>
      </c>
      <c r="U689" s="40" t="n">
        <f aca="true">RAND()</f>
        <v>0.904530468882354</v>
      </c>
    </row>
    <row r="690" customFormat="false" ht="15" hidden="false" customHeight="false" outlineLevel="0" collapsed="false">
      <c r="A690" s="36" t="n">
        <v>610</v>
      </c>
      <c r="B690" s="37" t="n">
        <f aca="false">1+IF($G$6=$E$6,$F$6,IF(P690&lt;($F$6-$E$6)/($G$6-$E$6),$E$6+SQRT(P690*($G$6-$E$6)*($F$6-$E$6)),$G$6-SQRT((1-P690)*($G$6-$E$6)*($G$6-$F$6))))</f>
        <v>0.991317014161647</v>
      </c>
      <c r="C690" s="37" t="n">
        <f aca="false">1+IF($G$7=$E$7,$F$7,IF(Q690&lt;($F$7-$E$7)/($G$7-$E$7),$E$7+SQRT(Q690*($G$7-$E$7)*($F$7-$E$7)),$G$7-SQRT((1-Q690)*($G$7-$E$7)*($G$7-$F$7))))</f>
        <v>0.966585466034346</v>
      </c>
      <c r="D690" s="37" t="n">
        <f aca="false">1+IF($G$8=$E$8,$F$8,IF(R690&lt;($F$8-$E$8)/($G$8-$E$8),$E$8+SQRT(R690*($G$8-$E$8)*($F$8-$E$8)),$G$8-SQRT((1-R690)*($G$8-$E$8)*($G$8-$F$8))))</f>
        <v>1.03337080932413</v>
      </c>
      <c r="E690" s="37" t="n">
        <f aca="false">1+IF($G$9=$E$9,$F$9,IF(S690&lt;($F$9-$E$9)/($G$9-$E$9),$E$9+SQRT(S690*($G$9-$E$9)*($F$9-$E$9)),$G$9-SQRT((1-S690)*($G$9-$E$9)*($G$9-$F$9))))</f>
        <v>0.970684012901103</v>
      </c>
      <c r="F690" s="37" t="n">
        <f aca="false">1+IF($G$10=$E$10,$F$10,IF(T690&lt;($F$10-$E$10)/($G$10-$E$10),$E$10+SQRT(T690*($G$10-$E$10)*($F$10-$E$10)),$G$10-SQRT((1-T690)*($G$10-$E$10)*($G$10-$F$10))))</f>
        <v>1.03721976755556</v>
      </c>
      <c r="G690" s="38" t="n">
        <f aca="false">IF($G$11=$E$11,$F$11,IF(U690&lt;($F$11-$E$11)/($G$11-$E$11),$E$11+SQRT(U690*($G$11-$E$11)*($F$11-$E$11)),$G$11-SQRT((1-U690)*($G$11-$E$11)*($G$11-$F$11))))</f>
        <v>0.0975760913134511</v>
      </c>
      <c r="H690" s="39" t="n">
        <f aca="false">(('Business Case'!B11*$C690*'Business Case'!B12*$B690)-'Business Case'!B11*$C690*'Business Case'!B13*$D690-'Business Case'!B14*$E690)-MAX(0,(('Business Case'!B11*$C690*'Business Case'!B12*$B690)-'Business Case'!B11*$C690*'Business Case'!B13*$D690-'Business Case'!B14*$E690))*'Business Case'!$B$7-'Business Case'!$B$8*('Business Case'!B11*$C690*'Business Case'!B12*$B690)-'Business Case'!B15*$F690</f>
        <v>-2074439535.11113</v>
      </c>
      <c r="I690" s="39" t="n">
        <f aca="false">(('Business Case'!C11*$C690*'Business Case'!C12*$B690)-'Business Case'!C11*$C690*'Business Case'!C13*$D690-'Business Case'!C14*$E690)-MAX(0,(('Business Case'!C11*$C690*'Business Case'!C12*$B690)-'Business Case'!C11*$C690*'Business Case'!C13*$D690-'Business Case'!C14*$E690))*'Business Case'!$B$7-'Business Case'!$B$8*(('Business Case'!C11*$C690*'Business Case'!C12*$B690)-('Business Case'!B11*$C690*'Business Case'!B12*$B690))-'Business Case'!C15*$F690</f>
        <v>-17923994.4295241</v>
      </c>
      <c r="J690" s="39" t="n">
        <f aca="false">(('Business Case'!D11*$C690*'Business Case'!D12*$B690)-'Business Case'!D11*$C690*'Business Case'!D13*$D690-'Business Case'!D14*$E690)-MAX(0,(('Business Case'!D11*$C690*'Business Case'!D12*$B690)-'Business Case'!D11*$C690*'Business Case'!D13*$D690-'Business Case'!D14*$E690))*'Business Case'!$B$7-'Business Case'!$B$8*(('Business Case'!D11*$C690*'Business Case'!D12*$B690)-('Business Case'!C11*$C690*'Business Case'!C12*$B690))-'Business Case'!D15*$F690</f>
        <v>255577959.854449</v>
      </c>
      <c r="K690" s="39" t="n">
        <f aca="false">(('Business Case'!E11*$C690*'Business Case'!E12*$B690)-'Business Case'!E11*$C690*'Business Case'!E13*$D690-'Business Case'!E14*$E690)-MAX(0,(('Business Case'!E11*$C690*'Business Case'!E12*$B690)-'Business Case'!E11*$C690*'Business Case'!E13*$D690-'Business Case'!E14*$E690))*'Business Case'!$B$7-'Business Case'!$B$8*(('Business Case'!E11*$C690*'Business Case'!E12*$B690)-('Business Case'!D11*$C690*'Business Case'!D12*$B690))-'Business Case'!E15*$F690</f>
        <v>580940902.5162</v>
      </c>
      <c r="L690" s="39" t="n">
        <f aca="false">(('Business Case'!F11*$C690*'Business Case'!F12*$B690)-'Business Case'!F11*$C690*'Business Case'!F13*$D690-'Business Case'!F14*$E690)-MAX(0,(('Business Case'!F11*$C690*'Business Case'!F12*$B690)-'Business Case'!F11*$C690*'Business Case'!F13*$D690-'Business Case'!F14*$E690))*'Business Case'!$B$7-'Business Case'!$B$8*(('Business Case'!F11*$C690*'Business Case'!F12*$B690)-('Business Case'!E11*$C690*'Business Case'!E12*$B690))-'Business Case'!F15*$F690</f>
        <v>705223357.493127</v>
      </c>
      <c r="M690" s="39" t="n">
        <f aca="false">(('Business Case'!G11*$C690*'Business Case'!G12*$B690)-'Business Case'!G11*$C690*'Business Case'!G13*$D690-'Business Case'!G14*$E690)-MAX(0,(('Business Case'!G11*$C690*'Business Case'!G12*$B690)-'Business Case'!G11*$C690*'Business Case'!G13*$D690-'Business Case'!G14*$E690))*'Business Case'!$B$7-'Business Case'!$B$8*(('Business Case'!G11*$C690*'Business Case'!G12*$B690)-('Business Case'!F11*$C690*'Business Case'!F12*$B690))-'Business Case'!G15*$F690+'Business Case'!$B$8*('Business Case'!G11*$C690*'Business Case'!G12*$B690)</f>
        <v>887356610.345607</v>
      </c>
      <c r="N690" s="39" t="n">
        <f aca="false">IF(COUNT('Business Case'!B11:G11)=0,"",H690+NPV(G690,I690:M690))</f>
        <v>-396211361.211836</v>
      </c>
      <c r="P690" s="40" t="n">
        <f aca="true">RAND()</f>
        <v>0.529803803013814</v>
      </c>
      <c r="Q690" s="40" t="n">
        <f aca="true">RAND()</f>
        <v>0.396438821341146</v>
      </c>
      <c r="R690" s="40" t="n">
        <f aca="true">RAND()</f>
        <v>0.790934478549381</v>
      </c>
      <c r="S690" s="40" t="n">
        <f aca="true">RAND()</f>
        <v>0.0570437852924007</v>
      </c>
      <c r="T690" s="40" t="n">
        <f aca="true">RAND()</f>
        <v>0.470051918506709</v>
      </c>
      <c r="U690" s="40" t="n">
        <f aca="true">RAND()</f>
        <v>0.191323865299166</v>
      </c>
    </row>
    <row r="691" customFormat="false" ht="15" hidden="false" customHeight="false" outlineLevel="0" collapsed="false">
      <c r="A691" s="36" t="n">
        <v>611</v>
      </c>
      <c r="B691" s="37" t="n">
        <f aca="false">1+IF($G$6=$E$6,$F$6,IF(P691&lt;($F$6-$E$6)/($G$6-$E$6),$E$6+SQRT(P691*($G$6-$E$6)*($F$6-$E$6)),$G$6-SQRT((1-P691)*($G$6-$E$6)*($G$6-$F$6))))</f>
        <v>0.936207965533804</v>
      </c>
      <c r="C691" s="37" t="n">
        <f aca="false">1+IF($G$7=$E$7,$F$7,IF(Q691&lt;($F$7-$E$7)/($G$7-$E$7),$E$7+SQRT(Q691*($G$7-$E$7)*($F$7-$E$7)),$G$7-SQRT((1-Q691)*($G$7-$E$7)*($G$7-$F$7))))</f>
        <v>0.917180688460476</v>
      </c>
      <c r="D691" s="37" t="n">
        <f aca="false">1+IF($G$8=$E$8,$F$8,IF(R691&lt;($F$8-$E$8)/($G$8-$E$8),$E$8+SQRT(R691*($G$8-$E$8)*($F$8-$E$8)),$G$8-SQRT((1-R691)*($G$8-$E$8)*($G$8-$F$8))))</f>
        <v>1.01152040385452</v>
      </c>
      <c r="E691" s="37" t="n">
        <f aca="false">1+IF($G$9=$E$9,$F$9,IF(S691&lt;($F$9-$E$9)/($G$9-$E$9),$E$9+SQRT(S691*($G$9-$E$9)*($F$9-$E$9)),$G$9-SQRT((1-S691)*($G$9-$E$9)*($G$9-$F$9))))</f>
        <v>0.979999124378761</v>
      </c>
      <c r="F691" s="37" t="n">
        <f aca="false">1+IF($G$10=$E$10,$F$10,IF(T691&lt;($F$10-$E$10)/($G$10-$E$10),$E$10+SQRT(T691*($G$10-$E$10)*($F$10-$E$10)),$G$10-SQRT((1-T691)*($G$10-$E$10)*($G$10-$F$10))))</f>
        <v>1.03332428351275</v>
      </c>
      <c r="G691" s="38" t="n">
        <f aca="false">IF($G$11=$E$11,$F$11,IF(U691&lt;($F$11-$E$11)/($G$11-$E$11),$E$11+SQRT(U691*($G$11-$E$11)*($F$11-$E$11)),$G$11-SQRT((1-U691)*($G$11-$E$11)*($G$11-$F$11))))</f>
        <v>0.100770310127375</v>
      </c>
      <c r="H691" s="39" t="n">
        <f aca="false">(('Business Case'!B11*$C691*'Business Case'!B12*$B691)-'Business Case'!B11*$C691*'Business Case'!B13*$D691-'Business Case'!B14*$E691)-MAX(0,(('Business Case'!B11*$C691*'Business Case'!B12*$B691)-'Business Case'!B11*$C691*'Business Case'!B13*$D691-'Business Case'!B14*$E691))*'Business Case'!$B$7-'Business Case'!$B$8*('Business Case'!B11*$C691*'Business Case'!B12*$B691)-'Business Case'!B15*$F691</f>
        <v>-2066648567.02551</v>
      </c>
      <c r="I691" s="39" t="n">
        <f aca="false">(('Business Case'!C11*$C691*'Business Case'!C12*$B691)-'Business Case'!C11*$C691*'Business Case'!C13*$D691-'Business Case'!C14*$E691)-MAX(0,(('Business Case'!C11*$C691*'Business Case'!C12*$B691)-'Business Case'!C11*$C691*'Business Case'!C13*$D691-'Business Case'!C14*$E691))*'Business Case'!$B$7-'Business Case'!$B$8*(('Business Case'!C11*$C691*'Business Case'!C12*$B691)-('Business Case'!B11*$C691*'Business Case'!B12*$B691))-'Business Case'!C15*$F691</f>
        <v>-58820004.6646934</v>
      </c>
      <c r="J691" s="39" t="n">
        <f aca="false">(('Business Case'!D11*$C691*'Business Case'!D12*$B691)-'Business Case'!D11*$C691*'Business Case'!D13*$D691-'Business Case'!D14*$E691)-MAX(0,(('Business Case'!D11*$C691*'Business Case'!D12*$B691)-'Business Case'!D11*$C691*'Business Case'!D13*$D691-'Business Case'!D14*$E691))*'Business Case'!$B$7-'Business Case'!$B$8*(('Business Case'!D11*$C691*'Business Case'!D12*$B691)-('Business Case'!C11*$C691*'Business Case'!C12*$B691))-'Business Case'!D15*$F691</f>
        <v>169561844.061194</v>
      </c>
      <c r="K691" s="39" t="n">
        <f aca="false">(('Business Case'!E11*$C691*'Business Case'!E12*$B691)-'Business Case'!E11*$C691*'Business Case'!E13*$D691-'Business Case'!E14*$E691)-MAX(0,(('Business Case'!E11*$C691*'Business Case'!E12*$B691)-'Business Case'!E11*$C691*'Business Case'!E13*$D691-'Business Case'!E14*$E691))*'Business Case'!$B$7-'Business Case'!$B$8*(('Business Case'!E11*$C691*'Business Case'!E12*$B691)-('Business Case'!D11*$C691*'Business Case'!D12*$B691))-'Business Case'!E15*$F691</f>
        <v>449609906.962719</v>
      </c>
      <c r="L691" s="39" t="n">
        <f aca="false">(('Business Case'!F11*$C691*'Business Case'!F12*$B691)-'Business Case'!F11*$C691*'Business Case'!F13*$D691-'Business Case'!F14*$E691)-MAX(0,(('Business Case'!F11*$C691*'Business Case'!F12*$B691)-'Business Case'!F11*$C691*'Business Case'!F13*$D691-'Business Case'!F14*$E691))*'Business Case'!$B$7-'Business Case'!$B$8*(('Business Case'!F11*$C691*'Business Case'!F12*$B691)-('Business Case'!E11*$C691*'Business Case'!E12*$B691))-'Business Case'!F15*$F691</f>
        <v>555412889.573112</v>
      </c>
      <c r="M691" s="39" t="n">
        <f aca="false">(('Business Case'!G11*$C691*'Business Case'!G12*$B691)-'Business Case'!G11*$C691*'Business Case'!G13*$D691-'Business Case'!G14*$E691)-MAX(0,(('Business Case'!G11*$C691*'Business Case'!G12*$B691)-'Business Case'!G11*$C691*'Business Case'!G13*$D691-'Business Case'!G14*$E691))*'Business Case'!$B$7-'Business Case'!$B$8*(('Business Case'!G11*$C691*'Business Case'!G12*$B691)-('Business Case'!F11*$C691*'Business Case'!F12*$B691))-'Business Case'!G15*$F691+'Business Case'!$B$8*('Business Case'!G11*$C691*'Business Case'!G12*$B691)</f>
        <v>718629237.932812</v>
      </c>
      <c r="N691" s="39" t="n">
        <f aca="false">IF(COUNT('Business Case'!B11:G11)=0,"",H691+NPV(G691,I691:M691))</f>
        <v>-820109439.231417</v>
      </c>
      <c r="P691" s="40" t="n">
        <f aca="true">RAND()</f>
        <v>0.0273643902859358</v>
      </c>
      <c r="Q691" s="40" t="n">
        <f aca="true">RAND()</f>
        <v>0.196161624972445</v>
      </c>
      <c r="R691" s="40" t="n">
        <f aca="true">RAND()</f>
        <v>0.549090856899237</v>
      </c>
      <c r="S691" s="40" t="n">
        <f aca="true">RAND()</f>
        <v>0.119992995132318</v>
      </c>
      <c r="T691" s="40" t="n">
        <f aca="true">RAND()</f>
        <v>0.444384110669256</v>
      </c>
      <c r="U691" s="40" t="n">
        <f aca="true">RAND()</f>
        <v>0.38369837900446</v>
      </c>
    </row>
    <row r="692" customFormat="false" ht="15" hidden="false" customHeight="false" outlineLevel="0" collapsed="false">
      <c r="A692" s="36" t="n">
        <v>612</v>
      </c>
      <c r="B692" s="37" t="n">
        <f aca="false">1+IF($G$6=$E$6,$F$6,IF(P692&lt;($F$6-$E$6)/($G$6-$E$6),$E$6+SQRT(P692*($G$6-$E$6)*($F$6-$E$6)),$G$6-SQRT((1-P692)*($G$6-$E$6)*($G$6-$F$6))))</f>
        <v>0.968364316002189</v>
      </c>
      <c r="C692" s="37" t="n">
        <f aca="false">1+IF($G$7=$E$7,$F$7,IF(Q692&lt;($F$7-$E$7)/($G$7-$E$7),$E$7+SQRT(Q692*($G$7-$E$7)*($F$7-$E$7)),$G$7-SQRT((1-Q692)*($G$7-$E$7)*($G$7-$F$7))))</f>
        <v>1.07118809656087</v>
      </c>
      <c r="D692" s="37" t="n">
        <f aca="false">1+IF($G$8=$E$8,$F$8,IF(R692&lt;($F$8-$E$8)/($G$8-$E$8),$E$8+SQRT(R692*($G$8-$E$8)*($F$8-$E$8)),$G$8-SQRT((1-R692)*($G$8-$E$8)*($G$8-$F$8))))</f>
        <v>1.06711855929167</v>
      </c>
      <c r="E692" s="37" t="n">
        <f aca="false">1+IF($G$9=$E$9,$F$9,IF(S692&lt;($F$9-$E$9)/($G$9-$E$9),$E$9+SQRT(S692*($G$9-$E$9)*($F$9-$E$9)),$G$9-SQRT((1-S692)*($G$9-$E$9)*($G$9-$F$9))))</f>
        <v>1.04688300106113</v>
      </c>
      <c r="F692" s="37" t="n">
        <f aca="false">1+IF($G$10=$E$10,$F$10,IF(T692&lt;($F$10-$E$10)/($G$10-$E$10),$E$10+SQRT(T692*($G$10-$E$10)*($F$10-$E$10)),$G$10-SQRT((1-T692)*($G$10-$E$10)*($G$10-$F$10))))</f>
        <v>1.04925888991636</v>
      </c>
      <c r="G692" s="38" t="n">
        <f aca="false">IF($G$11=$E$11,$F$11,IF(U692&lt;($F$11-$E$11)/($G$11-$E$11),$E$11+SQRT(U692*($G$11-$E$11)*($F$11-$E$11)),$G$11-SQRT((1-U692)*($G$11-$E$11)*($G$11-$F$11))))</f>
        <v>0.0943665293969242</v>
      </c>
      <c r="H692" s="39" t="n">
        <f aca="false">(('Business Case'!B11*$C692*'Business Case'!B12*$B692)-'Business Case'!B11*$C692*'Business Case'!B13*$D692-'Business Case'!B14*$E692)-MAX(0,(('Business Case'!B11*$C692*'Business Case'!B12*$B692)-'Business Case'!B11*$C692*'Business Case'!B13*$D692-'Business Case'!B14*$E692))*'Business Case'!$B$7-'Business Case'!$B$8*('Business Case'!B11*$C692*'Business Case'!B12*$B692)-'Business Case'!B15*$F692</f>
        <v>-2098517779.83271</v>
      </c>
      <c r="I692" s="39" t="n">
        <f aca="false">(('Business Case'!C11*$C692*'Business Case'!C12*$B692)-'Business Case'!C11*$C692*'Business Case'!C13*$D692-'Business Case'!C14*$E692)-MAX(0,(('Business Case'!C11*$C692*'Business Case'!C12*$B692)-'Business Case'!C11*$C692*'Business Case'!C13*$D692-'Business Case'!C14*$E692))*'Business Case'!$B$7-'Business Case'!$B$8*(('Business Case'!C11*$C692*'Business Case'!C12*$B692)-('Business Case'!B11*$C692*'Business Case'!B12*$B692))-'Business Case'!C15*$F692</f>
        <v>-43110564.9263646</v>
      </c>
      <c r="J692" s="39" t="n">
        <f aca="false">(('Business Case'!D11*$C692*'Business Case'!D12*$B692)-'Business Case'!D11*$C692*'Business Case'!D13*$D692-'Business Case'!D14*$E692)-MAX(0,(('Business Case'!D11*$C692*'Business Case'!D12*$B692)-'Business Case'!D11*$C692*'Business Case'!D13*$D692-'Business Case'!D14*$E692))*'Business Case'!$B$7-'Business Case'!$B$8*(('Business Case'!D11*$C692*'Business Case'!D12*$B692)-('Business Case'!C11*$C692*'Business Case'!C12*$B692))-'Business Case'!D15*$F692</f>
        <v>221345170.915914</v>
      </c>
      <c r="K692" s="39" t="n">
        <f aca="false">(('Business Case'!E11*$C692*'Business Case'!E12*$B692)-'Business Case'!E11*$C692*'Business Case'!E13*$D692-'Business Case'!E14*$E692)-MAX(0,(('Business Case'!E11*$C692*'Business Case'!E12*$B692)-'Business Case'!E11*$C692*'Business Case'!E13*$D692-'Business Case'!E14*$E692))*'Business Case'!$B$7-'Business Case'!$B$8*(('Business Case'!E11*$C692*'Business Case'!E12*$B692)-('Business Case'!D11*$C692*'Business Case'!D12*$B692))-'Business Case'!E15*$F692</f>
        <v>538263851.254011</v>
      </c>
      <c r="L692" s="39" t="n">
        <f aca="false">(('Business Case'!F11*$C692*'Business Case'!F12*$B692)-'Business Case'!F11*$C692*'Business Case'!F13*$D692-'Business Case'!F14*$E692)-MAX(0,(('Business Case'!F11*$C692*'Business Case'!F12*$B692)-'Business Case'!F11*$C692*'Business Case'!F13*$D692-'Business Case'!F14*$E692))*'Business Case'!$B$7-'Business Case'!$B$8*(('Business Case'!F11*$C692*'Business Case'!F12*$B692)-('Business Case'!E11*$C692*'Business Case'!E12*$B692))-'Business Case'!F15*$F692</f>
        <v>662264862.55218</v>
      </c>
      <c r="M692" s="39" t="n">
        <f aca="false">(('Business Case'!G11*$C692*'Business Case'!G12*$B692)-'Business Case'!G11*$C692*'Business Case'!G13*$D692-'Business Case'!G14*$E692)-MAX(0,(('Business Case'!G11*$C692*'Business Case'!G12*$B692)-'Business Case'!G11*$C692*'Business Case'!G13*$D692-'Business Case'!G14*$E692))*'Business Case'!$B$7-'Business Case'!$B$8*(('Business Case'!G11*$C692*'Business Case'!G12*$B692)-('Business Case'!F11*$C692*'Business Case'!F12*$B692))-'Business Case'!G15*$F692+'Business Case'!$B$8*('Business Case'!G11*$C692*'Business Case'!G12*$B692)</f>
        <v>859434908.981267</v>
      </c>
      <c r="N692" s="39" t="n">
        <f aca="false">IF(COUNT('Business Case'!B11:G11)=0,"",H692+NPV(G692,I692:M692))</f>
        <v>-533169128.937672</v>
      </c>
      <c r="P692" s="40" t="n">
        <f aca="true">RAND()</f>
        <v>0.24365698566246</v>
      </c>
      <c r="Q692" s="40" t="n">
        <f aca="true">RAND()</f>
        <v>0.881689216691442</v>
      </c>
      <c r="R692" s="40" t="n">
        <f aca="true">RAND()</f>
        <v>0.984045046661319</v>
      </c>
      <c r="S692" s="40" t="n">
        <f aca="true">RAND()</f>
        <v>0.811905628248571</v>
      </c>
      <c r="T692" s="40" t="n">
        <f aca="true">RAND()</f>
        <v>0.545542354615019</v>
      </c>
      <c r="U692" s="40" t="n">
        <f aca="true">RAND()</f>
        <v>0.0635552632473438</v>
      </c>
    </row>
    <row r="693" customFormat="false" ht="15" hidden="false" customHeight="false" outlineLevel="0" collapsed="false">
      <c r="A693" s="36" t="n">
        <v>613</v>
      </c>
      <c r="B693" s="37" t="n">
        <f aca="false">1+IF($G$6=$E$6,$F$6,IF(P693&lt;($F$6-$E$6)/($G$6-$E$6),$E$6+SQRT(P693*($G$6-$E$6)*($F$6-$E$6)),$G$6-SQRT((1-P693)*($G$6-$E$6)*($G$6-$F$6))))</f>
        <v>1.00744026284913</v>
      </c>
      <c r="C693" s="37" t="n">
        <f aca="false">1+IF($G$7=$E$7,$F$7,IF(Q693&lt;($F$7-$E$7)/($G$7-$E$7),$E$7+SQRT(Q693*($G$7-$E$7)*($F$7-$E$7)),$G$7-SQRT((1-Q693)*($G$7-$E$7)*($G$7-$F$7))))</f>
        <v>0.865811589676428</v>
      </c>
      <c r="D693" s="37" t="n">
        <f aca="false">1+IF($G$8=$E$8,$F$8,IF(R693&lt;($F$8-$E$8)/($G$8-$E$8),$E$8+SQRT(R693*($G$8-$E$8)*($F$8-$E$8)),$G$8-SQRT((1-R693)*($G$8-$E$8)*($G$8-$F$8))))</f>
        <v>1.01465155255543</v>
      </c>
      <c r="E693" s="37" t="n">
        <f aca="false">1+IF($G$9=$E$9,$F$9,IF(S693&lt;($F$9-$E$9)/($G$9-$E$9),$E$9+SQRT(S693*($G$9-$E$9)*($F$9-$E$9)),$G$9-SQRT((1-S693)*($G$9-$E$9)*($G$9-$F$9))))</f>
        <v>0.977218366860976</v>
      </c>
      <c r="F693" s="37" t="n">
        <f aca="false">1+IF($G$10=$E$10,$F$10,IF(T693&lt;($F$10-$E$10)/($G$10-$E$10),$E$10+SQRT(T693*($G$10-$E$10)*($F$10-$E$10)),$G$10-SQRT((1-T693)*($G$10-$E$10)*($G$10-$F$10))))</f>
        <v>1.10672919934405</v>
      </c>
      <c r="G693" s="38" t="n">
        <f aca="false">IF($G$11=$E$11,$F$11,IF(U693&lt;($F$11-$E$11)/($G$11-$E$11),$E$11+SQRT(U693*($G$11-$E$11)*($F$11-$E$11)),$G$11-SQRT((1-U693)*($G$11-$E$11)*($G$11-$F$11))))</f>
        <v>0.1135325641157</v>
      </c>
      <c r="H693" s="39" t="n">
        <f aca="false">(('Business Case'!B11*$C693*'Business Case'!B12*$B693)-'Business Case'!B11*$C693*'Business Case'!B13*$D693-'Business Case'!B14*$E693)-MAX(0,(('Business Case'!B11*$C693*'Business Case'!B12*$B693)-'Business Case'!B11*$C693*'Business Case'!B13*$D693-'Business Case'!B14*$E693))*'Business Case'!$B$7-'Business Case'!$B$8*('Business Case'!B11*$C693*'Business Case'!B12*$B693)-'Business Case'!B15*$F693</f>
        <v>-2213458398.6881</v>
      </c>
      <c r="I693" s="39" t="n">
        <f aca="false">(('Business Case'!C11*$C693*'Business Case'!C12*$B693)-'Business Case'!C11*$C693*'Business Case'!C13*$D693-'Business Case'!C14*$E693)-MAX(0,(('Business Case'!C11*$C693*'Business Case'!C12*$B693)-'Business Case'!C11*$C693*'Business Case'!C13*$D693-'Business Case'!C14*$E693))*'Business Case'!$B$7-'Business Case'!$B$8*(('Business Case'!C11*$C693*'Business Case'!C12*$B693)-('Business Case'!B11*$C693*'Business Case'!B12*$B693))-'Business Case'!C15*$F693</f>
        <v>-30132830.5072679</v>
      </c>
      <c r="J693" s="39" t="n">
        <f aca="false">(('Business Case'!D11*$C693*'Business Case'!D12*$B693)-'Business Case'!D11*$C693*'Business Case'!D13*$D693-'Business Case'!D14*$E693)-MAX(0,(('Business Case'!D11*$C693*'Business Case'!D12*$B693)-'Business Case'!D11*$C693*'Business Case'!D13*$D693-'Business Case'!D14*$E693))*'Business Case'!$B$7-'Business Case'!$B$8*(('Business Case'!D11*$C693*'Business Case'!D12*$B693)-('Business Case'!C11*$C693*'Business Case'!C12*$B693))-'Business Case'!D15*$F693</f>
        <v>234585329.819658</v>
      </c>
      <c r="K693" s="39" t="n">
        <f aca="false">(('Business Case'!E11*$C693*'Business Case'!E12*$B693)-'Business Case'!E11*$C693*'Business Case'!E13*$D693-'Business Case'!E14*$E693)-MAX(0,(('Business Case'!E11*$C693*'Business Case'!E12*$B693)-'Business Case'!E11*$C693*'Business Case'!E13*$D693-'Business Case'!E14*$E693))*'Business Case'!$B$7-'Business Case'!$B$8*(('Business Case'!E11*$C693*'Business Case'!E12*$B693)-('Business Case'!D11*$C693*'Business Case'!D12*$B693))-'Business Case'!E15*$F693</f>
        <v>554639950.113786</v>
      </c>
      <c r="L693" s="39" t="n">
        <f aca="false">(('Business Case'!F11*$C693*'Business Case'!F12*$B693)-'Business Case'!F11*$C693*'Business Case'!F13*$D693-'Business Case'!F14*$E693)-MAX(0,(('Business Case'!F11*$C693*'Business Case'!F12*$B693)-'Business Case'!F11*$C693*'Business Case'!F13*$D693-'Business Case'!F14*$E693))*'Business Case'!$B$7-'Business Case'!$B$8*(('Business Case'!F11*$C693*'Business Case'!F12*$B693)-('Business Case'!E11*$C693*'Business Case'!E12*$B693))-'Business Case'!F15*$F693</f>
        <v>673024416.310866</v>
      </c>
      <c r="M693" s="39" t="n">
        <f aca="false">(('Business Case'!G11*$C693*'Business Case'!G12*$B693)-'Business Case'!G11*$C693*'Business Case'!G13*$D693-'Business Case'!G14*$E693)-MAX(0,(('Business Case'!G11*$C693*'Business Case'!G12*$B693)-'Business Case'!G11*$C693*'Business Case'!G13*$D693-'Business Case'!G14*$E693))*'Business Case'!$B$7-'Business Case'!$B$8*(('Business Case'!G11*$C693*'Business Case'!G12*$B693)-('Business Case'!F11*$C693*'Business Case'!F12*$B693))-'Business Case'!G15*$F693+'Business Case'!$B$8*('Business Case'!G11*$C693*'Business Case'!G12*$B693)</f>
        <v>838822353.128779</v>
      </c>
      <c r="N693" s="39" t="n">
        <f aca="false">IF(COUNT('Business Case'!B11:G11)=0,"",H693+NPV(G693,I693:M693))</f>
        <v>-721932837.251238</v>
      </c>
      <c r="P693" s="40" t="n">
        <f aca="true">RAND()</f>
        <v>0.779138232638769</v>
      </c>
      <c r="Q693" s="40" t="n">
        <f aca="true">RAND()</f>
        <v>0.0618737905105499</v>
      </c>
      <c r="R693" s="40" t="n">
        <f aca="true">RAND()</f>
        <v>0.589382732363872</v>
      </c>
      <c r="S693" s="40" t="n">
        <f aca="true">RAND()</f>
        <v>0.0987785992771558</v>
      </c>
      <c r="T693" s="40" t="n">
        <f aca="true">RAND()</f>
        <v>0.826011154899958</v>
      </c>
      <c r="U693" s="40" t="n">
        <f aca="true">RAND()</f>
        <v>0.930287121804108</v>
      </c>
    </row>
    <row r="694" customFormat="false" ht="15" hidden="false" customHeight="false" outlineLevel="0" collapsed="false">
      <c r="A694" s="36" t="n">
        <v>614</v>
      </c>
      <c r="B694" s="37" t="n">
        <f aca="false">1+IF($G$6=$E$6,$F$6,IF(P694&lt;($F$6-$E$6)/($G$6-$E$6),$E$6+SQRT(P694*($G$6-$E$6)*($F$6-$E$6)),$G$6-SQRT((1-P694)*($G$6-$E$6)*($G$6-$F$6))))</f>
        <v>0.936654268681704</v>
      </c>
      <c r="C694" s="37" t="n">
        <f aca="false">1+IF($G$7=$E$7,$F$7,IF(Q694&lt;($F$7-$E$7)/($G$7-$E$7),$E$7+SQRT(Q694*($G$7-$E$7)*($F$7-$E$7)),$G$7-SQRT((1-Q694)*($G$7-$E$7)*($G$7-$F$7))))</f>
        <v>1.03372996224945</v>
      </c>
      <c r="D694" s="37" t="n">
        <f aca="false">1+IF($G$8=$E$8,$F$8,IF(R694&lt;($F$8-$E$8)/($G$8-$E$8),$E$8+SQRT(R694*($G$8-$E$8)*($F$8-$E$8)),$G$8-SQRT((1-R694)*($G$8-$E$8)*($G$8-$F$8))))</f>
        <v>1.03347475314852</v>
      </c>
      <c r="E694" s="37" t="n">
        <f aca="false">1+IF($G$9=$E$9,$F$9,IF(S694&lt;($F$9-$E$9)/($G$9-$E$9),$E$9+SQRT(S694*($G$9-$E$9)*($F$9-$E$9)),$G$9-SQRT((1-S694)*($G$9-$E$9)*($G$9-$F$9))))</f>
        <v>0.996356103322299</v>
      </c>
      <c r="F694" s="37" t="n">
        <f aca="false">1+IF($G$10=$E$10,$F$10,IF(T694&lt;($F$10-$E$10)/($G$10-$E$10),$E$10+SQRT(T694*($G$10-$E$10)*($F$10-$E$10)),$G$10-SQRT((1-T694)*($G$10-$E$10)*($G$10-$F$10))))</f>
        <v>1.02023835229171</v>
      </c>
      <c r="G694" s="38" t="n">
        <f aca="false">IF($G$11=$E$11,$F$11,IF(U694&lt;($F$11-$E$11)/($G$11-$E$11),$E$11+SQRT(U694*($G$11-$E$11)*($F$11-$E$11)),$G$11-SQRT((1-U694)*($G$11-$E$11)*($G$11-$F$11))))</f>
        <v>0.0952493322278176</v>
      </c>
      <c r="H694" s="39" t="n">
        <f aca="false">(('Business Case'!B11*$C694*'Business Case'!B12*$B694)-'Business Case'!B11*$C694*'Business Case'!B13*$D694-'Business Case'!B14*$E694)-MAX(0,(('Business Case'!B11*$C694*'Business Case'!B12*$B694)-'Business Case'!B11*$C694*'Business Case'!B13*$D694-'Business Case'!B14*$E694))*'Business Case'!$B$7-'Business Case'!$B$8*('Business Case'!B11*$C694*'Business Case'!B12*$B694)-'Business Case'!B15*$F694</f>
        <v>-2040476704.58343</v>
      </c>
      <c r="I694" s="39" t="n">
        <f aca="false">(('Business Case'!C11*$C694*'Business Case'!C12*$B694)-'Business Case'!C11*$C694*'Business Case'!C13*$D694-'Business Case'!C14*$E694)-MAX(0,(('Business Case'!C11*$C694*'Business Case'!C12*$B694)-'Business Case'!C11*$C694*'Business Case'!C13*$D694-'Business Case'!C14*$E694))*'Business Case'!$B$7-'Business Case'!$B$8*(('Business Case'!C11*$C694*'Business Case'!C12*$B694)-('Business Case'!B11*$C694*'Business Case'!B12*$B694))-'Business Case'!C15*$F694</f>
        <v>-47736592.3223769</v>
      </c>
      <c r="J694" s="39" t="n">
        <f aca="false">(('Business Case'!D11*$C694*'Business Case'!D12*$B694)-'Business Case'!D11*$C694*'Business Case'!D13*$D694-'Business Case'!D14*$E694)-MAX(0,(('Business Case'!D11*$C694*'Business Case'!D12*$B694)-'Business Case'!D11*$C694*'Business Case'!D13*$D694-'Business Case'!D14*$E694))*'Business Case'!$B$7-'Business Case'!$B$8*(('Business Case'!D11*$C694*'Business Case'!D12*$B694)-('Business Case'!C11*$C694*'Business Case'!C12*$B694))-'Business Case'!D15*$F694</f>
        <v>198426443.117626</v>
      </c>
      <c r="K694" s="39" t="n">
        <f aca="false">(('Business Case'!E11*$C694*'Business Case'!E12*$B694)-'Business Case'!E11*$C694*'Business Case'!E13*$D694-'Business Case'!E14*$E694)-MAX(0,(('Business Case'!E11*$C694*'Business Case'!E12*$B694)-'Business Case'!E11*$C694*'Business Case'!E13*$D694-'Business Case'!E14*$E694))*'Business Case'!$B$7-'Business Case'!$B$8*(('Business Case'!E11*$C694*'Business Case'!E12*$B694)-('Business Case'!D11*$C694*'Business Case'!D12*$B694))-'Business Case'!E15*$F694</f>
        <v>495601396.172215</v>
      </c>
      <c r="L694" s="39" t="n">
        <f aca="false">(('Business Case'!F11*$C694*'Business Case'!F12*$B694)-'Business Case'!F11*$C694*'Business Case'!F13*$D694-'Business Case'!F14*$E694)-MAX(0,(('Business Case'!F11*$C694*'Business Case'!F12*$B694)-'Business Case'!F11*$C694*'Business Case'!F13*$D694-'Business Case'!F14*$E694))*'Business Case'!$B$7-'Business Case'!$B$8*(('Business Case'!F11*$C694*'Business Case'!F12*$B694)-('Business Case'!E11*$C694*'Business Case'!E12*$B694))-'Business Case'!F15*$F694</f>
        <v>611118377.746067</v>
      </c>
      <c r="M694" s="39" t="n">
        <f aca="false">(('Business Case'!G11*$C694*'Business Case'!G12*$B694)-'Business Case'!G11*$C694*'Business Case'!G13*$D694-'Business Case'!G14*$E694)-MAX(0,(('Business Case'!G11*$C694*'Business Case'!G12*$B694)-'Business Case'!G11*$C694*'Business Case'!G13*$D694-'Business Case'!G14*$E694))*'Business Case'!$B$7-'Business Case'!$B$8*(('Business Case'!G11*$C694*'Business Case'!G12*$B694)-('Business Case'!F11*$C694*'Business Case'!F12*$B694))-'Business Case'!G15*$F694+'Business Case'!$B$8*('Business Case'!G11*$C694*'Business Case'!G12*$B694)</f>
        <v>795162878.095584</v>
      </c>
      <c r="N694" s="39" t="n">
        <f aca="false">IF(COUNT('Business Case'!B11:G11)=0,"",H694+NPV(G694,I694:M694))</f>
        <v>-612202301.941242</v>
      </c>
      <c r="P694" s="40" t="n">
        <f aca="true">RAND()</f>
        <v>0.0288921526377487</v>
      </c>
      <c r="Q694" s="40" t="n">
        <f aca="true">RAND()</f>
        <v>0.742500539456849</v>
      </c>
      <c r="R694" s="40" t="n">
        <f aca="true">RAND()</f>
        <v>0.791865519750882</v>
      </c>
      <c r="S694" s="40" t="n">
        <f aca="true">RAND()</f>
        <v>0.286518442030358</v>
      </c>
      <c r="T694" s="40" t="n">
        <f aca="true">RAND()</f>
        <v>0.353715000264034</v>
      </c>
      <c r="U694" s="40" t="n">
        <f aca="true">RAND()</f>
        <v>0.0918516294600146</v>
      </c>
    </row>
    <row r="695" customFormat="false" ht="15" hidden="false" customHeight="false" outlineLevel="0" collapsed="false">
      <c r="A695" s="36" t="n">
        <v>615</v>
      </c>
      <c r="B695" s="37" t="n">
        <f aca="false">1+IF($G$6=$E$6,$F$6,IF(P695&lt;($F$6-$E$6)/($G$6-$E$6),$E$6+SQRT(P695*($G$6-$E$6)*($F$6-$E$6)),$G$6-SQRT((1-P695)*($G$6-$E$6)*($G$6-$F$6))))</f>
        <v>1.02239713719521</v>
      </c>
      <c r="C695" s="37" t="n">
        <f aca="false">1+IF($G$7=$E$7,$F$7,IF(Q695&lt;($F$7-$E$7)/($G$7-$E$7),$E$7+SQRT(Q695*($G$7-$E$7)*($F$7-$E$7)),$G$7-SQRT((1-Q695)*($G$7-$E$7)*($G$7-$F$7))))</f>
        <v>0.948649193380384</v>
      </c>
      <c r="D695" s="37" t="n">
        <f aca="false">1+IF($G$8=$E$8,$F$8,IF(R695&lt;($F$8-$E$8)/($G$8-$E$8),$E$8+SQRT(R695*($G$8-$E$8)*($F$8-$E$8)),$G$8-SQRT((1-R695)*($G$8-$E$8)*($G$8-$F$8))))</f>
        <v>1.05925392321755</v>
      </c>
      <c r="E695" s="37" t="n">
        <f aca="false">1+IF($G$9=$E$9,$F$9,IF(S695&lt;($F$9-$E$9)/($G$9-$E$9),$E$9+SQRT(S695*($G$9-$E$9)*($F$9-$E$9)),$G$9-SQRT((1-S695)*($G$9-$E$9)*($G$9-$F$9))))</f>
        <v>1.03826859340833</v>
      </c>
      <c r="F695" s="37" t="n">
        <f aca="false">1+IF($G$10=$E$10,$F$10,IF(T695&lt;($F$10-$E$10)/($G$10-$E$10),$E$10+SQRT(T695*($G$10-$E$10)*($F$10-$E$10)),$G$10-SQRT((1-T695)*($G$10-$E$10)*($G$10-$F$10))))</f>
        <v>1.02172705065829</v>
      </c>
      <c r="G695" s="38" t="n">
        <f aca="false">IF($G$11=$E$11,$F$11,IF(U695&lt;($F$11-$E$11)/($G$11-$E$11),$E$11+SQRT(U695*($G$11-$E$11)*($F$11-$E$11)),$G$11-SQRT((1-U695)*($G$11-$E$11)*($G$11-$F$11))))</f>
        <v>0.111152781742637</v>
      </c>
      <c r="H695" s="39" t="n">
        <f aca="false">(('Business Case'!B11*$C695*'Business Case'!B12*$B695)-'Business Case'!B11*$C695*'Business Case'!B13*$D695-'Business Case'!B14*$E695)-MAX(0,(('Business Case'!B11*$C695*'Business Case'!B12*$B695)-'Business Case'!B11*$C695*'Business Case'!B13*$D695-'Business Case'!B14*$E695))*'Business Case'!$B$7-'Business Case'!$B$8*('Business Case'!B11*$C695*'Business Case'!B12*$B695)-'Business Case'!B15*$F695</f>
        <v>-2043454101.31657</v>
      </c>
      <c r="I695" s="39" t="n">
        <f aca="false">(('Business Case'!C11*$C695*'Business Case'!C12*$B695)-'Business Case'!C11*$C695*'Business Case'!C13*$D695-'Business Case'!C14*$E695)-MAX(0,(('Business Case'!C11*$C695*'Business Case'!C12*$B695)-'Business Case'!C11*$C695*'Business Case'!C13*$D695-'Business Case'!C14*$E695))*'Business Case'!$B$7-'Business Case'!$B$8*(('Business Case'!C11*$C695*'Business Case'!C12*$B695)-('Business Case'!B11*$C695*'Business Case'!B12*$B695))-'Business Case'!C15*$F695</f>
        <v>-20087208.4082576</v>
      </c>
      <c r="J695" s="39" t="n">
        <f aca="false">(('Business Case'!D11*$C695*'Business Case'!D12*$B695)-'Business Case'!D11*$C695*'Business Case'!D13*$D695-'Business Case'!D14*$E695)-MAX(0,(('Business Case'!D11*$C695*'Business Case'!D12*$B695)-'Business Case'!D11*$C695*'Business Case'!D13*$D695-'Business Case'!D14*$E695))*'Business Case'!$B$7-'Business Case'!$B$8*(('Business Case'!D11*$C695*'Business Case'!D12*$B695)-('Business Case'!C11*$C695*'Business Case'!C12*$B695))-'Business Case'!D15*$F695</f>
        <v>259919502.251617</v>
      </c>
      <c r="K695" s="39" t="n">
        <f aca="false">(('Business Case'!E11*$C695*'Business Case'!E12*$B695)-'Business Case'!E11*$C695*'Business Case'!E13*$D695-'Business Case'!E14*$E695)-MAX(0,(('Business Case'!E11*$C695*'Business Case'!E12*$B695)-'Business Case'!E11*$C695*'Business Case'!E13*$D695-'Business Case'!E14*$E695))*'Business Case'!$B$7-'Business Case'!$B$8*(('Business Case'!E11*$C695*'Business Case'!E12*$B695)-('Business Case'!D11*$C695*'Business Case'!D12*$B695))-'Business Case'!E15*$F695</f>
        <v>591012565.444406</v>
      </c>
      <c r="L695" s="39" t="n">
        <f aca="false">(('Business Case'!F11*$C695*'Business Case'!F12*$B695)-'Business Case'!F11*$C695*'Business Case'!F13*$D695-'Business Case'!F14*$E695)-MAX(0,(('Business Case'!F11*$C695*'Business Case'!F12*$B695)-'Business Case'!F11*$C695*'Business Case'!F13*$D695-'Business Case'!F14*$E695))*'Business Case'!$B$7-'Business Case'!$B$8*(('Business Case'!F11*$C695*'Business Case'!F12*$B695)-('Business Case'!E11*$C695*'Business Case'!E12*$B695))-'Business Case'!F15*$F695</f>
        <v>717867749.01079</v>
      </c>
      <c r="M695" s="39" t="n">
        <f aca="false">(('Business Case'!G11*$C695*'Business Case'!G12*$B695)-'Business Case'!G11*$C695*'Business Case'!G13*$D695-'Business Case'!G14*$E695)-MAX(0,(('Business Case'!G11*$C695*'Business Case'!G12*$B695)-'Business Case'!G11*$C695*'Business Case'!G13*$D695-'Business Case'!G14*$E695))*'Business Case'!$B$7-'Business Case'!$B$8*(('Business Case'!G11*$C695*'Business Case'!G12*$B695)-('Business Case'!F11*$C695*'Business Case'!F12*$B695))-'Business Case'!G15*$F695+'Business Case'!$B$8*('Business Case'!G11*$C695*'Business Case'!G12*$B695)</f>
        <v>902225622.416134</v>
      </c>
      <c r="N695" s="39" t="n">
        <f aca="false">IF(COUNT('Business Case'!B11:G11)=0,"",H695+NPV(G695,I695:M695))</f>
        <v>-416635517.001887</v>
      </c>
      <c r="P695" s="40" t="n">
        <f aca="true">RAND()</f>
        <v>0.935445671057414</v>
      </c>
      <c r="Q695" s="40" t="n">
        <f aca="true">RAND()</f>
        <v>0.315665467037697</v>
      </c>
      <c r="R695" s="40" t="n">
        <f aca="true">RAND()</f>
        <v>0.95861541328238</v>
      </c>
      <c r="S695" s="40" t="n">
        <f aca="true">RAND()</f>
        <v>0.745948896014251</v>
      </c>
      <c r="T695" s="40" t="n">
        <f aca="true">RAND()</f>
        <v>0.364375110660139</v>
      </c>
      <c r="U695" s="40" t="n">
        <f aca="true">RAND()</f>
        <v>0.869544548510977</v>
      </c>
    </row>
    <row r="696" customFormat="false" ht="15" hidden="false" customHeight="false" outlineLevel="0" collapsed="false">
      <c r="A696" s="36" t="n">
        <v>616</v>
      </c>
      <c r="B696" s="37" t="n">
        <f aca="false">1+IF($G$6=$E$6,$F$6,IF(P696&lt;($F$6-$E$6)/($G$6-$E$6),$E$6+SQRT(P696*($G$6-$E$6)*($F$6-$E$6)),$G$6-SQRT((1-P696)*($G$6-$E$6)*($G$6-$F$6))))</f>
        <v>1.00857189591536</v>
      </c>
      <c r="C696" s="37" t="n">
        <f aca="false">1+IF($G$7=$E$7,$F$7,IF(Q696&lt;($F$7-$E$7)/($G$7-$E$7),$E$7+SQRT(Q696*($G$7-$E$7)*($F$7-$E$7)),$G$7-SQRT((1-Q696)*($G$7-$E$7)*($G$7-$F$7))))</f>
        <v>1.02165013393001</v>
      </c>
      <c r="D696" s="37" t="n">
        <f aca="false">1+IF($G$8=$E$8,$F$8,IF(R696&lt;($F$8-$E$8)/($G$8-$E$8),$E$8+SQRT(R696*($G$8-$E$8)*($F$8-$E$8)),$G$8-SQRT((1-R696)*($G$8-$E$8)*($G$8-$F$8))))</f>
        <v>1.01119684199642</v>
      </c>
      <c r="E696" s="37" t="n">
        <f aca="false">1+IF($G$9=$E$9,$F$9,IF(S696&lt;($F$9-$E$9)/($G$9-$E$9),$E$9+SQRT(S696*($G$9-$E$9)*($F$9-$E$9)),$G$9-SQRT((1-S696)*($G$9-$E$9)*($G$9-$F$9))))</f>
        <v>1.06465652103927</v>
      </c>
      <c r="F696" s="37" t="n">
        <f aca="false">1+IF($G$10=$E$10,$F$10,IF(T696&lt;($F$10-$E$10)/($G$10-$E$10),$E$10+SQRT(T696*($G$10-$E$10)*($F$10-$E$10)),$G$10-SQRT((1-T696)*($G$10-$E$10)*($G$10-$F$10))))</f>
        <v>1.02014644497981</v>
      </c>
      <c r="G696" s="38" t="n">
        <f aca="false">IF($G$11=$E$11,$F$11,IF(U696&lt;($F$11-$E$11)/($G$11-$E$11),$E$11+SQRT(U696*($G$11-$E$11)*($F$11-$E$11)),$G$11-SQRT((1-U696)*($G$11-$E$11)*($G$11-$F$11))))</f>
        <v>0.104307814349626</v>
      </c>
      <c r="H696" s="39" t="n">
        <f aca="false">(('Business Case'!B11*$C696*'Business Case'!B12*$B696)-'Business Case'!B11*$C696*'Business Case'!B13*$D696-'Business Case'!B14*$E696)-MAX(0,(('Business Case'!B11*$C696*'Business Case'!B12*$B696)-'Business Case'!B11*$C696*'Business Case'!B13*$D696-'Business Case'!B14*$E696))*'Business Case'!$B$7-'Business Case'!$B$8*('Business Case'!B11*$C696*'Business Case'!B12*$B696)-'Business Case'!B15*$F696</f>
        <v>-2040292889.95962</v>
      </c>
      <c r="I696" s="39" t="n">
        <f aca="false">(('Business Case'!C11*$C696*'Business Case'!C12*$B696)-'Business Case'!C11*$C696*'Business Case'!C13*$D696-'Business Case'!C14*$E696)-MAX(0,(('Business Case'!C11*$C696*'Business Case'!C12*$B696)-'Business Case'!C11*$C696*'Business Case'!C13*$D696-'Business Case'!C14*$E696))*'Business Case'!$B$7-'Business Case'!$B$8*(('Business Case'!C11*$C696*'Business Case'!C12*$B696)-('Business Case'!B11*$C696*'Business Case'!B12*$B696))-'Business Case'!C15*$F696</f>
        <v>8293771.54934263</v>
      </c>
      <c r="J696" s="39" t="n">
        <f aca="false">(('Business Case'!D11*$C696*'Business Case'!D12*$B696)-'Business Case'!D11*$C696*'Business Case'!D13*$D696-'Business Case'!D14*$E696)-MAX(0,(('Business Case'!D11*$C696*'Business Case'!D12*$B696)-'Business Case'!D11*$C696*'Business Case'!D13*$D696-'Business Case'!D14*$E696))*'Business Case'!$B$7-'Business Case'!$B$8*(('Business Case'!D11*$C696*'Business Case'!D12*$B696)-('Business Case'!C11*$C696*'Business Case'!C12*$B696))-'Business Case'!D15*$F696</f>
        <v>323412675.522522</v>
      </c>
      <c r="K696" s="39" t="n">
        <f aca="false">(('Business Case'!E11*$C696*'Business Case'!E12*$B696)-'Business Case'!E11*$C696*'Business Case'!E13*$D696-'Business Case'!E14*$E696)-MAX(0,(('Business Case'!E11*$C696*'Business Case'!E12*$B696)-'Business Case'!E11*$C696*'Business Case'!E13*$D696-'Business Case'!E14*$E696))*'Business Case'!$B$7-'Business Case'!$B$8*(('Business Case'!E11*$C696*'Business Case'!E12*$B696)-('Business Case'!D11*$C696*'Business Case'!D12*$B696))-'Business Case'!E15*$F696</f>
        <v>689538901.744692</v>
      </c>
      <c r="L696" s="39" t="n">
        <f aca="false">(('Business Case'!F11*$C696*'Business Case'!F12*$B696)-'Business Case'!F11*$C696*'Business Case'!F13*$D696-'Business Case'!F14*$E696)-MAX(0,(('Business Case'!F11*$C696*'Business Case'!F12*$B696)-'Business Case'!F11*$C696*'Business Case'!F13*$D696-'Business Case'!F14*$E696))*'Business Case'!$B$7-'Business Case'!$B$8*(('Business Case'!F11*$C696*'Business Case'!F12*$B696)-('Business Case'!E11*$C696*'Business Case'!E12*$B696))-'Business Case'!F15*$F696</f>
        <v>830189423.4918</v>
      </c>
      <c r="M696" s="39" t="n">
        <f aca="false">(('Business Case'!G11*$C696*'Business Case'!G12*$B696)-'Business Case'!G11*$C696*'Business Case'!G13*$D696-'Business Case'!G14*$E696)-MAX(0,(('Business Case'!G11*$C696*'Business Case'!G12*$B696)-'Business Case'!G11*$C696*'Business Case'!G13*$D696-'Business Case'!G14*$E696))*'Business Case'!$B$7-'Business Case'!$B$8*(('Business Case'!G11*$C696*'Business Case'!G12*$B696)-('Business Case'!F11*$C696*'Business Case'!F12*$B696))-'Business Case'!G15*$F696+'Business Case'!$B$8*('Business Case'!G11*$C696*'Business Case'!G12*$B696)</f>
        <v>1026049302.4834</v>
      </c>
      <c r="N696" s="39" t="n">
        <f aca="false">IF(COUNT('Business Case'!B11:G11)=0,"",H696+NPV(G696,I696:M696))</f>
        <v>-72558283.9026308</v>
      </c>
      <c r="P696" s="40" t="n">
        <f aca="true">RAND()</f>
        <v>0.794223807009361</v>
      </c>
      <c r="Q696" s="40" t="n">
        <f aca="true">RAND()</f>
        <v>0.686215464377465</v>
      </c>
      <c r="R696" s="40" t="n">
        <f aca="true">RAND()</f>
        <v>0.54481975468598</v>
      </c>
      <c r="S696" s="40" t="n">
        <f aca="true">RAND()</f>
        <v>0.916722566330139</v>
      </c>
      <c r="T696" s="40" t="n">
        <f aca="true">RAND()</f>
        <v>0.353053974931984</v>
      </c>
      <c r="U696" s="40" t="n">
        <f aca="true">RAND()</f>
        <v>0.589592182523664</v>
      </c>
    </row>
    <row r="697" customFormat="false" ht="15" hidden="false" customHeight="false" outlineLevel="0" collapsed="false">
      <c r="A697" s="36" t="n">
        <v>617</v>
      </c>
      <c r="B697" s="37" t="n">
        <f aca="false">1+IF($G$6=$E$6,$F$6,IF(P697&lt;($F$6-$E$6)/($G$6-$E$6),$E$6+SQRT(P697*($G$6-$E$6)*($F$6-$E$6)),$G$6-SQRT((1-P697)*($G$6-$E$6)*($G$6-$F$6))))</f>
        <v>0.933349504101527</v>
      </c>
      <c r="C697" s="37" t="n">
        <f aca="false">1+IF($G$7=$E$7,$F$7,IF(Q697&lt;($F$7-$E$7)/($G$7-$E$7),$E$7+SQRT(Q697*($G$7-$E$7)*($F$7-$E$7)),$G$7-SQRT((1-Q697)*($G$7-$E$7)*($G$7-$F$7))))</f>
        <v>0.938920065893082</v>
      </c>
      <c r="D697" s="37" t="n">
        <f aca="false">1+IF($G$8=$E$8,$F$8,IF(R697&lt;($F$8-$E$8)/($G$8-$E$8),$E$8+SQRT(R697*($G$8-$E$8)*($F$8-$E$8)),$G$8-SQRT((1-R697)*($G$8-$E$8)*($G$8-$F$8))))</f>
        <v>1.00100965049674</v>
      </c>
      <c r="E697" s="37" t="n">
        <f aca="false">1+IF($G$9=$E$9,$F$9,IF(S697&lt;($F$9-$E$9)/($G$9-$E$9),$E$9+SQRT(S697*($G$9-$E$9)*($F$9-$E$9)),$G$9-SQRT((1-S697)*($G$9-$E$9)*($G$9-$F$9))))</f>
        <v>1.0453972043141</v>
      </c>
      <c r="F697" s="37" t="n">
        <f aca="false">1+IF($G$10=$E$10,$F$10,IF(T697&lt;($F$10-$E$10)/($G$10-$E$10),$E$10+SQRT(T697*($G$10-$E$10)*($F$10-$E$10)),$G$10-SQRT((1-T697)*($G$10-$E$10)*($G$10-$F$10))))</f>
        <v>1.00402111347829</v>
      </c>
      <c r="G697" s="38" t="n">
        <f aca="false">IF($G$11=$E$11,$F$11,IF(U697&lt;($F$11-$E$11)/($G$11-$E$11),$E$11+SQRT(U697*($G$11-$E$11)*($F$11-$E$11)),$G$11-SQRT((1-U697)*($G$11-$E$11)*($G$11-$F$11))))</f>
        <v>0.11319370162659</v>
      </c>
      <c r="H697" s="39" t="n">
        <f aca="false">(('Business Case'!B11*$C697*'Business Case'!B12*$B697)-'Business Case'!B11*$C697*'Business Case'!B13*$D697-'Business Case'!B14*$E697)-MAX(0,(('Business Case'!B11*$C697*'Business Case'!B12*$B697)-'Business Case'!B11*$C697*'Business Case'!B13*$D697-'Business Case'!B14*$E697))*'Business Case'!$B$7-'Business Case'!$B$8*('Business Case'!B11*$C697*'Business Case'!B12*$B697)-'Business Case'!B15*$F697</f>
        <v>-2008042226.95658</v>
      </c>
      <c r="I697" s="39" t="n">
        <f aca="false">(('Business Case'!C11*$C697*'Business Case'!C12*$B697)-'Business Case'!C11*$C697*'Business Case'!C13*$D697-'Business Case'!C14*$E697)-MAX(0,(('Business Case'!C11*$C697*'Business Case'!C12*$B697)-'Business Case'!C11*$C697*'Business Case'!C13*$D697-'Business Case'!C14*$E697))*'Business Case'!$B$7-'Business Case'!$B$8*(('Business Case'!C11*$C697*'Business Case'!C12*$B697)-('Business Case'!B11*$C697*'Business Case'!B12*$B697))-'Business Case'!C15*$F697</f>
        <v>-57838310.1661376</v>
      </c>
      <c r="J697" s="39" t="n">
        <f aca="false">(('Business Case'!D11*$C697*'Business Case'!D12*$B697)-'Business Case'!D11*$C697*'Business Case'!D13*$D697-'Business Case'!D14*$E697)-MAX(0,(('Business Case'!D11*$C697*'Business Case'!D12*$B697)-'Business Case'!D11*$C697*'Business Case'!D13*$D697-'Business Case'!D14*$E697))*'Business Case'!$B$7-'Business Case'!$B$8*(('Business Case'!D11*$C697*'Business Case'!D12*$B697)-('Business Case'!C11*$C697*'Business Case'!C12*$B697))-'Business Case'!D15*$F697</f>
        <v>178810469.026954</v>
      </c>
      <c r="K697" s="39" t="n">
        <f aca="false">(('Business Case'!E11*$C697*'Business Case'!E12*$B697)-'Business Case'!E11*$C697*'Business Case'!E13*$D697-'Business Case'!E14*$E697)-MAX(0,(('Business Case'!E11*$C697*'Business Case'!E12*$B697)-'Business Case'!E11*$C697*'Business Case'!E13*$D697-'Business Case'!E14*$E697))*'Business Case'!$B$7-'Business Case'!$B$8*(('Business Case'!E11*$C697*'Business Case'!E12*$B697)-('Business Case'!D11*$C697*'Business Case'!D12*$B697))-'Business Case'!E15*$F697</f>
        <v>465660303.89396</v>
      </c>
      <c r="L697" s="39" t="n">
        <f aca="false">(('Business Case'!F11*$C697*'Business Case'!F12*$B697)-'Business Case'!F11*$C697*'Business Case'!F13*$D697-'Business Case'!F14*$E697)-MAX(0,(('Business Case'!F11*$C697*'Business Case'!F12*$B697)-'Business Case'!F11*$C697*'Business Case'!F13*$D697-'Business Case'!F14*$E697))*'Business Case'!$B$7-'Business Case'!$B$8*(('Business Case'!F11*$C697*'Business Case'!F12*$B697)-('Business Case'!E11*$C697*'Business Case'!E12*$B697))-'Business Case'!F15*$F697</f>
        <v>574829560.663614</v>
      </c>
      <c r="M697" s="39" t="n">
        <f aca="false">(('Business Case'!G11*$C697*'Business Case'!G12*$B697)-'Business Case'!G11*$C697*'Business Case'!G13*$D697-'Business Case'!G14*$E697)-MAX(0,(('Business Case'!G11*$C697*'Business Case'!G12*$B697)-'Business Case'!G11*$C697*'Business Case'!G13*$D697-'Business Case'!G14*$E697))*'Business Case'!$B$7-'Business Case'!$B$8*(('Business Case'!G11*$C697*'Business Case'!G12*$B697)-('Business Case'!F11*$C697*'Business Case'!F12*$B697))-'Business Case'!G15*$F697+'Business Case'!$B$8*('Business Case'!G11*$C697*'Business Case'!G12*$B697)</f>
        <v>741404377.709379</v>
      </c>
      <c r="N697" s="39" t="n">
        <f aca="false">IF(COUNT('Business Case'!B11:G11)=0,"",H697+NPV(G697,I697:M697))</f>
        <v>-770096288.425163</v>
      </c>
      <c r="P697" s="40" t="n">
        <f aca="true">RAND()</f>
        <v>0.0185634645579877</v>
      </c>
      <c r="Q697" s="40" t="n">
        <f aca="true">RAND()</f>
        <v>0.27569692439626</v>
      </c>
      <c r="R697" s="40" t="n">
        <f aca="true">RAND()</f>
        <v>0.400050450514749</v>
      </c>
      <c r="S697" s="40" t="n">
        <f aca="true">RAND()</f>
        <v>0.801235646885572</v>
      </c>
      <c r="T697" s="40" t="n">
        <f aca="true">RAND()</f>
        <v>0.231845520754199</v>
      </c>
      <c r="U697" s="40" t="n">
        <f aca="true">RAND()</f>
        <v>0.922790504086872</v>
      </c>
    </row>
    <row r="698" customFormat="false" ht="15" hidden="false" customHeight="false" outlineLevel="0" collapsed="false">
      <c r="A698" s="36" t="n">
        <v>618</v>
      </c>
      <c r="B698" s="37" t="n">
        <f aca="false">1+IF($G$6=$E$6,$F$6,IF(P698&lt;($F$6-$E$6)/($G$6-$E$6),$E$6+SQRT(P698*($G$6-$E$6)*($F$6-$E$6)),$G$6-SQRT((1-P698)*($G$6-$E$6)*($G$6-$F$6))))</f>
        <v>1.00812518006878</v>
      </c>
      <c r="C698" s="37" t="n">
        <f aca="false">1+IF($G$7=$E$7,$F$7,IF(Q698&lt;($F$7-$E$7)/($G$7-$E$7),$E$7+SQRT(Q698*($G$7-$E$7)*($F$7-$E$7)),$G$7-SQRT((1-Q698)*($G$7-$E$7)*($G$7-$F$7))))</f>
        <v>0.887795864925335</v>
      </c>
      <c r="D698" s="37" t="n">
        <f aca="false">1+IF($G$8=$E$8,$F$8,IF(R698&lt;($F$8-$E$8)/($G$8-$E$8),$E$8+SQRT(R698*($G$8-$E$8)*($F$8-$E$8)),$G$8-SQRT((1-R698)*($G$8-$E$8)*($G$8-$F$8))))</f>
        <v>0.973094898353763</v>
      </c>
      <c r="E698" s="37" t="n">
        <f aca="false">1+IF($G$9=$E$9,$F$9,IF(S698&lt;($F$9-$E$9)/($G$9-$E$9),$E$9+SQRT(S698*($G$9-$E$9)*($F$9-$E$9)),$G$9-SQRT((1-S698)*($G$9-$E$9)*($G$9-$F$9))))</f>
        <v>1.04867366157026</v>
      </c>
      <c r="F698" s="37" t="n">
        <f aca="false">1+IF($G$10=$E$10,$F$10,IF(T698&lt;($F$10-$E$10)/($G$10-$E$10),$E$10+SQRT(T698*($G$10-$E$10)*($F$10-$E$10)),$G$10-SQRT((1-T698)*($G$10-$E$10)*($G$10-$F$10))))</f>
        <v>1.05740991814363</v>
      </c>
      <c r="G698" s="38" t="n">
        <f aca="false">IF($G$11=$E$11,$F$11,IF(U698&lt;($F$11-$E$11)/($G$11-$E$11),$E$11+SQRT(U698*($G$11-$E$11)*($F$11-$E$11)),$G$11-SQRT((1-U698)*($G$11-$E$11)*($G$11-$F$11))))</f>
        <v>0.116439454684491</v>
      </c>
      <c r="H698" s="39" t="n">
        <f aca="false">(('Business Case'!B11*$C698*'Business Case'!B12*$B698)-'Business Case'!B11*$C698*'Business Case'!B13*$D698-'Business Case'!B14*$E698)-MAX(0,(('Business Case'!B11*$C698*'Business Case'!B12*$B698)-'Business Case'!B11*$C698*'Business Case'!B13*$D698-'Business Case'!B14*$E698))*'Business Case'!$B$7-'Business Case'!$B$8*('Business Case'!B11*$C698*'Business Case'!B12*$B698)-'Business Case'!B15*$F698</f>
        <v>-2114819836.28726</v>
      </c>
      <c r="I698" s="39" t="n">
        <f aca="false">(('Business Case'!C11*$C698*'Business Case'!C12*$B698)-'Business Case'!C11*$C698*'Business Case'!C13*$D698-'Business Case'!C14*$E698)-MAX(0,(('Business Case'!C11*$C698*'Business Case'!C12*$B698)-'Business Case'!C11*$C698*'Business Case'!C13*$D698-'Business Case'!C14*$E698))*'Business Case'!$B$7-'Business Case'!$B$8*(('Business Case'!C11*$C698*'Business Case'!C12*$B698)-('Business Case'!B11*$C698*'Business Case'!B12*$B698))-'Business Case'!C15*$F698</f>
        <v>-10435176.669616</v>
      </c>
      <c r="J698" s="39" t="n">
        <f aca="false">(('Business Case'!D11*$C698*'Business Case'!D12*$B698)-'Business Case'!D11*$C698*'Business Case'!D13*$D698-'Business Case'!D14*$E698)-MAX(0,(('Business Case'!D11*$C698*'Business Case'!D12*$B698)-'Business Case'!D11*$C698*'Business Case'!D13*$D698-'Business Case'!D14*$E698))*'Business Case'!$B$7-'Business Case'!$B$8*(('Business Case'!D11*$C698*'Business Case'!D12*$B698)-('Business Case'!C11*$C698*'Business Case'!C12*$B698))-'Business Case'!D15*$F698</f>
        <v>280389318.693824</v>
      </c>
      <c r="K698" s="39" t="n">
        <f aca="false">(('Business Case'!E11*$C698*'Business Case'!E12*$B698)-'Business Case'!E11*$C698*'Business Case'!E13*$D698-'Business Case'!E14*$E698)-MAX(0,(('Business Case'!E11*$C698*'Business Case'!E12*$B698)-'Business Case'!E11*$C698*'Business Case'!E13*$D698-'Business Case'!E14*$E698))*'Business Case'!$B$7-'Business Case'!$B$8*(('Business Case'!E11*$C698*'Business Case'!E12*$B698)-('Business Case'!D11*$C698*'Business Case'!D12*$B698))-'Business Case'!E15*$F698</f>
        <v>624084309.964446</v>
      </c>
      <c r="L698" s="39" t="n">
        <f aca="false">(('Business Case'!F11*$C698*'Business Case'!F12*$B698)-'Business Case'!F11*$C698*'Business Case'!F13*$D698-'Business Case'!F14*$E698)-MAX(0,(('Business Case'!F11*$C698*'Business Case'!F12*$B698)-'Business Case'!F11*$C698*'Business Case'!F13*$D698-'Business Case'!F14*$E698))*'Business Case'!$B$7-'Business Case'!$B$8*(('Business Case'!F11*$C698*'Business Case'!F12*$B698)-('Business Case'!E11*$C698*'Business Case'!E12*$B698))-'Business Case'!F15*$F698</f>
        <v>751957332.114527</v>
      </c>
      <c r="M698" s="39" t="n">
        <f aca="false">(('Business Case'!G11*$C698*'Business Case'!G12*$B698)-'Business Case'!G11*$C698*'Business Case'!G13*$D698-'Business Case'!G14*$E698)-MAX(0,(('Business Case'!G11*$C698*'Business Case'!G12*$B698)-'Business Case'!G11*$C698*'Business Case'!G13*$D698-'Business Case'!G14*$E698))*'Business Case'!$B$7-'Business Case'!$B$8*(('Business Case'!G11*$C698*'Business Case'!G12*$B698)-('Business Case'!F11*$C698*'Business Case'!F12*$B698))-'Business Case'!G15*$F698+'Business Case'!$B$8*('Business Case'!G11*$C698*'Business Case'!G12*$B698)</f>
        <v>922080712.440334</v>
      </c>
      <c r="N698" s="39" t="n">
        <f aca="false">IF(COUNT('Business Case'!B11:G11)=0,"",H698+NPV(G698,I698:M698))</f>
        <v>-435121694.194397</v>
      </c>
      <c r="P698" s="40" t="n">
        <f aca="true">RAND()</f>
        <v>0.788332469656665</v>
      </c>
      <c r="Q698" s="40" t="n">
        <f aca="true">RAND()</f>
        <v>0.110115912828395</v>
      </c>
      <c r="R698" s="40" t="n">
        <f aca="true">RAND()</f>
        <v>0.0820575892262522</v>
      </c>
      <c r="S698" s="40" t="n">
        <f aca="true">RAND()</f>
        <v>0.824373798893053</v>
      </c>
      <c r="T698" s="40" t="n">
        <f aca="true">RAND()</f>
        <v>0.593361371123884</v>
      </c>
      <c r="U698" s="40" t="n">
        <f aca="true">RAND()</f>
        <v>0.978870861760341</v>
      </c>
    </row>
    <row r="699" customFormat="false" ht="15" hidden="false" customHeight="false" outlineLevel="0" collapsed="false">
      <c r="A699" s="36" t="n">
        <v>619</v>
      </c>
      <c r="B699" s="37" t="n">
        <f aca="false">1+IF($G$6=$E$6,$F$6,IF(P699&lt;($F$6-$E$6)/($G$6-$E$6),$E$6+SQRT(P699*($G$6-$E$6)*($F$6-$E$6)),$G$6-SQRT((1-P699)*($G$6-$E$6)*($G$6-$F$6))))</f>
        <v>1.0188910072781</v>
      </c>
      <c r="C699" s="37" t="n">
        <f aca="false">1+IF($G$7=$E$7,$F$7,IF(Q699&lt;($F$7-$E$7)/($G$7-$E$7),$E$7+SQRT(Q699*($G$7-$E$7)*($F$7-$E$7)),$G$7-SQRT((1-Q699)*($G$7-$E$7)*($G$7-$F$7))))</f>
        <v>1.09759071247282</v>
      </c>
      <c r="D699" s="37" t="n">
        <f aca="false">1+IF($G$8=$E$8,$F$8,IF(R699&lt;($F$8-$E$8)/($G$8-$E$8),$E$8+SQRT(R699*($G$8-$E$8)*($F$8-$E$8)),$G$8-SQRT((1-R699)*($G$8-$E$8)*($G$8-$F$8))))</f>
        <v>1.00476067662686</v>
      </c>
      <c r="E699" s="37" t="n">
        <f aca="false">1+IF($G$9=$E$9,$F$9,IF(S699&lt;($F$9-$E$9)/($G$9-$E$9),$E$9+SQRT(S699*($G$9-$E$9)*($F$9-$E$9)),$G$9-SQRT((1-S699)*($G$9-$E$9)*($G$9-$F$9))))</f>
        <v>1.01536529739367</v>
      </c>
      <c r="F699" s="37" t="n">
        <f aca="false">1+IF($G$10=$E$10,$F$10,IF(T699&lt;($F$10-$E$10)/($G$10-$E$10),$E$10+SQRT(T699*($G$10-$E$10)*($F$10-$E$10)),$G$10-SQRT((1-T699)*($G$10-$E$10)*($G$10-$F$10))))</f>
        <v>1.0174700689598</v>
      </c>
      <c r="G699" s="38" t="n">
        <f aca="false">IF($G$11=$E$11,$F$11,IF(U699&lt;($F$11-$E$11)/($G$11-$E$11),$E$11+SQRT(U699*($G$11-$E$11)*($F$11-$E$11)),$G$11-SQRT((1-U699)*($G$11-$E$11)*($G$11-$F$11))))</f>
        <v>0.113881653376068</v>
      </c>
      <c r="H699" s="39" t="n">
        <f aca="false">(('Business Case'!B11*$C699*'Business Case'!B12*$B699)-'Business Case'!B11*$C699*'Business Case'!B13*$D699-'Business Case'!B14*$E699)-MAX(0,(('Business Case'!B11*$C699*'Business Case'!B12*$B699)-'Business Case'!B11*$C699*'Business Case'!B13*$D699-'Business Case'!B14*$E699))*'Business Case'!$B$7-'Business Case'!$B$8*('Business Case'!B11*$C699*'Business Case'!B12*$B699)-'Business Case'!B15*$F699</f>
        <v>-2034940137.91961</v>
      </c>
      <c r="I699" s="39" t="n">
        <f aca="false">(('Business Case'!C11*$C699*'Business Case'!C12*$B699)-'Business Case'!C11*$C699*'Business Case'!C13*$D699-'Business Case'!C14*$E699)-MAX(0,(('Business Case'!C11*$C699*'Business Case'!C12*$B699)-'Business Case'!C11*$C699*'Business Case'!C13*$D699-'Business Case'!C14*$E699))*'Business Case'!$B$7-'Business Case'!$B$8*(('Business Case'!C11*$C699*'Business Case'!C12*$B699)-('Business Case'!B11*$C699*'Business Case'!B12*$B699))-'Business Case'!C15*$F699</f>
        <v>47329449.4301428</v>
      </c>
      <c r="J699" s="39" t="n">
        <f aca="false">(('Business Case'!D11*$C699*'Business Case'!D12*$B699)-'Business Case'!D11*$C699*'Business Case'!D13*$D699-'Business Case'!D14*$E699)-MAX(0,(('Business Case'!D11*$C699*'Business Case'!D12*$B699)-'Business Case'!D11*$C699*'Business Case'!D13*$D699-'Business Case'!D14*$E699))*'Business Case'!$B$7-'Business Case'!$B$8*(('Business Case'!D11*$C699*'Business Case'!D12*$B699)-('Business Case'!C11*$C699*'Business Case'!C12*$B699))-'Business Case'!D15*$F699</f>
        <v>398764834.940335</v>
      </c>
      <c r="K699" s="39" t="n">
        <f aca="false">(('Business Case'!E11*$C699*'Business Case'!E12*$B699)-'Business Case'!E11*$C699*'Business Case'!E13*$D699-'Business Case'!E14*$E699)-MAX(0,(('Business Case'!E11*$C699*'Business Case'!E12*$B699)-'Business Case'!E11*$C699*'Business Case'!E13*$D699-'Business Case'!E14*$E699))*'Business Case'!$B$7-'Business Case'!$B$8*(('Business Case'!E11*$C699*'Business Case'!E12*$B699)-('Business Case'!D11*$C699*'Business Case'!D12*$B699))-'Business Case'!E15*$F699</f>
        <v>801073723.898516</v>
      </c>
      <c r="L699" s="39" t="n">
        <f aca="false">(('Business Case'!F11*$C699*'Business Case'!F12*$B699)-'Business Case'!F11*$C699*'Business Case'!F13*$D699-'Business Case'!F14*$E699)-MAX(0,(('Business Case'!F11*$C699*'Business Case'!F12*$B699)-'Business Case'!F11*$C699*'Business Case'!F13*$D699-'Business Case'!F14*$E699))*'Business Case'!$B$7-'Business Case'!$B$8*(('Business Case'!F11*$C699*'Business Case'!F12*$B699)-('Business Case'!E11*$C699*'Business Case'!E12*$B699))-'Business Case'!F15*$F699</f>
        <v>956868174.998374</v>
      </c>
      <c r="M699" s="39" t="n">
        <f aca="false">(('Business Case'!G11*$C699*'Business Case'!G12*$B699)-'Business Case'!G11*$C699*'Business Case'!G13*$D699-'Business Case'!G14*$E699)-MAX(0,(('Business Case'!G11*$C699*'Business Case'!G12*$B699)-'Business Case'!G11*$C699*'Business Case'!G13*$D699-'Business Case'!G14*$E699))*'Business Case'!$B$7-'Business Case'!$B$8*(('Business Case'!G11*$C699*'Business Case'!G12*$B699)-('Business Case'!F11*$C699*'Business Case'!F12*$B699))-'Business Case'!G15*$F699+'Business Case'!$B$8*('Business Case'!G11*$C699*'Business Case'!G12*$B699)</f>
        <v>1169439449.2789</v>
      </c>
      <c r="N699" s="39" t="n">
        <f aca="false">IF(COUNT('Business Case'!B11:G11)=0,"",H699+NPV(G699,I699:M699))</f>
        <v>212156549.321156</v>
      </c>
      <c r="P699" s="40" t="n">
        <f aca="true">RAND()</f>
        <v>0.907168838805604</v>
      </c>
      <c r="Q699" s="40" t="n">
        <f aca="true">RAND()</f>
        <v>0.947681268207483</v>
      </c>
      <c r="R699" s="40" t="n">
        <f aca="true">RAND()</f>
        <v>0.45567732868764</v>
      </c>
      <c r="S699" s="40" t="n">
        <f aca="true">RAND()</f>
        <v>0.522464474315818</v>
      </c>
      <c r="T699" s="40" t="n">
        <f aca="true">RAND()</f>
        <v>0.33365648548923</v>
      </c>
      <c r="U699" s="40" t="n">
        <f aca="true">RAND()</f>
        <v>0.93760972431569</v>
      </c>
    </row>
    <row r="700" customFormat="false" ht="15" hidden="false" customHeight="false" outlineLevel="0" collapsed="false">
      <c r="A700" s="36" t="n">
        <v>620</v>
      </c>
      <c r="B700" s="37" t="n">
        <f aca="false">1+IF($G$6=$E$6,$F$6,IF(P700&lt;($F$6-$E$6)/($G$6-$E$6),$E$6+SQRT(P700*($G$6-$E$6)*($F$6-$E$6)),$G$6-SQRT((1-P700)*($G$6-$E$6)*($G$6-$F$6))))</f>
        <v>0.969251947993446</v>
      </c>
      <c r="C700" s="37" t="n">
        <f aca="false">1+IF($G$7=$E$7,$F$7,IF(Q700&lt;($F$7-$E$7)/($G$7-$E$7),$E$7+SQRT(Q700*($G$7-$E$7)*($F$7-$E$7)),$G$7-SQRT((1-Q700)*($G$7-$E$7)*($G$7-$F$7))))</f>
        <v>0.951654688106659</v>
      </c>
      <c r="D700" s="37" t="n">
        <f aca="false">1+IF($G$8=$E$8,$F$8,IF(R700&lt;($F$8-$E$8)/($G$8-$E$8),$E$8+SQRT(R700*($G$8-$E$8)*($F$8-$E$8)),$G$8-SQRT((1-R700)*($G$8-$E$8)*($G$8-$F$8))))</f>
        <v>1.0001493290602</v>
      </c>
      <c r="E700" s="37" t="n">
        <f aca="false">1+IF($G$9=$E$9,$F$9,IF(S700&lt;($F$9-$E$9)/($G$9-$E$9),$E$9+SQRT(S700*($G$9-$E$9)*($F$9-$E$9)),$G$9-SQRT((1-S700)*($G$9-$E$9)*($G$9-$F$9))))</f>
        <v>1.01996065269841</v>
      </c>
      <c r="F700" s="37" t="n">
        <f aca="false">1+IF($G$10=$E$10,$F$10,IF(T700&lt;($F$10-$E$10)/($G$10-$E$10),$E$10+SQRT(T700*($G$10-$E$10)*($F$10-$E$10)),$G$10-SQRT((1-T700)*($G$10-$E$10)*($G$10-$F$10))))</f>
        <v>1.06316780860766</v>
      </c>
      <c r="G700" s="38" t="n">
        <f aca="false">IF($G$11=$E$11,$F$11,IF(U700&lt;($F$11-$E$11)/($G$11-$E$11),$E$11+SQRT(U700*($G$11-$E$11)*($F$11-$E$11)),$G$11-SQRT((1-U700)*($G$11-$E$11)*($G$11-$F$11))))</f>
        <v>0.103557233164498</v>
      </c>
      <c r="H700" s="39" t="n">
        <f aca="false">(('Business Case'!B11*$C700*'Business Case'!B12*$B700)-'Business Case'!B11*$C700*'Business Case'!B13*$D700-'Business Case'!B14*$E700)-MAX(0,(('Business Case'!B11*$C700*'Business Case'!B12*$B700)-'Business Case'!B11*$C700*'Business Case'!B13*$D700-'Business Case'!B14*$E700))*'Business Case'!$B$7-'Business Case'!$B$8*('Business Case'!B11*$C700*'Business Case'!B12*$B700)-'Business Case'!B15*$F700</f>
        <v>-2126335617.21531</v>
      </c>
      <c r="I700" s="39" t="n">
        <f aca="false">(('Business Case'!C11*$C700*'Business Case'!C12*$B700)-'Business Case'!C11*$C700*'Business Case'!C13*$D700-'Business Case'!C14*$E700)-MAX(0,(('Business Case'!C11*$C700*'Business Case'!C12*$B700)-'Business Case'!C11*$C700*'Business Case'!C13*$D700-'Business Case'!C14*$E700))*'Business Case'!$B$7-'Business Case'!$B$8*(('Business Case'!C11*$C700*'Business Case'!C12*$B700)-('Business Case'!B11*$C700*'Business Case'!B12*$B700))-'Business Case'!C15*$F700</f>
        <v>-30909453.2717383</v>
      </c>
      <c r="J700" s="39" t="n">
        <f aca="false">(('Business Case'!D11*$C700*'Business Case'!D12*$B700)-'Business Case'!D11*$C700*'Business Case'!D13*$D700-'Business Case'!D14*$E700)-MAX(0,(('Business Case'!D11*$C700*'Business Case'!D12*$B700)-'Business Case'!D11*$C700*'Business Case'!D13*$D700-'Business Case'!D14*$E700))*'Business Case'!$B$7-'Business Case'!$B$8*(('Business Case'!D11*$C700*'Business Case'!D12*$B700)-('Business Case'!C11*$C700*'Business Case'!C12*$B700))-'Business Case'!D15*$F700</f>
        <v>237353140.559113</v>
      </c>
      <c r="K700" s="39" t="n">
        <f aca="false">(('Business Case'!E11*$C700*'Business Case'!E12*$B700)-'Business Case'!E11*$C700*'Business Case'!E13*$D700-'Business Case'!E14*$E700)-MAX(0,(('Business Case'!E11*$C700*'Business Case'!E12*$B700)-'Business Case'!E11*$C700*'Business Case'!E13*$D700-'Business Case'!E14*$E700))*'Business Case'!$B$7-'Business Case'!$B$8*(('Business Case'!E11*$C700*'Business Case'!E12*$B700)-('Business Case'!D11*$C700*'Business Case'!D12*$B700))-'Business Case'!E15*$F700</f>
        <v>558774124.820347</v>
      </c>
      <c r="L700" s="39" t="n">
        <f aca="false">(('Business Case'!F11*$C700*'Business Case'!F12*$B700)-'Business Case'!F11*$C700*'Business Case'!F13*$D700-'Business Case'!F14*$E700)-MAX(0,(('Business Case'!F11*$C700*'Business Case'!F12*$B700)-'Business Case'!F11*$C700*'Business Case'!F13*$D700-'Business Case'!F14*$E700))*'Business Case'!$B$7-'Business Case'!$B$8*(('Business Case'!F11*$C700*'Business Case'!F12*$B700)-('Business Case'!E11*$C700*'Business Case'!E12*$B700))-'Business Case'!F15*$F700</f>
        <v>680072897.049371</v>
      </c>
      <c r="M700" s="39" t="n">
        <f aca="false">(('Business Case'!G11*$C700*'Business Case'!G12*$B700)-'Business Case'!G11*$C700*'Business Case'!G13*$D700-'Business Case'!G14*$E700)-MAX(0,(('Business Case'!G11*$C700*'Business Case'!G12*$B700)-'Business Case'!G11*$C700*'Business Case'!G13*$D700-'Business Case'!G14*$E700))*'Business Case'!$B$7-'Business Case'!$B$8*(('Business Case'!G11*$C700*'Business Case'!G12*$B700)-('Business Case'!F11*$C700*'Business Case'!F12*$B700))-'Business Case'!G15*$F700+'Business Case'!$B$8*('Business Case'!G11*$C700*'Business Case'!G12*$B700)</f>
        <v>855401388.952443</v>
      </c>
      <c r="N700" s="39" t="n">
        <f aca="false">IF(COUNT('Business Case'!B11:G11)=0,"",H700+NPV(G700,I700:M700))</f>
        <v>-562508582.147451</v>
      </c>
      <c r="P700" s="40" t="n">
        <f aca="true">RAND()</f>
        <v>0.252682748036361</v>
      </c>
      <c r="Q700" s="40" t="n">
        <f aca="true">RAND()</f>
        <v>0.328559206067545</v>
      </c>
      <c r="R700" s="40" t="n">
        <f aca="true">RAND()</f>
        <v>0.386910610621511</v>
      </c>
      <c r="S700" s="40" t="n">
        <f aca="true">RAND()</f>
        <v>0.572913525569013</v>
      </c>
      <c r="T700" s="40" t="n">
        <f aca="true">RAND()</f>
        <v>0.625539027975383</v>
      </c>
      <c r="U700" s="40" t="n">
        <f aca="true">RAND()</f>
        <v>0.549392364655532</v>
      </c>
    </row>
    <row r="701" customFormat="false" ht="15" hidden="false" customHeight="false" outlineLevel="0" collapsed="false">
      <c r="A701" s="36" t="n">
        <v>621</v>
      </c>
      <c r="B701" s="37" t="n">
        <f aca="false">1+IF($G$6=$E$6,$F$6,IF(P701&lt;($F$6-$E$6)/($G$6-$E$6),$E$6+SQRT(P701*($G$6-$E$6)*($F$6-$E$6)),$G$6-SQRT((1-P701)*($G$6-$E$6)*($G$6-$F$6))))</f>
        <v>0.979228041980712</v>
      </c>
      <c r="C701" s="37" t="n">
        <f aca="false">1+IF($G$7=$E$7,$F$7,IF(Q701&lt;($F$7-$E$7)/($G$7-$E$7),$E$7+SQRT(Q701*($G$7-$E$7)*($F$7-$E$7)),$G$7-SQRT((1-Q701)*($G$7-$E$7)*($G$7-$F$7))))</f>
        <v>0.931493579298788</v>
      </c>
      <c r="D701" s="37" t="n">
        <f aca="false">1+IF($G$8=$E$8,$F$8,IF(R701&lt;($F$8-$E$8)/($G$8-$E$8),$E$8+SQRT(R701*($G$8-$E$8)*($F$8-$E$8)),$G$8-SQRT((1-R701)*($G$8-$E$8)*($G$8-$F$8))))</f>
        <v>1.03871657238112</v>
      </c>
      <c r="E701" s="37" t="n">
        <f aca="false">1+IF($G$9=$E$9,$F$9,IF(S701&lt;($F$9-$E$9)/($G$9-$E$9),$E$9+SQRT(S701*($G$9-$E$9)*($F$9-$E$9)),$G$9-SQRT((1-S701)*($G$9-$E$9)*($G$9-$F$9))))</f>
        <v>0.990259143644232</v>
      </c>
      <c r="F701" s="37" t="n">
        <f aca="false">1+IF($G$10=$E$10,$F$10,IF(T701&lt;($F$10-$E$10)/($G$10-$E$10),$E$10+SQRT(T701*($G$10-$E$10)*($F$10-$E$10)),$G$10-SQRT((1-T701)*($G$10-$E$10)*($G$10-$F$10))))</f>
        <v>1.04658875119435</v>
      </c>
      <c r="G701" s="38" t="n">
        <f aca="false">IF($G$11=$E$11,$F$11,IF(U701&lt;($F$11-$E$11)/($G$11-$E$11),$E$11+SQRT(U701*($G$11-$E$11)*($F$11-$E$11)),$G$11-SQRT((1-U701)*($G$11-$E$11)*($G$11-$F$11))))</f>
        <v>0.0962487022663935</v>
      </c>
      <c r="H701" s="39" t="n">
        <f aca="false">(('Business Case'!B11*$C701*'Business Case'!B12*$B701)-'Business Case'!B11*$C701*'Business Case'!B13*$D701-'Business Case'!B14*$E701)-MAX(0,(('Business Case'!B11*$C701*'Business Case'!B12*$B701)-'Business Case'!B11*$C701*'Business Case'!B13*$D701-'Business Case'!B14*$E701))*'Business Case'!$B$7-'Business Case'!$B$8*('Business Case'!B11*$C701*'Business Case'!B12*$B701)-'Business Case'!B15*$F701</f>
        <v>-2093177502.3887</v>
      </c>
      <c r="I701" s="39" t="n">
        <f aca="false">(('Business Case'!C11*$C701*'Business Case'!C12*$B701)-'Business Case'!C11*$C701*'Business Case'!C13*$D701-'Business Case'!C14*$E701)-MAX(0,(('Business Case'!C11*$C701*'Business Case'!C12*$B701)-'Business Case'!C11*$C701*'Business Case'!C13*$D701-'Business Case'!C14*$E701))*'Business Case'!$B$7-'Business Case'!$B$8*(('Business Case'!C11*$C701*'Business Case'!C12*$B701)-('Business Case'!B11*$C701*'Business Case'!B12*$B701))-'Business Case'!C15*$F701</f>
        <v>-40959371.8169865</v>
      </c>
      <c r="J701" s="39" t="n">
        <f aca="false">(('Business Case'!D11*$C701*'Business Case'!D12*$B701)-'Business Case'!D11*$C701*'Business Case'!D13*$D701-'Business Case'!D14*$E701)-MAX(0,(('Business Case'!D11*$C701*'Business Case'!D12*$B701)-'Business Case'!D11*$C701*'Business Case'!D13*$D701-'Business Case'!D14*$E701))*'Business Case'!$B$7-'Business Case'!$B$8*(('Business Case'!D11*$C701*'Business Case'!D12*$B701)-('Business Case'!C11*$C701*'Business Case'!C12*$B701))-'Business Case'!D15*$F701</f>
        <v>210840559.526534</v>
      </c>
      <c r="K701" s="39" t="n">
        <f aca="false">(('Business Case'!E11*$C701*'Business Case'!E12*$B701)-'Business Case'!E11*$C701*'Business Case'!E13*$D701-'Business Case'!E14*$E701)-MAX(0,(('Business Case'!E11*$C701*'Business Case'!E12*$B701)-'Business Case'!E11*$C701*'Business Case'!E13*$D701-'Business Case'!E14*$E701))*'Business Case'!$B$7-'Business Case'!$B$8*(('Business Case'!E11*$C701*'Business Case'!E12*$B701)-('Business Case'!D11*$C701*'Business Case'!D12*$B701))-'Business Case'!E15*$F701</f>
        <v>514969928.429772</v>
      </c>
      <c r="L701" s="39" t="n">
        <f aca="false">(('Business Case'!F11*$C701*'Business Case'!F12*$B701)-'Business Case'!F11*$C701*'Business Case'!F13*$D701-'Business Case'!F14*$E701)-MAX(0,(('Business Case'!F11*$C701*'Business Case'!F12*$B701)-'Business Case'!F11*$C701*'Business Case'!F13*$D701-'Business Case'!F14*$E701))*'Business Case'!$B$7-'Business Case'!$B$8*(('Business Case'!F11*$C701*'Business Case'!F12*$B701)-('Business Case'!E11*$C701*'Business Case'!E12*$B701))-'Business Case'!F15*$F701</f>
        <v>630426957.420854</v>
      </c>
      <c r="M701" s="39" t="n">
        <f aca="false">(('Business Case'!G11*$C701*'Business Case'!G12*$B701)-'Business Case'!G11*$C701*'Business Case'!G13*$D701-'Business Case'!G14*$E701)-MAX(0,(('Business Case'!G11*$C701*'Business Case'!G12*$B701)-'Business Case'!G11*$C701*'Business Case'!G13*$D701-'Business Case'!G14*$E701))*'Business Case'!$B$7-'Business Case'!$B$8*(('Business Case'!G11*$C701*'Business Case'!G12*$B701)-('Business Case'!F11*$C701*'Business Case'!F12*$B701))-'Business Case'!G15*$F701+'Business Case'!$B$8*('Business Case'!G11*$C701*'Business Case'!G12*$B701)</f>
        <v>803807409.408684</v>
      </c>
      <c r="N701" s="39" t="n">
        <f aca="false">IF(COUNT('Business Case'!B11:G11)=0,"",H701+NPV(G701,I701:M701))</f>
        <v>-619994206.240938</v>
      </c>
      <c r="P701" s="40" t="n">
        <f aca="true">RAND()</f>
        <v>0.365412599673853</v>
      </c>
      <c r="Q701" s="40" t="n">
        <f aca="true">RAND()</f>
        <v>0.247008019954382</v>
      </c>
      <c r="R701" s="40" t="n">
        <f aca="true">RAND()</f>
        <v>0.836122942695841</v>
      </c>
      <c r="S701" s="40" t="n">
        <f aca="true">RAND()</f>
        <v>0.216106486262251</v>
      </c>
      <c r="T701" s="40" t="n">
        <f aca="true">RAND()</f>
        <v>0.529299774797807</v>
      </c>
      <c r="U701" s="40" t="n">
        <f aca="true">RAND()</f>
        <v>0.130154266713439</v>
      </c>
    </row>
    <row r="702" customFormat="false" ht="15" hidden="false" customHeight="false" outlineLevel="0" collapsed="false">
      <c r="A702" s="36" t="n">
        <v>622</v>
      </c>
      <c r="B702" s="37" t="n">
        <f aca="false">1+IF($G$6=$E$6,$F$6,IF(P702&lt;($F$6-$E$6)/($G$6-$E$6),$E$6+SQRT(P702*($G$6-$E$6)*($F$6-$E$6)),$G$6-SQRT((1-P702)*($G$6-$E$6)*($G$6-$F$6))))</f>
        <v>0.982515913846097</v>
      </c>
      <c r="C702" s="37" t="n">
        <f aca="false">1+IF($G$7=$E$7,$F$7,IF(Q702&lt;($F$7-$E$7)/($G$7-$E$7),$E$7+SQRT(Q702*($G$7-$E$7)*($F$7-$E$7)),$G$7-SQRT((1-Q702)*($G$7-$E$7)*($G$7-$F$7))))</f>
        <v>1.11753302742596</v>
      </c>
      <c r="D702" s="37" t="n">
        <f aca="false">1+IF($G$8=$E$8,$F$8,IF(R702&lt;($F$8-$E$8)/($G$8-$E$8),$E$8+SQRT(R702*($G$8-$E$8)*($F$8-$E$8)),$G$8-SQRT((1-R702)*($G$8-$E$8)*($G$8-$F$8))))</f>
        <v>1.00768152166421</v>
      </c>
      <c r="E702" s="37" t="n">
        <f aca="false">1+IF($G$9=$E$9,$F$9,IF(S702&lt;($F$9-$E$9)/($G$9-$E$9),$E$9+SQRT(S702*($G$9-$E$9)*($F$9-$E$9)),$G$9-SQRT((1-S702)*($G$9-$E$9)*($G$9-$F$9))))</f>
        <v>1.07021194091133</v>
      </c>
      <c r="F702" s="37" t="n">
        <f aca="false">1+IF($G$10=$E$10,$F$10,IF(T702&lt;($F$10-$E$10)/($G$10-$E$10),$E$10+SQRT(T702*($G$10-$E$10)*($F$10-$E$10)),$G$10-SQRT((1-T702)*($G$10-$E$10)*($G$10-$F$10))))</f>
        <v>1.1088635995155</v>
      </c>
      <c r="G702" s="38" t="n">
        <f aca="false">IF($G$11=$E$11,$F$11,IF(U702&lt;($F$11-$E$11)/($G$11-$E$11),$E$11+SQRT(U702*($G$11-$E$11)*($F$11-$E$11)),$G$11-SQRT((1-U702)*($G$11-$E$11)*($G$11-$F$11))))</f>
        <v>0.103045585519263</v>
      </c>
      <c r="H702" s="39" t="n">
        <f aca="false">(('Business Case'!B11*$C702*'Business Case'!B12*$B702)-'Business Case'!B11*$C702*'Business Case'!B13*$D702-'Business Case'!B14*$E702)-MAX(0,(('Business Case'!B11*$C702*'Business Case'!B12*$B702)-'Business Case'!B11*$C702*'Business Case'!B13*$D702-'Business Case'!B14*$E702))*'Business Case'!$B$7-'Business Case'!$B$8*('Business Case'!B11*$C702*'Business Case'!B12*$B702)-'Business Case'!B15*$F702</f>
        <v>-2217727199.03101</v>
      </c>
      <c r="I702" s="39" t="n">
        <f aca="false">(('Business Case'!C11*$C702*'Business Case'!C12*$B702)-'Business Case'!C11*$C702*'Business Case'!C13*$D702-'Business Case'!C14*$E702)-MAX(0,(('Business Case'!C11*$C702*'Business Case'!C12*$B702)-'Business Case'!C11*$C702*'Business Case'!C13*$D702-'Business Case'!C14*$E702))*'Business Case'!$B$7-'Business Case'!$B$8*(('Business Case'!C11*$C702*'Business Case'!C12*$B702)-('Business Case'!B11*$C702*'Business Case'!B12*$B702))-'Business Case'!C15*$F702</f>
        <v>2863612.16703358</v>
      </c>
      <c r="J702" s="39" t="n">
        <f aca="false">(('Business Case'!D11*$C702*'Business Case'!D12*$B702)-'Business Case'!D11*$C702*'Business Case'!D13*$D702-'Business Case'!D14*$E702)-MAX(0,(('Business Case'!D11*$C702*'Business Case'!D12*$B702)-'Business Case'!D11*$C702*'Business Case'!D13*$D702-'Business Case'!D14*$E702))*'Business Case'!$B$7-'Business Case'!$B$8*(('Business Case'!D11*$C702*'Business Case'!D12*$B702)-('Business Case'!C11*$C702*'Business Case'!C12*$B702))-'Business Case'!D15*$F702</f>
        <v>325717730.397938</v>
      </c>
      <c r="K702" s="39" t="n">
        <f aca="false">(('Business Case'!E11*$C702*'Business Case'!E12*$B702)-'Business Case'!E11*$C702*'Business Case'!E13*$D702-'Business Case'!E14*$E702)-MAX(0,(('Business Case'!E11*$C702*'Business Case'!E12*$B702)-'Business Case'!E11*$C702*'Business Case'!E13*$D702-'Business Case'!E14*$E702))*'Business Case'!$B$7-'Business Case'!$B$8*(('Business Case'!E11*$C702*'Business Case'!E12*$B702)-('Business Case'!D11*$C702*'Business Case'!D12*$B702))-'Business Case'!E15*$F702</f>
        <v>704015028.604617</v>
      </c>
      <c r="L702" s="39" t="n">
        <f aca="false">(('Business Case'!F11*$C702*'Business Case'!F12*$B702)-'Business Case'!F11*$C702*'Business Case'!F13*$D702-'Business Case'!F14*$E702)-MAX(0,(('Business Case'!F11*$C702*'Business Case'!F12*$B702)-'Business Case'!F11*$C702*'Business Case'!F13*$D702-'Business Case'!F14*$E702))*'Business Case'!$B$7-'Business Case'!$B$8*(('Business Case'!F11*$C702*'Business Case'!F12*$B702)-('Business Case'!E11*$C702*'Business Case'!E12*$B702))-'Business Case'!F15*$F702</f>
        <v>849579740.091404</v>
      </c>
      <c r="M702" s="39" t="n">
        <f aca="false">(('Business Case'!G11*$C702*'Business Case'!G12*$B702)-'Business Case'!G11*$C702*'Business Case'!G13*$D702-'Business Case'!G14*$E702)-MAX(0,(('Business Case'!G11*$C702*'Business Case'!G12*$B702)-'Business Case'!G11*$C702*'Business Case'!G13*$D702-'Business Case'!G14*$E702))*'Business Case'!$B$7-'Business Case'!$B$8*(('Business Case'!G11*$C702*'Business Case'!G12*$B702)-('Business Case'!F11*$C702*'Business Case'!F12*$B702))-'Business Case'!G15*$F702+'Business Case'!$B$8*('Business Case'!G11*$C702*'Business Case'!G12*$B702)</f>
        <v>1058286436.51208</v>
      </c>
      <c r="N702" s="39" t="n">
        <f aca="false">IF(COUNT('Business Case'!B11:G11)=0,"",H702+NPV(G702,I702:M702))</f>
        <v>-200876557.480361</v>
      </c>
      <c r="P702" s="40" t="n">
        <f aca="true">RAND()</f>
        <v>0.407108279584654</v>
      </c>
      <c r="Q702" s="40" t="n">
        <f aca="true">RAND()</f>
        <v>0.979921822702413</v>
      </c>
      <c r="R702" s="40" t="n">
        <f aca="true">RAND()</f>
        <v>0.497119008768763</v>
      </c>
      <c r="S702" s="40" t="n">
        <f aca="true">RAND()</f>
        <v>0.940844769048666</v>
      </c>
      <c r="T702" s="40" t="n">
        <f aca="true">RAND()</f>
        <v>0.833883130134585</v>
      </c>
      <c r="U702" s="40" t="n">
        <f aca="true">RAND()</f>
        <v>0.52091304935896</v>
      </c>
    </row>
    <row r="703" customFormat="false" ht="15" hidden="false" customHeight="false" outlineLevel="0" collapsed="false">
      <c r="A703" s="36" t="n">
        <v>623</v>
      </c>
      <c r="B703" s="37" t="n">
        <f aca="false">1+IF($G$6=$E$6,$F$6,IF(P703&lt;($F$6-$E$6)/($G$6-$E$6),$E$6+SQRT(P703*($G$6-$E$6)*($F$6-$E$6)),$G$6-SQRT((1-P703)*($G$6-$E$6)*($G$6-$F$6))))</f>
        <v>0.976993395290633</v>
      </c>
      <c r="C703" s="37" t="n">
        <f aca="false">1+IF($G$7=$E$7,$F$7,IF(Q703&lt;($F$7-$E$7)/($G$7-$E$7),$E$7+SQRT(Q703*($G$7-$E$7)*($F$7-$E$7)),$G$7-SQRT((1-Q703)*($G$7-$E$7)*($G$7-$F$7))))</f>
        <v>0.838354372057597</v>
      </c>
      <c r="D703" s="37" t="n">
        <f aca="false">1+IF($G$8=$E$8,$F$8,IF(R703&lt;($F$8-$E$8)/($G$8-$E$8),$E$8+SQRT(R703*($G$8-$E$8)*($F$8-$E$8)),$G$8-SQRT((1-R703)*($G$8-$E$8)*($G$8-$F$8))))</f>
        <v>0.981838170981593</v>
      </c>
      <c r="E703" s="37" t="n">
        <f aca="false">1+IF($G$9=$E$9,$F$9,IF(S703&lt;($F$9-$E$9)/($G$9-$E$9),$E$9+SQRT(S703*($G$9-$E$9)*($F$9-$E$9)),$G$9-SQRT((1-S703)*($G$9-$E$9)*($G$9-$F$9))))</f>
        <v>1.02063137822453</v>
      </c>
      <c r="F703" s="37" t="n">
        <f aca="false">1+IF($G$10=$E$10,$F$10,IF(T703&lt;($F$10-$E$10)/($G$10-$E$10),$E$10+SQRT(T703*($G$10-$E$10)*($F$10-$E$10)),$G$10-SQRT((1-T703)*($G$10-$E$10)*($G$10-$F$10))))</f>
        <v>1.06140863745473</v>
      </c>
      <c r="G703" s="38" t="n">
        <f aca="false">IF($G$11=$E$11,$F$11,IF(U703&lt;($F$11-$E$11)/($G$11-$E$11),$E$11+SQRT(U703*($G$11-$E$11)*($F$11-$E$11)),$G$11-SQRT((1-U703)*($G$11-$E$11)*($G$11-$F$11))))</f>
        <v>0.113615475302591</v>
      </c>
      <c r="H703" s="39" t="n">
        <f aca="false">(('Business Case'!B11*$C703*'Business Case'!B12*$B703)-'Business Case'!B11*$C703*'Business Case'!B13*$D703-'Business Case'!B14*$E703)-MAX(0,(('Business Case'!B11*$C703*'Business Case'!B12*$B703)-'Business Case'!B11*$C703*'Business Case'!B13*$D703-'Business Case'!B14*$E703))*'Business Case'!$B$7-'Business Case'!$B$8*('Business Case'!B11*$C703*'Business Case'!B12*$B703)-'Business Case'!B15*$F703</f>
        <v>-2122817274.90946</v>
      </c>
      <c r="I703" s="39" t="n">
        <f aca="false">(('Business Case'!C11*$C703*'Business Case'!C12*$B703)-'Business Case'!C11*$C703*'Business Case'!C13*$D703-'Business Case'!C14*$E703)-MAX(0,(('Business Case'!C11*$C703*'Business Case'!C12*$B703)-'Business Case'!C11*$C703*'Business Case'!C13*$D703-'Business Case'!C14*$E703))*'Business Case'!$B$7-'Business Case'!$B$8*(('Business Case'!C11*$C703*'Business Case'!C12*$B703)-('Business Case'!B11*$C703*'Business Case'!B12*$B703))-'Business Case'!C15*$F703</f>
        <v>-44236326.5746256</v>
      </c>
      <c r="J703" s="39" t="n">
        <f aca="false">(('Business Case'!D11*$C703*'Business Case'!D12*$B703)-'Business Case'!D11*$C703*'Business Case'!D13*$D703-'Business Case'!D14*$E703)-MAX(0,(('Business Case'!D11*$C703*'Business Case'!D12*$B703)-'Business Case'!D11*$C703*'Business Case'!D13*$D703-'Business Case'!D14*$E703))*'Business Case'!$B$7-'Business Case'!$B$8*(('Business Case'!D11*$C703*'Business Case'!D12*$B703)-('Business Case'!C11*$C703*'Business Case'!C12*$B703))-'Business Case'!D15*$F703</f>
        <v>205262409.499735</v>
      </c>
      <c r="K703" s="39" t="n">
        <f aca="false">(('Business Case'!E11*$C703*'Business Case'!E12*$B703)-'Business Case'!E11*$C703*'Business Case'!E13*$D703-'Business Case'!E14*$E703)-MAX(0,(('Business Case'!E11*$C703*'Business Case'!E12*$B703)-'Business Case'!E11*$C703*'Business Case'!E13*$D703-'Business Case'!E14*$E703))*'Business Case'!$B$7-'Business Case'!$B$8*(('Business Case'!E11*$C703*'Business Case'!E12*$B703)-('Business Case'!D11*$C703*'Business Case'!D12*$B703))-'Business Case'!E15*$F703</f>
        <v>507831577.446832</v>
      </c>
      <c r="L703" s="39" t="n">
        <f aca="false">(('Business Case'!F11*$C703*'Business Case'!F12*$B703)-'Business Case'!F11*$C703*'Business Case'!F13*$D703-'Business Case'!F14*$E703)-MAX(0,(('Business Case'!F11*$C703*'Business Case'!F12*$B703)-'Business Case'!F11*$C703*'Business Case'!F13*$D703-'Business Case'!F14*$E703))*'Business Case'!$B$7-'Business Case'!$B$8*(('Business Case'!F11*$C703*'Business Case'!F12*$B703)-('Business Case'!E11*$C703*'Business Case'!E12*$B703))-'Business Case'!F15*$F703</f>
        <v>619304767.418276</v>
      </c>
      <c r="M703" s="39" t="n">
        <f aca="false">(('Business Case'!G11*$C703*'Business Case'!G12*$B703)-'Business Case'!G11*$C703*'Business Case'!G13*$D703-'Business Case'!G14*$E703)-MAX(0,(('Business Case'!G11*$C703*'Business Case'!G12*$B703)-'Business Case'!G11*$C703*'Business Case'!G13*$D703-'Business Case'!G14*$E703))*'Business Case'!$B$7-'Business Case'!$B$8*(('Business Case'!G11*$C703*'Business Case'!G12*$B703)-('Business Case'!F11*$C703*'Business Case'!F12*$B703))-'Business Case'!G15*$F703+'Business Case'!$B$8*('Business Case'!G11*$C703*'Business Case'!G12*$B703)</f>
        <v>774992962.791556</v>
      </c>
      <c r="N703" s="39" t="n">
        <f aca="false">IF(COUNT('Business Case'!B11:G11)=0,"",H703+NPV(G703,I703:M703))</f>
        <v>-774121557.61931</v>
      </c>
      <c r="P703" s="40" t="n">
        <f aca="true">RAND()</f>
        <v>0.338359073620247</v>
      </c>
      <c r="Q703" s="40" t="n">
        <f aca="true">RAND()</f>
        <v>0.0210151122276083</v>
      </c>
      <c r="R703" s="40" t="n">
        <f aca="true">RAND()</f>
        <v>0.155949097146642</v>
      </c>
      <c r="S703" s="40" t="n">
        <f aca="true">RAND()</f>
        <v>0.580041458497492</v>
      </c>
      <c r="T703" s="40" t="n">
        <f aca="true">RAND()</f>
        <v>0.615848684556901</v>
      </c>
      <c r="U703" s="40" t="n">
        <f aca="true">RAND()</f>
        <v>0.932063073980287</v>
      </c>
    </row>
    <row r="704" customFormat="false" ht="15" hidden="false" customHeight="false" outlineLevel="0" collapsed="false">
      <c r="A704" s="36" t="n">
        <v>624</v>
      </c>
      <c r="B704" s="37" t="n">
        <f aca="false">1+IF($G$6=$E$6,$F$6,IF(P704&lt;($F$6-$E$6)/($G$6-$E$6),$E$6+SQRT(P704*($G$6-$E$6)*($F$6-$E$6)),$G$6-SQRT((1-P704)*($G$6-$E$6)*($G$6-$F$6))))</f>
        <v>0.938893530167079</v>
      </c>
      <c r="C704" s="37" t="n">
        <f aca="false">1+IF($G$7=$E$7,$F$7,IF(Q704&lt;($F$7-$E$7)/($G$7-$E$7),$E$7+SQRT(Q704*($G$7-$E$7)*($F$7-$E$7)),$G$7-SQRT((1-Q704)*($G$7-$E$7)*($G$7-$F$7))))</f>
        <v>0.95081276713262</v>
      </c>
      <c r="D704" s="37" t="n">
        <f aca="false">1+IF($G$8=$E$8,$F$8,IF(R704&lt;($F$8-$E$8)/($G$8-$E$8),$E$8+SQRT(R704*($G$8-$E$8)*($F$8-$E$8)),$G$8-SQRT((1-R704)*($G$8-$E$8)*($G$8-$F$8))))</f>
        <v>1.00995996044177</v>
      </c>
      <c r="E704" s="37" t="n">
        <f aca="false">1+IF($G$9=$E$9,$F$9,IF(S704&lt;($F$9-$E$9)/($G$9-$E$9),$E$9+SQRT(S704*($G$9-$E$9)*($F$9-$E$9)),$G$9-SQRT((1-S704)*($G$9-$E$9)*($G$9-$F$9))))</f>
        <v>0.965996014238378</v>
      </c>
      <c r="F704" s="37" t="n">
        <f aca="false">1+IF($G$10=$E$10,$F$10,IF(T704&lt;($F$10-$E$10)/($G$10-$E$10),$E$10+SQRT(T704*($G$10-$E$10)*($F$10-$E$10)),$G$10-SQRT((1-T704)*($G$10-$E$10)*($G$10-$F$10))))</f>
        <v>1.06917561358241</v>
      </c>
      <c r="G704" s="38" t="n">
        <f aca="false">IF($G$11=$E$11,$F$11,IF(U704&lt;($F$11-$E$11)/($G$11-$E$11),$E$11+SQRT(U704*($G$11-$E$11)*($F$11-$E$11)),$G$11-SQRT((1-U704)*($G$11-$E$11)*($G$11-$F$11))))</f>
        <v>0.101856605373529</v>
      </c>
      <c r="H704" s="39" t="n">
        <f aca="false">(('Business Case'!B11*$C704*'Business Case'!B12*$B704)-'Business Case'!B11*$C704*'Business Case'!B13*$D704-'Business Case'!B14*$E704)-MAX(0,(('Business Case'!B11*$C704*'Business Case'!B12*$B704)-'Business Case'!B11*$C704*'Business Case'!B13*$D704-'Business Case'!B14*$E704))*'Business Case'!$B$7-'Business Case'!$B$8*('Business Case'!B11*$C704*'Business Case'!B12*$B704)-'Business Case'!B15*$F704</f>
        <v>-2138351227.16483</v>
      </c>
      <c r="I704" s="39" t="n">
        <f aca="false">(('Business Case'!C11*$C704*'Business Case'!C12*$B704)-'Business Case'!C11*$C704*'Business Case'!C13*$D704-'Business Case'!C14*$E704)-MAX(0,(('Business Case'!C11*$C704*'Business Case'!C12*$B704)-'Business Case'!C11*$C704*'Business Case'!C13*$D704-'Business Case'!C14*$E704))*'Business Case'!$B$7-'Business Case'!$B$8*(('Business Case'!C11*$C704*'Business Case'!C12*$B704)-('Business Case'!B11*$C704*'Business Case'!B12*$B704))-'Business Case'!C15*$F704</f>
        <v>-50952999.1812163</v>
      </c>
      <c r="J704" s="39" t="n">
        <f aca="false">(('Business Case'!D11*$C704*'Business Case'!D12*$B704)-'Business Case'!D11*$C704*'Business Case'!D13*$D704-'Business Case'!D14*$E704)-MAX(0,(('Business Case'!D11*$C704*'Business Case'!D12*$B704)-'Business Case'!D11*$C704*'Business Case'!D13*$D704-'Business Case'!D14*$E704))*'Business Case'!$B$7-'Business Case'!$B$8*(('Business Case'!D11*$C704*'Business Case'!D12*$B704)-('Business Case'!C11*$C704*'Business Case'!C12*$B704))-'Business Case'!D15*$F704</f>
        <v>188654383.991608</v>
      </c>
      <c r="K704" s="39" t="n">
        <f aca="false">(('Business Case'!E11*$C704*'Business Case'!E12*$B704)-'Business Case'!E11*$C704*'Business Case'!E13*$D704-'Business Case'!E14*$E704)-MAX(0,(('Business Case'!E11*$C704*'Business Case'!E12*$B704)-'Business Case'!E11*$C704*'Business Case'!E13*$D704-'Business Case'!E14*$E704))*'Business Case'!$B$7-'Business Case'!$B$8*(('Business Case'!E11*$C704*'Business Case'!E12*$B704)-('Business Case'!D11*$C704*'Business Case'!D12*$B704))-'Business Case'!E15*$F704</f>
        <v>481720547.843554</v>
      </c>
      <c r="L704" s="39" t="n">
        <f aca="false">(('Business Case'!F11*$C704*'Business Case'!F12*$B704)-'Business Case'!F11*$C704*'Business Case'!F13*$D704-'Business Case'!F14*$E704)-MAX(0,(('Business Case'!F11*$C704*'Business Case'!F12*$B704)-'Business Case'!F11*$C704*'Business Case'!F13*$D704-'Business Case'!F14*$E704))*'Business Case'!$B$7-'Business Case'!$B$8*(('Business Case'!F11*$C704*'Business Case'!F12*$B704)-('Business Case'!E11*$C704*'Business Case'!E12*$B704))-'Business Case'!F15*$F704</f>
        <v>592441800.748563</v>
      </c>
      <c r="M704" s="39" t="n">
        <f aca="false">(('Business Case'!G11*$C704*'Business Case'!G12*$B704)-'Business Case'!G11*$C704*'Business Case'!G13*$D704-'Business Case'!G14*$E704)-MAX(0,(('Business Case'!G11*$C704*'Business Case'!G12*$B704)-'Business Case'!G11*$C704*'Business Case'!G13*$D704-'Business Case'!G14*$E704))*'Business Case'!$B$7-'Business Case'!$B$8*(('Business Case'!G11*$C704*'Business Case'!G12*$B704)-('Business Case'!F11*$C704*'Business Case'!F12*$B704))-'Business Case'!G15*$F704+'Business Case'!$B$8*('Business Case'!G11*$C704*'Business Case'!G12*$B704)</f>
        <v>762128489.242604</v>
      </c>
      <c r="N704" s="39" t="n">
        <f aca="false">IF(COUNT('Business Case'!B11:G11)=0,"",H704+NPV(G704,I704:M704))</f>
        <v>-797935265.285826</v>
      </c>
      <c r="P704" s="40" t="n">
        <f aca="true">RAND()</f>
        <v>0.0371839043931598</v>
      </c>
      <c r="Q704" s="40" t="n">
        <f aca="true">RAND()</f>
        <v>0.324921296145683</v>
      </c>
      <c r="R704" s="40" t="n">
        <f aca="true">RAND()</f>
        <v>0.528307005642412</v>
      </c>
      <c r="S704" s="40" t="n">
        <f aca="true">RAND()</f>
        <v>0.0341163295352537</v>
      </c>
      <c r="T704" s="40" t="n">
        <f aca="true">RAND()</f>
        <v>0.657699598369244</v>
      </c>
      <c r="U704" s="40" t="n">
        <f aca="true">RAND()</f>
        <v>0.451362052380209</v>
      </c>
    </row>
    <row r="705" customFormat="false" ht="15" hidden="false" customHeight="false" outlineLevel="0" collapsed="false">
      <c r="A705" s="36" t="n">
        <v>625</v>
      </c>
      <c r="B705" s="37" t="n">
        <f aca="false">1+IF($G$6=$E$6,$F$6,IF(P705&lt;($F$6-$E$6)/($G$6-$E$6),$E$6+SQRT(P705*($G$6-$E$6)*($F$6-$E$6)),$G$6-SQRT((1-P705)*($G$6-$E$6)*($G$6-$F$6))))</f>
        <v>0.997390537111871</v>
      </c>
      <c r="C705" s="37" t="n">
        <f aca="false">1+IF($G$7=$E$7,$F$7,IF(Q705&lt;($F$7-$E$7)/($G$7-$E$7),$E$7+SQRT(Q705*($G$7-$E$7)*($F$7-$E$7)),$G$7-SQRT((1-Q705)*($G$7-$E$7)*($G$7-$F$7))))</f>
        <v>0.918683275058832</v>
      </c>
      <c r="D705" s="37" t="n">
        <f aca="false">1+IF($G$8=$E$8,$F$8,IF(R705&lt;($F$8-$E$8)/($G$8-$E$8),$E$8+SQRT(R705*($G$8-$E$8)*($F$8-$E$8)),$G$8-SQRT((1-R705)*($G$8-$E$8)*($G$8-$F$8))))</f>
        <v>1.00736173451829</v>
      </c>
      <c r="E705" s="37" t="n">
        <f aca="false">1+IF($G$9=$E$9,$F$9,IF(S705&lt;($F$9-$E$9)/($G$9-$E$9),$E$9+SQRT(S705*($G$9-$E$9)*($F$9-$E$9)),$G$9-SQRT((1-S705)*($G$9-$E$9)*($G$9-$F$9))))</f>
        <v>0.996885111443161</v>
      </c>
      <c r="F705" s="37" t="n">
        <f aca="false">1+IF($G$10=$E$10,$F$10,IF(T705&lt;($F$10-$E$10)/($G$10-$E$10),$E$10+SQRT(T705*($G$10-$E$10)*($F$10-$E$10)),$G$10-SQRT((1-T705)*($G$10-$E$10)*($G$10-$F$10))))</f>
        <v>1.0168481008735</v>
      </c>
      <c r="G705" s="38" t="n">
        <f aca="false">IF($G$11=$E$11,$F$11,IF(U705&lt;($F$11-$E$11)/($G$11-$E$11),$E$11+SQRT(U705*($G$11-$E$11)*($F$11-$E$11)),$G$11-SQRT((1-U705)*($G$11-$E$11)*($G$11-$F$11))))</f>
        <v>0.100863234279244</v>
      </c>
      <c r="H705" s="39" t="n">
        <f aca="false">(('Business Case'!B11*$C705*'Business Case'!B12*$B705)-'Business Case'!B11*$C705*'Business Case'!B13*$D705-'Business Case'!B14*$E705)-MAX(0,(('Business Case'!B11*$C705*'Business Case'!B12*$B705)-'Business Case'!B11*$C705*'Business Case'!B13*$D705-'Business Case'!B14*$E705))*'Business Case'!$B$7-'Business Case'!$B$8*('Business Case'!B11*$C705*'Business Case'!B12*$B705)-'Business Case'!B15*$F705</f>
        <v>-2033696201.74701</v>
      </c>
      <c r="I705" s="39" t="n">
        <f aca="false">(('Business Case'!C11*$C705*'Business Case'!C12*$B705)-'Business Case'!C11*$C705*'Business Case'!C13*$D705-'Business Case'!C14*$E705)-MAX(0,(('Business Case'!C11*$C705*'Business Case'!C12*$B705)-'Business Case'!C11*$C705*'Business Case'!C13*$D705-'Business Case'!C14*$E705))*'Business Case'!$B$7-'Business Case'!$B$8*(('Business Case'!C11*$C705*'Business Case'!C12*$B705)-('Business Case'!B11*$C705*'Business Case'!B12*$B705))-'Business Case'!C15*$F705</f>
        <v>-14192438.1710611</v>
      </c>
      <c r="J705" s="39" t="n">
        <f aca="false">(('Business Case'!D11*$C705*'Business Case'!D12*$B705)-'Business Case'!D11*$C705*'Business Case'!D13*$D705-'Business Case'!D14*$E705)-MAX(0,(('Business Case'!D11*$C705*'Business Case'!D12*$B705)-'Business Case'!D11*$C705*'Business Case'!D13*$D705-'Business Case'!D14*$E705))*'Business Case'!$B$7-'Business Case'!$B$8*(('Business Case'!D11*$C705*'Business Case'!D12*$B705)-('Business Case'!C11*$C705*'Business Case'!C12*$B705))-'Business Case'!D15*$F705</f>
        <v>262557263.099246</v>
      </c>
      <c r="K705" s="39" t="n">
        <f aca="false">(('Business Case'!E11*$C705*'Business Case'!E12*$B705)-'Business Case'!E11*$C705*'Business Case'!E13*$D705-'Business Case'!E14*$E705)-MAX(0,(('Business Case'!E11*$C705*'Business Case'!E12*$B705)-'Business Case'!E11*$C705*'Business Case'!E13*$D705-'Business Case'!E14*$E705))*'Business Case'!$B$7-'Business Case'!$B$8*(('Business Case'!E11*$C705*'Business Case'!E12*$B705)-('Business Case'!D11*$C705*'Business Case'!D12*$B705))-'Business Case'!E15*$F705</f>
        <v>590149369.413229</v>
      </c>
      <c r="L705" s="39" t="n">
        <f aca="false">(('Business Case'!F11*$C705*'Business Case'!F12*$B705)-'Business Case'!F11*$C705*'Business Case'!F13*$D705-'Business Case'!F14*$E705)-MAX(0,(('Business Case'!F11*$C705*'Business Case'!F12*$B705)-'Business Case'!F11*$C705*'Business Case'!F13*$D705-'Business Case'!F14*$E705))*'Business Case'!$B$7-'Business Case'!$B$8*(('Business Case'!F11*$C705*'Business Case'!F12*$B705)-('Business Case'!E11*$C705*'Business Case'!E12*$B705))-'Business Case'!F15*$F705</f>
        <v>714066114.174532</v>
      </c>
      <c r="M705" s="39" t="n">
        <f aca="false">(('Business Case'!G11*$C705*'Business Case'!G12*$B705)-'Business Case'!G11*$C705*'Business Case'!G13*$D705-'Business Case'!G14*$E705)-MAX(0,(('Business Case'!G11*$C705*'Business Case'!G12*$B705)-'Business Case'!G11*$C705*'Business Case'!G13*$D705-'Business Case'!G14*$E705))*'Business Case'!$B$7-'Business Case'!$B$8*(('Business Case'!G11*$C705*'Business Case'!G12*$B705)-('Business Case'!F11*$C705*'Business Case'!F12*$B705))-'Business Case'!G15*$F705+'Business Case'!$B$8*('Business Case'!G11*$C705*'Business Case'!G12*$B705)</f>
        <v>888233758.032802</v>
      </c>
      <c r="N705" s="39" t="n">
        <f aca="false">IF(COUNT('Business Case'!B11:G11)=0,"",H705+NPV(G705,I705:M705))</f>
        <v>-352040154.258098</v>
      </c>
      <c r="P705" s="40" t="n">
        <f aca="true">RAND()</f>
        <v>0.623884920256656</v>
      </c>
      <c r="Q705" s="40" t="n">
        <f aca="true">RAND()</f>
        <v>0.201224568267007</v>
      </c>
      <c r="R705" s="40" t="n">
        <f aca="true">RAND()</f>
        <v>0.492661768058586</v>
      </c>
      <c r="S705" s="40" t="n">
        <f aca="true">RAND()</f>
        <v>0.29309515667168</v>
      </c>
      <c r="T705" s="40" t="n">
        <f aca="true">RAND()</f>
        <v>0.329107636927157</v>
      </c>
      <c r="U705" s="40" t="n">
        <f aca="true">RAND()</f>
        <v>0.389640329581484</v>
      </c>
    </row>
    <row r="706" customFormat="false" ht="15" hidden="false" customHeight="false" outlineLevel="0" collapsed="false">
      <c r="A706" s="36" t="n">
        <v>626</v>
      </c>
      <c r="B706" s="37" t="n">
        <f aca="false">1+IF($G$6=$E$6,$F$6,IF(P706&lt;($F$6-$E$6)/($G$6-$E$6),$E$6+SQRT(P706*($G$6-$E$6)*($F$6-$E$6)),$G$6-SQRT((1-P706)*($G$6-$E$6)*($G$6-$F$6))))</f>
        <v>0.986870771625016</v>
      </c>
      <c r="C706" s="37" t="n">
        <f aca="false">1+IF($G$7=$E$7,$F$7,IF(Q706&lt;($F$7-$E$7)/($G$7-$E$7),$E$7+SQRT(Q706*($G$7-$E$7)*($F$7-$E$7)),$G$7-SQRT((1-Q706)*($G$7-$E$7)*($G$7-$F$7))))</f>
        <v>0.834402746279956</v>
      </c>
      <c r="D706" s="37" t="n">
        <f aca="false">1+IF($G$8=$E$8,$F$8,IF(R706&lt;($F$8-$E$8)/($G$8-$E$8),$E$8+SQRT(R706*($G$8-$E$8)*($F$8-$E$8)),$G$8-SQRT((1-R706)*($G$8-$E$8)*($G$8-$F$8))))</f>
        <v>1.01526217036875</v>
      </c>
      <c r="E706" s="37" t="n">
        <f aca="false">1+IF($G$9=$E$9,$F$9,IF(S706&lt;($F$9-$E$9)/($G$9-$E$9),$E$9+SQRT(S706*($G$9-$E$9)*($F$9-$E$9)),$G$9-SQRT((1-S706)*($G$9-$E$9)*($G$9-$F$9))))</f>
        <v>1.04473563258695</v>
      </c>
      <c r="F706" s="37" t="n">
        <f aca="false">1+IF($G$10=$E$10,$F$10,IF(T706&lt;($F$10-$E$10)/($G$10-$E$10),$E$10+SQRT(T706*($G$10-$E$10)*($F$10-$E$10)),$G$10-SQRT((1-T706)*($G$10-$E$10)*($G$10-$F$10))))</f>
        <v>1.16675345957316</v>
      </c>
      <c r="G706" s="38" t="n">
        <f aca="false">IF($G$11=$E$11,$F$11,IF(U706&lt;($F$11-$E$11)/($G$11-$E$11),$E$11+SQRT(U706*($G$11-$E$11)*($F$11-$E$11)),$G$11-SQRT((1-U706)*($G$11-$E$11)*($G$11-$F$11))))</f>
        <v>0.110524077694711</v>
      </c>
      <c r="H706" s="39" t="n">
        <f aca="false">(('Business Case'!B11*$C706*'Business Case'!B12*$B706)-'Business Case'!B11*$C706*'Business Case'!B13*$D706-'Business Case'!B14*$E706)-MAX(0,(('Business Case'!B11*$C706*'Business Case'!B12*$B706)-'Business Case'!B11*$C706*'Business Case'!B13*$D706-'Business Case'!B14*$E706))*'Business Case'!$B$7-'Business Case'!$B$8*('Business Case'!B11*$C706*'Business Case'!B12*$B706)-'Business Case'!B15*$F706</f>
        <v>-2333506919.14632</v>
      </c>
      <c r="I706" s="39" t="n">
        <f aca="false">(('Business Case'!C11*$C706*'Business Case'!C12*$B706)-'Business Case'!C11*$C706*'Business Case'!C13*$D706-'Business Case'!C14*$E706)-MAX(0,(('Business Case'!C11*$C706*'Business Case'!C12*$B706)-'Business Case'!C11*$C706*'Business Case'!C13*$D706-'Business Case'!C14*$E706))*'Business Case'!$B$7-'Business Case'!$B$8*(('Business Case'!C11*$C706*'Business Case'!C12*$B706)-('Business Case'!B11*$C706*'Business Case'!B12*$B706))-'Business Case'!C15*$F706</f>
        <v>-67127991.9925606</v>
      </c>
      <c r="J706" s="39" t="n">
        <f aca="false">(('Business Case'!D11*$C706*'Business Case'!D12*$B706)-'Business Case'!D11*$C706*'Business Case'!D13*$D706-'Business Case'!D14*$E706)-MAX(0,(('Business Case'!D11*$C706*'Business Case'!D12*$B706)-'Business Case'!D11*$C706*'Business Case'!D13*$D706-'Business Case'!D14*$E706))*'Business Case'!$B$7-'Business Case'!$B$8*(('Business Case'!D11*$C706*'Business Case'!D12*$B706)-('Business Case'!C11*$C706*'Business Case'!C12*$B706))-'Business Case'!D15*$F706</f>
        <v>173668296.764429</v>
      </c>
      <c r="K706" s="39" t="n">
        <f aca="false">(('Business Case'!E11*$C706*'Business Case'!E12*$B706)-'Business Case'!E11*$C706*'Business Case'!E13*$D706-'Business Case'!E14*$E706)-MAX(0,(('Business Case'!E11*$C706*'Business Case'!E12*$B706)-'Business Case'!E11*$C706*'Business Case'!E13*$D706-'Business Case'!E14*$E706))*'Business Case'!$B$7-'Business Case'!$B$8*(('Business Case'!E11*$C706*'Business Case'!E12*$B706)-('Business Case'!D11*$C706*'Business Case'!D12*$B706))-'Business Case'!E15*$F706</f>
        <v>472802258.500077</v>
      </c>
      <c r="L706" s="39" t="n">
        <f aca="false">(('Business Case'!F11*$C706*'Business Case'!F12*$B706)-'Business Case'!F11*$C706*'Business Case'!F13*$D706-'Business Case'!F14*$E706)-MAX(0,(('Business Case'!F11*$C706*'Business Case'!F12*$B706)-'Business Case'!F11*$C706*'Business Case'!F13*$D706-'Business Case'!F14*$E706))*'Business Case'!$B$7-'Business Case'!$B$8*(('Business Case'!F11*$C706*'Business Case'!F12*$B706)-('Business Case'!E11*$C706*'Business Case'!E12*$B706))-'Business Case'!F15*$F706</f>
        <v>581526039.977987</v>
      </c>
      <c r="M706" s="39" t="n">
        <f aca="false">(('Business Case'!G11*$C706*'Business Case'!G12*$B706)-'Business Case'!G11*$C706*'Business Case'!G13*$D706-'Business Case'!G14*$E706)-MAX(0,(('Business Case'!G11*$C706*'Business Case'!G12*$B706)-'Business Case'!G11*$C706*'Business Case'!G13*$D706-'Business Case'!G14*$E706))*'Business Case'!$B$7-'Business Case'!$B$8*(('Business Case'!G11*$C706*'Business Case'!G12*$B706)-('Business Case'!F11*$C706*'Business Case'!F12*$B706))-'Business Case'!G15*$F706+'Business Case'!$B$8*('Business Case'!G11*$C706*'Business Case'!G12*$B706)</f>
        <v>738046975.385345</v>
      </c>
      <c r="N706" s="39" t="n">
        <f aca="false">IF(COUNT('Business Case'!B11:G11)=0,"",H706+NPV(G706,I706:M706))</f>
        <v>-1088605183.63523</v>
      </c>
      <c r="P706" s="40" t="n">
        <f aca="true">RAND()</f>
        <v>0.465802093513021</v>
      </c>
      <c r="Q706" s="40" t="n">
        <f aca="true">RAND()</f>
        <v>0.0169078421657577</v>
      </c>
      <c r="R706" s="40" t="n">
        <f aca="true">RAND()</f>
        <v>0.597020520638056</v>
      </c>
      <c r="S706" s="40" t="n">
        <f aca="true">RAND()</f>
        <v>0.796389979629008</v>
      </c>
      <c r="T706" s="40" t="n">
        <f aca="true">RAND()</f>
        <v>0.977893350992927</v>
      </c>
      <c r="U706" s="40" t="n">
        <f aca="true">RAND()</f>
        <v>0.85034482744021</v>
      </c>
    </row>
    <row r="707" customFormat="false" ht="15" hidden="false" customHeight="false" outlineLevel="0" collapsed="false">
      <c r="A707" s="36" t="n">
        <v>627</v>
      </c>
      <c r="B707" s="37" t="n">
        <f aca="false">1+IF($G$6=$E$6,$F$6,IF(P707&lt;($F$6-$E$6)/($G$6-$E$6),$E$6+SQRT(P707*($G$6-$E$6)*($F$6-$E$6)),$G$6-SQRT((1-P707)*($G$6-$E$6)*($G$6-$F$6))))</f>
        <v>0.977135929675098</v>
      </c>
      <c r="C707" s="37" t="n">
        <f aca="false">1+IF($G$7=$E$7,$F$7,IF(Q707&lt;($F$7-$E$7)/($G$7-$E$7),$E$7+SQRT(Q707*($G$7-$E$7)*($F$7-$E$7)),$G$7-SQRT((1-Q707)*($G$7-$E$7)*($G$7-$F$7))))</f>
        <v>1.07556374162106</v>
      </c>
      <c r="D707" s="37" t="n">
        <f aca="false">1+IF($G$8=$E$8,$F$8,IF(R707&lt;($F$8-$E$8)/($G$8-$E$8),$E$8+SQRT(R707*($G$8-$E$8)*($F$8-$E$8)),$G$8-SQRT((1-R707)*($G$8-$E$8)*($G$8-$F$8))))</f>
        <v>0.973270697847725</v>
      </c>
      <c r="E707" s="37" t="n">
        <f aca="false">1+IF($G$9=$E$9,$F$9,IF(S707&lt;($F$9-$E$9)/($G$9-$E$9),$E$9+SQRT(S707*($G$9-$E$9)*($F$9-$E$9)),$G$9-SQRT((1-S707)*($G$9-$E$9)*($G$9-$F$9))))</f>
        <v>1.04733756246938</v>
      </c>
      <c r="F707" s="37" t="n">
        <f aca="false">1+IF($G$10=$E$10,$F$10,IF(T707&lt;($F$10-$E$10)/($G$10-$E$10),$E$10+SQRT(T707*($G$10-$E$10)*($F$10-$E$10)),$G$10-SQRT((1-T707)*($G$10-$E$10)*($G$10-$F$10))))</f>
        <v>1.02386974504559</v>
      </c>
      <c r="G707" s="38" t="n">
        <f aca="false">IF($G$11=$E$11,$F$11,IF(U707&lt;($F$11-$E$11)/($G$11-$E$11),$E$11+SQRT(U707*($G$11-$E$11)*($F$11-$E$11)),$G$11-SQRT((1-U707)*($G$11-$E$11)*($G$11-$F$11))))</f>
        <v>0.105773704584085</v>
      </c>
      <c r="H707" s="39" t="n">
        <f aca="false">(('Business Case'!B11*$C707*'Business Case'!B12*$B707)-'Business Case'!B11*$C707*'Business Case'!B13*$D707-'Business Case'!B14*$E707)-MAX(0,(('Business Case'!B11*$C707*'Business Case'!B12*$B707)-'Business Case'!B11*$C707*'Business Case'!B13*$D707-'Business Case'!B14*$E707))*'Business Case'!$B$7-'Business Case'!$B$8*('Business Case'!B11*$C707*'Business Case'!B12*$B707)-'Business Case'!B15*$F707</f>
        <v>-2047739490.09119</v>
      </c>
      <c r="I707" s="39" t="n">
        <f aca="false">(('Business Case'!C11*$C707*'Business Case'!C12*$B707)-'Business Case'!C11*$C707*'Business Case'!C13*$D707-'Business Case'!C14*$E707)-MAX(0,(('Business Case'!C11*$C707*'Business Case'!C12*$B707)-'Business Case'!C11*$C707*'Business Case'!C13*$D707-'Business Case'!C14*$E707))*'Business Case'!$B$7-'Business Case'!$B$8*(('Business Case'!C11*$C707*'Business Case'!C12*$B707)-('Business Case'!B11*$C707*'Business Case'!B12*$B707))-'Business Case'!C15*$F707</f>
        <v>19135588.0578538</v>
      </c>
      <c r="J707" s="39" t="n">
        <f aca="false">(('Business Case'!D11*$C707*'Business Case'!D12*$B707)-'Business Case'!D11*$C707*'Business Case'!D13*$D707-'Business Case'!D14*$E707)-MAX(0,(('Business Case'!D11*$C707*'Business Case'!D12*$B707)-'Business Case'!D11*$C707*'Business Case'!D13*$D707-'Business Case'!D14*$E707))*'Business Case'!$B$7-'Business Case'!$B$8*(('Business Case'!D11*$C707*'Business Case'!D12*$B707)-('Business Case'!C11*$C707*'Business Case'!C12*$B707))-'Business Case'!D15*$F707</f>
        <v>344071939.270032</v>
      </c>
      <c r="K707" s="39" t="n">
        <f aca="false">(('Business Case'!E11*$C707*'Business Case'!E12*$B707)-'Business Case'!E11*$C707*'Business Case'!E13*$D707-'Business Case'!E14*$E707)-MAX(0,(('Business Case'!E11*$C707*'Business Case'!E12*$B707)-'Business Case'!E11*$C707*'Business Case'!E13*$D707-'Business Case'!E14*$E707))*'Business Case'!$B$7-'Business Case'!$B$8*(('Business Case'!E11*$C707*'Business Case'!E12*$B707)-('Business Case'!D11*$C707*'Business Case'!D12*$B707))-'Business Case'!E15*$F707</f>
        <v>720201777.73449</v>
      </c>
      <c r="L707" s="39" t="n">
        <f aca="false">(('Business Case'!F11*$C707*'Business Case'!F12*$B707)-'Business Case'!F11*$C707*'Business Case'!F13*$D707-'Business Case'!F14*$E707)-MAX(0,(('Business Case'!F11*$C707*'Business Case'!F12*$B707)-'Business Case'!F11*$C707*'Business Case'!F13*$D707-'Business Case'!F14*$E707))*'Business Case'!$B$7-'Business Case'!$B$8*(('Business Case'!F11*$C707*'Business Case'!F12*$B707)-('Business Case'!E11*$C707*'Business Case'!E12*$B707))-'Business Case'!F15*$F707</f>
        <v>864835486.316296</v>
      </c>
      <c r="M707" s="39" t="n">
        <f aca="false">(('Business Case'!G11*$C707*'Business Case'!G12*$B707)-'Business Case'!G11*$C707*'Business Case'!G13*$D707-'Business Case'!G14*$E707)-MAX(0,(('Business Case'!G11*$C707*'Business Case'!G12*$B707)-'Business Case'!G11*$C707*'Business Case'!G13*$D707-'Business Case'!G14*$E707))*'Business Case'!$B$7-'Business Case'!$B$8*(('Business Case'!G11*$C707*'Business Case'!G12*$B707)-('Business Case'!F11*$C707*'Business Case'!F12*$B707))-'Business Case'!G15*$F707+'Business Case'!$B$8*('Business Case'!G11*$C707*'Business Case'!G12*$B707)</f>
        <v>1064604239.62723</v>
      </c>
      <c r="N707" s="39" t="n">
        <f aca="false">IF(COUNT('Business Case'!B11:G11)=0,"",H707+NPV(G707,I707:M707))</f>
        <v>6038007.81408477</v>
      </c>
      <c r="P707" s="40" t="n">
        <f aca="true">RAND()</f>
        <v>0.340053589566437</v>
      </c>
      <c r="Q707" s="40" t="n">
        <f aca="true">RAND()</f>
        <v>0.894461779781793</v>
      </c>
      <c r="R707" s="40" t="n">
        <f aca="true">RAND()</f>
        <v>0.083311596664633</v>
      </c>
      <c r="S707" s="40" t="n">
        <f aca="true">RAND()</f>
        <v>0.815111178222261</v>
      </c>
      <c r="T707" s="40" t="n">
        <f aca="true">RAND()</f>
        <v>0.379562665793923</v>
      </c>
      <c r="U707" s="40" t="n">
        <f aca="true">RAND()</f>
        <v>0.662687531231874</v>
      </c>
    </row>
    <row r="708" customFormat="false" ht="15" hidden="false" customHeight="false" outlineLevel="0" collapsed="false">
      <c r="A708" s="36" t="n">
        <v>628</v>
      </c>
      <c r="B708" s="37" t="n">
        <f aca="false">1+IF($G$6=$E$6,$F$6,IF(P708&lt;($F$6-$E$6)/($G$6-$E$6),$E$6+SQRT(P708*($G$6-$E$6)*($F$6-$E$6)),$G$6-SQRT((1-P708)*($G$6-$E$6)*($G$6-$F$6))))</f>
        <v>0.998470250755361</v>
      </c>
      <c r="C708" s="37" t="n">
        <f aca="false">1+IF($G$7=$E$7,$F$7,IF(Q708&lt;($F$7-$E$7)/($G$7-$E$7),$E$7+SQRT(Q708*($G$7-$E$7)*($F$7-$E$7)),$G$7-SQRT((1-Q708)*($G$7-$E$7)*($G$7-$F$7))))</f>
        <v>0.929082885966585</v>
      </c>
      <c r="D708" s="37" t="n">
        <f aca="false">1+IF($G$8=$E$8,$F$8,IF(R708&lt;($F$8-$E$8)/($G$8-$E$8),$E$8+SQRT(R708*($G$8-$E$8)*($F$8-$E$8)),$G$8-SQRT((1-R708)*($G$8-$E$8)*($G$8-$F$8))))</f>
        <v>1.01995734256909</v>
      </c>
      <c r="E708" s="37" t="n">
        <f aca="false">1+IF($G$9=$E$9,$F$9,IF(S708&lt;($F$9-$E$9)/($G$9-$E$9),$E$9+SQRT(S708*($G$9-$E$9)*($F$9-$E$9)),$G$9-SQRT((1-S708)*($G$9-$E$9)*($G$9-$F$9))))</f>
        <v>0.957655046807831</v>
      </c>
      <c r="F708" s="37" t="n">
        <f aca="false">1+IF($G$10=$E$10,$F$10,IF(T708&lt;($F$10-$E$10)/($G$10-$E$10),$E$10+SQRT(T708*($G$10-$E$10)*($F$10-$E$10)),$G$10-SQRT((1-T708)*($G$10-$E$10)*($G$10-$F$10))))</f>
        <v>1.12842610232675</v>
      </c>
      <c r="G708" s="38" t="n">
        <f aca="false">IF($G$11=$E$11,$F$11,IF(U708&lt;($F$11-$E$11)/($G$11-$E$11),$E$11+SQRT(U708*($G$11-$E$11)*($F$11-$E$11)),$G$11-SQRT((1-U708)*($G$11-$E$11)*($G$11-$F$11))))</f>
        <v>0.10187819127594</v>
      </c>
      <c r="H708" s="39" t="n">
        <f aca="false">(('Business Case'!B11*$C708*'Business Case'!B12*$B708)-'Business Case'!B11*$C708*'Business Case'!B13*$D708-'Business Case'!B14*$E708)-MAX(0,(('Business Case'!B11*$C708*'Business Case'!B12*$B708)-'Business Case'!B11*$C708*'Business Case'!B13*$D708-'Business Case'!B14*$E708))*'Business Case'!$B$7-'Business Case'!$B$8*('Business Case'!B11*$C708*'Business Case'!B12*$B708)-'Business Case'!B15*$F708</f>
        <v>-2256852204.65349</v>
      </c>
      <c r="I708" s="39" t="n">
        <f aca="false">(('Business Case'!C11*$C708*'Business Case'!C12*$B708)-'Business Case'!C11*$C708*'Business Case'!C13*$D708-'Business Case'!C14*$E708)-MAX(0,(('Business Case'!C11*$C708*'Business Case'!C12*$B708)-'Business Case'!C11*$C708*'Business Case'!C13*$D708-'Business Case'!C14*$E708))*'Business Case'!$B$7-'Business Case'!$B$8*(('Business Case'!C11*$C708*'Business Case'!C12*$B708)-('Business Case'!B11*$C708*'Business Case'!B12*$B708))-'Business Case'!C15*$F708</f>
        <v>-22397620.8659381</v>
      </c>
      <c r="J708" s="39" t="n">
        <f aca="false">(('Business Case'!D11*$C708*'Business Case'!D12*$B708)-'Business Case'!D11*$C708*'Business Case'!D13*$D708-'Business Case'!D14*$E708)-MAX(0,(('Business Case'!D11*$C708*'Business Case'!D12*$B708)-'Business Case'!D11*$C708*'Business Case'!D13*$D708-'Business Case'!D14*$E708))*'Business Case'!$B$7-'Business Case'!$B$8*(('Business Case'!D11*$C708*'Business Case'!D12*$B708)-('Business Case'!C11*$C708*'Business Case'!C12*$B708))-'Business Case'!D15*$F708</f>
        <v>252315894.647758</v>
      </c>
      <c r="K708" s="39" t="n">
        <f aca="false">(('Business Case'!E11*$C708*'Business Case'!E12*$B708)-'Business Case'!E11*$C708*'Business Case'!E13*$D708-'Business Case'!E14*$E708)-MAX(0,(('Business Case'!E11*$C708*'Business Case'!E12*$B708)-'Business Case'!E11*$C708*'Business Case'!E13*$D708-'Business Case'!E14*$E708))*'Business Case'!$B$7-'Business Case'!$B$8*(('Business Case'!E11*$C708*'Business Case'!E12*$B708)-('Business Case'!D11*$C708*'Business Case'!D12*$B708))-'Business Case'!E15*$F708</f>
        <v>583450715.277791</v>
      </c>
      <c r="L708" s="39" t="n">
        <f aca="false">(('Business Case'!F11*$C708*'Business Case'!F12*$B708)-'Business Case'!F11*$C708*'Business Case'!F13*$D708-'Business Case'!F14*$E708)-MAX(0,(('Business Case'!F11*$C708*'Business Case'!F12*$B708)-'Business Case'!F11*$C708*'Business Case'!F13*$D708-'Business Case'!F14*$E708))*'Business Case'!$B$7-'Business Case'!$B$8*(('Business Case'!F11*$C708*'Business Case'!F12*$B708)-('Business Case'!E11*$C708*'Business Case'!E12*$B708))-'Business Case'!F15*$F708</f>
        <v>707081872.77628</v>
      </c>
      <c r="M708" s="39" t="n">
        <f aca="false">(('Business Case'!G11*$C708*'Business Case'!G12*$B708)-'Business Case'!G11*$C708*'Business Case'!G13*$D708-'Business Case'!G14*$E708)-MAX(0,(('Business Case'!G11*$C708*'Business Case'!G12*$B708)-'Business Case'!G11*$C708*'Business Case'!G13*$D708-'Business Case'!G14*$E708))*'Business Case'!$B$7-'Business Case'!$B$8*(('Business Case'!G11*$C708*'Business Case'!G12*$B708)-('Business Case'!F11*$C708*'Business Case'!F12*$B708))-'Business Case'!G15*$F708+'Business Case'!$B$8*('Business Case'!G11*$C708*'Business Case'!G12*$B708)</f>
        <v>883411793.909529</v>
      </c>
      <c r="N708" s="39" t="n">
        <f aca="false">IF(COUNT('Business Case'!B11:G11)=0,"",H708+NPV(G708,I708:M708))</f>
        <v>-609714077.114778</v>
      </c>
      <c r="P708" s="40" t="n">
        <f aca="true">RAND()</f>
        <v>0.641414609750962</v>
      </c>
      <c r="Q708" s="40" t="n">
        <f aca="true">RAND()</f>
        <v>0.238034163563749</v>
      </c>
      <c r="R708" s="40" t="n">
        <f aca="true">RAND()</f>
        <v>0.653353777753326</v>
      </c>
      <c r="S708" s="40" t="n">
        <f aca="true">RAND()</f>
        <v>0.00781329888401011</v>
      </c>
      <c r="T708" s="40" t="n">
        <f aca="true">RAND()</f>
        <v>0.89754354343717</v>
      </c>
      <c r="U708" s="40" t="n">
        <f aca="true">RAND()</f>
        <v>0.452666747614292</v>
      </c>
    </row>
    <row r="709" customFormat="false" ht="15" hidden="false" customHeight="false" outlineLevel="0" collapsed="false">
      <c r="A709" s="36" t="n">
        <v>629</v>
      </c>
      <c r="B709" s="37" t="n">
        <f aca="false">1+IF($G$6=$E$6,$F$6,IF(P709&lt;($F$6-$E$6)/($G$6-$E$6),$E$6+SQRT(P709*($G$6-$E$6)*($F$6-$E$6)),$G$6-SQRT((1-P709)*($G$6-$E$6)*($G$6-$F$6))))</f>
        <v>1.00029318791258</v>
      </c>
      <c r="C709" s="37" t="n">
        <f aca="false">1+IF($G$7=$E$7,$F$7,IF(Q709&lt;($F$7-$E$7)/($G$7-$E$7),$E$7+SQRT(Q709*($G$7-$E$7)*($F$7-$E$7)),$G$7-SQRT((1-Q709)*($G$7-$E$7)*($G$7-$F$7))))</f>
        <v>0.870637342683565</v>
      </c>
      <c r="D709" s="37" t="n">
        <f aca="false">1+IF($G$8=$E$8,$F$8,IF(R709&lt;($F$8-$E$8)/($G$8-$E$8),$E$8+SQRT(R709*($G$8-$E$8)*($F$8-$E$8)),$G$8-SQRT((1-R709)*($G$8-$E$8)*($G$8-$F$8))))</f>
        <v>1.04985067877217</v>
      </c>
      <c r="E709" s="37" t="n">
        <f aca="false">1+IF($G$9=$E$9,$F$9,IF(S709&lt;($F$9-$E$9)/($G$9-$E$9),$E$9+SQRT(S709*($G$9-$E$9)*($F$9-$E$9)),$G$9-SQRT((1-S709)*($G$9-$E$9)*($G$9-$F$9))))</f>
        <v>1.03813353786432</v>
      </c>
      <c r="F709" s="37" t="n">
        <f aca="false">1+IF($G$10=$E$10,$F$10,IF(T709&lt;($F$10-$E$10)/($G$10-$E$10),$E$10+SQRT(T709*($G$10-$E$10)*($F$10-$E$10)),$G$10-SQRT((1-T709)*($G$10-$E$10)*($G$10-$F$10))))</f>
        <v>1.0477509343031</v>
      </c>
      <c r="G709" s="38" t="n">
        <f aca="false">IF($G$11=$E$11,$F$11,IF(U709&lt;($F$11-$E$11)/($G$11-$E$11),$E$11+SQRT(U709*($G$11-$E$11)*($F$11-$E$11)),$G$11-SQRT((1-U709)*($G$11-$E$11)*($G$11-$F$11))))</f>
        <v>0.0974100927193938</v>
      </c>
      <c r="H709" s="39" t="n">
        <f aca="false">(('Business Case'!B11*$C709*'Business Case'!B12*$B709)-'Business Case'!B11*$C709*'Business Case'!B13*$D709-'Business Case'!B14*$E709)-MAX(0,(('Business Case'!B11*$C709*'Business Case'!B12*$B709)-'Business Case'!B11*$C709*'Business Case'!B13*$D709-'Business Case'!B14*$E709))*'Business Case'!$B$7-'Business Case'!$B$8*('Business Case'!B11*$C709*'Business Case'!B12*$B709)-'Business Case'!B15*$F709</f>
        <v>-2095501868.60621</v>
      </c>
      <c r="I709" s="39" t="n">
        <f aca="false">(('Business Case'!C11*$C709*'Business Case'!C12*$B709)-'Business Case'!C11*$C709*'Business Case'!C13*$D709-'Business Case'!C14*$E709)-MAX(0,(('Business Case'!C11*$C709*'Business Case'!C12*$B709)-'Business Case'!C11*$C709*'Business Case'!C13*$D709-'Business Case'!C14*$E709))*'Business Case'!$B$7-'Business Case'!$B$8*(('Business Case'!C11*$C709*'Business Case'!C12*$B709)-('Business Case'!B11*$C709*'Business Case'!B12*$B709))-'Business Case'!C15*$F709</f>
        <v>-52135958.8238358</v>
      </c>
      <c r="J709" s="39" t="n">
        <f aca="false">(('Business Case'!D11*$C709*'Business Case'!D12*$B709)-'Business Case'!D11*$C709*'Business Case'!D13*$D709-'Business Case'!D14*$E709)-MAX(0,(('Business Case'!D11*$C709*'Business Case'!D12*$B709)-'Business Case'!D11*$C709*'Business Case'!D13*$D709-'Business Case'!D14*$E709))*'Business Case'!$B$7-'Business Case'!$B$8*(('Business Case'!D11*$C709*'Business Case'!D12*$B709)-('Business Case'!C11*$C709*'Business Case'!C12*$B709))-'Business Case'!D15*$F709</f>
        <v>193272837.407952</v>
      </c>
      <c r="K709" s="39" t="n">
        <f aca="false">(('Business Case'!E11*$C709*'Business Case'!E12*$B709)-'Business Case'!E11*$C709*'Business Case'!E13*$D709-'Business Case'!E14*$E709)-MAX(0,(('Business Case'!E11*$C709*'Business Case'!E12*$B709)-'Business Case'!E11*$C709*'Business Case'!E13*$D709-'Business Case'!E14*$E709))*'Business Case'!$B$7-'Business Case'!$B$8*(('Business Case'!E11*$C709*'Business Case'!E12*$B709)-('Business Case'!D11*$C709*'Business Case'!D12*$B709))-'Business Case'!E15*$F709</f>
        <v>491069180.354895</v>
      </c>
      <c r="L709" s="39" t="n">
        <f aca="false">(('Business Case'!F11*$C709*'Business Case'!F12*$B709)-'Business Case'!F11*$C709*'Business Case'!F13*$D709-'Business Case'!F14*$E709)-MAX(0,(('Business Case'!F11*$C709*'Business Case'!F12*$B709)-'Business Case'!F11*$C709*'Business Case'!F13*$D709-'Business Case'!F14*$E709))*'Business Case'!$B$7-'Business Case'!$B$8*(('Business Case'!F11*$C709*'Business Case'!F12*$B709)-('Business Case'!E11*$C709*'Business Case'!E12*$B709))-'Business Case'!F15*$F709</f>
        <v>602970160.792829</v>
      </c>
      <c r="M709" s="39" t="n">
        <f aca="false">(('Business Case'!G11*$C709*'Business Case'!G12*$B709)-'Business Case'!G11*$C709*'Business Case'!G13*$D709-'Business Case'!G14*$E709)-MAX(0,(('Business Case'!G11*$C709*'Business Case'!G12*$B709)-'Business Case'!G11*$C709*'Business Case'!G13*$D709-'Business Case'!G14*$E709))*'Business Case'!$B$7-'Business Case'!$B$8*(('Business Case'!G11*$C709*'Business Case'!G12*$B709)-('Business Case'!F11*$C709*'Business Case'!F12*$B709))-'Business Case'!G15*$F709+'Business Case'!$B$8*('Business Case'!G11*$C709*'Business Case'!G12*$B709)</f>
        <v>768509426.776521</v>
      </c>
      <c r="N709" s="39" t="n">
        <f aca="false">IF(COUNT('Business Case'!B11:G11)=0,"",H709+NPV(G709,I709:M709))</f>
        <v>-712380104.714559</v>
      </c>
      <c r="P709" s="40" t="n">
        <f aca="true">RAND()</f>
        <v>0.671535223719697</v>
      </c>
      <c r="Q709" s="40" t="n">
        <f aca="true">RAND()</f>
        <v>0.0712804883056483</v>
      </c>
      <c r="R709" s="40" t="n">
        <f aca="true">RAND()</f>
        <v>0.912597925913543</v>
      </c>
      <c r="S709" s="40" t="n">
        <f aca="true">RAND()</f>
        <v>0.744836057520947</v>
      </c>
      <c r="T709" s="40" t="n">
        <f aca="true">RAND()</f>
        <v>0.536404439888438</v>
      </c>
      <c r="U709" s="40" t="n">
        <f aca="true">RAND()</f>
        <v>0.183031580366711</v>
      </c>
    </row>
    <row r="710" customFormat="false" ht="15" hidden="false" customHeight="false" outlineLevel="0" collapsed="false">
      <c r="A710" s="36" t="n">
        <v>630</v>
      </c>
      <c r="B710" s="37" t="n">
        <f aca="false">1+IF($G$6=$E$6,$F$6,IF(P710&lt;($F$6-$E$6)/($G$6-$E$6),$E$6+SQRT(P710*($G$6-$E$6)*($F$6-$E$6)),$G$6-SQRT((1-P710)*($G$6-$E$6)*($G$6-$F$6))))</f>
        <v>0.988755986677801</v>
      </c>
      <c r="C710" s="37" t="n">
        <f aca="false">1+IF($G$7=$E$7,$F$7,IF(Q710&lt;($F$7-$E$7)/($G$7-$E$7),$E$7+SQRT(Q710*($G$7-$E$7)*($F$7-$E$7)),$G$7-SQRT((1-Q710)*($G$7-$E$7)*($G$7-$F$7))))</f>
        <v>1.06722344969963</v>
      </c>
      <c r="D710" s="37" t="n">
        <f aca="false">1+IF($G$8=$E$8,$F$8,IF(R710&lt;($F$8-$E$8)/($G$8-$E$8),$E$8+SQRT(R710*($G$8-$E$8)*($F$8-$E$8)),$G$8-SQRT((1-R710)*($G$8-$E$8)*($G$8-$F$8))))</f>
        <v>0.982449721033489</v>
      </c>
      <c r="E710" s="37" t="n">
        <f aca="false">1+IF($G$9=$E$9,$F$9,IF(S710&lt;($F$9-$E$9)/($G$9-$E$9),$E$9+SQRT(S710*($G$9-$E$9)*($F$9-$E$9)),$G$9-SQRT((1-S710)*($G$9-$E$9)*($G$9-$F$9))))</f>
        <v>0.986086391737087</v>
      </c>
      <c r="F710" s="37" t="n">
        <f aca="false">1+IF($G$10=$E$10,$F$10,IF(T710&lt;($F$10-$E$10)/($G$10-$E$10),$E$10+SQRT(T710*($G$10-$E$10)*($F$10-$E$10)),$G$10-SQRT((1-T710)*($G$10-$E$10)*($G$10-$F$10))))</f>
        <v>1.01887914204382</v>
      </c>
      <c r="G710" s="38" t="n">
        <f aca="false">IF($G$11=$E$11,$F$11,IF(U710&lt;($F$11-$E$11)/($G$11-$E$11),$E$11+SQRT(U710*($G$11-$E$11)*($F$11-$E$11)),$G$11-SQRT((1-U710)*($G$11-$E$11)*($G$11-$F$11))))</f>
        <v>0.118274591430367</v>
      </c>
      <c r="H710" s="39" t="n">
        <f aca="false">(('Business Case'!B11*$C710*'Business Case'!B12*$B710)-'Business Case'!B11*$C710*'Business Case'!B13*$D710-'Business Case'!B14*$E710)-MAX(0,(('Business Case'!B11*$C710*'Business Case'!B12*$B710)-'Business Case'!B11*$C710*'Business Case'!B13*$D710-'Business Case'!B14*$E710))*'Business Case'!$B$7-'Business Case'!$B$8*('Business Case'!B11*$C710*'Business Case'!B12*$B710)-'Business Case'!B15*$F710</f>
        <v>-2037758284.08763</v>
      </c>
      <c r="I710" s="39" t="n">
        <f aca="false">(('Business Case'!C11*$C710*'Business Case'!C12*$B710)-'Business Case'!C11*$C710*'Business Case'!C13*$D710-'Business Case'!C14*$E710)-MAX(0,(('Business Case'!C11*$C710*'Business Case'!C12*$B710)-'Business Case'!C11*$C710*'Business Case'!C13*$D710-'Business Case'!C14*$E710))*'Business Case'!$B$7-'Business Case'!$B$8*(('Business Case'!C11*$C710*'Business Case'!C12*$B710)-('Business Case'!B11*$C710*'Business Case'!B12*$B710))-'Business Case'!C15*$F710</f>
        <v>30747163.4816014</v>
      </c>
      <c r="J710" s="39" t="n">
        <f aca="false">(('Business Case'!D11*$C710*'Business Case'!D12*$B710)-'Business Case'!D11*$C710*'Business Case'!D13*$D710-'Business Case'!D14*$E710)-MAX(0,(('Business Case'!D11*$C710*'Business Case'!D12*$B710)-'Business Case'!D11*$C710*'Business Case'!D13*$D710-'Business Case'!D14*$E710))*'Business Case'!$B$7-'Business Case'!$B$8*(('Business Case'!D11*$C710*'Business Case'!D12*$B710)-('Business Case'!C11*$C710*'Business Case'!C12*$B710))-'Business Case'!D15*$F710</f>
        <v>358306516.201295</v>
      </c>
      <c r="K710" s="39" t="n">
        <f aca="false">(('Business Case'!E11*$C710*'Business Case'!E12*$B710)-'Business Case'!E11*$C710*'Business Case'!E13*$D710-'Business Case'!E14*$E710)-MAX(0,(('Business Case'!E11*$C710*'Business Case'!E12*$B710)-'Business Case'!E11*$C710*'Business Case'!E13*$D710-'Business Case'!E14*$E710))*'Business Case'!$B$7-'Business Case'!$B$8*(('Business Case'!E11*$C710*'Business Case'!E12*$B710)-('Business Case'!D11*$C710*'Business Case'!D12*$B710))-'Business Case'!E15*$F710</f>
        <v>736809826.023179</v>
      </c>
      <c r="L710" s="39" t="n">
        <f aca="false">(('Business Case'!F11*$C710*'Business Case'!F12*$B710)-'Business Case'!F11*$C710*'Business Case'!F13*$D710-'Business Case'!F14*$E710)-MAX(0,(('Business Case'!F11*$C710*'Business Case'!F12*$B710)-'Business Case'!F11*$C710*'Business Case'!F13*$D710-'Business Case'!F14*$E710))*'Business Case'!$B$7-'Business Case'!$B$8*(('Business Case'!F11*$C710*'Business Case'!F12*$B710)-('Business Case'!E11*$C710*'Business Case'!E12*$B710))-'Business Case'!F15*$F710</f>
        <v>882464803.682209</v>
      </c>
      <c r="M710" s="39" t="n">
        <f aca="false">(('Business Case'!G11*$C710*'Business Case'!G12*$B710)-'Business Case'!G11*$C710*'Business Case'!G13*$D710-'Business Case'!G14*$E710)-MAX(0,(('Business Case'!G11*$C710*'Business Case'!G12*$B710)-'Business Case'!G11*$C710*'Business Case'!G13*$D710-'Business Case'!G14*$E710))*'Business Case'!$B$7-'Business Case'!$B$8*(('Business Case'!G11*$C710*'Business Case'!G12*$B710)-('Business Case'!F11*$C710*'Business Case'!F12*$B710))-'Business Case'!G15*$F710+'Business Case'!$B$8*('Business Case'!G11*$C710*'Business Case'!G12*$B710)</f>
        <v>1083041700.82076</v>
      </c>
      <c r="N710" s="39" t="n">
        <f aca="false">IF(COUNT('Business Case'!B11:G11)=0,"",H710+NPV(G710,I710:M710))</f>
        <v>-13269099.9779868</v>
      </c>
      <c r="P710" s="40" t="n">
        <f aca="true">RAND()</f>
        <v>0.492436010837285</v>
      </c>
      <c r="Q710" s="40" t="n">
        <f aca="true">RAND()</f>
        <v>0.869486528007057</v>
      </c>
      <c r="R710" s="40" t="n">
        <f aca="true">RAND()</f>
        <v>0.161997599254043</v>
      </c>
      <c r="S710" s="40" t="n">
        <f aca="true">RAND()</f>
        <v>0.173630355813664</v>
      </c>
      <c r="T710" s="40" t="n">
        <f aca="true">RAND()</f>
        <v>0.343904696264321</v>
      </c>
      <c r="U710" s="40" t="n">
        <f aca="true">RAND()</f>
        <v>0.995038275446397</v>
      </c>
    </row>
    <row r="711" customFormat="false" ht="15" hidden="false" customHeight="false" outlineLevel="0" collapsed="false">
      <c r="A711" s="36" t="n">
        <v>631</v>
      </c>
      <c r="B711" s="37" t="n">
        <f aca="false">1+IF($G$6=$E$6,$F$6,IF(P711&lt;($F$6-$E$6)/($G$6-$E$6),$E$6+SQRT(P711*($G$6-$E$6)*($F$6-$E$6)),$G$6-SQRT((1-P711)*($G$6-$E$6)*($G$6-$F$6))))</f>
        <v>1.00093061278981</v>
      </c>
      <c r="C711" s="37" t="n">
        <f aca="false">1+IF($G$7=$E$7,$F$7,IF(Q711&lt;($F$7-$E$7)/($G$7-$E$7),$E$7+SQRT(Q711*($G$7-$E$7)*($F$7-$E$7)),$G$7-SQRT((1-Q711)*($G$7-$E$7)*($G$7-$F$7))))</f>
        <v>1.0432842232069</v>
      </c>
      <c r="D711" s="37" t="n">
        <f aca="false">1+IF($G$8=$E$8,$F$8,IF(R711&lt;($F$8-$E$8)/($G$8-$E$8),$E$8+SQRT(R711*($G$8-$E$8)*($F$8-$E$8)),$G$8-SQRT((1-R711)*($G$8-$E$8)*($G$8-$F$8))))</f>
        <v>0.98409221118624</v>
      </c>
      <c r="E711" s="37" t="n">
        <f aca="false">1+IF($G$9=$E$9,$F$9,IF(S711&lt;($F$9-$E$9)/($G$9-$E$9),$E$9+SQRT(S711*($G$9-$E$9)*($F$9-$E$9)),$G$9-SQRT((1-S711)*($G$9-$E$9)*($G$9-$F$9))))</f>
        <v>1.0635220832892</v>
      </c>
      <c r="F711" s="37" t="n">
        <f aca="false">1+IF($G$10=$E$10,$F$10,IF(T711&lt;($F$10-$E$10)/($G$10-$E$10),$E$10+SQRT(T711*($G$10-$E$10)*($F$10-$E$10)),$G$10-SQRT((1-T711)*($G$10-$E$10)*($G$10-$F$10))))</f>
        <v>1.07173866430175</v>
      </c>
      <c r="G711" s="38" t="n">
        <f aca="false">IF($G$11=$E$11,$F$11,IF(U711&lt;($F$11-$E$11)/($G$11-$E$11),$E$11+SQRT(U711*($G$11-$E$11)*($F$11-$E$11)),$G$11-SQRT((1-U711)*($G$11-$E$11)*($G$11-$F$11))))</f>
        <v>0.104063910942371</v>
      </c>
      <c r="H711" s="39" t="n">
        <f aca="false">(('Business Case'!B11*$C711*'Business Case'!B12*$B711)-'Business Case'!B11*$C711*'Business Case'!B13*$D711-'Business Case'!B14*$E711)-MAX(0,(('Business Case'!B11*$C711*'Business Case'!B12*$B711)-'Business Case'!B11*$C711*'Business Case'!B13*$D711-'Business Case'!B14*$E711))*'Business Case'!$B$7-'Business Case'!$B$8*('Business Case'!B11*$C711*'Business Case'!B12*$B711)-'Business Case'!B15*$F711</f>
        <v>-2143477328.60349</v>
      </c>
      <c r="I711" s="39" t="n">
        <f aca="false">(('Business Case'!C11*$C711*'Business Case'!C12*$B711)-'Business Case'!C11*$C711*'Business Case'!C13*$D711-'Business Case'!C14*$E711)-MAX(0,(('Business Case'!C11*$C711*'Business Case'!C12*$B711)-'Business Case'!C11*$C711*'Business Case'!C13*$D711-'Business Case'!C14*$E711))*'Business Case'!$B$7-'Business Case'!$B$8*(('Business Case'!C11*$C711*'Business Case'!C12*$B711)-('Business Case'!B11*$C711*'Business Case'!B12*$B711))-'Business Case'!C15*$F711</f>
        <v>17197176.5731651</v>
      </c>
      <c r="J711" s="39" t="n">
        <f aca="false">(('Business Case'!D11*$C711*'Business Case'!D12*$B711)-'Business Case'!D11*$C711*'Business Case'!D13*$D711-'Business Case'!D14*$E711)-MAX(0,(('Business Case'!D11*$C711*'Business Case'!D12*$B711)-'Business Case'!D11*$C711*'Business Case'!D13*$D711-'Business Case'!D14*$E711))*'Business Case'!$B$7-'Business Case'!$B$8*(('Business Case'!D11*$C711*'Business Case'!D12*$B711)-('Business Case'!C11*$C711*'Business Case'!C12*$B711))-'Business Case'!D15*$F711</f>
        <v>346935245.077651</v>
      </c>
      <c r="K711" s="39" t="n">
        <f aca="false">(('Business Case'!E11*$C711*'Business Case'!E12*$B711)-'Business Case'!E11*$C711*'Business Case'!E13*$D711-'Business Case'!E14*$E711)-MAX(0,(('Business Case'!E11*$C711*'Business Case'!E12*$B711)-'Business Case'!E11*$C711*'Business Case'!E13*$D711-'Business Case'!E14*$E711))*'Business Case'!$B$7-'Business Case'!$B$8*(('Business Case'!E11*$C711*'Business Case'!E12*$B711)-('Business Case'!D11*$C711*'Business Case'!D12*$B711))-'Business Case'!E15*$F711</f>
        <v>730260246.797224</v>
      </c>
      <c r="L711" s="39" t="n">
        <f aca="false">(('Business Case'!F11*$C711*'Business Case'!F12*$B711)-'Business Case'!F11*$C711*'Business Case'!F13*$D711-'Business Case'!F14*$E711)-MAX(0,(('Business Case'!F11*$C711*'Business Case'!F12*$B711)-'Business Case'!F11*$C711*'Business Case'!F13*$D711-'Business Case'!F14*$E711))*'Business Case'!$B$7-'Business Case'!$B$8*(('Business Case'!F11*$C711*'Business Case'!F12*$B711)-('Business Case'!E11*$C711*'Business Case'!E12*$B711))-'Business Case'!F15*$F711</f>
        <v>876262393.137001</v>
      </c>
      <c r="M711" s="39" t="n">
        <f aca="false">(('Business Case'!G11*$C711*'Business Case'!G12*$B711)-'Business Case'!G11*$C711*'Business Case'!G13*$D711-'Business Case'!G14*$E711)-MAX(0,(('Business Case'!G11*$C711*'Business Case'!G12*$B711)-'Business Case'!G11*$C711*'Business Case'!G13*$D711-'Business Case'!G14*$E711))*'Business Case'!$B$7-'Business Case'!$B$8*(('Business Case'!G11*$C711*'Business Case'!G12*$B711)-('Business Case'!F11*$C711*'Business Case'!F12*$B711))-'Business Case'!G15*$F711+'Business Case'!$B$8*('Business Case'!G11*$C711*'Business Case'!G12*$B711)</f>
        <v>1074754405.74755</v>
      </c>
      <c r="N711" s="39" t="n">
        <f aca="false">IF(COUNT('Business Case'!B11:G11)=0,"",H711+NPV(G711,I711:M711))</f>
        <v>-55783937.7689664</v>
      </c>
      <c r="P711" s="40" t="n">
        <f aca="true">RAND()</f>
        <v>0.681996454795925</v>
      </c>
      <c r="Q711" s="40" t="n">
        <f aca="true">RAND()</f>
        <v>0.783080818732271</v>
      </c>
      <c r="R711" s="40" t="n">
        <f aca="true">RAND()</f>
        <v>0.178812132856493</v>
      </c>
      <c r="S711" s="40" t="n">
        <f aca="true">RAND()</f>
        <v>0.911290772829329</v>
      </c>
      <c r="T711" s="40" t="n">
        <f aca="true">RAND()</f>
        <v>0.670980595297995</v>
      </c>
      <c r="U711" s="40" t="n">
        <f aca="true">RAND()</f>
        <v>0.57673510924553</v>
      </c>
    </row>
    <row r="712" customFormat="false" ht="15" hidden="false" customHeight="false" outlineLevel="0" collapsed="false">
      <c r="A712" s="36" t="n">
        <v>632</v>
      </c>
      <c r="B712" s="37" t="n">
        <f aca="false">1+IF($G$6=$E$6,$F$6,IF(P712&lt;($F$6-$E$6)/($G$6-$E$6),$E$6+SQRT(P712*($G$6-$E$6)*($F$6-$E$6)),$G$6-SQRT((1-P712)*($G$6-$E$6)*($G$6-$F$6))))</f>
        <v>0.946321118033402</v>
      </c>
      <c r="C712" s="37" t="n">
        <f aca="false">1+IF($G$7=$E$7,$F$7,IF(Q712&lt;($F$7-$E$7)/($G$7-$E$7),$E$7+SQRT(Q712*($G$7-$E$7)*($F$7-$E$7)),$G$7-SQRT((1-Q712)*($G$7-$E$7)*($G$7-$F$7))))</f>
        <v>0.980076185942546</v>
      </c>
      <c r="D712" s="37" t="n">
        <f aca="false">1+IF($G$8=$E$8,$F$8,IF(R712&lt;($F$8-$E$8)/($G$8-$E$8),$E$8+SQRT(R712*($G$8-$E$8)*($F$8-$E$8)),$G$8-SQRT((1-R712)*($G$8-$E$8)*($G$8-$F$8))))</f>
        <v>0.99523408826874</v>
      </c>
      <c r="E712" s="37" t="n">
        <f aca="false">1+IF($G$9=$E$9,$F$9,IF(S712&lt;($F$9-$E$9)/($G$9-$E$9),$E$9+SQRT(S712*($G$9-$E$9)*($F$9-$E$9)),$G$9-SQRT((1-S712)*($G$9-$E$9)*($G$9-$F$9))))</f>
        <v>1.01170485719679</v>
      </c>
      <c r="F712" s="37" t="n">
        <f aca="false">1+IF($G$10=$E$10,$F$10,IF(T712&lt;($F$10-$E$10)/($G$10-$E$10),$E$10+SQRT(T712*($G$10-$E$10)*($F$10-$E$10)),$G$10-SQRT((1-T712)*($G$10-$E$10)*($G$10-$F$10))))</f>
        <v>1.07172385109343</v>
      </c>
      <c r="G712" s="38" t="n">
        <f aca="false">IF($G$11=$E$11,$F$11,IF(U712&lt;($F$11-$E$11)/($G$11-$E$11),$E$11+SQRT(U712*($G$11-$E$11)*($F$11-$E$11)),$G$11-SQRT((1-U712)*($G$11-$E$11)*($G$11-$F$11))))</f>
        <v>0.103976750797291</v>
      </c>
      <c r="H712" s="39" t="n">
        <f aca="false">(('Business Case'!B11*$C712*'Business Case'!B12*$B712)-'Business Case'!B11*$C712*'Business Case'!B13*$D712-'Business Case'!B14*$E712)-MAX(0,(('Business Case'!B11*$C712*'Business Case'!B12*$B712)-'Business Case'!B11*$C712*'Business Case'!B13*$D712-'Business Case'!B14*$E712))*'Business Case'!$B$7-'Business Case'!$B$8*('Business Case'!B11*$C712*'Business Case'!B12*$B712)-'Business Case'!B15*$F712</f>
        <v>-2143447702.18685</v>
      </c>
      <c r="I712" s="39" t="n">
        <f aca="false">(('Business Case'!C11*$C712*'Business Case'!C12*$B712)-'Business Case'!C11*$C712*'Business Case'!C13*$D712-'Business Case'!C14*$E712)-MAX(0,(('Business Case'!C11*$C712*'Business Case'!C12*$B712)-'Business Case'!C11*$C712*'Business Case'!C13*$D712-'Business Case'!C14*$E712))*'Business Case'!$B$7-'Business Case'!$B$8*(('Business Case'!C11*$C712*'Business Case'!C12*$B712)-('Business Case'!B11*$C712*'Business Case'!B12*$B712))-'Business Case'!C15*$F712</f>
        <v>-38784059.0220863</v>
      </c>
      <c r="J712" s="39" t="n">
        <f aca="false">(('Business Case'!D11*$C712*'Business Case'!D12*$B712)-'Business Case'!D11*$C712*'Business Case'!D13*$D712-'Business Case'!D14*$E712)-MAX(0,(('Business Case'!D11*$C712*'Business Case'!D12*$B712)-'Business Case'!D11*$C712*'Business Case'!D13*$D712-'Business Case'!D14*$E712))*'Business Case'!$B$7-'Business Case'!$B$8*(('Business Case'!D11*$C712*'Business Case'!D12*$B712)-('Business Case'!C11*$C712*'Business Case'!C12*$B712))-'Business Case'!D15*$F712</f>
        <v>221548576.257858</v>
      </c>
      <c r="K712" s="39" t="n">
        <f aca="false">(('Business Case'!E11*$C712*'Business Case'!E12*$B712)-'Business Case'!E11*$C712*'Business Case'!E13*$D712-'Business Case'!E14*$E712)-MAX(0,(('Business Case'!E11*$C712*'Business Case'!E12*$B712)-'Business Case'!E11*$C712*'Business Case'!E13*$D712-'Business Case'!E14*$E712))*'Business Case'!$B$7-'Business Case'!$B$8*(('Business Case'!E11*$C712*'Business Case'!E12*$B712)-('Business Case'!D11*$C712*'Business Case'!D12*$B712))-'Business Case'!E15*$F712</f>
        <v>535467404.092474</v>
      </c>
      <c r="L712" s="39" t="n">
        <f aca="false">(('Business Case'!F11*$C712*'Business Case'!F12*$B712)-'Business Case'!F11*$C712*'Business Case'!F13*$D712-'Business Case'!F14*$E712)-MAX(0,(('Business Case'!F11*$C712*'Business Case'!F12*$B712)-'Business Case'!F11*$C712*'Business Case'!F13*$D712-'Business Case'!F14*$E712))*'Business Case'!$B$7-'Business Case'!$B$8*(('Business Case'!F11*$C712*'Business Case'!F12*$B712)-('Business Case'!E11*$C712*'Business Case'!E12*$B712))-'Business Case'!F15*$F712</f>
        <v>654298201.518659</v>
      </c>
      <c r="M712" s="39" t="n">
        <f aca="false">(('Business Case'!G11*$C712*'Business Case'!G12*$B712)-'Business Case'!G11*$C712*'Business Case'!G13*$D712-'Business Case'!G14*$E712)-MAX(0,(('Business Case'!G11*$C712*'Business Case'!G12*$B712)-'Business Case'!G11*$C712*'Business Case'!G13*$D712-'Business Case'!G14*$E712))*'Business Case'!$B$7-'Business Case'!$B$8*(('Business Case'!G11*$C712*'Business Case'!G12*$B712)-('Business Case'!F11*$C712*'Business Case'!F12*$B712))-'Business Case'!G15*$F712+'Business Case'!$B$8*('Business Case'!G11*$C712*'Business Case'!G12*$B712)</f>
        <v>830591089.349444</v>
      </c>
      <c r="N712" s="39" t="n">
        <f aca="false">IF(COUNT('Business Case'!B11:G11)=0,"",H712+NPV(G712,I712:M712))</f>
        <v>-651825490.075856</v>
      </c>
      <c r="P712" s="40" t="n">
        <f aca="true">RAND()</f>
        <v>0.0721667973466926</v>
      </c>
      <c r="Q712" s="40" t="n">
        <f aca="true">RAND()</f>
        <v>0.463249039194493</v>
      </c>
      <c r="R712" s="40" t="n">
        <f aca="true">RAND()</f>
        <v>0.314788114077564</v>
      </c>
      <c r="S712" s="40" t="n">
        <f aca="true">RAND()</f>
        <v>0.480264517157371</v>
      </c>
      <c r="T712" s="40" t="n">
        <f aca="true">RAND()</f>
        <v>0.670904592433965</v>
      </c>
      <c r="U712" s="40" t="n">
        <f aca="true">RAND()</f>
        <v>0.572092474979805</v>
      </c>
    </row>
    <row r="713" customFormat="false" ht="15" hidden="false" customHeight="false" outlineLevel="0" collapsed="false">
      <c r="A713" s="36" t="n">
        <v>633</v>
      </c>
      <c r="B713" s="37" t="n">
        <f aca="false">1+IF($G$6=$E$6,$F$6,IF(P713&lt;($F$6-$E$6)/($G$6-$E$6),$E$6+SQRT(P713*($G$6-$E$6)*($F$6-$E$6)),$G$6-SQRT((1-P713)*($G$6-$E$6)*($G$6-$F$6))))</f>
        <v>0.960748442469768</v>
      </c>
      <c r="C713" s="37" t="n">
        <f aca="false">1+IF($G$7=$E$7,$F$7,IF(Q713&lt;($F$7-$E$7)/($G$7-$E$7),$E$7+SQRT(Q713*($G$7-$E$7)*($F$7-$E$7)),$G$7-SQRT((1-Q713)*($G$7-$E$7)*($G$7-$F$7))))</f>
        <v>0.977668169440579</v>
      </c>
      <c r="D713" s="37" t="n">
        <f aca="false">1+IF($G$8=$E$8,$F$8,IF(R713&lt;($F$8-$E$8)/($G$8-$E$8),$E$8+SQRT(R713*($G$8-$E$8)*($F$8-$E$8)),$G$8-SQRT((1-R713)*($G$8-$E$8)*($G$8-$F$8))))</f>
        <v>1.06907302147679</v>
      </c>
      <c r="E713" s="37" t="n">
        <f aca="false">1+IF($G$9=$E$9,$F$9,IF(S713&lt;($F$9-$E$9)/($G$9-$E$9),$E$9+SQRT(S713*($G$9-$E$9)*($F$9-$E$9)),$G$9-SQRT((1-S713)*($G$9-$E$9)*($G$9-$F$9))))</f>
        <v>1.01221002764726</v>
      </c>
      <c r="F713" s="37" t="n">
        <f aca="false">1+IF($G$10=$E$10,$F$10,IF(T713&lt;($F$10-$E$10)/($G$10-$E$10),$E$10+SQRT(T713*($G$10-$E$10)*($F$10-$E$10)),$G$10-SQRT((1-T713)*($G$10-$E$10)*($G$10-$F$10))))</f>
        <v>0.97759325306573</v>
      </c>
      <c r="G713" s="38" t="n">
        <f aca="false">IF($G$11=$E$11,$F$11,IF(U713&lt;($F$11-$E$11)/($G$11-$E$11),$E$11+SQRT(U713*($G$11-$E$11)*($F$11-$E$11)),$G$11-SQRT((1-U713)*($G$11-$E$11)*($G$11-$F$11))))</f>
        <v>0.112267618369252</v>
      </c>
      <c r="H713" s="39" t="n">
        <f aca="false">(('Business Case'!B11*$C713*'Business Case'!B12*$B713)-'Business Case'!B11*$C713*'Business Case'!B13*$D713-'Business Case'!B14*$E713)-MAX(0,(('Business Case'!B11*$C713*'Business Case'!B12*$B713)-'Business Case'!B11*$C713*'Business Case'!B13*$D713-'Business Case'!B14*$E713))*'Business Case'!$B$7-'Business Case'!$B$8*('Business Case'!B11*$C713*'Business Case'!B12*$B713)-'Business Case'!B15*$F713</f>
        <v>-1955186506.13146</v>
      </c>
      <c r="I713" s="39" t="n">
        <f aca="false">(('Business Case'!C11*$C713*'Business Case'!C12*$B713)-'Business Case'!C11*$C713*'Business Case'!C13*$D713-'Business Case'!C14*$E713)-MAX(0,(('Business Case'!C11*$C713*'Business Case'!C12*$B713)-'Business Case'!C11*$C713*'Business Case'!C13*$D713-'Business Case'!C14*$E713))*'Business Case'!$B$7-'Business Case'!$B$8*(('Business Case'!C11*$C713*'Business Case'!C12*$B713)-('Business Case'!B11*$C713*'Business Case'!B12*$B713))-'Business Case'!C15*$F713</f>
        <v>-56097913.0593991</v>
      </c>
      <c r="J713" s="39" t="n">
        <f aca="false">(('Business Case'!D11*$C713*'Business Case'!D12*$B713)-'Business Case'!D11*$C713*'Business Case'!D13*$D713-'Business Case'!D14*$E713)-MAX(0,(('Business Case'!D11*$C713*'Business Case'!D12*$B713)-'Business Case'!D11*$C713*'Business Case'!D13*$D713-'Business Case'!D14*$E713))*'Business Case'!$B$7-'Business Case'!$B$8*(('Business Case'!D11*$C713*'Business Case'!D12*$B713)-('Business Case'!C11*$C713*'Business Case'!C12*$B713))-'Business Case'!D15*$F713</f>
        <v>178192723.106049</v>
      </c>
      <c r="K713" s="39" t="n">
        <f aca="false">(('Business Case'!E11*$C713*'Business Case'!E12*$B713)-'Business Case'!E11*$C713*'Business Case'!E13*$D713-'Business Case'!E14*$E713)-MAX(0,(('Business Case'!E11*$C713*'Business Case'!E12*$B713)-'Business Case'!E11*$C713*'Business Case'!E13*$D713-'Business Case'!E14*$E713))*'Business Case'!$B$7-'Business Case'!$B$8*(('Business Case'!E11*$C713*'Business Case'!E12*$B713)-('Business Case'!D11*$C713*'Business Case'!D12*$B713))-'Business Case'!E15*$F713</f>
        <v>461363021.924783</v>
      </c>
      <c r="L713" s="39" t="n">
        <f aca="false">(('Business Case'!F11*$C713*'Business Case'!F12*$B713)-'Business Case'!F11*$C713*'Business Case'!F13*$D713-'Business Case'!F14*$E713)-MAX(0,(('Business Case'!F11*$C713*'Business Case'!F12*$B713)-'Business Case'!F11*$C713*'Business Case'!F13*$D713-'Business Case'!F14*$E713))*'Business Case'!$B$7-'Business Case'!$B$8*(('Business Case'!F11*$C713*'Business Case'!F12*$B713)-('Business Case'!E11*$C713*'Business Case'!E12*$B713))-'Business Case'!F15*$F713</f>
        <v>571921872.637821</v>
      </c>
      <c r="M713" s="39" t="n">
        <f aca="false">(('Business Case'!G11*$C713*'Business Case'!G12*$B713)-'Business Case'!G11*$C713*'Business Case'!G13*$D713-'Business Case'!G14*$E713)-MAX(0,(('Business Case'!G11*$C713*'Business Case'!G12*$B713)-'Business Case'!G11*$C713*'Business Case'!G13*$D713-'Business Case'!G14*$E713))*'Business Case'!$B$7-'Business Case'!$B$8*(('Business Case'!G11*$C713*'Business Case'!G12*$B713)-('Business Case'!F11*$C713*'Business Case'!F12*$B713))-'Business Case'!G15*$F713+'Business Case'!$B$8*('Business Case'!G11*$C713*'Business Case'!G12*$B713)</f>
        <v>750462718.589543</v>
      </c>
      <c r="N713" s="39" t="n">
        <f aca="false">IF(COUNT('Business Case'!B11:G11)=0,"",H713+NPV(G713,I713:M713))</f>
        <v>-711779016.563675</v>
      </c>
      <c r="P713" s="40" t="n">
        <f aca="true">RAND()</f>
        <v>0.172962037886665</v>
      </c>
      <c r="Q713" s="40" t="n">
        <f aca="true">RAND()</f>
        <v>0.450942549033806</v>
      </c>
      <c r="R713" s="40" t="n">
        <f aca="true">RAND()</f>
        <v>0.98851934041859</v>
      </c>
      <c r="S713" s="40" t="n">
        <f aca="true">RAND()</f>
        <v>0.486194716953729</v>
      </c>
      <c r="T713" s="40" t="n">
        <f aca="true">RAND()</f>
        <v>0.0609110091799522</v>
      </c>
      <c r="U713" s="40" t="n">
        <f aca="true">RAND()</f>
        <v>0.900350457194123</v>
      </c>
    </row>
    <row r="714" customFormat="false" ht="15" hidden="false" customHeight="false" outlineLevel="0" collapsed="false">
      <c r="A714" s="36" t="n">
        <v>634</v>
      </c>
      <c r="B714" s="37" t="n">
        <f aca="false">1+IF($G$6=$E$6,$F$6,IF(P714&lt;($F$6-$E$6)/($G$6-$E$6),$E$6+SQRT(P714*($G$6-$E$6)*($F$6-$E$6)),$G$6-SQRT((1-P714)*($G$6-$E$6)*($G$6-$F$6))))</f>
        <v>0.984302713262357</v>
      </c>
      <c r="C714" s="37" t="n">
        <f aca="false">1+IF($G$7=$E$7,$F$7,IF(Q714&lt;($F$7-$E$7)/($G$7-$E$7),$E$7+SQRT(Q714*($G$7-$E$7)*($F$7-$E$7)),$G$7-SQRT((1-Q714)*($G$7-$E$7)*($G$7-$F$7))))</f>
        <v>0.878098512536142</v>
      </c>
      <c r="D714" s="37" t="n">
        <f aca="false">1+IF($G$8=$E$8,$F$8,IF(R714&lt;($F$8-$E$8)/($G$8-$E$8),$E$8+SQRT(R714*($G$8-$E$8)*($F$8-$E$8)),$G$8-SQRT((1-R714)*($G$8-$E$8)*($G$8-$F$8))))</f>
        <v>0.998039896941269</v>
      </c>
      <c r="E714" s="37" t="n">
        <f aca="false">1+IF($G$9=$E$9,$F$9,IF(S714&lt;($F$9-$E$9)/($G$9-$E$9),$E$9+SQRT(S714*($G$9-$E$9)*($F$9-$E$9)),$G$9-SQRT((1-S714)*($G$9-$E$9)*($G$9-$F$9))))</f>
        <v>0.994960887602378</v>
      </c>
      <c r="F714" s="37" t="n">
        <f aca="false">1+IF($G$10=$E$10,$F$10,IF(T714&lt;($F$10-$E$10)/($G$10-$E$10),$E$10+SQRT(T714*($G$10-$E$10)*($F$10-$E$10)),$G$10-SQRT((1-T714)*($G$10-$E$10)*($G$10-$F$10))))</f>
        <v>1.0824880713013</v>
      </c>
      <c r="G714" s="38" t="n">
        <f aca="false">IF($G$11=$E$11,$F$11,IF(U714&lt;($F$11-$E$11)/($G$11-$E$11),$E$11+SQRT(U714*($G$11-$E$11)*($F$11-$E$11)),$G$11-SQRT((1-U714)*($G$11-$E$11)*($G$11-$F$11))))</f>
        <v>0.0942686085915582</v>
      </c>
      <c r="H714" s="39" t="n">
        <f aca="false">(('Business Case'!B11*$C714*'Business Case'!B12*$B714)-'Business Case'!B11*$C714*'Business Case'!B13*$D714-'Business Case'!B14*$E714)-MAX(0,(('Business Case'!B11*$C714*'Business Case'!B12*$B714)-'Business Case'!B11*$C714*'Business Case'!B13*$D714-'Business Case'!B14*$E714))*'Business Case'!$B$7-'Business Case'!$B$8*('Business Case'!B11*$C714*'Business Case'!B12*$B714)-'Business Case'!B15*$F714</f>
        <v>-2164976142.6026</v>
      </c>
      <c r="I714" s="39" t="n">
        <f aca="false">(('Business Case'!C11*$C714*'Business Case'!C12*$B714)-'Business Case'!C11*$C714*'Business Case'!C13*$D714-'Business Case'!C14*$E714)-MAX(0,(('Business Case'!C11*$C714*'Business Case'!C12*$B714)-'Business Case'!C11*$C714*'Business Case'!C13*$D714-'Business Case'!C14*$E714))*'Business Case'!$B$7-'Business Case'!$B$8*(('Business Case'!C11*$C714*'Business Case'!C12*$B714)-('Business Case'!B11*$C714*'Business Case'!B12*$B714))-'Business Case'!C15*$F714</f>
        <v>-35237404.7794995</v>
      </c>
      <c r="J714" s="39" t="n">
        <f aca="false">(('Business Case'!D11*$C714*'Business Case'!D12*$B714)-'Business Case'!D11*$C714*'Business Case'!D13*$D714-'Business Case'!D14*$E714)-MAX(0,(('Business Case'!D11*$C714*'Business Case'!D12*$B714)-'Business Case'!D11*$C714*'Business Case'!D13*$D714-'Business Case'!D14*$E714))*'Business Case'!$B$7-'Business Case'!$B$8*(('Business Case'!D11*$C714*'Business Case'!D12*$B714)-('Business Case'!C11*$C714*'Business Case'!C12*$B714))-'Business Case'!D15*$F714</f>
        <v>224063512.345295</v>
      </c>
      <c r="K714" s="39" t="n">
        <f aca="false">(('Business Case'!E11*$C714*'Business Case'!E12*$B714)-'Business Case'!E11*$C714*'Business Case'!E13*$D714-'Business Case'!E14*$E714)-MAX(0,(('Business Case'!E11*$C714*'Business Case'!E12*$B714)-'Business Case'!E11*$C714*'Business Case'!E13*$D714-'Business Case'!E14*$E714))*'Business Case'!$B$7-'Business Case'!$B$8*(('Business Case'!E11*$C714*'Business Case'!E12*$B714)-('Business Case'!D11*$C714*'Business Case'!D12*$B714))-'Business Case'!E15*$F714</f>
        <v>537488833.035154</v>
      </c>
      <c r="L714" s="39" t="n">
        <f aca="false">(('Business Case'!F11*$C714*'Business Case'!F12*$B714)-'Business Case'!F11*$C714*'Business Case'!F13*$D714-'Business Case'!F14*$E714)-MAX(0,(('Business Case'!F11*$C714*'Business Case'!F12*$B714)-'Business Case'!F11*$C714*'Business Case'!F13*$D714-'Business Case'!F14*$E714))*'Business Case'!$B$7-'Business Case'!$B$8*(('Business Case'!F11*$C714*'Business Case'!F12*$B714)-('Business Case'!E11*$C714*'Business Case'!E12*$B714))-'Business Case'!F15*$F714</f>
        <v>653793189.781489</v>
      </c>
      <c r="M714" s="39" t="n">
        <f aca="false">(('Business Case'!G11*$C714*'Business Case'!G12*$B714)-'Business Case'!G11*$C714*'Business Case'!G13*$D714-'Business Case'!G14*$E714)-MAX(0,(('Business Case'!G11*$C714*'Business Case'!G12*$B714)-'Business Case'!G11*$C714*'Business Case'!G13*$D714-'Business Case'!G14*$E714))*'Business Case'!$B$7-'Business Case'!$B$8*(('Business Case'!G11*$C714*'Business Case'!G12*$B714)-('Business Case'!F11*$C714*'Business Case'!F12*$B714))-'Business Case'!G15*$F714+'Business Case'!$B$8*('Business Case'!G11*$C714*'Business Case'!G12*$B714)</f>
        <v>818082137.157544</v>
      </c>
      <c r="N714" s="39" t="n">
        <f aca="false">IF(COUNT('Business Case'!B11:G11)=0,"",H714+NPV(G714,I714:M714))</f>
        <v>-622468561.747046</v>
      </c>
      <c r="P714" s="40" t="n">
        <f aca="true">RAND()</f>
        <v>0.43071238884384</v>
      </c>
      <c r="Q714" s="40" t="n">
        <f aca="true">RAND()</f>
        <v>0.0871339665765419</v>
      </c>
      <c r="R714" s="40" t="n">
        <f aca="true">RAND()</f>
        <v>0.355051030481195</v>
      </c>
      <c r="S714" s="40" t="n">
        <f aca="true">RAND()</f>
        <v>0.269530855199155</v>
      </c>
      <c r="T714" s="40" t="n">
        <f aca="true">RAND()</f>
        <v>0.723818932270223</v>
      </c>
      <c r="U714" s="40" t="n">
        <f aca="true">RAND()</f>
        <v>0.0607367310264147</v>
      </c>
    </row>
    <row r="715" customFormat="false" ht="15" hidden="false" customHeight="false" outlineLevel="0" collapsed="false">
      <c r="A715" s="36" t="n">
        <v>635</v>
      </c>
      <c r="B715" s="37" t="n">
        <f aca="false">1+IF($G$6=$E$6,$F$6,IF(P715&lt;($F$6-$E$6)/($G$6-$E$6),$E$6+SQRT(P715*($G$6-$E$6)*($F$6-$E$6)),$G$6-SQRT((1-P715)*($G$6-$E$6)*($G$6-$F$6))))</f>
        <v>0.987388687279412</v>
      </c>
      <c r="C715" s="37" t="n">
        <f aca="false">1+IF($G$7=$E$7,$F$7,IF(Q715&lt;($F$7-$E$7)/($G$7-$E$7),$E$7+SQRT(Q715*($G$7-$E$7)*($F$7-$E$7)),$G$7-SQRT((1-Q715)*($G$7-$E$7)*($G$7-$F$7))))</f>
        <v>0.931170343094779</v>
      </c>
      <c r="D715" s="37" t="n">
        <f aca="false">1+IF($G$8=$E$8,$F$8,IF(R715&lt;($F$8-$E$8)/($G$8-$E$8),$E$8+SQRT(R715*($G$8-$E$8)*($F$8-$E$8)),$G$8-SQRT((1-R715)*($G$8-$E$8)*($G$8-$F$8))))</f>
        <v>0.954869470189453</v>
      </c>
      <c r="E715" s="37" t="n">
        <f aca="false">1+IF($G$9=$E$9,$F$9,IF(S715&lt;($F$9-$E$9)/($G$9-$E$9),$E$9+SQRT(S715*($G$9-$E$9)*($F$9-$E$9)),$G$9-SQRT((1-S715)*($G$9-$E$9)*($G$9-$F$9))))</f>
        <v>1.01569509419233</v>
      </c>
      <c r="F715" s="37" t="n">
        <f aca="false">1+IF($G$10=$E$10,$F$10,IF(T715&lt;($F$10-$E$10)/($G$10-$E$10),$E$10+SQRT(T715*($G$10-$E$10)*($F$10-$E$10)),$G$10-SQRT((1-T715)*($G$10-$E$10)*($G$10-$F$10))))</f>
        <v>1.05902316444626</v>
      </c>
      <c r="G715" s="38" t="n">
        <f aca="false">IF($G$11=$E$11,$F$11,IF(U715&lt;($F$11-$E$11)/($G$11-$E$11),$E$11+SQRT(U715*($G$11-$E$11)*($F$11-$E$11)),$G$11-SQRT((1-U715)*($G$11-$E$11)*($G$11-$F$11))))</f>
        <v>0.093700250985475</v>
      </c>
      <c r="H715" s="39" t="n">
        <f aca="false">(('Business Case'!B11*$C715*'Business Case'!B12*$B715)-'Business Case'!B11*$C715*'Business Case'!B13*$D715-'Business Case'!B14*$E715)-MAX(0,(('Business Case'!B11*$C715*'Business Case'!B12*$B715)-'Business Case'!B11*$C715*'Business Case'!B13*$D715-'Business Case'!B14*$E715))*'Business Case'!$B$7-'Business Case'!$B$8*('Business Case'!B11*$C715*'Business Case'!B12*$B715)-'Business Case'!B15*$F715</f>
        <v>-2118046328.89251</v>
      </c>
      <c r="I715" s="39" t="n">
        <f aca="false">(('Business Case'!C11*$C715*'Business Case'!C12*$B715)-'Business Case'!C11*$C715*'Business Case'!C13*$D715-'Business Case'!C14*$E715)-MAX(0,(('Business Case'!C11*$C715*'Business Case'!C12*$B715)-'Business Case'!C11*$C715*'Business Case'!C13*$D715-'Business Case'!C14*$E715))*'Business Case'!$B$7-'Business Case'!$B$8*(('Business Case'!C11*$C715*'Business Case'!C12*$B715)-('Business Case'!B11*$C715*'Business Case'!B12*$B715))-'Business Case'!C15*$F715</f>
        <v>-91982.6468427181</v>
      </c>
      <c r="J715" s="39" t="n">
        <f aca="false">(('Business Case'!D11*$C715*'Business Case'!D12*$B715)-'Business Case'!D11*$C715*'Business Case'!D13*$D715-'Business Case'!D14*$E715)-MAX(0,(('Business Case'!D11*$C715*'Business Case'!D12*$B715)-'Business Case'!D11*$C715*'Business Case'!D13*$D715-'Business Case'!D14*$E715))*'Business Case'!$B$7-'Business Case'!$B$8*(('Business Case'!D11*$C715*'Business Case'!D12*$B715)-('Business Case'!C11*$C715*'Business Case'!C12*$B715))-'Business Case'!D15*$F715</f>
        <v>297813292.475554</v>
      </c>
      <c r="K715" s="39" t="n">
        <f aca="false">(('Business Case'!E11*$C715*'Business Case'!E12*$B715)-'Business Case'!E11*$C715*'Business Case'!E13*$D715-'Business Case'!E14*$E715)-MAX(0,(('Business Case'!E11*$C715*'Business Case'!E12*$B715)-'Business Case'!E11*$C715*'Business Case'!E13*$D715-'Business Case'!E14*$E715))*'Business Case'!$B$7-'Business Case'!$B$8*(('Business Case'!E11*$C715*'Business Case'!E12*$B715)-('Business Case'!D11*$C715*'Business Case'!D12*$B715))-'Business Case'!E15*$F715</f>
        <v>648669725.820263</v>
      </c>
      <c r="L715" s="39" t="n">
        <f aca="false">(('Business Case'!F11*$C715*'Business Case'!F12*$B715)-'Business Case'!F11*$C715*'Business Case'!F13*$D715-'Business Case'!F14*$E715)-MAX(0,(('Business Case'!F11*$C715*'Business Case'!F12*$B715)-'Business Case'!F11*$C715*'Business Case'!F13*$D715-'Business Case'!F14*$E715))*'Business Case'!$B$7-'Business Case'!$B$8*(('Business Case'!F11*$C715*'Business Case'!F12*$B715)-('Business Case'!E11*$C715*'Business Case'!E12*$B715))-'Business Case'!F15*$F715</f>
        <v>779746883.481372</v>
      </c>
      <c r="M715" s="39" t="n">
        <f aca="false">(('Business Case'!G11*$C715*'Business Case'!G12*$B715)-'Business Case'!G11*$C715*'Business Case'!G13*$D715-'Business Case'!G14*$E715)-MAX(0,(('Business Case'!G11*$C715*'Business Case'!G12*$B715)-'Business Case'!G11*$C715*'Business Case'!G13*$D715-'Business Case'!G14*$E715))*'Business Case'!$B$7-'Business Case'!$B$8*(('Business Case'!G11*$C715*'Business Case'!G12*$B715)-('Business Case'!F11*$C715*'Business Case'!F12*$B715))-'Business Case'!G15*$F715+'Business Case'!$B$8*('Business Case'!G11*$C715*'Business Case'!G12*$B715)</f>
        <v>954511579.559744</v>
      </c>
      <c r="N715" s="39" t="n">
        <f aca="false">IF(COUNT('Business Case'!B11:G11)=0,"",H715+NPV(G715,I715:M715))</f>
        <v>-218436622.90439</v>
      </c>
      <c r="P715" s="40" t="n">
        <f aca="true">RAND()</f>
        <v>0.473045330546076</v>
      </c>
      <c r="Q715" s="40" t="n">
        <f aca="true">RAND()</f>
        <v>0.245795127251459</v>
      </c>
      <c r="R715" s="40" t="n">
        <f aca="true">RAND()</f>
        <v>0.00364795998861012</v>
      </c>
      <c r="S715" s="40" t="n">
        <f aca="true">RAND()</f>
        <v>0.526178857117272</v>
      </c>
      <c r="T715" s="40" t="n">
        <f aca="true">RAND()</f>
        <v>0.602510636745049</v>
      </c>
      <c r="U715" s="40" t="n">
        <f aca="true">RAND()</f>
        <v>0.0456395245183618</v>
      </c>
    </row>
    <row r="716" customFormat="false" ht="15" hidden="false" customHeight="false" outlineLevel="0" collapsed="false">
      <c r="A716" s="36" t="n">
        <v>636</v>
      </c>
      <c r="B716" s="37" t="n">
        <f aca="false">1+IF($G$6=$E$6,$F$6,IF(P716&lt;($F$6-$E$6)/($G$6-$E$6),$E$6+SQRT(P716*($G$6-$E$6)*($F$6-$E$6)),$G$6-SQRT((1-P716)*($G$6-$E$6)*($G$6-$F$6))))</f>
        <v>1.0251880266017</v>
      </c>
      <c r="C716" s="37" t="n">
        <f aca="false">1+IF($G$7=$E$7,$F$7,IF(Q716&lt;($F$7-$E$7)/($G$7-$E$7),$E$7+SQRT(Q716*($G$7-$E$7)*($F$7-$E$7)),$G$7-SQRT((1-Q716)*($G$7-$E$7)*($G$7-$F$7))))</f>
        <v>0.956893353979641</v>
      </c>
      <c r="D716" s="37" t="n">
        <f aca="false">1+IF($G$8=$E$8,$F$8,IF(R716&lt;($F$8-$E$8)/($G$8-$E$8),$E$8+SQRT(R716*($G$8-$E$8)*($F$8-$E$8)),$G$8-SQRT((1-R716)*($G$8-$E$8)*($G$8-$F$8))))</f>
        <v>0.974975396603087</v>
      </c>
      <c r="E716" s="37" t="n">
        <f aca="false">1+IF($G$9=$E$9,$F$9,IF(S716&lt;($F$9-$E$9)/($G$9-$E$9),$E$9+SQRT(S716*($G$9-$E$9)*($F$9-$E$9)),$G$9-SQRT((1-S716)*($G$9-$E$9)*($G$9-$F$9))))</f>
        <v>1.00918115870184</v>
      </c>
      <c r="F716" s="37" t="n">
        <f aca="false">1+IF($G$10=$E$10,$F$10,IF(T716&lt;($F$10-$E$10)/($G$10-$E$10),$E$10+SQRT(T716*($G$10-$E$10)*($F$10-$E$10)),$G$10-SQRT((1-T716)*($G$10-$E$10)*($G$10-$F$10))))</f>
        <v>0.992102484850934</v>
      </c>
      <c r="G716" s="38" t="n">
        <f aca="false">IF($G$11=$E$11,$F$11,IF(U716&lt;($F$11-$E$11)/($G$11-$E$11),$E$11+SQRT(U716*($G$11-$E$11)*($F$11-$E$11)),$G$11-SQRT((1-U716)*($G$11-$E$11)*($G$11-$F$11))))</f>
        <v>0.10857279788042</v>
      </c>
      <c r="H716" s="39" t="n">
        <f aca="false">(('Business Case'!B11*$C716*'Business Case'!B12*$B716)-'Business Case'!B11*$C716*'Business Case'!B13*$D716-'Business Case'!B14*$E716)-MAX(0,(('Business Case'!B11*$C716*'Business Case'!B12*$B716)-'Business Case'!B11*$C716*'Business Case'!B13*$D716-'Business Case'!B14*$E716))*'Business Case'!$B$7-'Business Case'!$B$8*('Business Case'!B11*$C716*'Business Case'!B12*$B716)-'Business Case'!B15*$F716</f>
        <v>-1984204969.70187</v>
      </c>
      <c r="I716" s="39" t="n">
        <f aca="false">(('Business Case'!C11*$C716*'Business Case'!C12*$B716)-'Business Case'!C11*$C716*'Business Case'!C13*$D716-'Business Case'!C14*$E716)-MAX(0,(('Business Case'!C11*$C716*'Business Case'!C12*$B716)-'Business Case'!C11*$C716*'Business Case'!C13*$D716-'Business Case'!C14*$E716))*'Business Case'!$B$7-'Business Case'!$B$8*(('Business Case'!C11*$C716*'Business Case'!C12*$B716)-('Business Case'!B11*$C716*'Business Case'!B12*$B716))-'Business Case'!C15*$F716</f>
        <v>32340941.4308041</v>
      </c>
      <c r="J716" s="39" t="n">
        <f aca="false">(('Business Case'!D11*$C716*'Business Case'!D12*$B716)-'Business Case'!D11*$C716*'Business Case'!D13*$D716-'Business Case'!D14*$E716)-MAX(0,(('Business Case'!D11*$C716*'Business Case'!D12*$B716)-'Business Case'!D11*$C716*'Business Case'!D13*$D716-'Business Case'!D14*$E716))*'Business Case'!$B$7-'Business Case'!$B$8*(('Business Case'!D11*$C716*'Business Case'!D12*$B716)-('Business Case'!C11*$C716*'Business Case'!C12*$B716))-'Business Case'!D15*$F716</f>
        <v>358252504.496828</v>
      </c>
      <c r="K716" s="39" t="n">
        <f aca="false">(('Business Case'!E11*$C716*'Business Case'!E12*$B716)-'Business Case'!E11*$C716*'Business Case'!E13*$D716-'Business Case'!E14*$E716)-MAX(0,(('Business Case'!E11*$C716*'Business Case'!E12*$B716)-'Business Case'!E11*$C716*'Business Case'!E13*$D716-'Business Case'!E14*$E716))*'Business Case'!$B$7-'Business Case'!$B$8*(('Business Case'!E11*$C716*'Business Case'!E12*$B716)-('Business Case'!D11*$C716*'Business Case'!D12*$B716))-'Business Case'!E15*$F716</f>
        <v>733769191.805399</v>
      </c>
      <c r="L716" s="39" t="n">
        <f aca="false">(('Business Case'!F11*$C716*'Business Case'!F12*$B716)-'Business Case'!F11*$C716*'Business Case'!F13*$D716-'Business Case'!F14*$E716)-MAX(0,(('Business Case'!F11*$C716*'Business Case'!F12*$B716)-'Business Case'!F11*$C716*'Business Case'!F13*$D716-'Business Case'!F14*$E716))*'Business Case'!$B$7-'Business Case'!$B$8*(('Business Case'!F11*$C716*'Business Case'!F12*$B716)-('Business Case'!E11*$C716*'Business Case'!E12*$B716))-'Business Case'!F15*$F716</f>
        <v>876309587.749224</v>
      </c>
      <c r="M716" s="39" t="n">
        <f aca="false">(('Business Case'!G11*$C716*'Business Case'!G12*$B716)-'Business Case'!G11*$C716*'Business Case'!G13*$D716-'Business Case'!G14*$E716)-MAX(0,(('Business Case'!G11*$C716*'Business Case'!G12*$B716)-'Business Case'!G11*$C716*'Business Case'!G13*$D716-'Business Case'!G14*$E716))*'Business Case'!$B$7-'Business Case'!$B$8*(('Business Case'!G11*$C716*'Business Case'!G12*$B716)-('Business Case'!F11*$C716*'Business Case'!F12*$B716))-'Business Case'!G15*$F716+'Business Case'!$B$8*('Business Case'!G11*$C716*'Business Case'!G12*$B716)</f>
        <v>1062777233.15255</v>
      </c>
      <c r="N716" s="39" t="n">
        <f aca="false">IF(COUNT('Business Case'!B11:G11)=0,"",H716+NPV(G716,I716:M716))</f>
        <v>90091680.4285328</v>
      </c>
      <c r="P716" s="40" t="n">
        <f aca="true">RAND()</f>
        <v>0.954292800843323</v>
      </c>
      <c r="Q716" s="40" t="n">
        <f aca="true">RAND()</f>
        <v>0.351650350328298</v>
      </c>
      <c r="R716" s="40" t="n">
        <f aca="true">RAND()</f>
        <v>0.0959646823817657</v>
      </c>
      <c r="S716" s="40" t="n">
        <f aca="true">RAND()</f>
        <v>0.450129204350611</v>
      </c>
      <c r="T716" s="40" t="n">
        <f aca="true">RAND()</f>
        <v>0.141809538449848</v>
      </c>
      <c r="U716" s="40" t="n">
        <f aca="true">RAND()</f>
        <v>0.782365086197111</v>
      </c>
    </row>
    <row r="717" customFormat="false" ht="15" hidden="false" customHeight="false" outlineLevel="0" collapsed="false">
      <c r="A717" s="36" t="n">
        <v>637</v>
      </c>
      <c r="B717" s="37" t="n">
        <f aca="false">1+IF($G$6=$E$6,$F$6,IF(P717&lt;($F$6-$E$6)/($G$6-$E$6),$E$6+SQRT(P717*($G$6-$E$6)*($F$6-$E$6)),$G$6-SQRT((1-P717)*($G$6-$E$6)*($G$6-$F$6))))</f>
        <v>1.02314566542741</v>
      </c>
      <c r="C717" s="37" t="n">
        <f aca="false">1+IF($G$7=$E$7,$F$7,IF(Q717&lt;($F$7-$E$7)/($G$7-$E$7),$E$7+SQRT(Q717*($G$7-$E$7)*($F$7-$E$7)),$G$7-SQRT((1-Q717)*($G$7-$E$7)*($G$7-$F$7))))</f>
        <v>0.977225468386526</v>
      </c>
      <c r="D717" s="37" t="n">
        <f aca="false">1+IF($G$8=$E$8,$F$8,IF(R717&lt;($F$8-$E$8)/($G$8-$E$8),$E$8+SQRT(R717*($G$8-$E$8)*($F$8-$E$8)),$G$8-SQRT((1-R717)*($G$8-$E$8)*($G$8-$F$8))))</f>
        <v>0.975561696224919</v>
      </c>
      <c r="E717" s="37" t="n">
        <f aca="false">1+IF($G$9=$E$9,$F$9,IF(S717&lt;($F$9-$E$9)/($G$9-$E$9),$E$9+SQRT(S717*($G$9-$E$9)*($F$9-$E$9)),$G$9-SQRT((1-S717)*($G$9-$E$9)*($G$9-$F$9))))</f>
        <v>0.978856401163807</v>
      </c>
      <c r="F717" s="37" t="n">
        <f aca="false">1+IF($G$10=$E$10,$F$10,IF(T717&lt;($F$10-$E$10)/($G$10-$E$10),$E$10+SQRT(T717*($G$10-$E$10)*($F$10-$E$10)),$G$10-SQRT((1-T717)*($G$10-$E$10)*($G$10-$F$10))))</f>
        <v>1.12053617944404</v>
      </c>
      <c r="G717" s="38" t="n">
        <f aca="false">IF($G$11=$E$11,$F$11,IF(U717&lt;($F$11-$E$11)/($G$11-$E$11),$E$11+SQRT(U717*($G$11-$E$11)*($F$11-$E$11)),$G$11-SQRT((1-U717)*($G$11-$E$11)*($G$11-$F$11))))</f>
        <v>0.0975005282601277</v>
      </c>
      <c r="H717" s="39" t="n">
        <f aca="false">(('Business Case'!B11*$C717*'Business Case'!B12*$B717)-'Business Case'!B11*$C717*'Business Case'!B13*$D717-'Business Case'!B14*$E717)-MAX(0,(('Business Case'!B11*$C717*'Business Case'!B12*$B717)-'Business Case'!B11*$C717*'Business Case'!B13*$D717-'Business Case'!B14*$E717))*'Business Case'!$B$7-'Business Case'!$B$8*('Business Case'!B11*$C717*'Business Case'!B12*$B717)-'Business Case'!B15*$F717</f>
        <v>-2241072358.88807</v>
      </c>
      <c r="I717" s="39" t="n">
        <f aca="false">(('Business Case'!C11*$C717*'Business Case'!C12*$B717)-'Business Case'!C11*$C717*'Business Case'!C13*$D717-'Business Case'!C14*$E717)-MAX(0,(('Business Case'!C11*$C717*'Business Case'!C12*$B717)-'Business Case'!C11*$C717*'Business Case'!C13*$D717-'Business Case'!C14*$E717))*'Business Case'!$B$7-'Business Case'!$B$8*(('Business Case'!C11*$C717*'Business Case'!C12*$B717)-('Business Case'!B11*$C717*'Business Case'!B12*$B717))-'Business Case'!C15*$F717</f>
        <v>27829590.154197</v>
      </c>
      <c r="J717" s="39" t="n">
        <f aca="false">(('Business Case'!D11*$C717*'Business Case'!D12*$B717)-'Business Case'!D11*$C717*'Business Case'!D13*$D717-'Business Case'!D14*$E717)-MAX(0,(('Business Case'!D11*$C717*'Business Case'!D12*$B717)-'Business Case'!D11*$C717*'Business Case'!D13*$D717-'Business Case'!D14*$E717))*'Business Case'!$B$7-'Business Case'!$B$8*(('Business Case'!D11*$C717*'Business Case'!D12*$B717)-('Business Case'!C11*$C717*'Business Case'!C12*$B717))-'Business Case'!D15*$F717</f>
        <v>358738091.568448</v>
      </c>
      <c r="K717" s="39" t="n">
        <f aca="false">(('Business Case'!E11*$C717*'Business Case'!E12*$B717)-'Business Case'!E11*$C717*'Business Case'!E13*$D717-'Business Case'!E14*$E717)-MAX(0,(('Business Case'!E11*$C717*'Business Case'!E12*$B717)-'Business Case'!E11*$C717*'Business Case'!E13*$D717-'Business Case'!E14*$E717))*'Business Case'!$B$7-'Business Case'!$B$8*(('Business Case'!E11*$C717*'Business Case'!E12*$B717)-('Business Case'!D11*$C717*'Business Case'!D12*$B717))-'Business Case'!E15*$F717</f>
        <v>745673401.954902</v>
      </c>
      <c r="L717" s="39" t="n">
        <f aca="false">(('Business Case'!F11*$C717*'Business Case'!F12*$B717)-'Business Case'!F11*$C717*'Business Case'!F13*$D717-'Business Case'!F14*$E717)-MAX(0,(('Business Case'!F11*$C717*'Business Case'!F12*$B717)-'Business Case'!F11*$C717*'Business Case'!F13*$D717-'Business Case'!F14*$E717))*'Business Case'!$B$7-'Business Case'!$B$8*(('Business Case'!F11*$C717*'Business Case'!F12*$B717)-('Business Case'!E11*$C717*'Business Case'!E12*$B717))-'Business Case'!F15*$F717</f>
        <v>890530844.47309</v>
      </c>
      <c r="M717" s="39" t="n">
        <f aca="false">(('Business Case'!G11*$C717*'Business Case'!G12*$B717)-'Business Case'!G11*$C717*'Business Case'!G13*$D717-'Business Case'!G14*$E717)-MAX(0,(('Business Case'!G11*$C717*'Business Case'!G12*$B717)-'Business Case'!G11*$C717*'Business Case'!G13*$D717-'Business Case'!G14*$E717))*'Business Case'!$B$7-'Business Case'!$B$8*(('Business Case'!G11*$C717*'Business Case'!G12*$B717)-('Business Case'!F11*$C717*'Business Case'!F12*$B717))-'Business Case'!G15*$F717+'Business Case'!$B$8*('Business Case'!G11*$C717*'Business Case'!G12*$B717)</f>
        <v>1080581192.397</v>
      </c>
      <c r="N717" s="39" t="n">
        <f aca="false">IF(COUNT('Business Case'!B11:G11)=0,"",H717+NPV(G717,I717:M717))</f>
        <v>-61378083.5972538</v>
      </c>
      <c r="P717" s="40" t="n">
        <f aca="true">RAND()</f>
        <v>0.940819042940678</v>
      </c>
      <c r="Q717" s="40" t="n">
        <f aca="true">RAND()</f>
        <v>0.448698094926052</v>
      </c>
      <c r="R717" s="40" t="n">
        <f aca="true">RAND()</f>
        <v>0.100523125214623</v>
      </c>
      <c r="S717" s="40" t="n">
        <f aca="true">RAND()</f>
        <v>0.111025585083539</v>
      </c>
      <c r="T717" s="40" t="n">
        <f aca="true">RAND()</f>
        <v>0.873710024452995</v>
      </c>
      <c r="U717" s="40" t="n">
        <f aca="true">RAND()</f>
        <v>0.187526413936579</v>
      </c>
    </row>
    <row r="718" customFormat="false" ht="15" hidden="false" customHeight="false" outlineLevel="0" collapsed="false">
      <c r="A718" s="36" t="n">
        <v>638</v>
      </c>
      <c r="B718" s="37" t="n">
        <f aca="false">1+IF($G$6=$E$6,$F$6,IF(P718&lt;($F$6-$E$6)/($G$6-$E$6),$E$6+SQRT(P718*($G$6-$E$6)*($F$6-$E$6)),$G$6-SQRT((1-P718)*($G$6-$E$6)*($G$6-$F$6))))</f>
        <v>0.997234058619065</v>
      </c>
      <c r="C718" s="37" t="n">
        <f aca="false">1+IF($G$7=$E$7,$F$7,IF(Q718&lt;($F$7-$E$7)/($G$7-$E$7),$E$7+SQRT(Q718*($G$7-$E$7)*($F$7-$E$7)),$G$7-SQRT((1-Q718)*($G$7-$E$7)*($G$7-$F$7))))</f>
        <v>1.0144643613342</v>
      </c>
      <c r="D718" s="37" t="n">
        <f aca="false">1+IF($G$8=$E$8,$F$8,IF(R718&lt;($F$8-$E$8)/($G$8-$E$8),$E$8+SQRT(R718*($G$8-$E$8)*($F$8-$E$8)),$G$8-SQRT((1-R718)*($G$8-$E$8)*($G$8-$F$8))))</f>
        <v>0.993645644830631</v>
      </c>
      <c r="E718" s="37" t="n">
        <f aca="false">1+IF($G$9=$E$9,$F$9,IF(S718&lt;($F$9-$E$9)/($G$9-$E$9),$E$9+SQRT(S718*($G$9-$E$9)*($F$9-$E$9)),$G$9-SQRT((1-S718)*($G$9-$E$9)*($G$9-$F$9))))</f>
        <v>1.02112221745529</v>
      </c>
      <c r="F718" s="37" t="n">
        <f aca="false">1+IF($G$10=$E$10,$F$10,IF(T718&lt;($F$10-$E$10)/($G$10-$E$10),$E$10+SQRT(T718*($G$10-$E$10)*($F$10-$E$10)),$G$10-SQRT((1-T718)*($G$10-$E$10)*($G$10-$F$10))))</f>
        <v>1.10682400685892</v>
      </c>
      <c r="G718" s="38" t="n">
        <f aca="false">IF($G$11=$E$11,$F$11,IF(U718&lt;($F$11-$E$11)/($G$11-$E$11),$E$11+SQRT(U718*($G$11-$E$11)*($F$11-$E$11)),$G$11-SQRT((1-U718)*($G$11-$E$11)*($G$11-$F$11))))</f>
        <v>0.0962812134673751</v>
      </c>
      <c r="H718" s="39" t="n">
        <f aca="false">(('Business Case'!B11*$C718*'Business Case'!B12*$B718)-'Business Case'!B11*$C718*'Business Case'!B13*$D718-'Business Case'!B14*$E718)-MAX(0,(('Business Case'!B11*$C718*'Business Case'!B12*$B718)-'Business Case'!B11*$C718*'Business Case'!B13*$D718-'Business Case'!B14*$E718))*'Business Case'!$B$7-'Business Case'!$B$8*('Business Case'!B11*$C718*'Business Case'!B12*$B718)-'Business Case'!B15*$F718</f>
        <v>-2213648013.71784</v>
      </c>
      <c r="I718" s="39" t="n">
        <f aca="false">(('Business Case'!C11*$C718*'Business Case'!C12*$B718)-'Business Case'!C11*$C718*'Business Case'!C13*$D718-'Business Case'!C14*$E718)-MAX(0,(('Business Case'!C11*$C718*'Business Case'!C12*$B718)-'Business Case'!C11*$C718*'Business Case'!C13*$D718-'Business Case'!C14*$E718))*'Business Case'!$B$7-'Business Case'!$B$8*(('Business Case'!C11*$C718*'Business Case'!C12*$B718)-('Business Case'!B11*$C718*'Business Case'!B12*$B718))-'Business Case'!C15*$F718</f>
        <v>4266104.11337797</v>
      </c>
      <c r="J718" s="39" t="n">
        <f aca="false">(('Business Case'!D11*$C718*'Business Case'!D12*$B718)-'Business Case'!D11*$C718*'Business Case'!D13*$D718-'Business Case'!D14*$E718)-MAX(0,(('Business Case'!D11*$C718*'Business Case'!D12*$B718)-'Business Case'!D11*$C718*'Business Case'!D13*$D718-'Business Case'!D14*$E718))*'Business Case'!$B$7-'Business Case'!$B$8*(('Business Case'!D11*$C718*'Business Case'!D12*$B718)-('Business Case'!C11*$C718*'Business Case'!C12*$B718))-'Business Case'!D15*$F718</f>
        <v>316862560.332449</v>
      </c>
      <c r="K718" s="39" t="n">
        <f aca="false">(('Business Case'!E11*$C718*'Business Case'!E12*$B718)-'Business Case'!E11*$C718*'Business Case'!E13*$D718-'Business Case'!E14*$E718)-MAX(0,(('Business Case'!E11*$C718*'Business Case'!E12*$B718)-'Business Case'!E11*$C718*'Business Case'!E13*$D718-'Business Case'!E14*$E718))*'Business Case'!$B$7-'Business Case'!$B$8*(('Business Case'!E11*$C718*'Business Case'!E12*$B718)-('Business Case'!D11*$C718*'Business Case'!D12*$B718))-'Business Case'!E15*$F718</f>
        <v>684800216.894466</v>
      </c>
      <c r="L718" s="39" t="n">
        <f aca="false">(('Business Case'!F11*$C718*'Business Case'!F12*$B718)-'Business Case'!F11*$C718*'Business Case'!F13*$D718-'Business Case'!F14*$E718)-MAX(0,(('Business Case'!F11*$C718*'Business Case'!F12*$B718)-'Business Case'!F11*$C718*'Business Case'!F13*$D718-'Business Case'!F14*$E718))*'Business Case'!$B$7-'Business Case'!$B$8*(('Business Case'!F11*$C718*'Business Case'!F12*$B718)-('Business Case'!E11*$C718*'Business Case'!E12*$B718))-'Business Case'!F15*$F718</f>
        <v>823961950.36593</v>
      </c>
      <c r="M718" s="39" t="n">
        <f aca="false">(('Business Case'!G11*$C718*'Business Case'!G12*$B718)-'Business Case'!G11*$C718*'Business Case'!G13*$D718-'Business Case'!G14*$E718)-MAX(0,(('Business Case'!G11*$C718*'Business Case'!G12*$B718)-'Business Case'!G11*$C718*'Business Case'!G13*$D718-'Business Case'!G14*$E718))*'Business Case'!$B$7-'Business Case'!$B$8*(('Business Case'!G11*$C718*'Business Case'!G12*$B718)-('Business Case'!F11*$C718*'Business Case'!F12*$B718))-'Business Case'!G15*$F718+'Business Case'!$B$8*('Business Case'!G11*$C718*'Business Case'!G12*$B718)</f>
        <v>1016257981.39068</v>
      </c>
      <c r="N718" s="39" t="n">
        <f aca="false">IF(COUNT('Business Case'!B11:G11)=0,"",H718+NPV(G718,I718:M718))</f>
        <v>-214108968.732083</v>
      </c>
      <c r="P718" s="40" t="n">
        <f aca="true">RAND()</f>
        <v>0.621364563622202</v>
      </c>
      <c r="Q718" s="40" t="n">
        <f aca="true">RAND()</f>
        <v>0.650096964789578</v>
      </c>
      <c r="R718" s="40" t="n">
        <f aca="true">RAND()</f>
        <v>0.293068048104853</v>
      </c>
      <c r="S718" s="40" t="n">
        <f aca="true">RAND()</f>
        <v>0.58521969472191</v>
      </c>
      <c r="T718" s="40" t="n">
        <f aca="true">RAND()</f>
        <v>0.826364686043461</v>
      </c>
      <c r="U718" s="40" t="n">
        <f aca="true">RAND()</f>
        <v>0.13151214207578</v>
      </c>
    </row>
    <row r="719" customFormat="false" ht="15" hidden="false" customHeight="false" outlineLevel="0" collapsed="false">
      <c r="A719" s="36" t="n">
        <v>639</v>
      </c>
      <c r="B719" s="37" t="n">
        <f aca="false">1+IF($G$6=$E$6,$F$6,IF(P719&lt;($F$6-$E$6)/($G$6-$E$6),$E$6+SQRT(P719*($G$6-$E$6)*($F$6-$E$6)),$G$6-SQRT((1-P719)*($G$6-$E$6)*($G$6-$F$6))))</f>
        <v>0.983612199026118</v>
      </c>
      <c r="C719" s="37" t="n">
        <f aca="false">1+IF($G$7=$E$7,$F$7,IF(Q719&lt;($F$7-$E$7)/($G$7-$E$7),$E$7+SQRT(Q719*($G$7-$E$7)*($F$7-$E$7)),$G$7-SQRT((1-Q719)*($G$7-$E$7)*($G$7-$F$7))))</f>
        <v>1.10688568982591</v>
      </c>
      <c r="D719" s="37" t="n">
        <f aca="false">1+IF($G$8=$E$8,$F$8,IF(R719&lt;($F$8-$E$8)/($G$8-$E$8),$E$8+SQRT(R719*($G$8-$E$8)*($F$8-$E$8)),$G$8-SQRT((1-R719)*($G$8-$E$8)*($G$8-$F$8))))</f>
        <v>1.0154203260748</v>
      </c>
      <c r="E719" s="37" t="n">
        <f aca="false">1+IF($G$9=$E$9,$F$9,IF(S719&lt;($F$9-$E$9)/($G$9-$E$9),$E$9+SQRT(S719*($G$9-$E$9)*($F$9-$E$9)),$G$9-SQRT((1-S719)*($G$9-$E$9)*($G$9-$F$9))))</f>
        <v>1.02443414487444</v>
      </c>
      <c r="F719" s="37" t="n">
        <f aca="false">1+IF($G$10=$E$10,$F$10,IF(T719&lt;($F$10-$E$10)/($G$10-$E$10),$E$10+SQRT(T719*($G$10-$E$10)*($F$10-$E$10)),$G$10-SQRT((1-T719)*($G$10-$E$10)*($G$10-$F$10))))</f>
        <v>1.01529571440753</v>
      </c>
      <c r="G719" s="38" t="n">
        <f aca="false">IF($G$11=$E$11,$F$11,IF(U719&lt;($F$11-$E$11)/($G$11-$E$11),$E$11+SQRT(U719*($G$11-$E$11)*($F$11-$E$11)),$G$11-SQRT((1-U719)*($G$11-$E$11)*($G$11-$F$11))))</f>
        <v>0.100217193276769</v>
      </c>
      <c r="H719" s="39" t="n">
        <f aca="false">(('Business Case'!B11*$C719*'Business Case'!B12*$B719)-'Business Case'!B11*$C719*'Business Case'!B13*$D719-'Business Case'!B14*$E719)-MAX(0,(('Business Case'!B11*$C719*'Business Case'!B12*$B719)-'Business Case'!B11*$C719*'Business Case'!B13*$D719-'Business Case'!B14*$E719))*'Business Case'!$B$7-'Business Case'!$B$8*('Business Case'!B11*$C719*'Business Case'!B12*$B719)-'Business Case'!B15*$F719</f>
        <v>-2030591428.81506</v>
      </c>
      <c r="I719" s="39" t="n">
        <f aca="false">(('Business Case'!C11*$C719*'Business Case'!C12*$B719)-'Business Case'!C11*$C719*'Business Case'!C13*$D719-'Business Case'!C14*$E719)-MAX(0,(('Business Case'!C11*$C719*'Business Case'!C12*$B719)-'Business Case'!C11*$C719*'Business Case'!C13*$D719-'Business Case'!C14*$E719))*'Business Case'!$B$7-'Business Case'!$B$8*(('Business Case'!C11*$C719*'Business Case'!C12*$B719)-('Business Case'!B11*$C719*'Business Case'!B12*$B719))-'Business Case'!C15*$F719</f>
        <v>12742220.9746674</v>
      </c>
      <c r="J719" s="39" t="n">
        <f aca="false">(('Business Case'!D11*$C719*'Business Case'!D12*$B719)-'Business Case'!D11*$C719*'Business Case'!D13*$D719-'Business Case'!D14*$E719)-MAX(0,(('Business Case'!D11*$C719*'Business Case'!D12*$B719)-'Business Case'!D11*$C719*'Business Case'!D13*$D719-'Business Case'!D14*$E719))*'Business Case'!$B$7-'Business Case'!$B$8*(('Business Case'!D11*$C719*'Business Case'!D12*$B719)-('Business Case'!C11*$C719*'Business Case'!C12*$B719))-'Business Case'!D15*$F719</f>
        <v>329129155.295334</v>
      </c>
      <c r="K719" s="39" t="n">
        <f aca="false">(('Business Case'!E11*$C719*'Business Case'!E12*$B719)-'Business Case'!E11*$C719*'Business Case'!E13*$D719-'Business Case'!E14*$E719)-MAX(0,(('Business Case'!E11*$C719*'Business Case'!E12*$B719)-'Business Case'!E11*$C719*'Business Case'!E13*$D719-'Business Case'!E14*$E719))*'Business Case'!$B$7-'Business Case'!$B$8*(('Business Case'!E11*$C719*'Business Case'!E12*$B719)-('Business Case'!D11*$C719*'Business Case'!D12*$B719))-'Business Case'!E15*$F719</f>
        <v>696280875.336376</v>
      </c>
      <c r="L719" s="39" t="n">
        <f aca="false">(('Business Case'!F11*$C719*'Business Case'!F12*$B719)-'Business Case'!F11*$C719*'Business Case'!F13*$D719-'Business Case'!F14*$E719)-MAX(0,(('Business Case'!F11*$C719*'Business Case'!F12*$B719)-'Business Case'!F11*$C719*'Business Case'!F13*$D719-'Business Case'!F14*$E719))*'Business Case'!$B$7-'Business Case'!$B$8*(('Business Case'!F11*$C719*'Business Case'!F12*$B719)-('Business Case'!E11*$C719*'Business Case'!E12*$B719))-'Business Case'!F15*$F719</f>
        <v>839370257.779332</v>
      </c>
      <c r="M719" s="39" t="n">
        <f aca="false">(('Business Case'!G11*$C719*'Business Case'!G12*$B719)-'Business Case'!G11*$C719*'Business Case'!G13*$D719-'Business Case'!G14*$E719)-MAX(0,(('Business Case'!G11*$C719*'Business Case'!G12*$B719)-'Business Case'!G11*$C719*'Business Case'!G13*$D719-'Business Case'!G14*$E719))*'Business Case'!$B$7-'Business Case'!$B$8*(('Business Case'!G11*$C719*'Business Case'!G12*$B719)-('Business Case'!F11*$C719*'Business Case'!F12*$B719))-'Business Case'!G15*$F719+'Business Case'!$B$8*('Business Case'!G11*$C719*'Business Case'!G12*$B719)</f>
        <v>1046319148.29437</v>
      </c>
      <c r="N719" s="39" t="n">
        <f aca="false">IF(COUNT('Business Case'!B11:G11)=0,"",H719+NPV(G719,I719:M719))</f>
        <v>-2403846.69584012</v>
      </c>
      <c r="P719" s="40" t="n">
        <f aca="true">RAND()</f>
        <v>0.421511652597755</v>
      </c>
      <c r="Q719" s="40" t="n">
        <f aca="true">RAND()</f>
        <v>0.964593452537381</v>
      </c>
      <c r="R719" s="40" t="n">
        <f aca="true">RAND()</f>
        <v>0.598987088049518</v>
      </c>
      <c r="S719" s="40" t="n">
        <f aca="true">RAND()</f>
        <v>0.619320102609526</v>
      </c>
      <c r="T719" s="40" t="n">
        <f aca="true">RAND()</f>
        <v>0.317686537675515</v>
      </c>
      <c r="U719" s="40" t="n">
        <f aca="true">RAND()</f>
        <v>0.34773426358546</v>
      </c>
    </row>
    <row r="720" customFormat="false" ht="15" hidden="false" customHeight="false" outlineLevel="0" collapsed="false">
      <c r="A720" s="36" t="n">
        <v>640</v>
      </c>
      <c r="B720" s="37" t="n">
        <f aca="false">1+IF($G$6=$E$6,$F$6,IF(P720&lt;($F$6-$E$6)/($G$6-$E$6),$E$6+SQRT(P720*($G$6-$E$6)*($F$6-$E$6)),$G$6-SQRT((1-P720)*($G$6-$E$6)*($G$6-$F$6))))</f>
        <v>0.99538585400596</v>
      </c>
      <c r="C720" s="37" t="n">
        <f aca="false">1+IF($G$7=$E$7,$F$7,IF(Q720&lt;($F$7-$E$7)/($G$7-$E$7),$E$7+SQRT(Q720*($G$7-$E$7)*($F$7-$E$7)),$G$7-SQRT((1-Q720)*($G$7-$E$7)*($G$7-$F$7))))</f>
        <v>0.878618656343313</v>
      </c>
      <c r="D720" s="37" t="n">
        <f aca="false">1+IF($G$8=$E$8,$F$8,IF(R720&lt;($F$8-$E$8)/($G$8-$E$8),$E$8+SQRT(R720*($G$8-$E$8)*($F$8-$E$8)),$G$8-SQRT((1-R720)*($G$8-$E$8)*($G$8-$F$8))))</f>
        <v>1.040028750519</v>
      </c>
      <c r="E720" s="37" t="n">
        <f aca="false">1+IF($G$9=$E$9,$F$9,IF(S720&lt;($F$9-$E$9)/($G$9-$E$9),$E$9+SQRT(S720*($G$9-$E$9)*($F$9-$E$9)),$G$9-SQRT((1-S720)*($G$9-$E$9)*($G$9-$F$9))))</f>
        <v>1.01275740054907</v>
      </c>
      <c r="F720" s="37" t="n">
        <f aca="false">1+IF($G$10=$E$10,$F$10,IF(T720&lt;($F$10-$E$10)/($G$10-$E$10),$E$10+SQRT(T720*($G$10-$E$10)*($F$10-$E$10)),$G$10-SQRT((1-T720)*($G$10-$E$10)*($G$10-$F$10))))</f>
        <v>1.03454837891441</v>
      </c>
      <c r="G720" s="38" t="n">
        <f aca="false">IF($G$11=$E$11,$F$11,IF(U720&lt;($F$11-$E$11)/($G$11-$E$11),$E$11+SQRT(U720*($G$11-$E$11)*($F$11-$E$11)),$G$11-SQRT((1-U720)*($G$11-$E$11)*($G$11-$F$11))))</f>
        <v>0.0991386188715009</v>
      </c>
      <c r="H720" s="39" t="n">
        <f aca="false">(('Business Case'!B11*$C720*'Business Case'!B12*$B720)-'Business Case'!B11*$C720*'Business Case'!B13*$D720-'Business Case'!B14*$E720)-MAX(0,(('Business Case'!B11*$C720*'Business Case'!B12*$B720)-'Business Case'!B11*$C720*'Business Case'!B13*$D720-'Business Case'!B14*$E720))*'Business Case'!$B$7-'Business Case'!$B$8*('Business Case'!B11*$C720*'Business Case'!B12*$B720)-'Business Case'!B15*$F720</f>
        <v>-2069096757.82881</v>
      </c>
      <c r="I720" s="39" t="n">
        <f aca="false">(('Business Case'!C11*$C720*'Business Case'!C12*$B720)-'Business Case'!C11*$C720*'Business Case'!C13*$D720-'Business Case'!C14*$E720)-MAX(0,(('Business Case'!C11*$C720*'Business Case'!C12*$B720)-'Business Case'!C11*$C720*'Business Case'!C13*$D720-'Business Case'!C14*$E720))*'Business Case'!$B$7-'Business Case'!$B$8*(('Business Case'!C11*$C720*'Business Case'!C12*$B720)-('Business Case'!B11*$C720*'Business Case'!B12*$B720))-'Business Case'!C15*$F720</f>
        <v>-44261699.7238819</v>
      </c>
      <c r="J720" s="39" t="n">
        <f aca="false">(('Business Case'!D11*$C720*'Business Case'!D12*$B720)-'Business Case'!D11*$C720*'Business Case'!D13*$D720-'Business Case'!D14*$E720)-MAX(0,(('Business Case'!D11*$C720*'Business Case'!D12*$B720)-'Business Case'!D11*$C720*'Business Case'!D13*$D720-'Business Case'!D14*$E720))*'Business Case'!$B$7-'Business Case'!$B$8*(('Business Case'!D11*$C720*'Business Case'!D12*$B720)-('Business Case'!C11*$C720*'Business Case'!C12*$B720))-'Business Case'!D15*$F720</f>
        <v>204282968.711372</v>
      </c>
      <c r="K720" s="39" t="n">
        <f aca="false">(('Business Case'!E11*$C720*'Business Case'!E12*$B720)-'Business Case'!E11*$C720*'Business Case'!E13*$D720-'Business Case'!E14*$E720)-MAX(0,(('Business Case'!E11*$C720*'Business Case'!E12*$B720)-'Business Case'!E11*$C720*'Business Case'!E13*$D720-'Business Case'!E14*$E720))*'Business Case'!$B$7-'Business Case'!$B$8*(('Business Case'!E11*$C720*'Business Case'!E12*$B720)-('Business Case'!D11*$C720*'Business Case'!D12*$B720))-'Business Case'!E15*$F720</f>
        <v>504555056.092347</v>
      </c>
      <c r="L720" s="39" t="n">
        <f aca="false">(('Business Case'!F11*$C720*'Business Case'!F12*$B720)-'Business Case'!F11*$C720*'Business Case'!F13*$D720-'Business Case'!F14*$E720)-MAX(0,(('Business Case'!F11*$C720*'Business Case'!F12*$B720)-'Business Case'!F11*$C720*'Business Case'!F13*$D720-'Business Case'!F14*$E720))*'Business Case'!$B$7-'Business Case'!$B$8*(('Business Case'!F11*$C720*'Business Case'!F12*$B720)-('Business Case'!E11*$C720*'Business Case'!E12*$B720))-'Business Case'!F15*$F720</f>
        <v>617628230.843844</v>
      </c>
      <c r="M720" s="39" t="n">
        <f aca="false">(('Business Case'!G11*$C720*'Business Case'!G12*$B720)-'Business Case'!G11*$C720*'Business Case'!G13*$D720-'Business Case'!G14*$E720)-MAX(0,(('Business Case'!G11*$C720*'Business Case'!G12*$B720)-'Business Case'!G11*$C720*'Business Case'!G13*$D720-'Business Case'!G14*$E720))*'Business Case'!$B$7-'Business Case'!$B$8*(('Business Case'!G11*$C720*'Business Case'!G12*$B720)-('Business Case'!F11*$C720*'Business Case'!F12*$B720))-'Business Case'!G15*$F720+'Business Case'!$B$8*('Business Case'!G11*$C720*'Business Case'!G12*$B720)</f>
        <v>783865466.512444</v>
      </c>
      <c r="N720" s="39" t="n">
        <f aca="false">IF(COUNT('Business Case'!B11:G11)=0,"",H720+NPV(G720,I720:M720))</f>
        <v>-648499671.188741</v>
      </c>
      <c r="P720" s="40" t="n">
        <f aca="true">RAND()</f>
        <v>0.591981977521655</v>
      </c>
      <c r="Q720" s="40" t="n">
        <f aca="true">RAND()</f>
        <v>0.0882984732175431</v>
      </c>
      <c r="R720" s="40" t="n">
        <f aca="true">RAND()</f>
        <v>0.846374924512249</v>
      </c>
      <c r="S720" s="40" t="n">
        <f aca="true">RAND()</f>
        <v>0.492581922736271</v>
      </c>
      <c r="T720" s="40" t="n">
        <f aca="true">RAND()</f>
        <v>0.452515221602984</v>
      </c>
      <c r="U720" s="40" t="n">
        <f aca="true">RAND()</f>
        <v>0.278381182928508</v>
      </c>
    </row>
    <row r="721" customFormat="false" ht="15" hidden="false" customHeight="false" outlineLevel="0" collapsed="false">
      <c r="A721" s="36" t="n">
        <v>641</v>
      </c>
      <c r="B721" s="37" t="n">
        <f aca="false">1+IF($G$6=$E$6,$F$6,IF(P721&lt;($F$6-$E$6)/($G$6-$E$6),$E$6+SQRT(P721*($G$6-$E$6)*($F$6-$E$6)),$G$6-SQRT((1-P721)*($G$6-$E$6)*($G$6-$F$6))))</f>
        <v>0.996033422893013</v>
      </c>
      <c r="C721" s="37" t="n">
        <f aca="false">1+IF($G$7=$E$7,$F$7,IF(Q721&lt;($F$7-$E$7)/($G$7-$E$7),$E$7+SQRT(Q721*($G$7-$E$7)*($F$7-$E$7)),$G$7-SQRT((1-Q721)*($G$7-$E$7)*($G$7-$F$7))))</f>
        <v>0.913633767347872</v>
      </c>
      <c r="D721" s="37" t="n">
        <f aca="false">1+IF($G$8=$E$8,$F$8,IF(R721&lt;($F$8-$E$8)/($G$8-$E$8),$E$8+SQRT(R721*($G$8-$E$8)*($F$8-$E$8)),$G$8-SQRT((1-R721)*($G$8-$E$8)*($G$8-$F$8))))</f>
        <v>1.04856187198168</v>
      </c>
      <c r="E721" s="37" t="n">
        <f aca="false">1+IF($G$9=$E$9,$F$9,IF(S721&lt;($F$9-$E$9)/($G$9-$E$9),$E$9+SQRT(S721*($G$9-$E$9)*($F$9-$E$9)),$G$9-SQRT((1-S721)*($G$9-$E$9)*($G$9-$F$9))))</f>
        <v>0.980714526403408</v>
      </c>
      <c r="F721" s="37" t="n">
        <f aca="false">1+IF($G$10=$E$10,$F$10,IF(T721&lt;($F$10-$E$10)/($G$10-$E$10),$E$10+SQRT(T721*($G$10-$E$10)*($F$10-$E$10)),$G$10-SQRT((1-T721)*($G$10-$E$10)*($G$10-$F$10))))</f>
        <v>1.03317359236633</v>
      </c>
      <c r="G721" s="38" t="n">
        <f aca="false">IF($G$11=$E$11,$F$11,IF(U721&lt;($F$11-$E$11)/($G$11-$E$11),$E$11+SQRT(U721*($G$11-$E$11)*($F$11-$E$11)),$G$11-SQRT((1-U721)*($G$11-$E$11)*($G$11-$F$11))))</f>
        <v>0.101717622612244</v>
      </c>
      <c r="H721" s="39" t="n">
        <f aca="false">(('Business Case'!B11*$C721*'Business Case'!B12*$B721)-'Business Case'!B11*$C721*'Business Case'!B13*$D721-'Business Case'!B14*$E721)-MAX(0,(('Business Case'!B11*$C721*'Business Case'!B12*$B721)-'Business Case'!B11*$C721*'Business Case'!B13*$D721-'Business Case'!B14*$E721))*'Business Case'!$B$7-'Business Case'!$B$8*('Business Case'!B11*$C721*'Business Case'!B12*$B721)-'Business Case'!B15*$F721</f>
        <v>-2066347184.73266</v>
      </c>
      <c r="I721" s="39" t="n">
        <f aca="false">(('Business Case'!C11*$C721*'Business Case'!C12*$B721)-'Business Case'!C11*$C721*'Business Case'!C13*$D721-'Business Case'!C14*$E721)-MAX(0,(('Business Case'!C11*$C721*'Business Case'!C12*$B721)-'Business Case'!C11*$C721*'Business Case'!C13*$D721-'Business Case'!C14*$E721))*'Business Case'!$B$7-'Business Case'!$B$8*(('Business Case'!C11*$C721*'Business Case'!C12*$B721)-('Business Case'!B11*$C721*'Business Case'!B12*$B721))-'Business Case'!C15*$F721</f>
        <v>-35006495.1137907</v>
      </c>
      <c r="J721" s="39" t="n">
        <f aca="false">(('Business Case'!D11*$C721*'Business Case'!D12*$B721)-'Business Case'!D11*$C721*'Business Case'!D13*$D721-'Business Case'!D14*$E721)-MAX(0,(('Business Case'!D11*$C721*'Business Case'!D12*$B721)-'Business Case'!D11*$C721*'Business Case'!D13*$D721-'Business Case'!D14*$E721))*'Business Case'!$B$7-'Business Case'!$B$8*(('Business Case'!D11*$C721*'Business Case'!D12*$B721)-('Business Case'!C11*$C721*'Business Case'!C12*$B721))-'Business Case'!D15*$F721</f>
        <v>219936881.065878</v>
      </c>
      <c r="K721" s="39" t="n">
        <f aca="false">(('Business Case'!E11*$C721*'Business Case'!E12*$B721)-'Business Case'!E11*$C721*'Business Case'!E13*$D721-'Business Case'!E14*$E721)-MAX(0,(('Business Case'!E11*$C721*'Business Case'!E12*$B721)-'Business Case'!E11*$C721*'Business Case'!E13*$D721-'Business Case'!E14*$E721))*'Business Case'!$B$7-'Business Case'!$B$8*(('Business Case'!E11*$C721*'Business Case'!E12*$B721)-('Business Case'!D11*$C721*'Business Case'!D12*$B721))-'Business Case'!E15*$F721</f>
        <v>526538936.863862</v>
      </c>
      <c r="L721" s="39" t="n">
        <f aca="false">(('Business Case'!F11*$C721*'Business Case'!F12*$B721)-'Business Case'!F11*$C721*'Business Case'!F13*$D721-'Business Case'!F14*$E721)-MAX(0,(('Business Case'!F11*$C721*'Business Case'!F12*$B721)-'Business Case'!F11*$C721*'Business Case'!F13*$D721-'Business Case'!F14*$E721))*'Business Case'!$B$7-'Business Case'!$B$8*(('Business Case'!F11*$C721*'Business Case'!F12*$B721)-('Business Case'!E11*$C721*'Business Case'!E12*$B721))-'Business Case'!F15*$F721</f>
        <v>642969999.858593</v>
      </c>
      <c r="M721" s="39" t="n">
        <f aca="false">(('Business Case'!G11*$C721*'Business Case'!G12*$B721)-'Business Case'!G11*$C721*'Business Case'!G13*$D721-'Business Case'!G14*$E721)-MAX(0,(('Business Case'!G11*$C721*'Business Case'!G12*$B721)-'Business Case'!G11*$C721*'Business Case'!G13*$D721-'Business Case'!G14*$E721))*'Business Case'!$B$7-'Business Case'!$B$8*(('Business Case'!G11*$C721*'Business Case'!G12*$B721)-('Business Case'!F11*$C721*'Business Case'!F12*$B721))-'Business Case'!G15*$F721+'Business Case'!$B$8*('Business Case'!G11*$C721*'Business Case'!G12*$B721)</f>
        <v>815944656.666884</v>
      </c>
      <c r="N721" s="39" t="n">
        <f aca="false">IF(COUNT('Business Case'!B11:G11)=0,"",H721+NPV(G721,I721:M721))</f>
        <v>-584047539.011866</v>
      </c>
      <c r="P721" s="40" t="n">
        <f aca="true">RAND()</f>
        <v>0.602195978836222</v>
      </c>
      <c r="Q721" s="40" t="n">
        <f aca="true">RAND()</f>
        <v>0.184466186881004</v>
      </c>
      <c r="R721" s="40" t="n">
        <f aca="true">RAND()</f>
        <v>0.904965779490755</v>
      </c>
      <c r="S721" s="40" t="n">
        <f aca="true">RAND()</f>
        <v>0.125784284291419</v>
      </c>
      <c r="T721" s="40" t="n">
        <f aca="true">RAND()</f>
        <v>0.443378994320891</v>
      </c>
      <c r="U721" s="40" t="n">
        <f aca="true">RAND()</f>
        <v>0.442924461752804</v>
      </c>
    </row>
    <row r="722" customFormat="false" ht="15" hidden="false" customHeight="false" outlineLevel="0" collapsed="false">
      <c r="A722" s="36" t="n">
        <v>642</v>
      </c>
      <c r="B722" s="37" t="n">
        <f aca="false">1+IF($G$6=$E$6,$F$6,IF(P722&lt;($F$6-$E$6)/($G$6-$E$6),$E$6+SQRT(P722*($G$6-$E$6)*($F$6-$E$6)),$G$6-SQRT((1-P722)*($G$6-$E$6)*($G$6-$F$6))))</f>
        <v>0.956027786173694</v>
      </c>
      <c r="C722" s="37" t="n">
        <f aca="false">1+IF($G$7=$E$7,$F$7,IF(Q722&lt;($F$7-$E$7)/($G$7-$E$7),$E$7+SQRT(Q722*($G$7-$E$7)*($F$7-$E$7)),$G$7-SQRT((1-Q722)*($G$7-$E$7)*($G$7-$F$7))))</f>
        <v>1.02440319422819</v>
      </c>
      <c r="D722" s="37" t="n">
        <f aca="false">1+IF($G$8=$E$8,$F$8,IF(R722&lt;($F$8-$E$8)/($G$8-$E$8),$E$8+SQRT(R722*($G$8-$E$8)*($F$8-$E$8)),$G$8-SQRT((1-R722)*($G$8-$E$8)*($G$8-$F$8))))</f>
        <v>0.955865503540054</v>
      </c>
      <c r="E722" s="37" t="n">
        <f aca="false">1+IF($G$9=$E$9,$F$9,IF(S722&lt;($F$9-$E$9)/($G$9-$E$9),$E$9+SQRT(S722*($G$9-$E$9)*($F$9-$E$9)),$G$9-SQRT((1-S722)*($G$9-$E$9)*($G$9-$F$9))))</f>
        <v>1.03926848060268</v>
      </c>
      <c r="F722" s="37" t="n">
        <f aca="false">1+IF($G$10=$E$10,$F$10,IF(T722&lt;($F$10-$E$10)/($G$10-$E$10),$E$10+SQRT(T722*($G$10-$E$10)*($F$10-$E$10)),$G$10-SQRT((1-T722)*($G$10-$E$10)*($G$10-$F$10))))</f>
        <v>0.982331215280997</v>
      </c>
      <c r="G722" s="38" t="n">
        <f aca="false">IF($G$11=$E$11,$F$11,IF(U722&lt;($F$11-$E$11)/($G$11-$E$11),$E$11+SQRT(U722*($G$11-$E$11)*($F$11-$E$11)),$G$11-SQRT((1-U722)*($G$11-$E$11)*($G$11-$F$11))))</f>
        <v>0.0982094888911837</v>
      </c>
      <c r="H722" s="39" t="n">
        <f aca="false">(('Business Case'!B11*$C722*'Business Case'!B12*$B722)-'Business Case'!B11*$C722*'Business Case'!B13*$D722-'Business Case'!B14*$E722)-MAX(0,(('Business Case'!B11*$C722*'Business Case'!B12*$B722)-'Business Case'!B11*$C722*'Business Case'!B13*$D722-'Business Case'!B14*$E722))*'Business Case'!$B$7-'Business Case'!$B$8*('Business Case'!B11*$C722*'Business Case'!B12*$B722)-'Business Case'!B15*$F722</f>
        <v>-1964662430.56199</v>
      </c>
      <c r="I722" s="39" t="n">
        <f aca="false">(('Business Case'!C11*$C722*'Business Case'!C12*$B722)-'Business Case'!C11*$C722*'Business Case'!C13*$D722-'Business Case'!C14*$E722)-MAX(0,(('Business Case'!C11*$C722*'Business Case'!C12*$B722)-'Business Case'!C11*$C722*'Business Case'!C13*$D722-'Business Case'!C14*$E722))*'Business Case'!$B$7-'Business Case'!$B$8*(('Business Case'!C11*$C722*'Business Case'!C12*$B722)-('Business Case'!B11*$C722*'Business Case'!B12*$B722))-'Business Case'!C15*$F722</f>
        <v>4109832.3109231</v>
      </c>
      <c r="J722" s="39" t="n">
        <f aca="false">(('Business Case'!D11*$C722*'Business Case'!D12*$B722)-'Business Case'!D11*$C722*'Business Case'!D13*$D722-'Business Case'!D14*$E722)-MAX(0,(('Business Case'!D11*$C722*'Business Case'!D12*$B722)-'Business Case'!D11*$C722*'Business Case'!D13*$D722-'Business Case'!D14*$E722))*'Business Case'!$B$7-'Business Case'!$B$8*(('Business Case'!D11*$C722*'Business Case'!D12*$B722)-('Business Case'!C11*$C722*'Business Case'!C12*$B722))-'Business Case'!D15*$F722</f>
        <v>305006678.556995</v>
      </c>
      <c r="K722" s="39" t="n">
        <f aca="false">(('Business Case'!E11*$C722*'Business Case'!E12*$B722)-'Business Case'!E11*$C722*'Business Case'!E13*$D722-'Business Case'!E14*$E722)-MAX(0,(('Business Case'!E11*$C722*'Business Case'!E12*$B722)-'Business Case'!E11*$C722*'Business Case'!E13*$D722-'Business Case'!E14*$E722))*'Business Case'!$B$7-'Business Case'!$B$8*(('Business Case'!E11*$C722*'Business Case'!E12*$B722)-('Business Case'!D11*$C722*'Business Case'!D12*$B722))-'Business Case'!E15*$F722</f>
        <v>655020085.567117</v>
      </c>
      <c r="L722" s="39" t="n">
        <f aca="false">(('Business Case'!F11*$C722*'Business Case'!F12*$B722)-'Business Case'!F11*$C722*'Business Case'!F13*$D722-'Business Case'!F14*$E722)-MAX(0,(('Business Case'!F11*$C722*'Business Case'!F12*$B722)-'Business Case'!F11*$C722*'Business Case'!F13*$D722-'Business Case'!F14*$E722))*'Business Case'!$B$7-'Business Case'!$B$8*(('Business Case'!F11*$C722*'Business Case'!F12*$B722)-('Business Case'!E11*$C722*'Business Case'!E12*$B722))-'Business Case'!F15*$F722</f>
        <v>789165643.959373</v>
      </c>
      <c r="M722" s="39" t="n">
        <f aca="false">(('Business Case'!G11*$C722*'Business Case'!G12*$B722)-'Business Case'!G11*$C722*'Business Case'!G13*$D722-'Business Case'!G14*$E722)-MAX(0,(('Business Case'!G11*$C722*'Business Case'!G12*$B722)-'Business Case'!G11*$C722*'Business Case'!G13*$D722-'Business Case'!G14*$E722))*'Business Case'!$B$7-'Business Case'!$B$8*(('Business Case'!G11*$C722*'Business Case'!G12*$B722)-('Business Case'!F11*$C722*'Business Case'!F12*$B722))-'Business Case'!G15*$F722+'Business Case'!$B$8*('Business Case'!G11*$C722*'Business Case'!G12*$B722)</f>
        <v>975321996.998982</v>
      </c>
      <c r="N722" s="39" t="n">
        <f aca="false">IF(COUNT('Business Case'!B11:G11)=0,"",H722+NPV(G722,I722:M722))</f>
        <v>-60402872.9405463</v>
      </c>
      <c r="P722" s="40" t="n">
        <f aca="true">RAND()</f>
        <v>0.135208476726812</v>
      </c>
      <c r="Q722" s="40" t="n">
        <f aca="true">RAND()</f>
        <v>0.699532235807959</v>
      </c>
      <c r="R722" s="40" t="n">
        <f aca="true">RAND()</f>
        <v>0.00529294335052044</v>
      </c>
      <c r="S722" s="40" t="n">
        <f aca="true">RAND()</f>
        <v>0.754112170112866</v>
      </c>
      <c r="T722" s="40" t="n">
        <f aca="true">RAND()</f>
        <v>0.0836245985236945</v>
      </c>
      <c r="U722" s="40" t="n">
        <f aca="true">RAND()</f>
        <v>0.224652359514896</v>
      </c>
    </row>
    <row r="723" customFormat="false" ht="15" hidden="false" customHeight="false" outlineLevel="0" collapsed="false">
      <c r="A723" s="36" t="n">
        <v>643</v>
      </c>
      <c r="B723" s="37" t="n">
        <f aca="false">1+IF($G$6=$E$6,$F$6,IF(P723&lt;($F$6-$E$6)/($G$6-$E$6),$E$6+SQRT(P723*($G$6-$E$6)*($F$6-$E$6)),$G$6-SQRT((1-P723)*($G$6-$E$6)*($G$6-$F$6))))</f>
        <v>1.03236476382422</v>
      </c>
      <c r="C723" s="37" t="n">
        <f aca="false">1+IF($G$7=$E$7,$F$7,IF(Q723&lt;($F$7-$E$7)/($G$7-$E$7),$E$7+SQRT(Q723*($G$7-$E$7)*($F$7-$E$7)),$G$7-SQRT((1-Q723)*($G$7-$E$7)*($G$7-$F$7))))</f>
        <v>1.13553736460728</v>
      </c>
      <c r="D723" s="37" t="n">
        <f aca="false">1+IF($G$8=$E$8,$F$8,IF(R723&lt;($F$8-$E$8)/($G$8-$E$8),$E$8+SQRT(R723*($G$8-$E$8)*($F$8-$E$8)),$G$8-SQRT((1-R723)*($G$8-$E$8)*($G$8-$F$8))))</f>
        <v>1.02348231864934</v>
      </c>
      <c r="E723" s="37" t="n">
        <f aca="false">1+IF($G$9=$E$9,$F$9,IF(S723&lt;($F$9-$E$9)/($G$9-$E$9),$E$9+SQRT(S723*($G$9-$E$9)*($F$9-$E$9)),$G$9-SQRT((1-S723)*($G$9-$E$9)*($G$9-$F$9))))</f>
        <v>0.993665301299013</v>
      </c>
      <c r="F723" s="37" t="n">
        <f aca="false">1+IF($G$10=$E$10,$F$10,IF(T723&lt;($F$10-$E$10)/($G$10-$E$10),$E$10+SQRT(T723*($G$10-$E$10)*($F$10-$E$10)),$G$10-SQRT((1-T723)*($G$10-$E$10)*($G$10-$F$10))))</f>
        <v>1.01841055198183</v>
      </c>
      <c r="G723" s="38" t="n">
        <f aca="false">IF($G$11=$E$11,$F$11,IF(U723&lt;($F$11-$E$11)/($G$11-$E$11),$E$11+SQRT(U723*($G$11-$E$11)*($F$11-$E$11)),$G$11-SQRT((1-U723)*($G$11-$E$11)*($G$11-$F$11))))</f>
        <v>0.0974828859395409</v>
      </c>
      <c r="H723" s="39" t="n">
        <f aca="false">(('Business Case'!B11*$C723*'Business Case'!B12*$B723)-'Business Case'!B11*$C723*'Business Case'!B13*$D723-'Business Case'!B14*$E723)-MAX(0,(('Business Case'!B11*$C723*'Business Case'!B12*$B723)-'Business Case'!B11*$C723*'Business Case'!B13*$D723-'Business Case'!B14*$E723))*'Business Case'!$B$7-'Business Case'!$B$8*('Business Case'!B11*$C723*'Business Case'!B12*$B723)-'Business Case'!B15*$F723</f>
        <v>-2036821103.96366</v>
      </c>
      <c r="I723" s="39" t="n">
        <f aca="false">(('Business Case'!C11*$C723*'Business Case'!C12*$B723)-'Business Case'!C11*$C723*'Business Case'!C13*$D723-'Business Case'!C14*$E723)-MAX(0,(('Business Case'!C11*$C723*'Business Case'!C12*$B723)-'Business Case'!C11*$C723*'Business Case'!C13*$D723-'Business Case'!C14*$E723))*'Business Case'!$B$7-'Business Case'!$B$8*(('Business Case'!C11*$C723*'Business Case'!C12*$B723)-('Business Case'!B11*$C723*'Business Case'!B12*$B723))-'Business Case'!C15*$F723</f>
        <v>61322531.1392718</v>
      </c>
      <c r="J723" s="39" t="n">
        <f aca="false">(('Business Case'!D11*$C723*'Business Case'!D12*$B723)-'Business Case'!D11*$C723*'Business Case'!D13*$D723-'Business Case'!D14*$E723)-MAX(0,(('Business Case'!D11*$C723*'Business Case'!D12*$B723)-'Business Case'!D11*$C723*'Business Case'!D13*$D723-'Business Case'!D14*$E723))*'Business Case'!$B$7-'Business Case'!$B$8*(('Business Case'!D11*$C723*'Business Case'!D12*$B723)-('Business Case'!C11*$C723*'Business Case'!C12*$B723))-'Business Case'!D15*$F723</f>
        <v>426556772.807101</v>
      </c>
      <c r="K723" s="39" t="n">
        <f aca="false">(('Business Case'!E11*$C723*'Business Case'!E12*$B723)-'Business Case'!E11*$C723*'Business Case'!E13*$D723-'Business Case'!E14*$E723)-MAX(0,(('Business Case'!E11*$C723*'Business Case'!E12*$B723)-'Business Case'!E11*$C723*'Business Case'!E13*$D723-'Business Case'!E14*$E723))*'Business Case'!$B$7-'Business Case'!$B$8*(('Business Case'!E11*$C723*'Business Case'!E12*$B723)-('Business Case'!D11*$C723*'Business Case'!D12*$B723))-'Business Case'!E15*$F723</f>
        <v>842711542.074023</v>
      </c>
      <c r="L723" s="39" t="n">
        <f aca="false">(('Business Case'!F11*$C723*'Business Case'!F12*$B723)-'Business Case'!F11*$C723*'Business Case'!F13*$D723-'Business Case'!F14*$E723)-MAX(0,(('Business Case'!F11*$C723*'Business Case'!F12*$B723)-'Business Case'!F11*$C723*'Business Case'!F13*$D723-'Business Case'!F14*$E723))*'Business Case'!$B$7-'Business Case'!$B$8*(('Business Case'!F11*$C723*'Business Case'!F12*$B723)-('Business Case'!E11*$C723*'Business Case'!E12*$B723))-'Business Case'!F15*$F723</f>
        <v>1004970588.95374</v>
      </c>
      <c r="M723" s="39" t="n">
        <f aca="false">(('Business Case'!G11*$C723*'Business Case'!G12*$B723)-'Business Case'!G11*$C723*'Business Case'!G13*$D723-'Business Case'!G14*$E723)-MAX(0,(('Business Case'!G11*$C723*'Business Case'!G12*$B723)-'Business Case'!G11*$C723*'Business Case'!G13*$D723-'Business Case'!G14*$E723))*'Business Case'!$B$7-'Business Case'!$B$8*(('Business Case'!G11*$C723*'Business Case'!G12*$B723)-('Business Case'!F11*$C723*'Business Case'!F12*$B723))-'Business Case'!G15*$F723+'Business Case'!$B$8*('Business Case'!G11*$C723*'Business Case'!G12*$B723)</f>
        <v>1227799237.0678</v>
      </c>
      <c r="N723" s="39" t="n">
        <f aca="false">IF(COUNT('Business Case'!B11:G11)=0,"",H723+NPV(G723,I723:M723))</f>
        <v>474584560.919841</v>
      </c>
      <c r="P723" s="40" t="n">
        <f aca="true">RAND()</f>
        <v>0.987854826779171</v>
      </c>
      <c r="Q723" s="40" t="n">
        <f aca="true">RAND()</f>
        <v>0.996015850999949</v>
      </c>
      <c r="R723" s="40" t="n">
        <f aca="true">RAND()</f>
        <v>0.692860739879391</v>
      </c>
      <c r="S723" s="40" t="n">
        <f aca="true">RAND()</f>
        <v>0.254221138337811</v>
      </c>
      <c r="T723" s="40" t="n">
        <f aca="true">RAND()</f>
        <v>0.340505447369132</v>
      </c>
      <c r="U723" s="40" t="n">
        <f aca="true">RAND()</f>
        <v>0.186645273280596</v>
      </c>
    </row>
    <row r="724" customFormat="false" ht="15" hidden="false" customHeight="false" outlineLevel="0" collapsed="false">
      <c r="A724" s="36" t="n">
        <v>644</v>
      </c>
      <c r="B724" s="37" t="n">
        <f aca="false">1+IF($G$6=$E$6,$F$6,IF(P724&lt;($F$6-$E$6)/($G$6-$E$6),$E$6+SQRT(P724*($G$6-$E$6)*($F$6-$E$6)),$G$6-SQRT((1-P724)*($G$6-$E$6)*($G$6-$F$6))))</f>
        <v>0.992156793572449</v>
      </c>
      <c r="C724" s="37" t="n">
        <f aca="false">1+IF($G$7=$E$7,$F$7,IF(Q724&lt;($F$7-$E$7)/($G$7-$E$7),$E$7+SQRT(Q724*($G$7-$E$7)*($F$7-$E$7)),$G$7-SQRT((1-Q724)*($G$7-$E$7)*($G$7-$F$7))))</f>
        <v>0.982570598919483</v>
      </c>
      <c r="D724" s="37" t="n">
        <f aca="false">1+IF($G$8=$E$8,$F$8,IF(R724&lt;($F$8-$E$8)/($G$8-$E$8),$E$8+SQRT(R724*($G$8-$E$8)*($F$8-$E$8)),$G$8-SQRT((1-R724)*($G$8-$E$8)*($G$8-$F$8))))</f>
        <v>0.968886639672645</v>
      </c>
      <c r="E724" s="37" t="n">
        <f aca="false">1+IF($G$9=$E$9,$F$9,IF(S724&lt;($F$9-$E$9)/($G$9-$E$9),$E$9+SQRT(S724*($G$9-$E$9)*($F$9-$E$9)),$G$9-SQRT((1-S724)*($G$9-$E$9)*($G$9-$F$9))))</f>
        <v>0.997273782780236</v>
      </c>
      <c r="F724" s="37" t="n">
        <f aca="false">1+IF($G$10=$E$10,$F$10,IF(T724&lt;($F$10-$E$10)/($G$10-$E$10),$E$10+SQRT(T724*($G$10-$E$10)*($F$10-$E$10)),$G$10-SQRT((1-T724)*($G$10-$E$10)*($G$10-$F$10))))</f>
        <v>1.02052776806518</v>
      </c>
      <c r="G724" s="38" t="n">
        <f aca="false">IF($G$11=$E$11,$F$11,IF(U724&lt;($F$11-$E$11)/($G$11-$E$11),$E$11+SQRT(U724*($G$11-$E$11)*($F$11-$E$11)),$G$11-SQRT((1-U724)*($G$11-$E$11)*($G$11-$F$11))))</f>
        <v>0.113072038912571</v>
      </c>
      <c r="H724" s="39" t="n">
        <f aca="false">(('Business Case'!B11*$C724*'Business Case'!B12*$B724)-'Business Case'!B11*$C724*'Business Case'!B13*$D724-'Business Case'!B14*$E724)-MAX(0,(('Business Case'!B11*$C724*'Business Case'!B12*$B724)-'Business Case'!B11*$C724*'Business Case'!B13*$D724-'Business Case'!B14*$E724))*'Business Case'!$B$7-'Business Case'!$B$8*('Business Case'!B11*$C724*'Business Case'!B12*$B724)-'Business Case'!B15*$F724</f>
        <v>-2041055536.13037</v>
      </c>
      <c r="I724" s="39" t="n">
        <f aca="false">(('Business Case'!C11*$C724*'Business Case'!C12*$B724)-'Business Case'!C11*$C724*'Business Case'!C13*$D724-'Business Case'!C14*$E724)-MAX(0,(('Business Case'!C11*$C724*'Business Case'!C12*$B724)-'Business Case'!C11*$C724*'Business Case'!C13*$D724-'Business Case'!C14*$E724))*'Business Case'!$B$7-'Business Case'!$B$8*(('Business Case'!C11*$C724*'Business Case'!C12*$B724)-('Business Case'!B11*$C724*'Business Case'!B12*$B724))-'Business Case'!C15*$F724</f>
        <v>16734223.2650435</v>
      </c>
      <c r="J724" s="39" t="n">
        <f aca="false">(('Business Case'!D11*$C724*'Business Case'!D12*$B724)-'Business Case'!D11*$C724*'Business Case'!D13*$D724-'Business Case'!D14*$E724)-MAX(0,(('Business Case'!D11*$C724*'Business Case'!D12*$B724)-'Business Case'!D11*$C724*'Business Case'!D13*$D724-'Business Case'!D14*$E724))*'Business Case'!$B$7-'Business Case'!$B$8*(('Business Case'!D11*$C724*'Business Case'!D12*$B724)-('Business Case'!C11*$C724*'Business Case'!C12*$B724))-'Business Case'!D15*$F724</f>
        <v>327870509.926664</v>
      </c>
      <c r="K724" s="39" t="n">
        <f aca="false">(('Business Case'!E11*$C724*'Business Case'!E12*$B724)-'Business Case'!E11*$C724*'Business Case'!E13*$D724-'Business Case'!E14*$E724)-MAX(0,(('Business Case'!E11*$C724*'Business Case'!E12*$B724)-'Business Case'!E11*$C724*'Business Case'!E13*$D724-'Business Case'!E14*$E724))*'Business Case'!$B$7-'Business Case'!$B$8*(('Business Case'!E11*$C724*'Business Case'!E12*$B724)-('Business Case'!D11*$C724*'Business Case'!D12*$B724))-'Business Case'!E15*$F724</f>
        <v>690033184.991545</v>
      </c>
      <c r="L724" s="39" t="n">
        <f aca="false">(('Business Case'!F11*$C724*'Business Case'!F12*$B724)-'Business Case'!F11*$C724*'Business Case'!F13*$D724-'Business Case'!F14*$E724)-MAX(0,(('Business Case'!F11*$C724*'Business Case'!F12*$B724)-'Business Case'!F11*$C724*'Business Case'!F13*$D724-'Business Case'!F14*$E724))*'Business Case'!$B$7-'Business Case'!$B$8*(('Business Case'!F11*$C724*'Business Case'!F12*$B724)-('Business Case'!E11*$C724*'Business Case'!E12*$B724))-'Business Case'!F15*$F724</f>
        <v>827436583.664558</v>
      </c>
      <c r="M724" s="39" t="n">
        <f aca="false">(('Business Case'!G11*$C724*'Business Case'!G12*$B724)-'Business Case'!G11*$C724*'Business Case'!G13*$D724-'Business Case'!G14*$E724)-MAX(0,(('Business Case'!G11*$C724*'Business Case'!G12*$B724)-'Business Case'!G11*$C724*'Business Case'!G13*$D724-'Business Case'!G14*$E724))*'Business Case'!$B$7-'Business Case'!$B$8*(('Business Case'!G11*$C724*'Business Case'!G12*$B724)-('Business Case'!F11*$C724*'Business Case'!F12*$B724))-'Business Case'!G15*$F724+'Business Case'!$B$8*('Business Case'!G11*$C724*'Business Case'!G12*$B724)</f>
        <v>1012738750.81983</v>
      </c>
      <c r="N724" s="39" t="n">
        <f aca="false">IF(COUNT('Business Case'!B11:G11)=0,"",H724+NPV(G724,I724:M724))</f>
        <v>-129172249.205212</v>
      </c>
      <c r="P724" s="40" t="n">
        <f aca="true">RAND()</f>
        <v>0.542354464443437</v>
      </c>
      <c r="Q724" s="40" t="n">
        <f aca="true">RAND()</f>
        <v>0.47617176556884</v>
      </c>
      <c r="R724" s="40" t="n">
        <f aca="true">RAND()</f>
        <v>0.0548777166345102</v>
      </c>
      <c r="S724" s="40" t="n">
        <f aca="true">RAND()</f>
        <v>0.297974738447058</v>
      </c>
      <c r="T724" s="40" t="n">
        <f aca="true">RAND()</f>
        <v>0.355794359286704</v>
      </c>
      <c r="U724" s="40" t="n">
        <f aca="true">RAND()</f>
        <v>0.920005591951786</v>
      </c>
    </row>
    <row r="725" customFormat="false" ht="15" hidden="false" customHeight="false" outlineLevel="0" collapsed="false">
      <c r="A725" s="36" t="n">
        <v>645</v>
      </c>
      <c r="B725" s="37" t="n">
        <f aca="false">1+IF($G$6=$E$6,$F$6,IF(P725&lt;($F$6-$E$6)/($G$6-$E$6),$E$6+SQRT(P725*($G$6-$E$6)*($F$6-$E$6)),$G$6-SQRT((1-P725)*($G$6-$E$6)*($G$6-$F$6))))</f>
        <v>0.975216942649542</v>
      </c>
      <c r="C725" s="37" t="n">
        <f aca="false">1+IF($G$7=$E$7,$F$7,IF(Q725&lt;($F$7-$E$7)/($G$7-$E$7),$E$7+SQRT(Q725*($G$7-$E$7)*($F$7-$E$7)),$G$7-SQRT((1-Q725)*($G$7-$E$7)*($G$7-$F$7))))</f>
        <v>0.913860230054958</v>
      </c>
      <c r="D725" s="37" t="n">
        <f aca="false">1+IF($G$8=$E$8,$F$8,IF(R725&lt;($F$8-$E$8)/($G$8-$E$8),$E$8+SQRT(R725*($G$8-$E$8)*($F$8-$E$8)),$G$8-SQRT((1-R725)*($G$8-$E$8)*($G$8-$F$8))))</f>
        <v>1.02108120097437</v>
      </c>
      <c r="E725" s="37" t="n">
        <f aca="false">1+IF($G$9=$E$9,$F$9,IF(S725&lt;($F$9-$E$9)/($G$9-$E$9),$E$9+SQRT(S725*($G$9-$E$9)*($F$9-$E$9)),$G$9-SQRT((1-S725)*($G$9-$E$9)*($G$9-$F$9))))</f>
        <v>0.994077385060321</v>
      </c>
      <c r="F725" s="37" t="n">
        <f aca="false">1+IF($G$10=$E$10,$F$10,IF(T725&lt;($F$10-$E$10)/($G$10-$E$10),$E$10+SQRT(T725*($G$10-$E$10)*($F$10-$E$10)),$G$10-SQRT((1-T725)*($G$10-$E$10)*($G$10-$F$10))))</f>
        <v>1.16323179023317</v>
      </c>
      <c r="G725" s="38" t="n">
        <f aca="false">IF($G$11=$E$11,$F$11,IF(U725&lt;($F$11-$E$11)/($G$11-$E$11),$E$11+SQRT(U725*($G$11-$E$11)*($F$11-$E$11)),$G$11-SQRT((1-U725)*($G$11-$E$11)*($G$11-$F$11))))</f>
        <v>0.109302939313665</v>
      </c>
      <c r="H725" s="39" t="n">
        <f aca="false">(('Business Case'!B11*$C725*'Business Case'!B12*$B725)-'Business Case'!B11*$C725*'Business Case'!B13*$D725-'Business Case'!B14*$E725)-MAX(0,(('Business Case'!B11*$C725*'Business Case'!B12*$B725)-'Business Case'!B11*$C725*'Business Case'!B13*$D725-'Business Case'!B14*$E725))*'Business Case'!$B$7-'Business Case'!$B$8*('Business Case'!B11*$C725*'Business Case'!B12*$B725)-'Business Case'!B15*$F725</f>
        <v>-2326463580.46634</v>
      </c>
      <c r="I725" s="39" t="n">
        <f aca="false">(('Business Case'!C11*$C725*'Business Case'!C12*$B725)-'Business Case'!C11*$C725*'Business Case'!C13*$D725-'Business Case'!C14*$E725)-MAX(0,(('Business Case'!C11*$C725*'Business Case'!C12*$B725)-'Business Case'!C11*$C725*'Business Case'!C13*$D725-'Business Case'!C14*$E725))*'Business Case'!$B$7-'Business Case'!$B$8*(('Business Case'!C11*$C725*'Business Case'!C12*$B725)-('Business Case'!B11*$C725*'Business Case'!B12*$B725))-'Business Case'!C15*$F725</f>
        <v>-51600240.2629046</v>
      </c>
      <c r="J725" s="39" t="n">
        <f aca="false">(('Business Case'!D11*$C725*'Business Case'!D12*$B725)-'Business Case'!D11*$C725*'Business Case'!D13*$D725-'Business Case'!D14*$E725)-MAX(0,(('Business Case'!D11*$C725*'Business Case'!D12*$B725)-'Business Case'!D11*$C725*'Business Case'!D13*$D725-'Business Case'!D14*$E725))*'Business Case'!$B$7-'Business Case'!$B$8*(('Business Case'!D11*$C725*'Business Case'!D12*$B725)-('Business Case'!C11*$C725*'Business Case'!C12*$B725))-'Business Case'!D15*$F725</f>
        <v>200680931.673642</v>
      </c>
      <c r="K725" s="39" t="n">
        <f aca="false">(('Business Case'!E11*$C725*'Business Case'!E12*$B725)-'Business Case'!E11*$C725*'Business Case'!E13*$D725-'Business Case'!E14*$E725)-MAX(0,(('Business Case'!E11*$C725*'Business Case'!E12*$B725)-'Business Case'!E11*$C725*'Business Case'!E13*$D725-'Business Case'!E14*$E725))*'Business Case'!$B$7-'Business Case'!$B$8*(('Business Case'!E11*$C725*'Business Case'!E12*$B725)-('Business Case'!D11*$C725*'Business Case'!D12*$B725))-'Business Case'!E15*$F725</f>
        <v>511123693.121847</v>
      </c>
      <c r="L725" s="39" t="n">
        <f aca="false">(('Business Case'!F11*$C725*'Business Case'!F12*$B725)-'Business Case'!F11*$C725*'Business Case'!F13*$D725-'Business Case'!F14*$E725)-MAX(0,(('Business Case'!F11*$C725*'Business Case'!F12*$B725)-'Business Case'!F11*$C725*'Business Case'!F13*$D725-'Business Case'!F14*$E725))*'Business Case'!$B$7-'Business Case'!$B$8*(('Business Case'!F11*$C725*'Business Case'!F12*$B725)-('Business Case'!E11*$C725*'Business Case'!E12*$B725))-'Business Case'!F15*$F725</f>
        <v>626017703.1144</v>
      </c>
      <c r="M725" s="39" t="n">
        <f aca="false">(('Business Case'!G11*$C725*'Business Case'!G12*$B725)-'Business Case'!G11*$C725*'Business Case'!G13*$D725-'Business Case'!G14*$E725)-MAX(0,(('Business Case'!G11*$C725*'Business Case'!G12*$B725)-'Business Case'!G11*$C725*'Business Case'!G13*$D725-'Business Case'!G14*$E725))*'Business Case'!$B$7-'Business Case'!$B$8*(('Business Case'!G11*$C725*'Business Case'!G12*$B725)-('Business Case'!F11*$C725*'Business Case'!F12*$B725))-'Business Case'!G15*$F725+'Business Case'!$B$8*('Business Case'!G11*$C725*'Business Case'!G12*$B725)</f>
        <v>795419276.189773</v>
      </c>
      <c r="N725" s="39" t="n">
        <f aca="false">IF(COUNT('Business Case'!B11:G11)=0,"",H725+NPV(G725,I725:M725))</f>
        <v>-948521039.138343</v>
      </c>
      <c r="P725" s="40" t="n">
        <f aca="true">RAND()</f>
        <v>0.317594870371126</v>
      </c>
      <c r="Q725" s="40" t="n">
        <f aca="true">RAND()</f>
        <v>0.185202171259543</v>
      </c>
      <c r="R725" s="40" t="n">
        <f aca="true">RAND()</f>
        <v>0.666209146286329</v>
      </c>
      <c r="S725" s="40" t="n">
        <f aca="true">RAND()</f>
        <v>0.259042116500769</v>
      </c>
      <c r="T725" s="40" t="n">
        <f aca="true">RAND()</f>
        <v>0.972961975010849</v>
      </c>
      <c r="U725" s="40" t="n">
        <f aca="true">RAND()</f>
        <v>0.809288154454793</v>
      </c>
    </row>
    <row r="726" customFormat="false" ht="15" hidden="false" customHeight="false" outlineLevel="0" collapsed="false">
      <c r="A726" s="36" t="n">
        <v>646</v>
      </c>
      <c r="B726" s="37" t="n">
        <f aca="false">1+IF($G$6=$E$6,$F$6,IF(P726&lt;($F$6-$E$6)/($G$6-$E$6),$E$6+SQRT(P726*($G$6-$E$6)*($F$6-$E$6)),$G$6-SQRT((1-P726)*($G$6-$E$6)*($G$6-$F$6))))</f>
        <v>1.02836421110089</v>
      </c>
      <c r="C726" s="37" t="n">
        <f aca="false">1+IF($G$7=$E$7,$F$7,IF(Q726&lt;($F$7-$E$7)/($G$7-$E$7),$E$7+SQRT(Q726*($G$7-$E$7)*($F$7-$E$7)),$G$7-SQRT((1-Q726)*($G$7-$E$7)*($G$7-$F$7))))</f>
        <v>0.96965510472197</v>
      </c>
      <c r="D726" s="37" t="n">
        <f aca="false">1+IF($G$8=$E$8,$F$8,IF(R726&lt;($F$8-$E$8)/($G$8-$E$8),$E$8+SQRT(R726*($G$8-$E$8)*($F$8-$E$8)),$G$8-SQRT((1-R726)*($G$8-$E$8)*($G$8-$F$8))))</f>
        <v>0.97957513711684</v>
      </c>
      <c r="E726" s="37" t="n">
        <f aca="false">1+IF($G$9=$E$9,$F$9,IF(S726&lt;($F$9-$E$9)/($G$9-$E$9),$E$9+SQRT(S726*($G$9-$E$9)*($F$9-$E$9)),$G$9-SQRT((1-S726)*($G$9-$E$9)*($G$9-$F$9))))</f>
        <v>1.0174970104865</v>
      </c>
      <c r="F726" s="37" t="n">
        <f aca="false">1+IF($G$10=$E$10,$F$10,IF(T726&lt;($F$10-$E$10)/($G$10-$E$10),$E$10+SQRT(T726*($G$10-$E$10)*($F$10-$E$10)),$G$10-SQRT((1-T726)*($G$10-$E$10)*($G$10-$F$10))))</f>
        <v>1.08826493829015</v>
      </c>
      <c r="G726" s="38" t="n">
        <f aca="false">IF($G$11=$E$11,$F$11,IF(U726&lt;($F$11-$E$11)/($G$11-$E$11),$E$11+SQRT(U726*($G$11-$E$11)*($F$11-$E$11)),$G$11-SQRT((1-U726)*($G$11-$E$11)*($G$11-$F$11))))</f>
        <v>0.110234825245184</v>
      </c>
      <c r="H726" s="39" t="n">
        <f aca="false">(('Business Case'!B11*$C726*'Business Case'!B12*$B726)-'Business Case'!B11*$C726*'Business Case'!B13*$D726-'Business Case'!B14*$E726)-MAX(0,(('Business Case'!B11*$C726*'Business Case'!B12*$B726)-'Business Case'!B11*$C726*'Business Case'!B13*$D726-'Business Case'!B14*$E726))*'Business Case'!$B$7-'Business Case'!$B$8*('Business Case'!B11*$C726*'Business Case'!B12*$B726)-'Business Case'!B15*$F726</f>
        <v>-2176529876.5803</v>
      </c>
      <c r="I726" s="39" t="n">
        <f aca="false">(('Business Case'!C11*$C726*'Business Case'!C12*$B726)-'Business Case'!C11*$C726*'Business Case'!C13*$D726-'Business Case'!C14*$E726)-MAX(0,(('Business Case'!C11*$C726*'Business Case'!C12*$B726)-'Business Case'!C11*$C726*'Business Case'!C13*$D726-'Business Case'!C14*$E726))*'Business Case'!$B$7-'Business Case'!$B$8*(('Business Case'!C11*$C726*'Business Case'!C12*$B726)-('Business Case'!B11*$C726*'Business Case'!B12*$B726))-'Business Case'!C15*$F726</f>
        <v>25290195.0324023</v>
      </c>
      <c r="J726" s="39" t="n">
        <f aca="false">(('Business Case'!D11*$C726*'Business Case'!D12*$B726)-'Business Case'!D11*$C726*'Business Case'!D13*$D726-'Business Case'!D14*$E726)-MAX(0,(('Business Case'!D11*$C726*'Business Case'!D12*$B726)-'Business Case'!D11*$C726*'Business Case'!D13*$D726-'Business Case'!D14*$E726))*'Business Case'!$B$7-'Business Case'!$B$8*(('Business Case'!D11*$C726*'Business Case'!D12*$B726)-('Business Case'!C11*$C726*'Business Case'!C12*$B726))-'Business Case'!D15*$F726</f>
        <v>355787660.961894</v>
      </c>
      <c r="K726" s="39" t="n">
        <f aca="false">(('Business Case'!E11*$C726*'Business Case'!E12*$B726)-'Business Case'!E11*$C726*'Business Case'!E13*$D726-'Business Case'!E14*$E726)-MAX(0,(('Business Case'!E11*$C726*'Business Case'!E12*$B726)-'Business Case'!E11*$C726*'Business Case'!E13*$D726-'Business Case'!E14*$E726))*'Business Case'!$B$7-'Business Case'!$B$8*(('Business Case'!E11*$C726*'Business Case'!E12*$B726)-('Business Case'!D11*$C726*'Business Case'!D12*$B726))-'Business Case'!E15*$F726</f>
        <v>740698373.805893</v>
      </c>
      <c r="L726" s="39" t="n">
        <f aca="false">(('Business Case'!F11*$C726*'Business Case'!F12*$B726)-'Business Case'!F11*$C726*'Business Case'!F13*$D726-'Business Case'!F14*$E726)-MAX(0,(('Business Case'!F11*$C726*'Business Case'!F12*$B726)-'Business Case'!F11*$C726*'Business Case'!F13*$D726-'Business Case'!F14*$E726))*'Business Case'!$B$7-'Business Case'!$B$8*(('Business Case'!F11*$C726*'Business Case'!F12*$B726)-('Business Case'!E11*$C726*'Business Case'!E12*$B726))-'Business Case'!F15*$F726</f>
        <v>885325997.233652</v>
      </c>
      <c r="M726" s="39" t="n">
        <f aca="false">(('Business Case'!G11*$C726*'Business Case'!G12*$B726)-'Business Case'!G11*$C726*'Business Case'!G13*$D726-'Business Case'!G14*$E726)-MAX(0,(('Business Case'!G11*$C726*'Business Case'!G12*$B726)-'Business Case'!G11*$C726*'Business Case'!G13*$D726-'Business Case'!G14*$E726))*'Business Case'!$B$7-'Business Case'!$B$8*(('Business Case'!G11*$C726*'Business Case'!G12*$B726)-('Business Case'!F11*$C726*'Business Case'!F12*$B726))-'Business Case'!G15*$F726+'Business Case'!$B$8*('Business Case'!G11*$C726*'Business Case'!G12*$B726)</f>
        <v>1074865905.2156</v>
      </c>
      <c r="N726" s="39" t="n">
        <f aca="false">IF(COUNT('Business Case'!B11:G11)=0,"",H726+NPV(G726,I726:M726))</f>
        <v>-103954239.464574</v>
      </c>
      <c r="P726" s="40" t="n">
        <f aca="true">RAND()</f>
        <v>0.971793420144886</v>
      </c>
      <c r="Q726" s="40" t="n">
        <f aca="true">RAND()</f>
        <v>0.411183636546037</v>
      </c>
      <c r="R726" s="40" t="n">
        <f aca="true">RAND()</f>
        <v>0.134567497766139</v>
      </c>
      <c r="S726" s="40" t="n">
        <f aca="true">RAND()</f>
        <v>0.54621711475572</v>
      </c>
      <c r="T726" s="40" t="n">
        <f aca="true">RAND()</f>
        <v>0.75030551969391</v>
      </c>
      <c r="U726" s="40" t="n">
        <f aca="true">RAND()</f>
        <v>0.841068936679833</v>
      </c>
    </row>
    <row r="727" customFormat="false" ht="15" hidden="false" customHeight="false" outlineLevel="0" collapsed="false">
      <c r="A727" s="36" t="n">
        <v>647</v>
      </c>
      <c r="B727" s="37" t="n">
        <f aca="false">1+IF($G$6=$E$6,$F$6,IF(P727&lt;($F$6-$E$6)/($G$6-$E$6),$E$6+SQRT(P727*($G$6-$E$6)*($F$6-$E$6)),$G$6-SQRT((1-P727)*($G$6-$E$6)*($G$6-$F$6))))</f>
        <v>1.00578292901464</v>
      </c>
      <c r="C727" s="37" t="n">
        <f aca="false">1+IF($G$7=$E$7,$F$7,IF(Q727&lt;($F$7-$E$7)/($G$7-$E$7),$E$7+SQRT(Q727*($G$7-$E$7)*($F$7-$E$7)),$G$7-SQRT((1-Q727)*($G$7-$E$7)*($G$7-$F$7))))</f>
        <v>0.936327755846963</v>
      </c>
      <c r="D727" s="37" t="n">
        <f aca="false">1+IF($G$8=$E$8,$F$8,IF(R727&lt;($F$8-$E$8)/($G$8-$E$8),$E$8+SQRT(R727*($G$8-$E$8)*($F$8-$E$8)),$G$8-SQRT((1-R727)*($G$8-$E$8)*($G$8-$F$8))))</f>
        <v>1.00828235116409</v>
      </c>
      <c r="E727" s="37" t="n">
        <f aca="false">1+IF($G$9=$E$9,$F$9,IF(S727&lt;($F$9-$E$9)/($G$9-$E$9),$E$9+SQRT(S727*($G$9-$E$9)*($F$9-$E$9)),$G$9-SQRT((1-S727)*($G$9-$E$9)*($G$9-$F$9))))</f>
        <v>0.989163881565202</v>
      </c>
      <c r="F727" s="37" t="n">
        <f aca="false">1+IF($G$10=$E$10,$F$10,IF(T727&lt;($F$10-$E$10)/($G$10-$E$10),$E$10+SQRT(T727*($G$10-$E$10)*($F$10-$E$10)),$G$10-SQRT((1-T727)*($G$10-$E$10)*($G$10-$F$10))))</f>
        <v>1.09123432512246</v>
      </c>
      <c r="G727" s="38" t="n">
        <f aca="false">IF($G$11=$E$11,$F$11,IF(U727&lt;($F$11-$E$11)/($G$11-$E$11),$E$11+SQRT(U727*($G$11-$E$11)*($F$11-$E$11)),$G$11-SQRT((1-U727)*($G$11-$E$11)*($G$11-$F$11))))</f>
        <v>0.0984274979846892</v>
      </c>
      <c r="H727" s="39" t="n">
        <f aca="false">(('Business Case'!B11*$C727*'Business Case'!B12*$B727)-'Business Case'!B11*$C727*'Business Case'!B13*$D727-'Business Case'!B14*$E727)-MAX(0,(('Business Case'!B11*$C727*'Business Case'!B12*$B727)-'Business Case'!B11*$C727*'Business Case'!B13*$D727-'Business Case'!B14*$E727))*'Business Case'!$B$7-'Business Case'!$B$8*('Business Case'!B11*$C727*'Business Case'!B12*$B727)-'Business Case'!B15*$F727</f>
        <v>-2182468650.24493</v>
      </c>
      <c r="I727" s="39" t="n">
        <f aca="false">(('Business Case'!C11*$C727*'Business Case'!C12*$B727)-'Business Case'!C11*$C727*'Business Case'!C13*$D727-'Business Case'!C14*$E727)-MAX(0,(('Business Case'!C11*$C727*'Business Case'!C12*$B727)-'Business Case'!C11*$C727*'Business Case'!C13*$D727-'Business Case'!C14*$E727))*'Business Case'!$B$7-'Business Case'!$B$8*(('Business Case'!C11*$C727*'Business Case'!C12*$B727)-('Business Case'!B11*$C727*'Business Case'!B12*$B727))-'Business Case'!C15*$F727</f>
        <v>-10542417.540745</v>
      </c>
      <c r="J727" s="39" t="n">
        <f aca="false">(('Business Case'!D11*$C727*'Business Case'!D12*$B727)-'Business Case'!D11*$C727*'Business Case'!D13*$D727-'Business Case'!D14*$E727)-MAX(0,(('Business Case'!D11*$C727*'Business Case'!D12*$B727)-'Business Case'!D11*$C727*'Business Case'!D13*$D727-'Business Case'!D14*$E727))*'Business Case'!$B$7-'Business Case'!$B$8*(('Business Case'!D11*$C727*'Business Case'!D12*$B727)-('Business Case'!C11*$C727*'Business Case'!C12*$B727))-'Business Case'!D15*$F727</f>
        <v>277517631.178941</v>
      </c>
      <c r="K727" s="39" t="n">
        <f aca="false">(('Business Case'!E11*$C727*'Business Case'!E12*$B727)-'Business Case'!E11*$C727*'Business Case'!E13*$D727-'Business Case'!E14*$E727)-MAX(0,(('Business Case'!E11*$C727*'Business Case'!E12*$B727)-'Business Case'!E11*$C727*'Business Case'!E13*$D727-'Business Case'!E14*$E727))*'Business Case'!$B$7-'Business Case'!$B$8*(('Business Case'!E11*$C727*'Business Case'!E12*$B727)-('Business Case'!D11*$C727*'Business Case'!D12*$B727))-'Business Case'!E15*$F727</f>
        <v>620139396.154751</v>
      </c>
      <c r="L727" s="39" t="n">
        <f aca="false">(('Business Case'!F11*$C727*'Business Case'!F12*$B727)-'Business Case'!F11*$C727*'Business Case'!F13*$D727-'Business Case'!F14*$E727)-MAX(0,(('Business Case'!F11*$C727*'Business Case'!F12*$B727)-'Business Case'!F11*$C727*'Business Case'!F13*$D727-'Business Case'!F14*$E727))*'Business Case'!$B$7-'Business Case'!$B$8*(('Business Case'!F11*$C727*'Business Case'!F12*$B727)-('Business Case'!E11*$C727*'Business Case'!E12*$B727))-'Business Case'!F15*$F727</f>
        <v>748706032.254388</v>
      </c>
      <c r="M727" s="39" t="n">
        <f aca="false">(('Business Case'!G11*$C727*'Business Case'!G12*$B727)-'Business Case'!G11*$C727*'Business Case'!G13*$D727-'Business Case'!G14*$E727)-MAX(0,(('Business Case'!G11*$C727*'Business Case'!G12*$B727)-'Business Case'!G11*$C727*'Business Case'!G13*$D727-'Business Case'!G14*$E727))*'Business Case'!$B$7-'Business Case'!$B$8*(('Business Case'!G11*$C727*'Business Case'!G12*$B727)-('Business Case'!F11*$C727*'Business Case'!F12*$B727))-'Business Case'!G15*$F727+'Business Case'!$B$8*('Business Case'!G11*$C727*'Business Case'!G12*$B727)</f>
        <v>927712441.48297</v>
      </c>
      <c r="N727" s="39" t="n">
        <f aca="false">IF(COUNT('Business Case'!B11:G11)=0,"",H727+NPV(G727,I727:M727))</f>
        <v>-399649592.221249</v>
      </c>
      <c r="P727" s="40" t="n">
        <f aca="true">RAND()</f>
        <v>0.756081677746471</v>
      </c>
      <c r="Q727" s="40" t="n">
        <f aca="true">RAND()</f>
        <v>0.265503671632418</v>
      </c>
      <c r="R727" s="40" t="n">
        <f aca="true">RAND()</f>
        <v>0.505440273600907</v>
      </c>
      <c r="S727" s="40" t="n">
        <f aca="true">RAND()</f>
        <v>0.204507949233761</v>
      </c>
      <c r="T727" s="40" t="n">
        <f aca="true">RAND()</f>
        <v>0.763400559368678</v>
      </c>
      <c r="U727" s="40" t="n">
        <f aca="true">RAND()</f>
        <v>0.236742407606471</v>
      </c>
    </row>
    <row r="728" customFormat="false" ht="15" hidden="false" customHeight="false" outlineLevel="0" collapsed="false">
      <c r="A728" s="36" t="n">
        <v>648</v>
      </c>
      <c r="B728" s="37" t="n">
        <f aca="false">1+IF($G$6=$E$6,$F$6,IF(P728&lt;($F$6-$E$6)/($G$6-$E$6),$E$6+SQRT(P728*($G$6-$E$6)*($F$6-$E$6)),$G$6-SQRT((1-P728)*($G$6-$E$6)*($G$6-$F$6))))</f>
        <v>1.02436803055657</v>
      </c>
      <c r="C728" s="37" t="n">
        <f aca="false">1+IF($G$7=$E$7,$F$7,IF(Q728&lt;($F$7-$E$7)/($G$7-$E$7),$E$7+SQRT(Q728*($G$7-$E$7)*($F$7-$E$7)),$G$7-SQRT((1-Q728)*($G$7-$E$7)*($G$7-$F$7))))</f>
        <v>0.983141182775278</v>
      </c>
      <c r="D728" s="37" t="n">
        <f aca="false">1+IF($G$8=$E$8,$F$8,IF(R728&lt;($F$8-$E$8)/($G$8-$E$8),$E$8+SQRT(R728*($G$8-$E$8)*($F$8-$E$8)),$G$8-SQRT((1-R728)*($G$8-$E$8)*($G$8-$F$8))))</f>
        <v>0.986123514458835</v>
      </c>
      <c r="E728" s="37" t="n">
        <f aca="false">1+IF($G$9=$E$9,$F$9,IF(S728&lt;($F$9-$E$9)/($G$9-$E$9),$E$9+SQRT(S728*($G$9-$E$9)*($F$9-$E$9)),$G$9-SQRT((1-S728)*($G$9-$E$9)*($G$9-$F$9))))</f>
        <v>1.03950819615892</v>
      </c>
      <c r="F728" s="37" t="n">
        <f aca="false">1+IF($G$10=$E$10,$F$10,IF(T728&lt;($F$10-$E$10)/($G$10-$E$10),$E$10+SQRT(T728*($G$10-$E$10)*($F$10-$E$10)),$G$10-SQRT((1-T728)*($G$10-$E$10)*($G$10-$F$10))))</f>
        <v>1.00669933617326</v>
      </c>
      <c r="G728" s="38" t="n">
        <f aca="false">IF($G$11=$E$11,$F$11,IF(U728&lt;($F$11-$E$11)/($G$11-$E$11),$E$11+SQRT(U728*($G$11-$E$11)*($F$11-$E$11)),$G$11-SQRT((1-U728)*($G$11-$E$11)*($G$11-$F$11))))</f>
        <v>0.112233821671909</v>
      </c>
      <c r="H728" s="39" t="n">
        <f aca="false">(('Business Case'!B11*$C728*'Business Case'!B12*$B728)-'Business Case'!B11*$C728*'Business Case'!B13*$D728-'Business Case'!B14*$E728)-MAX(0,(('Business Case'!B11*$C728*'Business Case'!B12*$B728)-'Business Case'!B11*$C728*'Business Case'!B13*$D728-'Business Case'!B14*$E728))*'Business Case'!$B$7-'Business Case'!$B$8*('Business Case'!B11*$C728*'Business Case'!B12*$B728)-'Business Case'!B15*$F728</f>
        <v>-2013398672.34651</v>
      </c>
      <c r="I728" s="39" t="n">
        <f aca="false">(('Business Case'!C11*$C728*'Business Case'!C12*$B728)-'Business Case'!C11*$C728*'Business Case'!C13*$D728-'Business Case'!C14*$E728)-MAX(0,(('Business Case'!C11*$C728*'Business Case'!C12*$B728)-'Business Case'!C11*$C728*'Business Case'!C13*$D728-'Business Case'!C14*$E728))*'Business Case'!$B$7-'Business Case'!$B$8*(('Business Case'!C11*$C728*'Business Case'!C12*$B728)-('Business Case'!B11*$C728*'Business Case'!B12*$B728))-'Business Case'!C15*$F728</f>
        <v>27884375.3845122</v>
      </c>
      <c r="J728" s="39" t="n">
        <f aca="false">(('Business Case'!D11*$C728*'Business Case'!D12*$B728)-'Business Case'!D11*$C728*'Business Case'!D13*$D728-'Business Case'!D14*$E728)-MAX(0,(('Business Case'!D11*$C728*'Business Case'!D12*$B728)-'Business Case'!D11*$C728*'Business Case'!D13*$D728-'Business Case'!D14*$E728))*'Business Case'!$B$7-'Business Case'!$B$8*(('Business Case'!D11*$C728*'Business Case'!D12*$B728)-('Business Case'!C11*$C728*'Business Case'!C12*$B728))-'Business Case'!D15*$F728</f>
        <v>356464730.788849</v>
      </c>
      <c r="K728" s="39" t="n">
        <f aca="false">(('Business Case'!E11*$C728*'Business Case'!E12*$B728)-'Business Case'!E11*$C728*'Business Case'!E13*$D728-'Business Case'!E14*$E728)-MAX(0,(('Business Case'!E11*$C728*'Business Case'!E12*$B728)-'Business Case'!E11*$C728*'Business Case'!E13*$D728-'Business Case'!E14*$E728))*'Business Case'!$B$7-'Business Case'!$B$8*(('Business Case'!E11*$C728*'Business Case'!E12*$B728)-('Business Case'!D11*$C728*'Business Case'!D12*$B728))-'Business Case'!E15*$F728</f>
        <v>735380053.001848</v>
      </c>
      <c r="L728" s="39" t="n">
        <f aca="false">(('Business Case'!F11*$C728*'Business Case'!F12*$B728)-'Business Case'!F11*$C728*'Business Case'!F13*$D728-'Business Case'!F14*$E728)-MAX(0,(('Business Case'!F11*$C728*'Business Case'!F12*$B728)-'Business Case'!F11*$C728*'Business Case'!F13*$D728-'Business Case'!F14*$E728))*'Business Case'!$B$7-'Business Case'!$B$8*(('Business Case'!F11*$C728*'Business Case'!F12*$B728)-('Business Case'!E11*$C728*'Business Case'!E12*$B728))-'Business Case'!F15*$F728</f>
        <v>879712158.742427</v>
      </c>
      <c r="M728" s="39" t="n">
        <f aca="false">(('Business Case'!G11*$C728*'Business Case'!G12*$B728)-'Business Case'!G11*$C728*'Business Case'!G13*$D728-'Business Case'!G14*$E728)-MAX(0,(('Business Case'!G11*$C728*'Business Case'!G12*$B728)-'Business Case'!G11*$C728*'Business Case'!G13*$D728-'Business Case'!G14*$E728))*'Business Case'!$B$7-'Business Case'!$B$8*(('Business Case'!G11*$C728*'Business Case'!G12*$B728)-('Business Case'!F11*$C728*'Business Case'!F12*$B728))-'Business Case'!G15*$F728+'Business Case'!$B$8*('Business Case'!G11*$C728*'Business Case'!G12*$B728)</f>
        <v>1071141422.07433</v>
      </c>
      <c r="N728" s="39" t="n">
        <f aca="false">IF(COUNT('Business Case'!B11:G11)=0,"",H728+NPV(G728,I728:M728))</f>
        <v>38460684.0433426</v>
      </c>
      <c r="P728" s="40" t="n">
        <f aca="true">RAND()</f>
        <v>0.949091985691611</v>
      </c>
      <c r="Q728" s="40" t="n">
        <f aca="true">RAND()</f>
        <v>0.479152754690395</v>
      </c>
      <c r="R728" s="40" t="n">
        <f aca="true">RAND()</f>
        <v>0.200755122593485</v>
      </c>
      <c r="S728" s="40" t="n">
        <f aca="true">RAND()</f>
        <v>0.756049444536819</v>
      </c>
      <c r="T728" s="40" t="n">
        <f aca="true">RAND()</f>
        <v>0.252697067282805</v>
      </c>
      <c r="U728" s="40" t="n">
        <f aca="true">RAND()</f>
        <v>0.89947745696048</v>
      </c>
    </row>
    <row r="729" customFormat="false" ht="15" hidden="false" customHeight="false" outlineLevel="0" collapsed="false">
      <c r="A729" s="36" t="n">
        <v>649</v>
      </c>
      <c r="B729" s="37" t="n">
        <f aca="false">1+IF($G$6=$E$6,$F$6,IF(P729&lt;($F$6-$E$6)/($G$6-$E$6),$E$6+SQRT(P729*($G$6-$E$6)*($F$6-$E$6)),$G$6-SQRT((1-P729)*($G$6-$E$6)*($G$6-$F$6))))</f>
        <v>0.953781108327327</v>
      </c>
      <c r="C729" s="37" t="n">
        <f aca="false">1+IF($G$7=$E$7,$F$7,IF(Q729&lt;($F$7-$E$7)/($G$7-$E$7),$E$7+SQRT(Q729*($G$7-$E$7)*($F$7-$E$7)),$G$7-SQRT((1-Q729)*($G$7-$E$7)*($G$7-$F$7))))</f>
        <v>0.84802649562279</v>
      </c>
      <c r="D729" s="37" t="n">
        <f aca="false">1+IF($G$8=$E$8,$F$8,IF(R729&lt;($F$8-$E$8)/($G$8-$E$8),$E$8+SQRT(R729*($G$8-$E$8)*($F$8-$E$8)),$G$8-SQRT((1-R729)*($G$8-$E$8)*($G$8-$F$8))))</f>
        <v>0.991541053176231</v>
      </c>
      <c r="E729" s="37" t="n">
        <f aca="false">1+IF($G$9=$E$9,$F$9,IF(S729&lt;($F$9-$E$9)/($G$9-$E$9),$E$9+SQRT(S729*($G$9-$E$9)*($F$9-$E$9)),$G$9-SQRT((1-S729)*($G$9-$E$9)*($G$9-$F$9))))</f>
        <v>1.0475524377756</v>
      </c>
      <c r="F729" s="37" t="n">
        <f aca="false">1+IF($G$10=$E$10,$F$10,IF(T729&lt;($F$10-$E$10)/($G$10-$E$10),$E$10+SQRT(T729*($G$10-$E$10)*($F$10-$E$10)),$G$10-SQRT((1-T729)*($G$10-$E$10)*($G$10-$F$10))))</f>
        <v>1.02780721566109</v>
      </c>
      <c r="G729" s="38" t="n">
        <f aca="false">IF($G$11=$E$11,$F$11,IF(U729&lt;($F$11-$E$11)/($G$11-$E$11),$E$11+SQRT(U729*($G$11-$E$11)*($F$11-$E$11)),$G$11-SQRT((1-U729)*($G$11-$E$11)*($G$11-$F$11))))</f>
        <v>0.111015487397774</v>
      </c>
      <c r="H729" s="39" t="n">
        <f aca="false">(('Business Case'!B11*$C729*'Business Case'!B12*$B729)-'Business Case'!B11*$C729*'Business Case'!B13*$D729-'Business Case'!B14*$E729)-MAX(0,(('Business Case'!B11*$C729*'Business Case'!B12*$B729)-'Business Case'!B11*$C729*'Business Case'!B13*$D729-'Business Case'!B14*$E729))*'Business Case'!$B$7-'Business Case'!$B$8*('Business Case'!B11*$C729*'Business Case'!B12*$B729)-'Business Case'!B15*$F729</f>
        <v>-2055614431.32219</v>
      </c>
      <c r="I729" s="39" t="n">
        <f aca="false">(('Business Case'!C11*$C729*'Business Case'!C12*$B729)-'Business Case'!C11*$C729*'Business Case'!C13*$D729-'Business Case'!C14*$E729)-MAX(0,(('Business Case'!C11*$C729*'Business Case'!C12*$B729)-'Business Case'!C11*$C729*'Business Case'!C13*$D729-'Business Case'!C14*$E729))*'Business Case'!$B$7-'Business Case'!$B$8*(('Business Case'!C11*$C729*'Business Case'!C12*$B729)-('Business Case'!B11*$C729*'Business Case'!B12*$B729))-'Business Case'!C15*$F729</f>
        <v>-61630664.1091107</v>
      </c>
      <c r="J729" s="39" t="n">
        <f aca="false">(('Business Case'!D11*$C729*'Business Case'!D12*$B729)-'Business Case'!D11*$C729*'Business Case'!D13*$D729-'Business Case'!D14*$E729)-MAX(0,(('Business Case'!D11*$C729*'Business Case'!D12*$B729)-'Business Case'!D11*$C729*'Business Case'!D13*$D729-'Business Case'!D14*$E729))*'Business Case'!$B$7-'Business Case'!$B$8*(('Business Case'!D11*$C729*'Business Case'!D12*$B729)-('Business Case'!C11*$C729*'Business Case'!C12*$B729))-'Business Case'!D15*$F729</f>
        <v>170411182.781511</v>
      </c>
      <c r="K729" s="39" t="n">
        <f aca="false">(('Business Case'!E11*$C729*'Business Case'!E12*$B729)-'Business Case'!E11*$C729*'Business Case'!E13*$D729-'Business Case'!E14*$E729)-MAX(0,(('Business Case'!E11*$C729*'Business Case'!E12*$B729)-'Business Case'!E11*$C729*'Business Case'!E13*$D729-'Business Case'!E14*$E729))*'Business Case'!$B$7-'Business Case'!$B$8*(('Business Case'!E11*$C729*'Business Case'!E12*$B729)-('Business Case'!D11*$C729*'Business Case'!D12*$B729))-'Business Case'!E15*$F729</f>
        <v>453843390.455188</v>
      </c>
      <c r="L729" s="39" t="n">
        <f aca="false">(('Business Case'!F11*$C729*'Business Case'!F12*$B729)-'Business Case'!F11*$C729*'Business Case'!F13*$D729-'Business Case'!F14*$E729)-MAX(0,(('Business Case'!F11*$C729*'Business Case'!F12*$B729)-'Business Case'!F11*$C729*'Business Case'!F13*$D729-'Business Case'!F14*$E729))*'Business Case'!$B$7-'Business Case'!$B$8*(('Business Case'!F11*$C729*'Business Case'!F12*$B729)-('Business Case'!E11*$C729*'Business Case'!E12*$B729))-'Business Case'!F15*$F729</f>
        <v>559143894.606683</v>
      </c>
      <c r="M729" s="39" t="n">
        <f aca="false">(('Business Case'!G11*$C729*'Business Case'!G12*$B729)-'Business Case'!G11*$C729*'Business Case'!G13*$D729-'Business Case'!G14*$E729)-MAX(0,(('Business Case'!G11*$C729*'Business Case'!G12*$B729)-'Business Case'!G11*$C729*'Business Case'!G13*$D729-'Business Case'!G14*$E729))*'Business Case'!$B$7-'Business Case'!$B$8*(('Business Case'!G11*$C729*'Business Case'!G12*$B729)-('Business Case'!F11*$C729*'Business Case'!F12*$B729))-'Business Case'!G15*$F729+'Business Case'!$B$8*('Business Case'!G11*$C729*'Business Case'!G12*$B729)</f>
        <v>712886614.807102</v>
      </c>
      <c r="N729" s="39" t="n">
        <f aca="false">IF(COUNT('Business Case'!B11:G11)=0,"",H729+NPV(G729,I729:M729))</f>
        <v>-853978489.373867</v>
      </c>
      <c r="P729" s="40" t="n">
        <f aca="true">RAND()</f>
        <v>0.118871174981519</v>
      </c>
      <c r="Q729" s="40" t="n">
        <f aca="true">RAND()</f>
        <v>0.0329506325972263</v>
      </c>
      <c r="R729" s="40" t="n">
        <f aca="true">RAND()</f>
        <v>0.265486015229302</v>
      </c>
      <c r="S729" s="40" t="n">
        <f aca="true">RAND()</f>
        <v>0.816616881114521</v>
      </c>
      <c r="T729" s="40" t="n">
        <f aca="true">RAND()</f>
        <v>0.406992900432297</v>
      </c>
      <c r="U729" s="40" t="n">
        <f aca="true">RAND()</f>
        <v>0.865464222167402</v>
      </c>
    </row>
    <row r="730" customFormat="false" ht="15" hidden="false" customHeight="false" outlineLevel="0" collapsed="false">
      <c r="A730" s="36" t="n">
        <v>650</v>
      </c>
      <c r="B730" s="37" t="n">
        <f aca="false">1+IF($G$6=$E$6,$F$6,IF(P730&lt;($F$6-$E$6)/($G$6-$E$6),$E$6+SQRT(P730*($G$6-$E$6)*($F$6-$E$6)),$G$6-SQRT((1-P730)*($G$6-$E$6)*($G$6-$F$6))))</f>
        <v>0.954131925239018</v>
      </c>
      <c r="C730" s="37" t="n">
        <f aca="false">1+IF($G$7=$E$7,$F$7,IF(Q730&lt;($F$7-$E$7)/($G$7-$E$7),$E$7+SQRT(Q730*($G$7-$E$7)*($F$7-$E$7)),$G$7-SQRT((1-Q730)*($G$7-$E$7)*($G$7-$F$7))))</f>
        <v>0.931000354226497</v>
      </c>
      <c r="D730" s="37" t="n">
        <f aca="false">1+IF($G$8=$E$8,$F$8,IF(R730&lt;($F$8-$E$8)/($G$8-$E$8),$E$8+SQRT(R730*($G$8-$E$8)*($F$8-$E$8)),$G$8-SQRT((1-R730)*($G$8-$E$8)*($G$8-$F$8))))</f>
        <v>1.04294284680767</v>
      </c>
      <c r="E730" s="37" t="n">
        <f aca="false">1+IF($G$9=$E$9,$F$9,IF(S730&lt;($F$9-$E$9)/($G$9-$E$9),$E$9+SQRT(S730*($G$9-$E$9)*($F$9-$E$9)),$G$9-SQRT((1-S730)*($G$9-$E$9)*($G$9-$F$9))))</f>
        <v>1.02233614673801</v>
      </c>
      <c r="F730" s="37" t="n">
        <f aca="false">1+IF($G$10=$E$10,$F$10,IF(T730&lt;($F$10-$E$10)/($G$10-$E$10),$E$10+SQRT(T730*($G$10-$E$10)*($F$10-$E$10)),$G$10-SQRT((1-T730)*($G$10-$E$10)*($G$10-$F$10))))</f>
        <v>1.07675782643121</v>
      </c>
      <c r="G730" s="38" t="n">
        <f aca="false">IF($G$11=$E$11,$F$11,IF(U730&lt;($F$11-$E$11)/($G$11-$E$11),$E$11+SQRT(U730*($G$11-$E$11)*($F$11-$E$11)),$G$11-SQRT((1-U730)*($G$11-$E$11)*($G$11-$F$11))))</f>
        <v>0.0906467995966846</v>
      </c>
      <c r="H730" s="39" t="n">
        <f aca="false">(('Business Case'!B11*$C730*'Business Case'!B12*$B730)-'Business Case'!B11*$C730*'Business Case'!B13*$D730-'Business Case'!B14*$E730)-MAX(0,(('Business Case'!B11*$C730*'Business Case'!B12*$B730)-'Business Case'!B11*$C730*'Business Case'!B13*$D730-'Business Case'!B14*$E730))*'Business Case'!$B$7-'Business Case'!$B$8*('Business Case'!B11*$C730*'Business Case'!B12*$B730)-'Business Case'!B15*$F730</f>
        <v>-2153515652.86241</v>
      </c>
      <c r="I730" s="39" t="n">
        <f aca="false">(('Business Case'!C11*$C730*'Business Case'!C12*$B730)-'Business Case'!C11*$C730*'Business Case'!C13*$D730-'Business Case'!C14*$E730)-MAX(0,(('Business Case'!C11*$C730*'Business Case'!C12*$B730)-'Business Case'!C11*$C730*'Business Case'!C13*$D730-'Business Case'!C14*$E730))*'Business Case'!$B$7-'Business Case'!$B$8*(('Business Case'!C11*$C730*'Business Case'!C12*$B730)-('Business Case'!B11*$C730*'Business Case'!B12*$B730))-'Business Case'!C15*$F730</f>
        <v>-68586139.1723798</v>
      </c>
      <c r="J730" s="39" t="n">
        <f aca="false">(('Business Case'!D11*$C730*'Business Case'!D12*$B730)-'Business Case'!D11*$C730*'Business Case'!D13*$D730-'Business Case'!D14*$E730)-MAX(0,(('Business Case'!D11*$C730*'Business Case'!D12*$B730)-'Business Case'!D11*$C730*'Business Case'!D13*$D730-'Business Case'!D14*$E730))*'Business Case'!$B$7-'Business Case'!$B$8*(('Business Case'!D11*$C730*'Business Case'!D12*$B730)-('Business Case'!C11*$C730*'Business Case'!C12*$B730))-'Business Case'!D15*$F730</f>
        <v>161929029.158416</v>
      </c>
      <c r="K730" s="39" t="n">
        <f aca="false">(('Business Case'!E11*$C730*'Business Case'!E12*$B730)-'Business Case'!E11*$C730*'Business Case'!E13*$D730-'Business Case'!E14*$E730)-MAX(0,(('Business Case'!E11*$C730*'Business Case'!E12*$B730)-'Business Case'!E11*$C730*'Business Case'!E13*$D730-'Business Case'!E14*$E730))*'Business Case'!$B$7-'Business Case'!$B$8*(('Business Case'!E11*$C730*'Business Case'!E12*$B730)-('Business Case'!D11*$C730*'Business Case'!D12*$B730))-'Business Case'!E15*$F730</f>
        <v>446282088.810771</v>
      </c>
      <c r="L730" s="39" t="n">
        <f aca="false">(('Business Case'!F11*$C730*'Business Case'!F12*$B730)-'Business Case'!F11*$C730*'Business Case'!F13*$D730-'Business Case'!F14*$E730)-MAX(0,(('Business Case'!F11*$C730*'Business Case'!F12*$B730)-'Business Case'!F11*$C730*'Business Case'!F13*$D730-'Business Case'!F14*$E730))*'Business Case'!$B$7-'Business Case'!$B$8*(('Business Case'!F11*$C730*'Business Case'!F12*$B730)-('Business Case'!E11*$C730*'Business Case'!E12*$B730))-'Business Case'!F15*$F730</f>
        <v>553820028.116976</v>
      </c>
      <c r="M730" s="39" t="n">
        <f aca="false">(('Business Case'!G11*$C730*'Business Case'!G12*$B730)-'Business Case'!G11*$C730*'Business Case'!G13*$D730-'Business Case'!G14*$E730)-MAX(0,(('Business Case'!G11*$C730*'Business Case'!G12*$B730)-'Business Case'!G11*$C730*'Business Case'!G13*$D730-'Business Case'!G14*$E730))*'Business Case'!$B$7-'Business Case'!$B$8*(('Business Case'!G11*$C730*'Business Case'!G12*$B730)-('Business Case'!F11*$C730*'Business Case'!F12*$B730))-'Business Case'!G15*$F730+'Business Case'!$B$8*('Business Case'!G11*$C730*'Business Case'!G12*$B730)</f>
        <v>722667552.36131</v>
      </c>
      <c r="N730" s="39" t="n">
        <f aca="false">IF(COUNT('Business Case'!B11:G11)=0,"",H730+NPV(G730,I730:M730))</f>
        <v>-876568207.471412</v>
      </c>
      <c r="P730" s="40" t="n">
        <f aca="true">RAND()</f>
        <v>0.121352950054368</v>
      </c>
      <c r="Q730" s="40" t="n">
        <f aca="true">RAND()</f>
        <v>0.245158468678111</v>
      </c>
      <c r="R730" s="40" t="n">
        <f aca="true">RAND()</f>
        <v>0.867958403584614</v>
      </c>
      <c r="S730" s="40" t="n">
        <f aca="true">RAND()</f>
        <v>0.597888393100026</v>
      </c>
      <c r="T730" s="40" t="n">
        <f aca="true">RAND()</f>
        <v>0.696227333080784</v>
      </c>
      <c r="U730" s="40" t="n">
        <f aca="true">RAND()</f>
        <v>0.00139449906090435</v>
      </c>
    </row>
    <row r="731" customFormat="false" ht="15" hidden="false" customHeight="false" outlineLevel="0" collapsed="false">
      <c r="A731" s="36" t="n">
        <v>651</v>
      </c>
      <c r="B731" s="37" t="n">
        <f aca="false">1+IF($G$6=$E$6,$F$6,IF(P731&lt;($F$6-$E$6)/($G$6-$E$6),$E$6+SQRT(P731*($G$6-$E$6)*($F$6-$E$6)),$G$6-SQRT((1-P731)*($G$6-$E$6)*($G$6-$F$6))))</f>
        <v>0.993382034647216</v>
      </c>
      <c r="C731" s="37" t="n">
        <f aca="false">1+IF($G$7=$E$7,$F$7,IF(Q731&lt;($F$7-$E$7)/($G$7-$E$7),$E$7+SQRT(Q731*($G$7-$E$7)*($F$7-$E$7)),$G$7-SQRT((1-Q731)*($G$7-$E$7)*($G$7-$F$7))))</f>
        <v>1.05398232875878</v>
      </c>
      <c r="D731" s="37" t="n">
        <f aca="false">1+IF($G$8=$E$8,$F$8,IF(R731&lt;($F$8-$E$8)/($G$8-$E$8),$E$8+SQRT(R731*($G$8-$E$8)*($F$8-$E$8)),$G$8-SQRT((1-R731)*($G$8-$E$8)*($G$8-$F$8))))</f>
        <v>0.994880528464844</v>
      </c>
      <c r="E731" s="37" t="n">
        <f aca="false">1+IF($G$9=$E$9,$F$9,IF(S731&lt;($F$9-$E$9)/($G$9-$E$9),$E$9+SQRT(S731*($G$9-$E$9)*($F$9-$E$9)),$G$9-SQRT((1-S731)*($G$9-$E$9)*($G$9-$F$9))))</f>
        <v>1.01894875896835</v>
      </c>
      <c r="F731" s="37" t="n">
        <f aca="false">1+IF($G$10=$E$10,$F$10,IF(T731&lt;($F$10-$E$10)/($G$10-$E$10),$E$10+SQRT(T731*($G$10-$E$10)*($F$10-$E$10)),$G$10-SQRT((1-T731)*($G$10-$E$10)*($G$10-$F$10))))</f>
        <v>0.983592223945925</v>
      </c>
      <c r="G731" s="38" t="n">
        <f aca="false">IF($G$11=$E$11,$F$11,IF(U731&lt;($F$11-$E$11)/($G$11-$E$11),$E$11+SQRT(U731*($G$11-$E$11)*($F$11-$E$11)),$G$11-SQRT((1-U731)*($G$11-$E$11)*($G$11-$F$11))))</f>
        <v>0.0932406810658474</v>
      </c>
      <c r="H731" s="39" t="n">
        <f aca="false">(('Business Case'!B11*$C731*'Business Case'!B12*$B731)-'Business Case'!B11*$C731*'Business Case'!B13*$D731-'Business Case'!B14*$E731)-MAX(0,(('Business Case'!B11*$C731*'Business Case'!B12*$B731)-'Business Case'!B11*$C731*'Business Case'!B13*$D731-'Business Case'!B14*$E731))*'Business Case'!$B$7-'Business Case'!$B$8*('Business Case'!B11*$C731*'Business Case'!B12*$B731)-'Business Case'!B15*$F731</f>
        <v>-1967184447.89185</v>
      </c>
      <c r="I731" s="39" t="n">
        <f aca="false">(('Business Case'!C11*$C731*'Business Case'!C12*$B731)-'Business Case'!C11*$C731*'Business Case'!C13*$D731-'Business Case'!C14*$E731)-MAX(0,(('Business Case'!C11*$C731*'Business Case'!C12*$B731)-'Business Case'!C11*$C731*'Business Case'!C13*$D731-'Business Case'!C14*$E731))*'Business Case'!$B$7-'Business Case'!$B$8*(('Business Case'!C11*$C731*'Business Case'!C12*$B731)-('Business Case'!B11*$C731*'Business Case'!B12*$B731))-'Business Case'!C15*$F731</f>
        <v>23251224.122844</v>
      </c>
      <c r="J731" s="39" t="n">
        <f aca="false">(('Business Case'!D11*$C731*'Business Case'!D12*$B731)-'Business Case'!D11*$C731*'Business Case'!D13*$D731-'Business Case'!D14*$E731)-MAX(0,(('Business Case'!D11*$C731*'Business Case'!D12*$B731)-'Business Case'!D11*$C731*'Business Case'!D13*$D731-'Business Case'!D14*$E731))*'Business Case'!$B$7-'Business Case'!$B$8*(('Business Case'!D11*$C731*'Business Case'!D12*$B731)-('Business Case'!C11*$C731*'Business Case'!C12*$B731))-'Business Case'!D15*$F731</f>
        <v>344033032.759624</v>
      </c>
      <c r="K731" s="39" t="n">
        <f aca="false">(('Business Case'!E11*$C731*'Business Case'!E12*$B731)-'Business Case'!E11*$C731*'Business Case'!E13*$D731-'Business Case'!E14*$E731)-MAX(0,(('Business Case'!E11*$C731*'Business Case'!E12*$B731)-'Business Case'!E11*$C731*'Business Case'!E13*$D731-'Business Case'!E14*$E731))*'Business Case'!$B$7-'Business Case'!$B$8*(('Business Case'!E11*$C731*'Business Case'!E12*$B731)-('Business Case'!D11*$C731*'Business Case'!D12*$B731))-'Business Case'!E15*$F731</f>
        <v>713994452.5937</v>
      </c>
      <c r="L731" s="39" t="n">
        <f aca="false">(('Business Case'!F11*$C731*'Business Case'!F12*$B731)-'Business Case'!F11*$C731*'Business Case'!F13*$D731-'Business Case'!F14*$E731)-MAX(0,(('Business Case'!F11*$C731*'Business Case'!F12*$B731)-'Business Case'!F11*$C731*'Business Case'!F13*$D731-'Business Case'!F14*$E731))*'Business Case'!$B$7-'Business Case'!$B$8*(('Business Case'!F11*$C731*'Business Case'!F12*$B731)-('Business Case'!E11*$C731*'Business Case'!E12*$B731))-'Business Case'!F15*$F731</f>
        <v>857106287.868656</v>
      </c>
      <c r="M731" s="39" t="n">
        <f aca="false">(('Business Case'!G11*$C731*'Business Case'!G12*$B731)-'Business Case'!G11*$C731*'Business Case'!G13*$D731-'Business Case'!G14*$E731)-MAX(0,(('Business Case'!G11*$C731*'Business Case'!G12*$B731)-'Business Case'!G11*$C731*'Business Case'!G13*$D731-'Business Case'!G14*$E731))*'Business Case'!$B$7-'Business Case'!$B$8*(('Business Case'!G11*$C731*'Business Case'!G12*$B731)-('Business Case'!F11*$C731*'Business Case'!F12*$B731))-'Business Case'!G15*$F731+'Business Case'!$B$8*('Business Case'!G11*$C731*'Business Case'!G12*$B731)</f>
        <v>1056121399.38015</v>
      </c>
      <c r="N731" s="39" t="n">
        <f aca="false">IF(COUNT('Business Case'!B11:G11)=0,"",H731+NPV(G731,I731:M731))</f>
        <v>164702650.209069</v>
      </c>
      <c r="P731" s="40" t="n">
        <f aca="true">RAND()</f>
        <v>0.560929480100541</v>
      </c>
      <c r="Q731" s="40" t="n">
        <f aca="true">RAND()</f>
        <v>0.824392510655497</v>
      </c>
      <c r="R731" s="40" t="n">
        <f aca="true">RAND()</f>
        <v>0.309886436197494</v>
      </c>
      <c r="S731" s="40" t="n">
        <f aca="true">RAND()</f>
        <v>0.562046421815321</v>
      </c>
      <c r="T731" s="40" t="n">
        <f aca="true">RAND()</f>
        <v>0.0902750007706543</v>
      </c>
      <c r="U731" s="40" t="n">
        <f aca="true">RAND()</f>
        <v>0.0350067125684718</v>
      </c>
    </row>
    <row r="732" customFormat="false" ht="15" hidden="false" customHeight="false" outlineLevel="0" collapsed="false">
      <c r="A732" s="36" t="n">
        <v>652</v>
      </c>
      <c r="B732" s="37" t="n">
        <f aca="false">1+IF($G$6=$E$6,$F$6,IF(P732&lt;($F$6-$E$6)/($G$6-$E$6),$E$6+SQRT(P732*($G$6-$E$6)*($F$6-$E$6)),$G$6-SQRT((1-P732)*($G$6-$E$6)*($G$6-$F$6))))</f>
        <v>1.01968342958696</v>
      </c>
      <c r="C732" s="37" t="n">
        <f aca="false">1+IF($G$7=$E$7,$F$7,IF(Q732&lt;($F$7-$E$7)/($G$7-$E$7),$E$7+SQRT(Q732*($G$7-$E$7)*($F$7-$E$7)),$G$7-SQRT((1-Q732)*($G$7-$E$7)*($G$7-$F$7))))</f>
        <v>1.02866718059383</v>
      </c>
      <c r="D732" s="37" t="n">
        <f aca="false">1+IF($G$8=$E$8,$F$8,IF(R732&lt;($F$8-$E$8)/($G$8-$E$8),$E$8+SQRT(R732*($G$8-$E$8)*($F$8-$E$8)),$G$8-SQRT((1-R732)*($G$8-$E$8)*($G$8-$F$8))))</f>
        <v>0.976294790052628</v>
      </c>
      <c r="E732" s="37" t="n">
        <f aca="false">1+IF($G$9=$E$9,$F$9,IF(S732&lt;($F$9-$E$9)/($G$9-$E$9),$E$9+SQRT(S732*($G$9-$E$9)*($F$9-$E$9)),$G$9-SQRT((1-S732)*($G$9-$E$9)*($G$9-$F$9))))</f>
        <v>0.996496666803701</v>
      </c>
      <c r="F732" s="37" t="n">
        <f aca="false">1+IF($G$10=$E$10,$F$10,IF(T732&lt;($F$10-$E$10)/($G$10-$E$10),$E$10+SQRT(T732*($G$10-$E$10)*($F$10-$E$10)),$G$10-SQRT((1-T732)*($G$10-$E$10)*($G$10-$F$10))))</f>
        <v>1.17554507820543</v>
      </c>
      <c r="G732" s="38" t="n">
        <f aca="false">IF($G$11=$E$11,$F$11,IF(U732&lt;($F$11-$E$11)/($G$11-$E$11),$E$11+SQRT(U732*($G$11-$E$11)*($F$11-$E$11)),$G$11-SQRT((1-U732)*($G$11-$E$11)*($G$11-$F$11))))</f>
        <v>0.115503483353335</v>
      </c>
      <c r="H732" s="39" t="n">
        <f aca="false">(('Business Case'!B11*$C732*'Business Case'!B12*$B732)-'Business Case'!B11*$C732*'Business Case'!B13*$D732-'Business Case'!B14*$E732)-MAX(0,(('Business Case'!B11*$C732*'Business Case'!B12*$B732)-'Business Case'!B11*$C732*'Business Case'!B13*$D732-'Business Case'!B14*$E732))*'Business Case'!$B$7-'Business Case'!$B$8*('Business Case'!B11*$C732*'Business Case'!B12*$B732)-'Business Case'!B15*$F732</f>
        <v>-2351090156.41086</v>
      </c>
      <c r="I732" s="39" t="n">
        <f aca="false">(('Business Case'!C11*$C732*'Business Case'!C12*$B732)-'Business Case'!C11*$C732*'Business Case'!C13*$D732-'Business Case'!C14*$E732)-MAX(0,(('Business Case'!C11*$C732*'Business Case'!C12*$B732)-'Business Case'!C11*$C732*'Business Case'!C13*$D732-'Business Case'!C14*$E732))*'Business Case'!$B$7-'Business Case'!$B$8*(('Business Case'!C11*$C732*'Business Case'!C12*$B732)-('Business Case'!B11*$C732*'Business Case'!B12*$B732))-'Business Case'!C15*$F732</f>
        <v>31392475.4342496</v>
      </c>
      <c r="J732" s="39" t="n">
        <f aca="false">(('Business Case'!D11*$C732*'Business Case'!D12*$B732)-'Business Case'!D11*$C732*'Business Case'!D13*$D732-'Business Case'!D14*$E732)-MAX(0,(('Business Case'!D11*$C732*'Business Case'!D12*$B732)-'Business Case'!D11*$C732*'Business Case'!D13*$D732-'Business Case'!D14*$E732))*'Business Case'!$B$7-'Business Case'!$B$8*(('Business Case'!D11*$C732*'Business Case'!D12*$B732)-('Business Case'!C11*$C732*'Business Case'!C12*$B732))-'Business Case'!D15*$F732</f>
        <v>376417032.015747</v>
      </c>
      <c r="K732" s="39" t="n">
        <f aca="false">(('Business Case'!E11*$C732*'Business Case'!E12*$B732)-'Business Case'!E11*$C732*'Business Case'!E13*$D732-'Business Case'!E14*$E732)-MAX(0,(('Business Case'!E11*$C732*'Business Case'!E12*$B732)-'Business Case'!E11*$C732*'Business Case'!E13*$D732-'Business Case'!E14*$E732))*'Business Case'!$B$7-'Business Case'!$B$8*(('Business Case'!E11*$C732*'Business Case'!E12*$B732)-('Business Case'!D11*$C732*'Business Case'!D12*$B732))-'Business Case'!E15*$F732</f>
        <v>780218842.507517</v>
      </c>
      <c r="L732" s="39" t="n">
        <f aca="false">(('Business Case'!F11*$C732*'Business Case'!F12*$B732)-'Business Case'!F11*$C732*'Business Case'!F13*$D732-'Business Case'!F14*$E732)-MAX(0,(('Business Case'!F11*$C732*'Business Case'!F12*$B732)-'Business Case'!F11*$C732*'Business Case'!F13*$D732-'Business Case'!F14*$E732))*'Business Case'!$B$7-'Business Case'!$B$8*(('Business Case'!F11*$C732*'Business Case'!F12*$B732)-('Business Case'!E11*$C732*'Business Case'!E12*$B732))-'Business Case'!F15*$F732</f>
        <v>931477526.239495</v>
      </c>
      <c r="M732" s="39" t="n">
        <f aca="false">(('Business Case'!G11*$C732*'Business Case'!G12*$B732)-'Business Case'!G11*$C732*'Business Case'!G13*$D732-'Business Case'!G14*$E732)-MAX(0,(('Business Case'!G11*$C732*'Business Case'!G12*$B732)-'Business Case'!G11*$C732*'Business Case'!G13*$D732-'Business Case'!G14*$E732))*'Business Case'!$B$7-'Business Case'!$B$8*(('Business Case'!G11*$C732*'Business Case'!G12*$B732)-('Business Case'!F11*$C732*'Business Case'!F12*$B732))-'Business Case'!G15*$F732+'Business Case'!$B$8*('Business Case'!G11*$C732*'Business Case'!G12*$B732)</f>
        <v>1130855266.36596</v>
      </c>
      <c r="N732" s="39" t="n">
        <f aca="false">IF(COUNT('Business Case'!B11:G11)=0,"",H732+NPV(G732,I732:M732))</f>
        <v>-202071069.213092</v>
      </c>
      <c r="P732" s="40" t="n">
        <f aca="true">RAND()</f>
        <v>0.914007701385839</v>
      </c>
      <c r="Q732" s="40" t="n">
        <f aca="true">RAND()</f>
        <v>0.71958756066573</v>
      </c>
      <c r="R732" s="40" t="n">
        <f aca="true">RAND()</f>
        <v>0.106371689832583</v>
      </c>
      <c r="S732" s="40" t="n">
        <f aca="true">RAND()</f>
        <v>0.288258669847248</v>
      </c>
      <c r="T732" s="40" t="n">
        <f aca="true">RAND()</f>
        <v>0.988039136000431</v>
      </c>
      <c r="U732" s="40" t="n">
        <f aca="true">RAND()</f>
        <v>0.966302230077113</v>
      </c>
    </row>
    <row r="733" customFormat="false" ht="15" hidden="false" customHeight="false" outlineLevel="0" collapsed="false">
      <c r="A733" s="36" t="n">
        <v>653</v>
      </c>
      <c r="B733" s="37" t="n">
        <f aca="false">1+IF($G$6=$E$6,$F$6,IF(P733&lt;($F$6-$E$6)/($G$6-$E$6),$E$6+SQRT(P733*($G$6-$E$6)*($F$6-$E$6)),$G$6-SQRT((1-P733)*($G$6-$E$6)*($G$6-$F$6))))</f>
        <v>1.02652353525223</v>
      </c>
      <c r="C733" s="37" t="n">
        <f aca="false">1+IF($G$7=$E$7,$F$7,IF(Q733&lt;($F$7-$E$7)/($G$7-$E$7),$E$7+SQRT(Q733*($G$7-$E$7)*($F$7-$E$7)),$G$7-SQRT((1-Q733)*($G$7-$E$7)*($G$7-$F$7))))</f>
        <v>0.934104789917002</v>
      </c>
      <c r="D733" s="37" t="n">
        <f aca="false">1+IF($G$8=$E$8,$F$8,IF(R733&lt;($F$8-$E$8)/($G$8-$E$8),$E$8+SQRT(R733*($G$8-$E$8)*($F$8-$E$8)),$G$8-SQRT((1-R733)*($G$8-$E$8)*($G$8-$F$8))))</f>
        <v>0.968010850466961</v>
      </c>
      <c r="E733" s="37" t="n">
        <f aca="false">1+IF($G$9=$E$9,$F$9,IF(S733&lt;($F$9-$E$9)/($G$9-$E$9),$E$9+SQRT(S733*($G$9-$E$9)*($F$9-$E$9)),$G$9-SQRT((1-S733)*($G$9-$E$9)*($G$9-$F$9))))</f>
        <v>1.00914477521493</v>
      </c>
      <c r="F733" s="37" t="n">
        <f aca="false">1+IF($G$10=$E$10,$F$10,IF(T733&lt;($F$10-$E$10)/($G$10-$E$10),$E$10+SQRT(T733*($G$10-$E$10)*($F$10-$E$10)),$G$10-SQRT((1-T733)*($G$10-$E$10)*($G$10-$F$10))))</f>
        <v>1.00225303692958</v>
      </c>
      <c r="G733" s="38" t="n">
        <f aca="false">IF($G$11=$E$11,$F$11,IF(U733&lt;($F$11-$E$11)/($G$11-$E$11),$E$11+SQRT(U733*($G$11-$E$11)*($F$11-$E$11)),$G$11-SQRT((1-U733)*($G$11-$E$11)*($G$11-$F$11))))</f>
        <v>0.099893482764104</v>
      </c>
      <c r="H733" s="39" t="n">
        <f aca="false">(('Business Case'!B11*$C733*'Business Case'!B12*$B733)-'Business Case'!B11*$C733*'Business Case'!B13*$D733-'Business Case'!B14*$E733)-MAX(0,(('Business Case'!B11*$C733*'Business Case'!B12*$B733)-'Business Case'!B11*$C733*'Business Case'!B13*$D733-'Business Case'!B14*$E733))*'Business Case'!$B$7-'Business Case'!$B$8*('Business Case'!B11*$C733*'Business Case'!B12*$B733)-'Business Case'!B15*$F733</f>
        <v>-2004506073.85916</v>
      </c>
      <c r="I733" s="39" t="n">
        <f aca="false">(('Business Case'!C11*$C733*'Business Case'!C12*$B733)-'Business Case'!C11*$C733*'Business Case'!C13*$D733-'Business Case'!C14*$E733)-MAX(0,(('Business Case'!C11*$C733*'Business Case'!C12*$B733)-'Business Case'!C11*$C733*'Business Case'!C13*$D733-'Business Case'!C14*$E733))*'Business Case'!$B$7-'Business Case'!$B$8*(('Business Case'!C11*$C733*'Business Case'!C12*$B733)-('Business Case'!B11*$C733*'Business Case'!B12*$B733))-'Business Case'!C15*$F733</f>
        <v>29068021.3257118</v>
      </c>
      <c r="J733" s="39" t="n">
        <f aca="false">(('Business Case'!D11*$C733*'Business Case'!D12*$B733)-'Business Case'!D11*$C733*'Business Case'!D13*$D733-'Business Case'!D14*$E733)-MAX(0,(('Business Case'!D11*$C733*'Business Case'!D12*$B733)-'Business Case'!D11*$C733*'Business Case'!D13*$D733-'Business Case'!D14*$E733))*'Business Case'!$B$7-'Business Case'!$B$8*(('Business Case'!D11*$C733*'Business Case'!D12*$B733)-('Business Case'!C11*$C733*'Business Case'!C12*$B733))-'Business Case'!D15*$F733</f>
        <v>351570101.156311</v>
      </c>
      <c r="K733" s="39" t="n">
        <f aca="false">(('Business Case'!E11*$C733*'Business Case'!E12*$B733)-'Business Case'!E11*$C733*'Business Case'!E13*$D733-'Business Case'!E14*$E733)-MAX(0,(('Business Case'!E11*$C733*'Business Case'!E12*$B733)-'Business Case'!E11*$C733*'Business Case'!E13*$D733-'Business Case'!E14*$E733))*'Business Case'!$B$7-'Business Case'!$B$8*(('Business Case'!E11*$C733*'Business Case'!E12*$B733)-('Business Case'!D11*$C733*'Business Case'!D12*$B733))-'Business Case'!E15*$F733</f>
        <v>724184832.833388</v>
      </c>
      <c r="L733" s="39" t="n">
        <f aca="false">(('Business Case'!F11*$C733*'Business Case'!F12*$B733)-'Business Case'!F11*$C733*'Business Case'!F13*$D733-'Business Case'!F14*$E733)-MAX(0,(('Business Case'!F11*$C733*'Business Case'!F12*$B733)-'Business Case'!F11*$C733*'Business Case'!F13*$D733-'Business Case'!F14*$E733))*'Business Case'!$B$7-'Business Case'!$B$8*(('Business Case'!F11*$C733*'Business Case'!F12*$B733)-('Business Case'!E11*$C733*'Business Case'!E12*$B733))-'Business Case'!F15*$F733</f>
        <v>864824437.961166</v>
      </c>
      <c r="M733" s="39" t="n">
        <f aca="false">(('Business Case'!G11*$C733*'Business Case'!G12*$B733)-'Business Case'!G11*$C733*'Business Case'!G13*$D733-'Business Case'!G14*$E733)-MAX(0,(('Business Case'!G11*$C733*'Business Case'!G12*$B733)-'Business Case'!G11*$C733*'Business Case'!G13*$D733-'Business Case'!G14*$E733))*'Business Case'!$B$7-'Business Case'!$B$8*(('Business Case'!G11*$C733*'Business Case'!G12*$B733)-('Business Case'!F11*$C733*'Business Case'!F12*$B733))-'Business Case'!G15*$F733+'Business Case'!$B$8*('Business Case'!G11*$C733*'Business Case'!G12*$B733)</f>
        <v>1047088453.14118</v>
      </c>
      <c r="N733" s="39" t="n">
        <f aca="false">IF(COUNT('Business Case'!B11:G11)=0,"",H733+NPV(G733,I733:M733))</f>
        <v>98170917.5515213</v>
      </c>
      <c r="P733" s="40" t="n">
        <f aca="true">RAND()</f>
        <v>0.962163520396263</v>
      </c>
      <c r="Q733" s="40" t="n">
        <f aca="true">RAND()</f>
        <v>0.256915638266902</v>
      </c>
      <c r="R733" s="40" t="n">
        <f aca="true">RAND()</f>
        <v>0.0499062668528025</v>
      </c>
      <c r="S733" s="40" t="n">
        <f aca="true">RAND()</f>
        <v>0.449688541950235</v>
      </c>
      <c r="T733" s="40" t="n">
        <f aca="true">RAND()</f>
        <v>0.21792277192852</v>
      </c>
      <c r="U733" s="40" t="n">
        <f aca="true">RAND()</f>
        <v>0.326270004012073</v>
      </c>
    </row>
    <row r="734" customFormat="false" ht="15" hidden="false" customHeight="false" outlineLevel="0" collapsed="false">
      <c r="A734" s="36" t="n">
        <v>654</v>
      </c>
      <c r="B734" s="37" t="n">
        <f aca="false">1+IF($G$6=$E$6,$F$6,IF(P734&lt;($F$6-$E$6)/($G$6-$E$6),$E$6+SQRT(P734*($G$6-$E$6)*($F$6-$E$6)),$G$6-SQRT((1-P734)*($G$6-$E$6)*($G$6-$F$6))))</f>
        <v>0.988214691299854</v>
      </c>
      <c r="C734" s="37" t="n">
        <f aca="false">1+IF($G$7=$E$7,$F$7,IF(Q734&lt;($F$7-$E$7)/($G$7-$E$7),$E$7+SQRT(Q734*($G$7-$E$7)*($F$7-$E$7)),$G$7-SQRT((1-Q734)*($G$7-$E$7)*($G$7-$F$7))))</f>
        <v>0.821034230667729</v>
      </c>
      <c r="D734" s="37" t="n">
        <f aca="false">1+IF($G$8=$E$8,$F$8,IF(R734&lt;($F$8-$E$8)/($G$8-$E$8),$E$8+SQRT(R734*($G$8-$E$8)*($F$8-$E$8)),$G$8-SQRT((1-R734)*($G$8-$E$8)*($G$8-$F$8))))</f>
        <v>1.06904757545042</v>
      </c>
      <c r="E734" s="37" t="n">
        <f aca="false">1+IF($G$9=$E$9,$F$9,IF(S734&lt;($F$9-$E$9)/($G$9-$E$9),$E$9+SQRT(S734*($G$9-$E$9)*($F$9-$E$9)),$G$9-SQRT((1-S734)*($G$9-$E$9)*($G$9-$F$9))))</f>
        <v>1.03368214823016</v>
      </c>
      <c r="F734" s="37" t="n">
        <f aca="false">1+IF($G$10=$E$10,$F$10,IF(T734&lt;($F$10-$E$10)/($G$10-$E$10),$E$10+SQRT(T734*($G$10-$E$10)*($F$10-$E$10)),$G$10-SQRT((1-T734)*($G$10-$E$10)*($G$10-$F$10))))</f>
        <v>1.03317531612068</v>
      </c>
      <c r="G734" s="38" t="n">
        <f aca="false">IF($G$11=$E$11,$F$11,IF(U734&lt;($F$11-$E$11)/($G$11-$E$11),$E$11+SQRT(U734*($G$11-$E$11)*($F$11-$E$11)),$G$11-SQRT((1-U734)*($G$11-$E$11)*($G$11-$F$11))))</f>
        <v>0.107106983251126</v>
      </c>
      <c r="H734" s="39" t="n">
        <f aca="false">(('Business Case'!B11*$C734*'Business Case'!B12*$B734)-'Business Case'!B11*$C734*'Business Case'!B13*$D734-'Business Case'!B14*$E734)-MAX(0,(('Business Case'!B11*$C734*'Business Case'!B12*$B734)-'Business Case'!B11*$C734*'Business Case'!B13*$D734-'Business Case'!B14*$E734))*'Business Case'!$B$7-'Business Case'!$B$8*('Business Case'!B11*$C734*'Business Case'!B12*$B734)-'Business Case'!B15*$F734</f>
        <v>-2066350632.24136</v>
      </c>
      <c r="I734" s="39" t="n">
        <f aca="false">(('Business Case'!C11*$C734*'Business Case'!C12*$B734)-'Business Case'!C11*$C734*'Business Case'!C13*$D734-'Business Case'!C14*$E734)-MAX(0,(('Business Case'!C11*$C734*'Business Case'!C12*$B734)-'Business Case'!C11*$C734*'Business Case'!C13*$D734-'Business Case'!C14*$E734))*'Business Case'!$B$7-'Business Case'!$B$8*(('Business Case'!C11*$C734*'Business Case'!C12*$B734)-('Business Case'!B11*$C734*'Business Case'!B12*$B734))-'Business Case'!C15*$F734</f>
        <v>-77132048.5998119</v>
      </c>
      <c r="J734" s="39" t="n">
        <f aca="false">(('Business Case'!D11*$C734*'Business Case'!D12*$B734)-'Business Case'!D11*$C734*'Business Case'!D13*$D734-'Business Case'!D14*$E734)-MAX(0,(('Business Case'!D11*$C734*'Business Case'!D12*$B734)-'Business Case'!D11*$C734*'Business Case'!D13*$D734-'Business Case'!D14*$E734))*'Business Case'!$B$7-'Business Case'!$B$8*(('Business Case'!D11*$C734*'Business Case'!D12*$B734)-('Business Case'!C11*$C734*'Business Case'!C12*$B734))-'Business Case'!D15*$F734</f>
        <v>138103839.214472</v>
      </c>
      <c r="K734" s="39" t="n">
        <f aca="false">(('Business Case'!E11*$C734*'Business Case'!E12*$B734)-'Business Case'!E11*$C734*'Business Case'!E13*$D734-'Business Case'!E14*$E734)-MAX(0,(('Business Case'!E11*$C734*'Business Case'!E12*$B734)-'Business Case'!E11*$C734*'Business Case'!E13*$D734-'Business Case'!E14*$E734))*'Business Case'!$B$7-'Business Case'!$B$8*(('Business Case'!E11*$C734*'Business Case'!E12*$B734)-('Business Case'!D11*$C734*'Business Case'!D12*$B734))-'Business Case'!E15*$F734</f>
        <v>404998492.834791</v>
      </c>
      <c r="L734" s="39" t="n">
        <f aca="false">(('Business Case'!F11*$C734*'Business Case'!F12*$B734)-'Business Case'!F11*$C734*'Business Case'!F13*$D734-'Business Case'!F14*$E734)-MAX(0,(('Business Case'!F11*$C734*'Business Case'!F12*$B734)-'Business Case'!F11*$C734*'Business Case'!F13*$D734-'Business Case'!F14*$E734))*'Business Case'!$B$7-'Business Case'!$B$8*(('Business Case'!F11*$C734*'Business Case'!F12*$B734)-('Business Case'!E11*$C734*'Business Case'!E12*$B734))-'Business Case'!F15*$F734</f>
        <v>504784324.322017</v>
      </c>
      <c r="M734" s="39" t="n">
        <f aca="false">(('Business Case'!G11*$C734*'Business Case'!G12*$B734)-'Business Case'!G11*$C734*'Business Case'!G13*$D734-'Business Case'!G14*$E734)-MAX(0,(('Business Case'!G11*$C734*'Business Case'!G12*$B734)-'Business Case'!G11*$C734*'Business Case'!G13*$D734-'Business Case'!G14*$E734))*'Business Case'!$B$7-'Business Case'!$B$8*(('Business Case'!G11*$C734*'Business Case'!G12*$B734)-('Business Case'!F11*$C734*'Business Case'!F12*$B734))-'Business Case'!G15*$F734+'Business Case'!$B$8*('Business Case'!G11*$C734*'Business Case'!G12*$B734)</f>
        <v>659007269.842247</v>
      </c>
      <c r="N734" s="39" t="n">
        <f aca="false">IF(COUNT('Business Case'!B11:G11)=0,"",H734+NPV(G734,I734:M734))</f>
        <v>-992655125.930112</v>
      </c>
      <c r="P734" s="40" t="n">
        <f aca="true">RAND()</f>
        <v>0.484712928034824</v>
      </c>
      <c r="Q734" s="40" t="n">
        <f aca="true">RAND()</f>
        <v>0.00632055513976049</v>
      </c>
      <c r="R734" s="40" t="n">
        <f aca="true">RAND()</f>
        <v>0.988465807354397</v>
      </c>
      <c r="S734" s="40" t="n">
        <f aca="true">RAND()</f>
        <v>0.706796169108875</v>
      </c>
      <c r="T734" s="40" t="n">
        <f aca="true">RAND()</f>
        <v>0.443390496971313</v>
      </c>
      <c r="U734" s="40" t="n">
        <f aca="true">RAND()</f>
        <v>0.722950198522107</v>
      </c>
    </row>
    <row r="735" customFormat="false" ht="15" hidden="false" customHeight="false" outlineLevel="0" collapsed="false">
      <c r="A735" s="36" t="n">
        <v>655</v>
      </c>
      <c r="B735" s="37" t="n">
        <f aca="false">1+IF($G$6=$E$6,$F$6,IF(P735&lt;($F$6-$E$6)/($G$6-$E$6),$E$6+SQRT(P735*($G$6-$E$6)*($F$6-$E$6)),$G$6-SQRT((1-P735)*($G$6-$E$6)*($G$6-$F$6))))</f>
        <v>0.980539742698629</v>
      </c>
      <c r="C735" s="37" t="n">
        <f aca="false">1+IF($G$7=$E$7,$F$7,IF(Q735&lt;($F$7-$E$7)/($G$7-$E$7),$E$7+SQRT(Q735*($G$7-$E$7)*($F$7-$E$7)),$G$7-SQRT((1-Q735)*($G$7-$E$7)*($G$7-$F$7))))</f>
        <v>1.10123623304375</v>
      </c>
      <c r="D735" s="37" t="n">
        <f aca="false">1+IF($G$8=$E$8,$F$8,IF(R735&lt;($F$8-$E$8)/($G$8-$E$8),$E$8+SQRT(R735*($G$8-$E$8)*($F$8-$E$8)),$G$8-SQRT((1-R735)*($G$8-$E$8)*($G$8-$F$8))))</f>
        <v>1.00097945692123</v>
      </c>
      <c r="E735" s="37" t="n">
        <f aca="false">1+IF($G$9=$E$9,$F$9,IF(S735&lt;($F$9-$E$9)/($G$9-$E$9),$E$9+SQRT(S735*($G$9-$E$9)*($F$9-$E$9)),$G$9-SQRT((1-S735)*($G$9-$E$9)*($G$9-$F$9))))</f>
        <v>1.03236397316554</v>
      </c>
      <c r="F735" s="37" t="n">
        <f aca="false">1+IF($G$10=$E$10,$F$10,IF(T735&lt;($F$10-$E$10)/($G$10-$E$10),$E$10+SQRT(T735*($G$10-$E$10)*($F$10-$E$10)),$G$10-SQRT((1-T735)*($G$10-$E$10)*($G$10-$F$10))))</f>
        <v>0.969413641983215</v>
      </c>
      <c r="G735" s="38" t="n">
        <f aca="false">IF($G$11=$E$11,$F$11,IF(U735&lt;($F$11-$E$11)/($G$11-$E$11),$E$11+SQRT(U735*($G$11-$E$11)*($F$11-$E$11)),$G$11-SQRT((1-U735)*($G$11-$E$11)*($G$11-$F$11))))</f>
        <v>0.113600259005485</v>
      </c>
      <c r="H735" s="39" t="n">
        <f aca="false">(('Business Case'!B11*$C735*'Business Case'!B12*$B735)-'Business Case'!B11*$C735*'Business Case'!B13*$D735-'Business Case'!B14*$E735)-MAX(0,(('Business Case'!B11*$C735*'Business Case'!B12*$B735)-'Business Case'!B11*$C735*'Business Case'!B13*$D735-'Business Case'!B14*$E735))*'Business Case'!$B$7-'Business Case'!$B$8*('Business Case'!B11*$C735*'Business Case'!B12*$B735)-'Business Case'!B15*$F735</f>
        <v>-1938827283.96643</v>
      </c>
      <c r="I735" s="39" t="n">
        <f aca="false">(('Business Case'!C11*$C735*'Business Case'!C12*$B735)-'Business Case'!C11*$C735*'Business Case'!C13*$D735-'Business Case'!C14*$E735)-MAX(0,(('Business Case'!C11*$C735*'Business Case'!C12*$B735)-'Business Case'!C11*$C735*'Business Case'!C13*$D735-'Business Case'!C14*$E735))*'Business Case'!$B$7-'Business Case'!$B$8*(('Business Case'!C11*$C735*'Business Case'!C12*$B735)-('Business Case'!B11*$C735*'Business Case'!B12*$B735))-'Business Case'!C15*$F735</f>
        <v>20421097.1908824</v>
      </c>
      <c r="J735" s="39" t="n">
        <f aca="false">(('Business Case'!D11*$C735*'Business Case'!D12*$B735)-'Business Case'!D11*$C735*'Business Case'!D13*$D735-'Business Case'!D14*$E735)-MAX(0,(('Business Case'!D11*$C735*'Business Case'!D12*$B735)-'Business Case'!D11*$C735*'Business Case'!D13*$D735-'Business Case'!D14*$E735))*'Business Case'!$B$7-'Business Case'!$B$8*(('Business Case'!D11*$C735*'Business Case'!D12*$B735)-('Business Case'!C11*$C735*'Business Case'!C12*$B735))-'Business Case'!D15*$F735</f>
        <v>340562853.036564</v>
      </c>
      <c r="K735" s="39" t="n">
        <f aca="false">(('Business Case'!E11*$C735*'Business Case'!E12*$B735)-'Business Case'!E11*$C735*'Business Case'!E13*$D735-'Business Case'!E14*$E735)-MAX(0,(('Business Case'!E11*$C735*'Business Case'!E12*$B735)-'Business Case'!E11*$C735*'Business Case'!E13*$D735-'Business Case'!E14*$E735))*'Business Case'!$B$7-'Business Case'!$B$8*(('Business Case'!E11*$C735*'Business Case'!E12*$B735)-('Business Case'!D11*$C735*'Business Case'!D12*$B735))-'Business Case'!E15*$F735</f>
        <v>709175290.981406</v>
      </c>
      <c r="L735" s="39" t="n">
        <f aca="false">(('Business Case'!F11*$C735*'Business Case'!F12*$B735)-'Business Case'!F11*$C735*'Business Case'!F13*$D735-'Business Case'!F14*$E735)-MAX(0,(('Business Case'!F11*$C735*'Business Case'!F12*$B735)-'Business Case'!F11*$C735*'Business Case'!F13*$D735-'Business Case'!F14*$E735))*'Business Case'!$B$7-'Business Case'!$B$8*(('Business Case'!F11*$C735*'Business Case'!F12*$B735)-('Business Case'!E11*$C735*'Business Case'!E12*$B735))-'Business Case'!F15*$F735</f>
        <v>853207301.24486</v>
      </c>
      <c r="M735" s="39" t="n">
        <f aca="false">(('Business Case'!G11*$C735*'Business Case'!G12*$B735)-'Business Case'!G11*$C735*'Business Case'!G13*$D735-'Business Case'!G14*$E735)-MAX(0,(('Business Case'!G11*$C735*'Business Case'!G12*$B735)-'Business Case'!G11*$C735*'Business Case'!G13*$D735-'Business Case'!G14*$E735))*'Business Case'!$B$7-'Business Case'!$B$8*(('Business Case'!G11*$C735*'Business Case'!G12*$B735)-('Business Case'!F11*$C735*'Business Case'!F12*$B735))-'Business Case'!G15*$F735+'Business Case'!$B$8*('Business Case'!G11*$C735*'Business Case'!G12*$B735)</f>
        <v>1058456805.3101</v>
      </c>
      <c r="N735" s="39" t="n">
        <f aca="false">IF(COUNT('Business Case'!B11:G11)=0,"",H735+NPV(G735,I735:M735))</f>
        <v>40519670.8999839</v>
      </c>
      <c r="P735" s="40" t="n">
        <f aca="true">RAND()</f>
        <v>0.38177712979335</v>
      </c>
      <c r="Q735" s="40" t="n">
        <f aca="true">RAND()</f>
        <v>0.954706572042598</v>
      </c>
      <c r="R735" s="40" t="n">
        <f aca="true">RAND()</f>
        <v>0.399591708801618</v>
      </c>
      <c r="S735" s="40" t="n">
        <f aca="true">RAND()</f>
        <v>0.695024524936521</v>
      </c>
      <c r="T735" s="40" t="n">
        <f aca="true">RAND()</f>
        <v>0.0301511596041951</v>
      </c>
      <c r="U735" s="40" t="n">
        <f aca="true">RAND()</f>
        <v>0.931738858671878</v>
      </c>
    </row>
    <row r="736" customFormat="false" ht="15" hidden="false" customHeight="false" outlineLevel="0" collapsed="false">
      <c r="A736" s="36" t="n">
        <v>656</v>
      </c>
      <c r="B736" s="37" t="n">
        <f aca="false">1+IF($G$6=$E$6,$F$6,IF(P736&lt;($F$6-$E$6)/($G$6-$E$6),$E$6+SQRT(P736*($G$6-$E$6)*($F$6-$E$6)),$G$6-SQRT((1-P736)*($G$6-$E$6)*($G$6-$F$6))))</f>
        <v>0.99164184947182</v>
      </c>
      <c r="C736" s="37" t="n">
        <f aca="false">1+IF($G$7=$E$7,$F$7,IF(Q736&lt;($F$7-$E$7)/($G$7-$E$7),$E$7+SQRT(Q736*($G$7-$E$7)*($F$7-$E$7)),$G$7-SQRT((1-Q736)*($G$7-$E$7)*($G$7-$F$7))))</f>
        <v>0.919703395547758</v>
      </c>
      <c r="D736" s="37" t="n">
        <f aca="false">1+IF($G$8=$E$8,$F$8,IF(R736&lt;($F$8-$E$8)/($G$8-$E$8),$E$8+SQRT(R736*($G$8-$E$8)*($F$8-$E$8)),$G$8-SQRT((1-R736)*($G$8-$E$8)*($G$8-$F$8))))</f>
        <v>1.03534084217441</v>
      </c>
      <c r="E736" s="37" t="n">
        <f aca="false">1+IF($G$9=$E$9,$F$9,IF(S736&lt;($F$9-$E$9)/($G$9-$E$9),$E$9+SQRT(S736*($G$9-$E$9)*($F$9-$E$9)),$G$9-SQRT((1-S736)*($G$9-$E$9)*($G$9-$F$9))))</f>
        <v>1.00059789021717</v>
      </c>
      <c r="F736" s="37" t="n">
        <f aca="false">1+IF($G$10=$E$10,$F$10,IF(T736&lt;($F$10-$E$10)/($G$10-$E$10),$E$10+SQRT(T736*($G$10-$E$10)*($F$10-$E$10)),$G$10-SQRT((1-T736)*($G$10-$E$10)*($G$10-$F$10))))</f>
        <v>0.988876090456553</v>
      </c>
      <c r="G736" s="38" t="n">
        <f aca="false">IF($G$11=$E$11,$F$11,IF(U736&lt;($F$11-$E$11)/($G$11-$E$11),$E$11+SQRT(U736*($G$11-$E$11)*($F$11-$E$11)),$G$11-SQRT((1-U736)*($G$11-$E$11)*($G$11-$F$11))))</f>
        <v>0.103550397880014</v>
      </c>
      <c r="H736" s="39" t="n">
        <f aca="false">(('Business Case'!B11*$C736*'Business Case'!B12*$B736)-'Business Case'!B11*$C736*'Business Case'!B13*$D736-'Business Case'!B14*$E736)-MAX(0,(('Business Case'!B11*$C736*'Business Case'!B12*$B736)-'Business Case'!B11*$C736*'Business Case'!B13*$D736-'Business Case'!B14*$E736))*'Business Case'!$B$7-'Business Case'!$B$8*('Business Case'!B11*$C736*'Business Case'!B12*$B736)-'Business Case'!B15*$F736</f>
        <v>-1977752180.91311</v>
      </c>
      <c r="I736" s="39" t="n">
        <f aca="false">(('Business Case'!C11*$C736*'Business Case'!C12*$B736)-'Business Case'!C11*$C736*'Business Case'!C13*$D736-'Business Case'!C14*$E736)-MAX(0,(('Business Case'!C11*$C736*'Business Case'!C12*$B736)-'Business Case'!C11*$C736*'Business Case'!C13*$D736-'Business Case'!C14*$E736))*'Business Case'!$B$7-'Business Case'!$B$8*(('Business Case'!C11*$C736*'Business Case'!C12*$B736)-('Business Case'!B11*$C736*'Business Case'!B12*$B736))-'Business Case'!C15*$F736</f>
        <v>-28898026.1329146</v>
      </c>
      <c r="J736" s="39" t="n">
        <f aca="false">(('Business Case'!D11*$C736*'Business Case'!D12*$B736)-'Business Case'!D11*$C736*'Business Case'!D13*$D736-'Business Case'!D14*$E736)-MAX(0,(('Business Case'!D11*$C736*'Business Case'!D12*$B736)-'Business Case'!D11*$C736*'Business Case'!D13*$D736-'Business Case'!D14*$E736))*'Business Case'!$B$7-'Business Case'!$B$8*(('Business Case'!D11*$C736*'Business Case'!D12*$B736)-('Business Case'!C11*$C736*'Business Case'!C12*$B736))-'Business Case'!D15*$F736</f>
        <v>230655505.707105</v>
      </c>
      <c r="K736" s="39" t="n">
        <f aca="false">(('Business Case'!E11*$C736*'Business Case'!E12*$B736)-'Business Case'!E11*$C736*'Business Case'!E13*$D736-'Business Case'!E14*$E736)-MAX(0,(('Business Case'!E11*$C736*'Business Case'!E12*$B736)-'Business Case'!E11*$C736*'Business Case'!E13*$D736-'Business Case'!E14*$E736))*'Business Case'!$B$7-'Business Case'!$B$8*(('Business Case'!E11*$C736*'Business Case'!E12*$B736)-('Business Case'!D11*$C736*'Business Case'!D12*$B736))-'Business Case'!E15*$F736</f>
        <v>539652842.069953</v>
      </c>
      <c r="L736" s="39" t="n">
        <f aca="false">(('Business Case'!F11*$C736*'Business Case'!F12*$B736)-'Business Case'!F11*$C736*'Business Case'!F13*$D736-'Business Case'!F14*$E736)-MAX(0,(('Business Case'!F11*$C736*'Business Case'!F12*$B736)-'Business Case'!F11*$C736*'Business Case'!F13*$D736-'Business Case'!F14*$E736))*'Business Case'!$B$7-'Business Case'!$B$8*(('Business Case'!F11*$C736*'Business Case'!F12*$B736)-('Business Case'!E11*$C736*'Business Case'!E12*$B736))-'Business Case'!F15*$F736</f>
        <v>657689971.975558</v>
      </c>
      <c r="M736" s="39" t="n">
        <f aca="false">(('Business Case'!G11*$C736*'Business Case'!G12*$B736)-'Business Case'!G11*$C736*'Business Case'!G13*$D736-'Business Case'!G14*$E736)-MAX(0,(('Business Case'!G11*$C736*'Business Case'!G12*$B736)-'Business Case'!G11*$C736*'Business Case'!G13*$D736-'Business Case'!G14*$E736))*'Business Case'!$B$7-'Business Case'!$B$8*(('Business Case'!G11*$C736*'Business Case'!G12*$B736)-('Business Case'!F11*$C736*'Business Case'!F12*$B736))-'Business Case'!G15*$F736+'Business Case'!$B$8*('Business Case'!G11*$C736*'Business Case'!G12*$B736)</f>
        <v>831046044.749681</v>
      </c>
      <c r="N736" s="39" t="n">
        <f aca="false">IF(COUNT('Business Case'!B11:G11)=0,"",H736+NPV(G736,I736:M736))</f>
        <v>-461765603.699712</v>
      </c>
      <c r="P736" s="40" t="n">
        <f aca="true">RAND()</f>
        <v>0.534641103723215</v>
      </c>
      <c r="Q736" s="40" t="n">
        <f aca="true">RAND()</f>
        <v>0.204698612938043</v>
      </c>
      <c r="R736" s="40" t="n">
        <f aca="true">RAND()</f>
        <v>0.80822688676049</v>
      </c>
      <c r="S736" s="40" t="n">
        <f aca="true">RAND()</f>
        <v>0.341281371381503</v>
      </c>
      <c r="T736" s="40" t="n">
        <f aca="true">RAND()</f>
        <v>0.120908032734889</v>
      </c>
      <c r="U736" s="40" t="n">
        <f aca="true">RAND()</f>
        <v>0.549017650156934</v>
      </c>
    </row>
    <row r="737" customFormat="false" ht="15" hidden="false" customHeight="false" outlineLevel="0" collapsed="false">
      <c r="A737" s="36" t="n">
        <v>657</v>
      </c>
      <c r="B737" s="37" t="n">
        <f aca="false">1+IF($G$6=$E$6,$F$6,IF(P737&lt;($F$6-$E$6)/($G$6-$E$6),$E$6+SQRT(P737*($G$6-$E$6)*($F$6-$E$6)),$G$6-SQRT((1-P737)*($G$6-$E$6)*($G$6-$F$6))))</f>
        <v>0.986759619636225</v>
      </c>
      <c r="C737" s="37" t="n">
        <f aca="false">1+IF($G$7=$E$7,$F$7,IF(Q737&lt;($F$7-$E$7)/($G$7-$E$7),$E$7+SQRT(Q737*($G$7-$E$7)*($F$7-$E$7)),$G$7-SQRT((1-Q737)*($G$7-$E$7)*($G$7-$F$7))))</f>
        <v>1.08030969861187</v>
      </c>
      <c r="D737" s="37" t="n">
        <f aca="false">1+IF($G$8=$E$8,$F$8,IF(R737&lt;($F$8-$E$8)/($G$8-$E$8),$E$8+SQRT(R737*($G$8-$E$8)*($F$8-$E$8)),$G$8-SQRT((1-R737)*($G$8-$E$8)*($G$8-$F$8))))</f>
        <v>1.0154025856495</v>
      </c>
      <c r="E737" s="37" t="n">
        <f aca="false">1+IF($G$9=$E$9,$F$9,IF(S737&lt;($F$9-$E$9)/($G$9-$E$9),$E$9+SQRT(S737*($G$9-$E$9)*($F$9-$E$9)),$G$9-SQRT((1-S737)*($G$9-$E$9)*($G$9-$F$9))))</f>
        <v>0.964596092016913</v>
      </c>
      <c r="F737" s="37" t="n">
        <f aca="false">1+IF($G$10=$E$10,$F$10,IF(T737&lt;($F$10-$E$10)/($G$10-$E$10),$E$10+SQRT(T737*($G$10-$E$10)*($F$10-$E$10)),$G$10-SQRT((1-T737)*($G$10-$E$10)*($G$10-$F$10))))</f>
        <v>1.0220748433806</v>
      </c>
      <c r="G737" s="38" t="n">
        <f aca="false">IF($G$11=$E$11,$F$11,IF(U737&lt;($F$11-$E$11)/($G$11-$E$11),$E$11+SQRT(U737*($G$11-$E$11)*($F$11-$E$11)),$G$11-SQRT((1-U737)*($G$11-$E$11)*($G$11-$F$11))))</f>
        <v>0.109273121174256</v>
      </c>
      <c r="H737" s="39" t="n">
        <f aca="false">(('Business Case'!B11*$C737*'Business Case'!B12*$B737)-'Business Case'!B11*$C737*'Business Case'!B13*$D737-'Business Case'!B14*$E737)-MAX(0,(('Business Case'!B11*$C737*'Business Case'!B12*$B737)-'Business Case'!B11*$C737*'Business Case'!B13*$D737-'Business Case'!B14*$E737))*'Business Case'!$B$7-'Business Case'!$B$8*('Business Case'!B11*$C737*'Business Case'!B12*$B737)-'Business Case'!B15*$F737</f>
        <v>-2044149686.76121</v>
      </c>
      <c r="I737" s="39" t="n">
        <f aca="false">(('Business Case'!C11*$C737*'Business Case'!C12*$B737)-'Business Case'!C11*$C737*'Business Case'!C13*$D737-'Business Case'!C14*$E737)-MAX(0,(('Business Case'!C11*$C737*'Business Case'!C12*$B737)-'Business Case'!C11*$C737*'Business Case'!C13*$D737-'Business Case'!C14*$E737))*'Business Case'!$B$7-'Business Case'!$B$8*(('Business Case'!C11*$C737*'Business Case'!C12*$B737)-('Business Case'!B11*$C737*'Business Case'!B12*$B737))-'Business Case'!C15*$F737</f>
        <v>16950591.1880913</v>
      </c>
      <c r="J737" s="39" t="n">
        <f aca="false">(('Business Case'!D11*$C737*'Business Case'!D12*$B737)-'Business Case'!D11*$C737*'Business Case'!D13*$D737-'Business Case'!D14*$E737)-MAX(0,(('Business Case'!D11*$C737*'Business Case'!D12*$B737)-'Business Case'!D11*$C737*'Business Case'!D13*$D737-'Business Case'!D14*$E737))*'Business Case'!$B$7-'Business Case'!$B$8*(('Business Case'!D11*$C737*'Business Case'!D12*$B737)-('Business Case'!C11*$C737*'Business Case'!C12*$B737))-'Business Case'!D15*$F737</f>
        <v>328535981.380243</v>
      </c>
      <c r="K737" s="39" t="n">
        <f aca="false">(('Business Case'!E11*$C737*'Business Case'!E12*$B737)-'Business Case'!E11*$C737*'Business Case'!E13*$D737-'Business Case'!E14*$E737)-MAX(0,(('Business Case'!E11*$C737*'Business Case'!E12*$B737)-'Business Case'!E11*$C737*'Business Case'!E13*$D737-'Business Case'!E14*$E737))*'Business Case'!$B$7-'Business Case'!$B$8*(('Business Case'!E11*$C737*'Business Case'!E12*$B737)-('Business Case'!D11*$C737*'Business Case'!D12*$B737))-'Business Case'!E15*$F737</f>
        <v>691225113.741426</v>
      </c>
      <c r="L737" s="39" t="n">
        <f aca="false">(('Business Case'!F11*$C737*'Business Case'!F12*$B737)-'Business Case'!F11*$C737*'Business Case'!F13*$D737-'Business Case'!F14*$E737)-MAX(0,(('Business Case'!F11*$C737*'Business Case'!F12*$B737)-'Business Case'!F11*$C737*'Business Case'!F13*$D737-'Business Case'!F14*$E737))*'Business Case'!$B$7-'Business Case'!$B$8*(('Business Case'!F11*$C737*'Business Case'!F12*$B737)-('Business Case'!E11*$C737*'Business Case'!E12*$B737))-'Business Case'!F15*$F737</f>
        <v>831928077.392939</v>
      </c>
      <c r="M737" s="39" t="n">
        <f aca="false">(('Business Case'!G11*$C737*'Business Case'!G12*$B737)-'Business Case'!G11*$C737*'Business Case'!G13*$D737-'Business Case'!G14*$E737)-MAX(0,(('Business Case'!G11*$C737*'Business Case'!G12*$B737)-'Business Case'!G11*$C737*'Business Case'!G13*$D737-'Business Case'!G14*$E737))*'Business Case'!$B$7-'Business Case'!$B$8*(('Business Case'!G11*$C737*'Business Case'!G12*$B737)-('Business Case'!F11*$C737*'Business Case'!F12*$B737))-'Business Case'!G15*$F737+'Business Case'!$B$8*('Business Case'!G11*$C737*'Business Case'!G12*$B737)</f>
        <v>1034554495.45732</v>
      </c>
      <c r="N737" s="39" t="n">
        <f aca="false">IF(COUNT('Business Case'!B11:G11)=0,"",H737+NPV(G737,I737:M737))</f>
        <v>-90033531.4217079</v>
      </c>
      <c r="P737" s="40" t="n">
        <f aca="true">RAND()</f>
        <v>0.464254876455566</v>
      </c>
      <c r="Q737" s="40" t="n">
        <f aca="true">RAND()</f>
        <v>0.907490702712974</v>
      </c>
      <c r="R737" s="40" t="n">
        <f aca="true">RAND()</f>
        <v>0.598766736464356</v>
      </c>
      <c r="S737" s="40" t="n">
        <f aca="true">RAND()</f>
        <v>0.0284061202888261</v>
      </c>
      <c r="T737" s="40" t="n">
        <f aca="true">RAND()</f>
        <v>0.366852772839272</v>
      </c>
      <c r="U737" s="40" t="n">
        <f aca="true">RAND()</f>
        <v>0.808223451096345</v>
      </c>
    </row>
    <row r="738" customFormat="false" ht="15" hidden="false" customHeight="false" outlineLevel="0" collapsed="false">
      <c r="A738" s="36" t="n">
        <v>658</v>
      </c>
      <c r="B738" s="37" t="n">
        <f aca="false">1+IF($G$6=$E$6,$F$6,IF(P738&lt;($F$6-$E$6)/($G$6-$E$6),$E$6+SQRT(P738*($G$6-$E$6)*($F$6-$E$6)),$G$6-SQRT((1-P738)*($G$6-$E$6)*($G$6-$F$6))))</f>
        <v>0.974717566852008</v>
      </c>
      <c r="C738" s="37" t="n">
        <f aca="false">1+IF($G$7=$E$7,$F$7,IF(Q738&lt;($F$7-$E$7)/($G$7-$E$7),$E$7+SQRT(Q738*($G$7-$E$7)*($F$7-$E$7)),$G$7-SQRT((1-Q738)*($G$7-$E$7)*($G$7-$F$7))))</f>
        <v>0.947740809695019</v>
      </c>
      <c r="D738" s="37" t="n">
        <f aca="false">1+IF($G$8=$E$8,$F$8,IF(R738&lt;($F$8-$E$8)/($G$8-$E$8),$E$8+SQRT(R738*($G$8-$E$8)*($F$8-$E$8)),$G$8-SQRT((1-R738)*($G$8-$E$8)*($G$8-$F$8))))</f>
        <v>0.989981050613426</v>
      </c>
      <c r="E738" s="37" t="n">
        <f aca="false">1+IF($G$9=$E$9,$F$9,IF(S738&lt;($F$9-$E$9)/($G$9-$E$9),$E$9+SQRT(S738*($G$9-$E$9)*($F$9-$E$9)),$G$9-SQRT((1-S738)*($G$9-$E$9)*($G$9-$F$9))))</f>
        <v>1.00994408059892</v>
      </c>
      <c r="F738" s="37" t="n">
        <f aca="false">1+IF($G$10=$E$10,$F$10,IF(T738&lt;($F$10-$E$10)/($G$10-$E$10),$E$10+SQRT(T738*($G$10-$E$10)*($F$10-$E$10)),$G$10-SQRT((1-T738)*($G$10-$E$10)*($G$10-$F$10))))</f>
        <v>1.07105846659656</v>
      </c>
      <c r="G738" s="38" t="n">
        <f aca="false">IF($G$11=$E$11,$F$11,IF(U738&lt;($F$11-$E$11)/($G$11-$E$11),$E$11+SQRT(U738*($G$11-$E$11)*($F$11-$E$11)),$G$11-SQRT((1-U738)*($G$11-$E$11)*($G$11-$F$11))))</f>
        <v>0.108473645641655</v>
      </c>
      <c r="H738" s="39" t="n">
        <f aca="false">(('Business Case'!B11*$C738*'Business Case'!B12*$B738)-'Business Case'!B11*$C738*'Business Case'!B13*$D738-'Business Case'!B14*$E738)-MAX(0,(('Business Case'!B11*$C738*'Business Case'!B12*$B738)-'Business Case'!B11*$C738*'Business Case'!B13*$D738-'Business Case'!B14*$E738))*'Business Case'!$B$7-'Business Case'!$B$8*('Business Case'!B11*$C738*'Business Case'!B12*$B738)-'Business Case'!B15*$F738</f>
        <v>-2142116933.19312</v>
      </c>
      <c r="I738" s="39" t="n">
        <f aca="false">(('Business Case'!C11*$C738*'Business Case'!C12*$B738)-'Business Case'!C11*$C738*'Business Case'!C13*$D738-'Business Case'!C14*$E738)-MAX(0,(('Business Case'!C11*$C738*'Business Case'!C12*$B738)-'Business Case'!C11*$C738*'Business Case'!C13*$D738-'Business Case'!C14*$E738))*'Business Case'!$B$7-'Business Case'!$B$8*(('Business Case'!C11*$C738*'Business Case'!C12*$B738)-('Business Case'!B11*$C738*'Business Case'!B12*$B738))-'Business Case'!C15*$F738</f>
        <v>-22273219.4731846</v>
      </c>
      <c r="J738" s="39" t="n">
        <f aca="false">(('Business Case'!D11*$C738*'Business Case'!D12*$B738)-'Business Case'!D11*$C738*'Business Case'!D13*$D738-'Business Case'!D14*$E738)-MAX(0,(('Business Case'!D11*$C738*'Business Case'!D12*$B738)-'Business Case'!D11*$C738*'Business Case'!D13*$D738-'Business Case'!D14*$E738))*'Business Case'!$B$7-'Business Case'!$B$8*(('Business Case'!D11*$C738*'Business Case'!D12*$B738)-('Business Case'!C11*$C738*'Business Case'!C12*$B738))-'Business Case'!D15*$F738</f>
        <v>254062191.269567</v>
      </c>
      <c r="K738" s="39" t="n">
        <f aca="false">(('Business Case'!E11*$C738*'Business Case'!E12*$B738)-'Business Case'!E11*$C738*'Business Case'!E13*$D738-'Business Case'!E14*$E738)-MAX(0,(('Business Case'!E11*$C738*'Business Case'!E12*$B738)-'Business Case'!E11*$C738*'Business Case'!E13*$D738-'Business Case'!E14*$E738))*'Business Case'!$B$7-'Business Case'!$B$8*(('Business Case'!E11*$C738*'Business Case'!E12*$B738)-('Business Case'!D11*$C738*'Business Case'!D12*$B738))-'Business Case'!E15*$F738</f>
        <v>583950525.342147</v>
      </c>
      <c r="L738" s="39" t="n">
        <f aca="false">(('Business Case'!F11*$C738*'Business Case'!F12*$B738)-'Business Case'!F11*$C738*'Business Case'!F13*$D738-'Business Case'!F14*$E738)-MAX(0,(('Business Case'!F11*$C738*'Business Case'!F12*$B738)-'Business Case'!F11*$C738*'Business Case'!F13*$D738-'Business Case'!F14*$E738))*'Business Case'!$B$7-'Business Case'!$B$8*(('Business Case'!F11*$C738*'Business Case'!F12*$B738)-('Business Case'!E11*$C738*'Business Case'!E12*$B738))-'Business Case'!F15*$F738</f>
        <v>707988152.45314</v>
      </c>
      <c r="M738" s="39" t="n">
        <f aca="false">(('Business Case'!G11*$C738*'Business Case'!G12*$B738)-'Business Case'!G11*$C738*'Business Case'!G13*$D738-'Business Case'!G14*$E738)-MAX(0,(('Business Case'!G11*$C738*'Business Case'!G12*$B738)-'Business Case'!G11*$C738*'Business Case'!G13*$D738-'Business Case'!G14*$E738))*'Business Case'!$B$7-'Business Case'!$B$8*(('Business Case'!G11*$C738*'Business Case'!G12*$B738)-('Business Case'!F11*$C738*'Business Case'!F12*$B738))-'Business Case'!G15*$F738+'Business Case'!$B$8*('Business Case'!G11*$C738*'Business Case'!G12*$B738)</f>
        <v>883580181.868555</v>
      </c>
      <c r="N738" s="39" t="n">
        <f aca="false">IF(COUNT('Business Case'!B11:G11)=0,"",H738+NPV(G738,I738:M738))</f>
        <v>-529764041.812285</v>
      </c>
      <c r="P738" s="40" t="n">
        <f aca="true">RAND()</f>
        <v>0.31187626272958</v>
      </c>
      <c r="Q738" s="40" t="n">
        <f aca="true">RAND()</f>
        <v>0.311819240704853</v>
      </c>
      <c r="R738" s="40" t="n">
        <f aca="true">RAND()</f>
        <v>0.24592067817743</v>
      </c>
      <c r="S738" s="40" t="n">
        <f aca="true">RAND()</f>
        <v>0.459328758721793</v>
      </c>
      <c r="T738" s="40" t="n">
        <f aca="true">RAND()</f>
        <v>0.667481619271388</v>
      </c>
      <c r="U738" s="40" t="n">
        <f aca="true">RAND()</f>
        <v>0.778571925343099</v>
      </c>
    </row>
    <row r="739" customFormat="false" ht="15" hidden="false" customHeight="false" outlineLevel="0" collapsed="false">
      <c r="A739" s="36" t="n">
        <v>659</v>
      </c>
      <c r="B739" s="37" t="n">
        <f aca="false">1+IF($G$6=$E$6,$F$6,IF(P739&lt;($F$6-$E$6)/($G$6-$E$6),$E$6+SQRT(P739*($G$6-$E$6)*($F$6-$E$6)),$G$6-SQRT((1-P739)*($G$6-$E$6)*($G$6-$F$6))))</f>
        <v>1.00307179434007</v>
      </c>
      <c r="C739" s="37" t="n">
        <f aca="false">1+IF($G$7=$E$7,$F$7,IF(Q739&lt;($F$7-$E$7)/($G$7-$E$7),$E$7+SQRT(Q739*($G$7-$E$7)*($F$7-$E$7)),$G$7-SQRT((1-Q739)*($G$7-$E$7)*($G$7-$F$7))))</f>
        <v>0.998489585421188</v>
      </c>
      <c r="D739" s="37" t="n">
        <f aca="false">1+IF($G$8=$E$8,$F$8,IF(R739&lt;($F$8-$E$8)/($G$8-$E$8),$E$8+SQRT(R739*($G$8-$E$8)*($F$8-$E$8)),$G$8-SQRT((1-R739)*($G$8-$E$8)*($G$8-$F$8))))</f>
        <v>1.04370157096733</v>
      </c>
      <c r="E739" s="37" t="n">
        <f aca="false">1+IF($G$9=$E$9,$F$9,IF(S739&lt;($F$9-$E$9)/($G$9-$E$9),$E$9+SQRT(S739*($G$9-$E$9)*($F$9-$E$9)),$G$9-SQRT((1-S739)*($G$9-$E$9)*($G$9-$F$9))))</f>
        <v>1.07529659669915</v>
      </c>
      <c r="F739" s="37" t="n">
        <f aca="false">1+IF($G$10=$E$10,$F$10,IF(T739&lt;($F$10-$E$10)/($G$10-$E$10),$E$10+SQRT(T739*($G$10-$E$10)*($F$10-$E$10)),$G$10-SQRT((1-T739)*($G$10-$E$10)*($G$10-$F$10))))</f>
        <v>1.02470522604078</v>
      </c>
      <c r="G739" s="38" t="n">
        <f aca="false">IF($G$11=$E$11,$F$11,IF(U739&lt;($F$11-$E$11)/($G$11-$E$11),$E$11+SQRT(U739*($G$11-$E$11)*($F$11-$E$11)),$G$11-SQRT((1-U739)*($G$11-$E$11)*($G$11-$F$11))))</f>
        <v>0.116927338902102</v>
      </c>
      <c r="H739" s="39" t="n">
        <f aca="false">(('Business Case'!B11*$C739*'Business Case'!B12*$B739)-'Business Case'!B11*$C739*'Business Case'!B13*$D739-'Business Case'!B14*$E739)-MAX(0,(('Business Case'!B11*$C739*'Business Case'!B12*$B739)-'Business Case'!B11*$C739*'Business Case'!B13*$D739-'Business Case'!B14*$E739))*'Business Case'!$B$7-'Business Case'!$B$8*('Business Case'!B11*$C739*'Business Case'!B12*$B739)-'Business Case'!B15*$F739</f>
        <v>-2049410452.08156</v>
      </c>
      <c r="I739" s="39" t="n">
        <f aca="false">(('Business Case'!C11*$C739*'Business Case'!C12*$B739)-'Business Case'!C11*$C739*'Business Case'!C13*$D739-'Business Case'!C14*$E739)-MAX(0,(('Business Case'!C11*$C739*'Business Case'!C12*$B739)-'Business Case'!C11*$C739*'Business Case'!C13*$D739-'Business Case'!C14*$E739))*'Business Case'!$B$7-'Business Case'!$B$8*(('Business Case'!C11*$C739*'Business Case'!C12*$B739)-('Business Case'!B11*$C739*'Business Case'!B12*$B739))-'Business Case'!C15*$F739</f>
        <v>-20436024.0751227</v>
      </c>
      <c r="J739" s="39" t="n">
        <f aca="false">(('Business Case'!D11*$C739*'Business Case'!D12*$B739)-'Business Case'!D11*$C739*'Business Case'!D13*$D739-'Business Case'!D14*$E739)-MAX(0,(('Business Case'!D11*$C739*'Business Case'!D12*$B739)-'Business Case'!D11*$C739*'Business Case'!D13*$D739-'Business Case'!D14*$E739))*'Business Case'!$B$7-'Business Case'!$B$8*(('Business Case'!D11*$C739*'Business Case'!D12*$B739)-('Business Case'!C11*$C739*'Business Case'!C12*$B739))-'Business Case'!D15*$F739</f>
        <v>266426351.910111</v>
      </c>
      <c r="K739" s="39" t="n">
        <f aca="false">(('Business Case'!E11*$C739*'Business Case'!E12*$B739)-'Business Case'!E11*$C739*'Business Case'!E13*$D739-'Business Case'!E14*$E739)-MAX(0,(('Business Case'!E11*$C739*'Business Case'!E12*$B739)-'Business Case'!E11*$C739*'Business Case'!E13*$D739-'Business Case'!E14*$E739))*'Business Case'!$B$7-'Business Case'!$B$8*(('Business Case'!E11*$C739*'Business Case'!E12*$B739)-('Business Case'!D11*$C739*'Business Case'!D12*$B739))-'Business Case'!E15*$F739</f>
        <v>604523989.197383</v>
      </c>
      <c r="L739" s="39" t="n">
        <f aca="false">(('Business Case'!F11*$C739*'Business Case'!F12*$B739)-'Business Case'!F11*$C739*'Business Case'!F13*$D739-'Business Case'!F14*$E739)-MAX(0,(('Business Case'!F11*$C739*'Business Case'!F12*$B739)-'Business Case'!F11*$C739*'Business Case'!F13*$D739-'Business Case'!F14*$E739))*'Business Case'!$B$7-'Business Case'!$B$8*(('Business Case'!F11*$C739*'Business Case'!F12*$B739)-('Business Case'!E11*$C739*'Business Case'!E12*$B739))-'Business Case'!F15*$F739</f>
        <v>734758582.129567</v>
      </c>
      <c r="M739" s="39" t="n">
        <f aca="false">(('Business Case'!G11*$C739*'Business Case'!G12*$B739)-'Business Case'!G11*$C739*'Business Case'!G13*$D739-'Business Case'!G14*$E739)-MAX(0,(('Business Case'!G11*$C739*'Business Case'!G12*$B739)-'Business Case'!G11*$C739*'Business Case'!G13*$D739-'Business Case'!G14*$E739))*'Business Case'!$B$7-'Business Case'!$B$8*(('Business Case'!G11*$C739*'Business Case'!G12*$B739)-('Business Case'!F11*$C739*'Business Case'!F12*$B739))-'Business Case'!G15*$F739+'Business Case'!$B$8*('Business Case'!G11*$C739*'Business Case'!G12*$B739)</f>
        <v>925134487.28365</v>
      </c>
      <c r="N739" s="39" t="n">
        <f aca="false">IF(COUNT('Business Case'!B11:G11)=0,"",H739+NPV(G739,I739:M739))</f>
        <v>-415975723.877092</v>
      </c>
      <c r="P739" s="40" t="n">
        <f aca="true">RAND()</f>
        <v>0.715897422237007</v>
      </c>
      <c r="Q739" s="40" t="n">
        <f aca="true">RAND()</f>
        <v>0.562830221723929</v>
      </c>
      <c r="R739" s="40" t="n">
        <f aca="true">RAND()</f>
        <v>0.873310004784668</v>
      </c>
      <c r="S739" s="40" t="n">
        <f aca="true">RAND()</f>
        <v>0.959316124357034</v>
      </c>
      <c r="T739" s="40" t="n">
        <f aca="true">RAND()</f>
        <v>0.385434844451735</v>
      </c>
      <c r="U739" s="40" t="n">
        <f aca="true">RAND()</f>
        <v>0.984264589629104</v>
      </c>
    </row>
    <row r="740" customFormat="false" ht="15" hidden="false" customHeight="false" outlineLevel="0" collapsed="false">
      <c r="A740" s="36" t="n">
        <v>660</v>
      </c>
      <c r="B740" s="37" t="n">
        <f aca="false">1+IF($G$6=$E$6,$F$6,IF(P740&lt;($F$6-$E$6)/($G$6-$E$6),$E$6+SQRT(P740*($G$6-$E$6)*($F$6-$E$6)),$G$6-SQRT((1-P740)*($G$6-$E$6)*($G$6-$F$6))))</f>
        <v>0.965419227839822</v>
      </c>
      <c r="C740" s="37" t="n">
        <f aca="false">1+IF($G$7=$E$7,$F$7,IF(Q740&lt;($F$7-$E$7)/($G$7-$E$7),$E$7+SQRT(Q740*($G$7-$E$7)*($F$7-$E$7)),$G$7-SQRT((1-Q740)*($G$7-$E$7)*($G$7-$F$7))))</f>
        <v>1.06081015592966</v>
      </c>
      <c r="D740" s="37" t="n">
        <f aca="false">1+IF($G$8=$E$8,$F$8,IF(R740&lt;($F$8-$E$8)/($G$8-$E$8),$E$8+SQRT(R740*($G$8-$E$8)*($F$8-$E$8)),$G$8-SQRT((1-R740)*($G$8-$E$8)*($G$8-$F$8))))</f>
        <v>1.00248983130068</v>
      </c>
      <c r="E740" s="37" t="n">
        <f aca="false">1+IF($G$9=$E$9,$F$9,IF(S740&lt;($F$9-$E$9)/($G$9-$E$9),$E$9+SQRT(S740*($G$9-$E$9)*($F$9-$E$9)),$G$9-SQRT((1-S740)*($G$9-$E$9)*($G$9-$F$9))))</f>
        <v>1.02827771870646</v>
      </c>
      <c r="F740" s="37" t="n">
        <f aca="false">1+IF($G$10=$E$10,$F$10,IF(T740&lt;($F$10-$E$10)/($G$10-$E$10),$E$10+SQRT(T740*($G$10-$E$10)*($F$10-$E$10)),$G$10-SQRT((1-T740)*($G$10-$E$10)*($G$10-$F$10))))</f>
        <v>0.989881225888653</v>
      </c>
      <c r="G740" s="38" t="n">
        <f aca="false">IF($G$11=$E$11,$F$11,IF(U740&lt;($F$11-$E$11)/($G$11-$E$11),$E$11+SQRT(U740*($G$11-$E$11)*($F$11-$E$11)),$G$11-SQRT((1-U740)*($G$11-$E$11)*($G$11-$F$11))))</f>
        <v>0.102512780387497</v>
      </c>
      <c r="H740" s="39" t="n">
        <f aca="false">(('Business Case'!B11*$C740*'Business Case'!B12*$B740)-'Business Case'!B11*$C740*'Business Case'!B13*$D740-'Business Case'!B14*$E740)-MAX(0,(('Business Case'!B11*$C740*'Business Case'!B12*$B740)-'Business Case'!B11*$C740*'Business Case'!B13*$D740-'Business Case'!B14*$E740))*'Business Case'!$B$7-'Business Case'!$B$8*('Business Case'!B11*$C740*'Business Case'!B12*$B740)-'Business Case'!B15*$F740</f>
        <v>-1979762451.77731</v>
      </c>
      <c r="I740" s="39" t="n">
        <f aca="false">(('Business Case'!C11*$C740*'Business Case'!C12*$B740)-'Business Case'!C11*$C740*'Business Case'!C13*$D740-'Business Case'!C14*$E740)-MAX(0,(('Business Case'!C11*$C740*'Business Case'!C12*$B740)-'Business Case'!C11*$C740*'Business Case'!C13*$D740-'Business Case'!C14*$E740))*'Business Case'!$B$7-'Business Case'!$B$8*(('Business Case'!C11*$C740*'Business Case'!C12*$B740)-('Business Case'!B11*$C740*'Business Case'!B12*$B740))-'Business Case'!C15*$F740</f>
        <v>-3868612.50120716</v>
      </c>
      <c r="J740" s="39" t="n">
        <f aca="false">(('Business Case'!D11*$C740*'Business Case'!D12*$B740)-'Business Case'!D11*$C740*'Business Case'!D13*$D740-'Business Case'!D14*$E740)-MAX(0,(('Business Case'!D11*$C740*'Business Case'!D12*$B740)-'Business Case'!D11*$C740*'Business Case'!D13*$D740-'Business Case'!D14*$E740))*'Business Case'!$B$7-'Business Case'!$B$8*(('Business Case'!D11*$C740*'Business Case'!D12*$B740)-('Business Case'!C11*$C740*'Business Case'!C12*$B740))-'Business Case'!D15*$F740</f>
        <v>290562708.067406</v>
      </c>
      <c r="K740" s="39" t="n">
        <f aca="false">(('Business Case'!E11*$C740*'Business Case'!E12*$B740)-'Business Case'!E11*$C740*'Business Case'!E13*$D740-'Business Case'!E14*$E740)-MAX(0,(('Business Case'!E11*$C740*'Business Case'!E12*$B740)-'Business Case'!E11*$C740*'Business Case'!E13*$D740-'Business Case'!E14*$E740))*'Business Case'!$B$7-'Business Case'!$B$8*(('Business Case'!E11*$C740*'Business Case'!E12*$B740)-('Business Case'!D11*$C740*'Business Case'!D12*$B740))-'Business Case'!E15*$F740</f>
        <v>634488089.930452</v>
      </c>
      <c r="L740" s="39" t="n">
        <f aca="false">(('Business Case'!F11*$C740*'Business Case'!F12*$B740)-'Business Case'!F11*$C740*'Business Case'!F13*$D740-'Business Case'!F14*$E740)-MAX(0,(('Business Case'!F11*$C740*'Business Case'!F12*$B740)-'Business Case'!F11*$C740*'Business Case'!F13*$D740-'Business Case'!F14*$E740))*'Business Case'!$B$7-'Business Case'!$B$8*(('Business Case'!F11*$C740*'Business Case'!F12*$B740)-('Business Case'!E11*$C740*'Business Case'!E12*$B740))-'Business Case'!F15*$F740</f>
        <v>768025676.040587</v>
      </c>
      <c r="M740" s="39" t="n">
        <f aca="false">(('Business Case'!G11*$C740*'Business Case'!G12*$B740)-'Business Case'!G11*$C740*'Business Case'!G13*$D740-'Business Case'!G14*$E740)-MAX(0,(('Business Case'!G11*$C740*'Business Case'!G12*$B740)-'Business Case'!G11*$C740*'Business Case'!G13*$D740-'Business Case'!G14*$E740))*'Business Case'!$B$7-'Business Case'!$B$8*(('Business Case'!G11*$C740*'Business Case'!G12*$B740)-('Business Case'!F11*$C740*'Business Case'!F12*$B740))-'Business Case'!G15*$F740+'Business Case'!$B$8*('Business Case'!G11*$C740*'Business Case'!G12*$B740)</f>
        <v>962691645.270545</v>
      </c>
      <c r="N740" s="39" t="n">
        <f aca="false">IF(COUNT('Business Case'!B11:G11)=0,"",H740+NPV(G740,I740:M740))</f>
        <v>-160001111.859952</v>
      </c>
      <c r="P740" s="40" t="n">
        <f aca="true">RAND()</f>
        <v>0.214886068496422</v>
      </c>
      <c r="Q740" s="40" t="n">
        <f aca="true">RAND()</f>
        <v>0.848479461232526</v>
      </c>
      <c r="R740" s="40" t="n">
        <f aca="true">RAND()</f>
        <v>0.422324398865737</v>
      </c>
      <c r="S740" s="40" t="n">
        <f aca="true">RAND()</f>
        <v>0.657060957736638</v>
      </c>
      <c r="T740" s="40" t="n">
        <f aca="true">RAND()</f>
        <v>0.127240974270539</v>
      </c>
      <c r="U740" s="40" t="n">
        <f aca="true">RAND()</f>
        <v>0.490328583706806</v>
      </c>
    </row>
    <row r="741" customFormat="false" ht="15" hidden="false" customHeight="false" outlineLevel="0" collapsed="false">
      <c r="A741" s="36" t="n">
        <v>661</v>
      </c>
      <c r="B741" s="37" t="n">
        <f aca="false">1+IF($G$6=$E$6,$F$6,IF(P741&lt;($F$6-$E$6)/($G$6-$E$6),$E$6+SQRT(P741*($G$6-$E$6)*($F$6-$E$6)),$G$6-SQRT((1-P741)*($G$6-$E$6)*($G$6-$F$6))))</f>
        <v>0.995705540015882</v>
      </c>
      <c r="C741" s="37" t="n">
        <f aca="false">1+IF($G$7=$E$7,$F$7,IF(Q741&lt;($F$7-$E$7)/($G$7-$E$7),$E$7+SQRT(Q741*($G$7-$E$7)*($F$7-$E$7)),$G$7-SQRT((1-Q741)*($G$7-$E$7)*($G$7-$F$7))))</f>
        <v>0.998724338273319</v>
      </c>
      <c r="D741" s="37" t="n">
        <f aca="false">1+IF($G$8=$E$8,$F$8,IF(R741&lt;($F$8-$E$8)/($G$8-$E$8),$E$8+SQRT(R741*($G$8-$E$8)*($F$8-$E$8)),$G$8-SQRT((1-R741)*($G$8-$E$8)*($G$8-$F$8))))</f>
        <v>1.01894254351728</v>
      </c>
      <c r="E741" s="37" t="n">
        <f aca="false">1+IF($G$9=$E$9,$F$9,IF(S741&lt;($F$9-$E$9)/($G$9-$E$9),$E$9+SQRT(S741*($G$9-$E$9)*($F$9-$E$9)),$G$9-SQRT((1-S741)*($G$9-$E$9)*($G$9-$F$9))))</f>
        <v>1.05828807936892</v>
      </c>
      <c r="F741" s="37" t="n">
        <f aca="false">1+IF($G$10=$E$10,$F$10,IF(T741&lt;($F$10-$E$10)/($G$10-$E$10),$E$10+SQRT(T741*($G$10-$E$10)*($F$10-$E$10)),$G$10-SQRT((1-T741)*($G$10-$E$10)*($G$10-$F$10))))</f>
        <v>1.15729989697455</v>
      </c>
      <c r="G741" s="38" t="n">
        <f aca="false">IF($G$11=$E$11,$F$11,IF(U741&lt;($F$11-$E$11)/($G$11-$E$11),$E$11+SQRT(U741*($G$11-$E$11)*($F$11-$E$11)),$G$11-SQRT((1-U741)*($G$11-$E$11)*($G$11-$F$11))))</f>
        <v>0.117331548927055</v>
      </c>
      <c r="H741" s="39" t="n">
        <f aca="false">(('Business Case'!B11*$C741*'Business Case'!B12*$B741)-'Business Case'!B11*$C741*'Business Case'!B13*$D741-'Business Case'!B14*$E741)-MAX(0,(('Business Case'!B11*$C741*'Business Case'!B12*$B741)-'Business Case'!B11*$C741*'Business Case'!B13*$D741-'Business Case'!B14*$E741))*'Business Case'!$B$7-'Business Case'!$B$8*('Business Case'!B11*$C741*'Business Case'!B12*$B741)-'Business Case'!B15*$F741</f>
        <v>-2314599793.9491</v>
      </c>
      <c r="I741" s="39" t="n">
        <f aca="false">(('Business Case'!C11*$C741*'Business Case'!C12*$B741)-'Business Case'!C11*$C741*'Business Case'!C13*$D741-'Business Case'!C14*$E741)-MAX(0,(('Business Case'!C11*$C741*'Business Case'!C12*$B741)-'Business Case'!C11*$C741*'Business Case'!C13*$D741-'Business Case'!C14*$E741))*'Business Case'!$B$7-'Business Case'!$B$8*(('Business Case'!C11*$C741*'Business Case'!C12*$B741)-('Business Case'!B11*$C741*'Business Case'!B12*$B741))-'Business Case'!C15*$F741</f>
        <v>-24207587.0429361</v>
      </c>
      <c r="J741" s="39" t="n">
        <f aca="false">(('Business Case'!D11*$C741*'Business Case'!D12*$B741)-'Business Case'!D11*$C741*'Business Case'!D13*$D741-'Business Case'!D14*$E741)-MAX(0,(('Business Case'!D11*$C741*'Business Case'!D12*$B741)-'Business Case'!D11*$C741*'Business Case'!D13*$D741-'Business Case'!D14*$E741))*'Business Case'!$B$7-'Business Case'!$B$8*(('Business Case'!D11*$C741*'Business Case'!D12*$B741)-('Business Case'!C11*$C741*'Business Case'!C12*$B741))-'Business Case'!D15*$F741</f>
        <v>269354909.3823</v>
      </c>
      <c r="K741" s="39" t="n">
        <f aca="false">(('Business Case'!E11*$C741*'Business Case'!E12*$B741)-'Business Case'!E11*$C741*'Business Case'!E13*$D741-'Business Case'!E14*$E741)-MAX(0,(('Business Case'!E11*$C741*'Business Case'!E12*$B741)-'Business Case'!E11*$C741*'Business Case'!E13*$D741-'Business Case'!E14*$E741))*'Business Case'!$B$7-'Business Case'!$B$8*(('Business Case'!E11*$C741*'Business Case'!E12*$B741)-('Business Case'!D11*$C741*'Business Case'!D12*$B741))-'Business Case'!E15*$F741</f>
        <v>620782400.656264</v>
      </c>
      <c r="L741" s="39" t="n">
        <f aca="false">(('Business Case'!F11*$C741*'Business Case'!F12*$B741)-'Business Case'!F11*$C741*'Business Case'!F13*$D741-'Business Case'!F14*$E741)-MAX(0,(('Business Case'!F11*$C741*'Business Case'!F12*$B741)-'Business Case'!F11*$C741*'Business Case'!F13*$D741-'Business Case'!F14*$E741))*'Business Case'!$B$7-'Business Case'!$B$8*(('Business Case'!F11*$C741*'Business Case'!F12*$B741)-('Business Case'!E11*$C741*'Business Case'!E12*$B741))-'Business Case'!F15*$F741</f>
        <v>753004252.054314</v>
      </c>
      <c r="M741" s="39" t="n">
        <f aca="false">(('Business Case'!G11*$C741*'Business Case'!G12*$B741)-'Business Case'!G11*$C741*'Business Case'!G13*$D741-'Business Case'!G14*$E741)-MAX(0,(('Business Case'!G11*$C741*'Business Case'!G12*$B741)-'Business Case'!G11*$C741*'Business Case'!G13*$D741-'Business Case'!G14*$E741))*'Business Case'!$B$7-'Business Case'!$B$8*(('Business Case'!G11*$C741*'Business Case'!G12*$B741)-('Business Case'!F11*$C741*'Business Case'!F12*$B741))-'Business Case'!G15*$F741+'Business Case'!$B$8*('Business Case'!G11*$C741*'Business Case'!G12*$B741)</f>
        <v>942026524.630652</v>
      </c>
      <c r="N741" s="39" t="n">
        <f aca="false">IF(COUNT('Business Case'!B11:G11)=0,"",H741+NPV(G741,I741:M741))</f>
        <v>-651395958.743896</v>
      </c>
      <c r="P741" s="40" t="n">
        <f aca="true">RAND()</f>
        <v>0.597013415530861</v>
      </c>
      <c r="Q741" s="40" t="n">
        <f aca="true">RAND()</f>
        <v>0.564162323173834</v>
      </c>
      <c r="R741" s="40" t="n">
        <f aca="true">RAND()</f>
        <v>0.641537212294359</v>
      </c>
      <c r="S741" s="40" t="n">
        <f aca="true">RAND()</f>
        <v>0.884007711817788</v>
      </c>
      <c r="T741" s="40" t="n">
        <f aca="true">RAND()</f>
        <v>0.963534024032323</v>
      </c>
      <c r="U741" s="40" t="n">
        <f aca="true">RAND()</f>
        <v>0.988132281452169</v>
      </c>
    </row>
    <row r="742" customFormat="false" ht="15" hidden="false" customHeight="false" outlineLevel="0" collapsed="false">
      <c r="A742" s="36" t="n">
        <v>662</v>
      </c>
      <c r="B742" s="37" t="n">
        <f aca="false">1+IF($G$6=$E$6,$F$6,IF(P742&lt;($F$6-$E$6)/($G$6-$E$6),$E$6+SQRT(P742*($G$6-$E$6)*($F$6-$E$6)),$G$6-SQRT((1-P742)*($G$6-$E$6)*($G$6-$F$6))))</f>
        <v>0.93837278276097</v>
      </c>
      <c r="C742" s="37" t="n">
        <f aca="false">1+IF($G$7=$E$7,$F$7,IF(Q742&lt;($F$7-$E$7)/($G$7-$E$7),$E$7+SQRT(Q742*($G$7-$E$7)*($F$7-$E$7)),$G$7-SQRT((1-Q742)*($G$7-$E$7)*($G$7-$F$7))))</f>
        <v>1.09165533778682</v>
      </c>
      <c r="D742" s="37" t="n">
        <f aca="false">1+IF($G$8=$E$8,$F$8,IF(R742&lt;($F$8-$E$8)/($G$8-$E$8),$E$8+SQRT(R742*($G$8-$E$8)*($F$8-$E$8)),$G$8-SQRT((1-R742)*($G$8-$E$8)*($G$8-$F$8))))</f>
        <v>1.01003099227004</v>
      </c>
      <c r="E742" s="37" t="n">
        <f aca="false">1+IF($G$9=$E$9,$F$9,IF(S742&lt;($F$9-$E$9)/($G$9-$E$9),$E$9+SQRT(S742*($G$9-$E$9)*($F$9-$E$9)),$G$9-SQRT((1-S742)*($G$9-$E$9)*($G$9-$F$9))))</f>
        <v>1.02313828398473</v>
      </c>
      <c r="F742" s="37" t="n">
        <f aca="false">1+IF($G$10=$E$10,$F$10,IF(T742&lt;($F$10-$E$10)/($G$10-$E$10),$E$10+SQRT(T742*($G$10-$E$10)*($F$10-$E$10)),$G$10-SQRT((1-T742)*($G$10-$E$10)*($G$10-$F$10))))</f>
        <v>0.987909663835837</v>
      </c>
      <c r="G742" s="38" t="n">
        <f aca="false">IF($G$11=$E$11,$F$11,IF(U742&lt;($F$11-$E$11)/($G$11-$E$11),$E$11+SQRT(U742*($G$11-$E$11)*($F$11-$E$11)),$G$11-SQRT((1-U742)*($G$11-$E$11)*($G$11-$F$11))))</f>
        <v>0.103943286032279</v>
      </c>
      <c r="H742" s="39" t="n">
        <f aca="false">(('Business Case'!B11*$C742*'Business Case'!B12*$B742)-'Business Case'!B11*$C742*'Business Case'!B13*$D742-'Business Case'!B14*$E742)-MAX(0,(('Business Case'!B11*$C742*'Business Case'!B12*$B742)-'Business Case'!B11*$C742*'Business Case'!B13*$D742-'Business Case'!B14*$E742))*'Business Case'!$B$7-'Business Case'!$B$8*('Business Case'!B11*$C742*'Business Case'!B12*$B742)-'Business Case'!B15*$F742</f>
        <v>-1975819327.67167</v>
      </c>
      <c r="I742" s="39" t="n">
        <f aca="false">(('Business Case'!C11*$C742*'Business Case'!C12*$B742)-'Business Case'!C11*$C742*'Business Case'!C13*$D742-'Business Case'!C14*$E742)-MAX(0,(('Business Case'!C11*$C742*'Business Case'!C12*$B742)-'Business Case'!C11*$C742*'Business Case'!C13*$D742-'Business Case'!C14*$E742))*'Business Case'!$B$7-'Business Case'!$B$8*(('Business Case'!C11*$C742*'Business Case'!C12*$B742)-('Business Case'!B11*$C742*'Business Case'!B12*$B742))-'Business Case'!C15*$F742</f>
        <v>-22790299.514732</v>
      </c>
      <c r="J742" s="39" t="n">
        <f aca="false">(('Business Case'!D11*$C742*'Business Case'!D12*$B742)-'Business Case'!D11*$C742*'Business Case'!D13*$D742-'Business Case'!D14*$E742)-MAX(0,(('Business Case'!D11*$C742*'Business Case'!D12*$B742)-'Business Case'!D11*$C742*'Business Case'!D13*$D742-'Business Case'!D14*$E742))*'Business Case'!$B$7-'Business Case'!$B$8*(('Business Case'!D11*$C742*'Business Case'!D12*$B742)-('Business Case'!C11*$C742*'Business Case'!C12*$B742))-'Business Case'!D15*$F742</f>
        <v>251804472.76262</v>
      </c>
      <c r="K742" s="39" t="n">
        <f aca="false">(('Business Case'!E11*$C742*'Business Case'!E12*$B742)-'Business Case'!E11*$C742*'Business Case'!E13*$D742-'Business Case'!E14*$E742)-MAX(0,(('Business Case'!E11*$C742*'Business Case'!E12*$B742)-'Business Case'!E11*$C742*'Business Case'!E13*$D742-'Business Case'!E14*$E742))*'Business Case'!$B$7-'Business Case'!$B$8*(('Business Case'!E11*$C742*'Business Case'!E12*$B742)-('Business Case'!D11*$C742*'Business Case'!D12*$B742))-'Business Case'!E15*$F742</f>
        <v>575794728.231764</v>
      </c>
      <c r="L742" s="39" t="n">
        <f aca="false">(('Business Case'!F11*$C742*'Business Case'!F12*$B742)-'Business Case'!F11*$C742*'Business Case'!F13*$D742-'Business Case'!F14*$E742)-MAX(0,(('Business Case'!F11*$C742*'Business Case'!F12*$B742)-'Business Case'!F11*$C742*'Business Case'!F13*$D742-'Business Case'!F14*$E742))*'Business Case'!$B$7-'Business Case'!$B$8*(('Business Case'!F11*$C742*'Business Case'!F12*$B742)-('Business Case'!E11*$C742*'Business Case'!E12*$B742))-'Business Case'!F15*$F742</f>
        <v>702728879.941463</v>
      </c>
      <c r="M742" s="39" t="n">
        <f aca="false">(('Business Case'!G11*$C742*'Business Case'!G12*$B742)-'Business Case'!G11*$C742*'Business Case'!G13*$D742-'Business Case'!G14*$E742)-MAX(0,(('Business Case'!G11*$C742*'Business Case'!G12*$B742)-'Business Case'!G11*$C742*'Business Case'!G13*$D742-'Business Case'!G14*$E742))*'Business Case'!$B$7-'Business Case'!$B$8*(('Business Case'!G11*$C742*'Business Case'!G12*$B742)-('Business Case'!F11*$C742*'Business Case'!F12*$B742))-'Business Case'!G15*$F742+'Business Case'!$B$8*('Business Case'!G11*$C742*'Business Case'!G12*$B742)</f>
        <v>897442965.169661</v>
      </c>
      <c r="N742" s="39" t="n">
        <f aca="false">IF(COUNT('Business Case'!B11:G11)=0,"",H742+NPV(G742,I742:M742))</f>
        <v>-341349008.808747</v>
      </c>
      <c r="P742" s="40" t="n">
        <f aca="true">RAND()</f>
        <v>0.0351624110814358</v>
      </c>
      <c r="Q742" s="40" t="n">
        <f aca="true">RAND()</f>
        <v>0.935160007451991</v>
      </c>
      <c r="R742" s="40" t="n">
        <f aca="true">RAND()</f>
        <v>0.529263265123549</v>
      </c>
      <c r="S742" s="40" t="n">
        <f aca="true">RAND()</f>
        <v>0.606151774079164</v>
      </c>
      <c r="T742" s="40" t="n">
        <f aca="true">RAND()</f>
        <v>0.114971408971695</v>
      </c>
      <c r="U742" s="40" t="n">
        <f aca="true">RAND()</f>
        <v>0.570303227598015</v>
      </c>
    </row>
    <row r="743" customFormat="false" ht="15" hidden="false" customHeight="false" outlineLevel="0" collapsed="false">
      <c r="A743" s="36" t="n">
        <v>663</v>
      </c>
      <c r="B743" s="37" t="n">
        <f aca="false">1+IF($G$6=$E$6,$F$6,IF(P743&lt;($F$6-$E$6)/($G$6-$E$6),$E$6+SQRT(P743*($G$6-$E$6)*($F$6-$E$6)),$G$6-SQRT((1-P743)*($G$6-$E$6)*($G$6-$F$6))))</f>
        <v>1.03262663378659</v>
      </c>
      <c r="C743" s="37" t="n">
        <f aca="false">1+IF($G$7=$E$7,$F$7,IF(Q743&lt;($F$7-$E$7)/($G$7-$E$7),$E$7+SQRT(Q743*($G$7-$E$7)*($F$7-$E$7)),$G$7-SQRT((1-Q743)*($G$7-$E$7)*($G$7-$F$7))))</f>
        <v>0.964656313782889</v>
      </c>
      <c r="D743" s="37" t="n">
        <f aca="false">1+IF($G$8=$E$8,$F$8,IF(R743&lt;($F$8-$E$8)/($G$8-$E$8),$E$8+SQRT(R743*($G$8-$E$8)*($F$8-$E$8)),$G$8-SQRT((1-R743)*($G$8-$E$8)*($G$8-$F$8))))</f>
        <v>1.00144277807935</v>
      </c>
      <c r="E743" s="37" t="n">
        <f aca="false">1+IF($G$9=$E$9,$F$9,IF(S743&lt;($F$9-$E$9)/($G$9-$E$9),$E$9+SQRT(S743*($G$9-$E$9)*($F$9-$E$9)),$G$9-SQRT((1-S743)*($G$9-$E$9)*($G$9-$F$9))))</f>
        <v>1.01379874442759</v>
      </c>
      <c r="F743" s="37" t="n">
        <f aca="false">1+IF($G$10=$E$10,$F$10,IF(T743&lt;($F$10-$E$10)/($G$10-$E$10),$E$10+SQRT(T743*($G$10-$E$10)*($F$10-$E$10)),$G$10-SQRT((1-T743)*($G$10-$E$10)*($G$10-$F$10))))</f>
        <v>0.98440531736228</v>
      </c>
      <c r="G743" s="38" t="n">
        <f aca="false">IF($G$11=$E$11,$F$11,IF(U743&lt;($F$11-$E$11)/($G$11-$E$11),$E$11+SQRT(U743*($G$11-$E$11)*($F$11-$E$11)),$G$11-SQRT((1-U743)*($G$11-$E$11)*($G$11-$F$11))))</f>
        <v>0.104184600826111</v>
      </c>
      <c r="H743" s="39" t="n">
        <f aca="false">(('Business Case'!B11*$C743*'Business Case'!B12*$B743)-'Business Case'!B11*$C743*'Business Case'!B13*$D743-'Business Case'!B14*$E743)-MAX(0,(('Business Case'!B11*$C743*'Business Case'!B12*$B743)-'Business Case'!B11*$C743*'Business Case'!B13*$D743-'Business Case'!B14*$E743))*'Business Case'!$B$7-'Business Case'!$B$8*('Business Case'!B11*$C743*'Business Case'!B12*$B743)-'Business Case'!B15*$F743</f>
        <v>-1968810634.72456</v>
      </c>
      <c r="I743" s="39" t="n">
        <f aca="false">(('Business Case'!C11*$C743*'Business Case'!C12*$B743)-'Business Case'!C11*$C743*'Business Case'!C13*$D743-'Business Case'!C14*$E743)-MAX(0,(('Business Case'!C11*$C743*'Business Case'!C12*$B743)-'Business Case'!C11*$C743*'Business Case'!C13*$D743-'Business Case'!C14*$E743))*'Business Case'!$B$7-'Business Case'!$B$8*(('Business Case'!C11*$C743*'Business Case'!C12*$B743)-('Business Case'!B11*$C743*'Business Case'!B12*$B743))-'Business Case'!C15*$F743</f>
        <v>27120604.3817096</v>
      </c>
      <c r="J743" s="39" t="n">
        <f aca="false">(('Business Case'!D11*$C743*'Business Case'!D12*$B743)-'Business Case'!D11*$C743*'Business Case'!D13*$D743-'Business Case'!D14*$E743)-MAX(0,(('Business Case'!D11*$C743*'Business Case'!D12*$B743)-'Business Case'!D11*$C743*'Business Case'!D13*$D743-'Business Case'!D14*$E743))*'Business Case'!$B$7-'Business Case'!$B$8*(('Business Case'!D11*$C743*'Business Case'!D12*$B743)-('Business Case'!C11*$C743*'Business Case'!C12*$B743))-'Business Case'!D15*$F743</f>
        <v>348483290.896176</v>
      </c>
      <c r="K743" s="39" t="n">
        <f aca="false">(('Business Case'!E11*$C743*'Business Case'!E12*$B743)-'Business Case'!E11*$C743*'Business Case'!E13*$D743-'Business Case'!E14*$E743)-MAX(0,(('Business Case'!E11*$C743*'Business Case'!E12*$B743)-'Business Case'!E11*$C743*'Business Case'!E13*$D743-'Business Case'!E14*$E743))*'Business Case'!$B$7-'Business Case'!$B$8*(('Business Case'!E11*$C743*'Business Case'!E12*$B743)-('Business Case'!D11*$C743*'Business Case'!D12*$B743))-'Business Case'!E15*$F743</f>
        <v>719066243.278757</v>
      </c>
      <c r="L743" s="39" t="n">
        <f aca="false">(('Business Case'!F11*$C743*'Business Case'!F12*$B743)-'Business Case'!F11*$C743*'Business Case'!F13*$D743-'Business Case'!F14*$E743)-MAX(0,(('Business Case'!F11*$C743*'Business Case'!F12*$B743)-'Business Case'!F11*$C743*'Business Case'!F13*$D743-'Business Case'!F14*$E743))*'Business Case'!$B$7-'Business Case'!$B$8*(('Business Case'!F11*$C743*'Business Case'!F12*$B743)-('Business Case'!E11*$C743*'Business Case'!E12*$B743))-'Business Case'!F15*$F743</f>
        <v>860613384.742863</v>
      </c>
      <c r="M743" s="39" t="n">
        <f aca="false">(('Business Case'!G11*$C743*'Business Case'!G12*$B743)-'Business Case'!G11*$C743*'Business Case'!G13*$D743-'Business Case'!G14*$E743)-MAX(0,(('Business Case'!G11*$C743*'Business Case'!G12*$B743)-'Business Case'!G11*$C743*'Business Case'!G13*$D743-'Business Case'!G14*$E743))*'Business Case'!$B$7-'Business Case'!$B$8*(('Business Case'!G11*$C743*'Business Case'!G12*$B743)-('Business Case'!F11*$C743*'Business Case'!F12*$B743))-'Business Case'!G15*$F743+'Business Case'!$B$8*('Business Case'!G11*$C743*'Business Case'!G12*$B743)</f>
        <v>1049957737.51892</v>
      </c>
      <c r="N743" s="39" t="n">
        <f aca="false">IF(COUNT('Business Case'!B11:G11)=0,"",H743+NPV(G743,I743:M743))</f>
        <v>94332404.0565903</v>
      </c>
      <c r="P743" s="40" t="n">
        <f aca="true">RAND()</f>
        <v>0.988673639725616</v>
      </c>
      <c r="Q743" s="40" t="n">
        <f aca="true">RAND()</f>
        <v>0.387310023836705</v>
      </c>
      <c r="R743" s="40" t="n">
        <f aca="true">RAND()</f>
        <v>0.406611815779746</v>
      </c>
      <c r="S743" s="40" t="n">
        <f aca="true">RAND()</f>
        <v>0.50462290251601</v>
      </c>
      <c r="T743" s="40" t="n">
        <f aca="true">RAND()</f>
        <v>0.0946980690239391</v>
      </c>
      <c r="U743" s="40" t="n">
        <f aca="true">RAND()</f>
        <v>0.583121914950912</v>
      </c>
    </row>
    <row r="744" customFormat="false" ht="15" hidden="false" customHeight="false" outlineLevel="0" collapsed="false">
      <c r="A744" s="36" t="n">
        <v>664</v>
      </c>
      <c r="B744" s="37" t="n">
        <f aca="false">1+IF($G$6=$E$6,$F$6,IF(P744&lt;($F$6-$E$6)/($G$6-$E$6),$E$6+SQRT(P744*($G$6-$E$6)*($F$6-$E$6)),$G$6-SQRT((1-P744)*($G$6-$E$6)*($G$6-$F$6))))</f>
        <v>0.994146386948303</v>
      </c>
      <c r="C744" s="37" t="n">
        <f aca="false">1+IF($G$7=$E$7,$F$7,IF(Q744&lt;($F$7-$E$7)/($G$7-$E$7),$E$7+SQRT(Q744*($G$7-$E$7)*($F$7-$E$7)),$G$7-SQRT((1-Q744)*($G$7-$E$7)*($G$7-$F$7))))</f>
        <v>1.00899823593964</v>
      </c>
      <c r="D744" s="37" t="n">
        <f aca="false">1+IF($G$8=$E$8,$F$8,IF(R744&lt;($F$8-$E$8)/($G$8-$E$8),$E$8+SQRT(R744*($G$8-$E$8)*($F$8-$E$8)),$G$8-SQRT((1-R744)*($G$8-$E$8)*($G$8-$F$8))))</f>
        <v>1.00473652295239</v>
      </c>
      <c r="E744" s="37" t="n">
        <f aca="false">1+IF($G$9=$E$9,$F$9,IF(S744&lt;($F$9-$E$9)/($G$9-$E$9),$E$9+SQRT(S744*($G$9-$E$9)*($F$9-$E$9)),$G$9-SQRT((1-S744)*($G$9-$E$9)*($G$9-$F$9))))</f>
        <v>0.976363211005232</v>
      </c>
      <c r="F744" s="37" t="n">
        <f aca="false">1+IF($G$10=$E$10,$F$10,IF(T744&lt;($F$10-$E$10)/($G$10-$E$10),$E$10+SQRT(T744*($G$10-$E$10)*($F$10-$E$10)),$G$10-SQRT((1-T744)*($G$10-$E$10)*($G$10-$F$10))))</f>
        <v>1.14563538740242</v>
      </c>
      <c r="G744" s="38" t="n">
        <f aca="false">IF($G$11=$E$11,$F$11,IF(U744&lt;($F$11-$E$11)/($G$11-$E$11),$E$11+SQRT(U744*($G$11-$E$11)*($F$11-$E$11)),$G$11-SQRT((1-U744)*($G$11-$E$11)*($G$11-$F$11))))</f>
        <v>0.0953859794087532</v>
      </c>
      <c r="H744" s="39" t="n">
        <f aca="false">(('Business Case'!B11*$C744*'Business Case'!B12*$B744)-'Business Case'!B11*$C744*'Business Case'!B13*$D744-'Business Case'!B14*$E744)-MAX(0,(('Business Case'!B11*$C744*'Business Case'!B12*$B744)-'Business Case'!B11*$C744*'Business Case'!B13*$D744-'Business Case'!B14*$E744))*'Business Case'!$B$7-'Business Case'!$B$8*('Business Case'!B11*$C744*'Business Case'!B12*$B744)-'Business Case'!B15*$F744</f>
        <v>-2291270774.80483</v>
      </c>
      <c r="I744" s="39" t="n">
        <f aca="false">(('Business Case'!C11*$C744*'Business Case'!C12*$B744)-'Business Case'!C11*$C744*'Business Case'!C13*$D744-'Business Case'!C14*$E744)-MAX(0,(('Business Case'!C11*$C744*'Business Case'!C12*$B744)-'Business Case'!C11*$C744*'Business Case'!C13*$D744-'Business Case'!C14*$E744))*'Business Case'!$B$7-'Business Case'!$B$8*(('Business Case'!C11*$C744*'Business Case'!C12*$B744)-('Business Case'!B11*$C744*'Business Case'!B12*$B744))-'Business Case'!C15*$F744</f>
        <v>-2771059.81045023</v>
      </c>
      <c r="J744" s="39" t="n">
        <f aca="false">(('Business Case'!D11*$C744*'Business Case'!D12*$B744)-'Business Case'!D11*$C744*'Business Case'!D13*$D744-'Business Case'!D14*$E744)-MAX(0,(('Business Case'!D11*$C744*'Business Case'!D12*$B744)-'Business Case'!D11*$C744*'Business Case'!D13*$D744-'Business Case'!D14*$E744))*'Business Case'!$B$7-'Business Case'!$B$8*(('Business Case'!D11*$C744*'Business Case'!D12*$B744)-('Business Case'!C11*$C744*'Business Case'!C12*$B744))-'Business Case'!D15*$F744</f>
        <v>299860554.448397</v>
      </c>
      <c r="K744" s="39" t="n">
        <f aca="false">(('Business Case'!E11*$C744*'Business Case'!E12*$B744)-'Business Case'!E11*$C744*'Business Case'!E13*$D744-'Business Case'!E14*$E744)-MAX(0,(('Business Case'!E11*$C744*'Business Case'!E12*$B744)-'Business Case'!E11*$C744*'Business Case'!E13*$D744-'Business Case'!E14*$E744))*'Business Case'!$B$7-'Business Case'!$B$8*(('Business Case'!E11*$C744*'Business Case'!E12*$B744)-('Business Case'!D11*$C744*'Business Case'!D12*$B744))-'Business Case'!E15*$F744</f>
        <v>659773938.077366</v>
      </c>
      <c r="L744" s="39" t="n">
        <f aca="false">(('Business Case'!F11*$C744*'Business Case'!F12*$B744)-'Business Case'!F11*$C744*'Business Case'!F13*$D744-'Business Case'!F14*$E744)-MAX(0,(('Business Case'!F11*$C744*'Business Case'!F12*$B744)-'Business Case'!F11*$C744*'Business Case'!F13*$D744-'Business Case'!F14*$E744))*'Business Case'!$B$7-'Business Case'!$B$8*(('Business Case'!F11*$C744*'Business Case'!F12*$B744)-('Business Case'!E11*$C744*'Business Case'!E12*$B744))-'Business Case'!F15*$F744</f>
        <v>795318000.646389</v>
      </c>
      <c r="M744" s="39" t="n">
        <f aca="false">(('Business Case'!G11*$C744*'Business Case'!G12*$B744)-'Business Case'!G11*$C744*'Business Case'!G13*$D744-'Business Case'!G14*$E744)-MAX(0,(('Business Case'!G11*$C744*'Business Case'!G12*$B744)-'Business Case'!G11*$C744*'Business Case'!G13*$D744-'Business Case'!G14*$E744))*'Business Case'!$B$7-'Business Case'!$B$8*(('Business Case'!G11*$C744*'Business Case'!G12*$B744)-('Business Case'!F11*$C744*'Business Case'!F12*$B744))-'Business Case'!G15*$F744+'Business Case'!$B$8*('Business Case'!G11*$C744*'Business Case'!G12*$B744)</f>
        <v>985985718.6348</v>
      </c>
      <c r="N744" s="39" t="n">
        <f aca="false">IF(COUNT('Business Case'!B11:G11)=0,"",H744+NPV(G744,I744:M744))</f>
        <v>-364255281.660468</v>
      </c>
      <c r="P744" s="40" t="n">
        <f aca="true">RAND()</f>
        <v>0.572675697654939</v>
      </c>
      <c r="Q744" s="40" t="n">
        <f aca="true">RAND()</f>
        <v>0.621304810130809</v>
      </c>
      <c r="R744" s="40" t="n">
        <f aca="true">RAND()</f>
        <v>0.45532779064461</v>
      </c>
      <c r="S744" s="40" t="n">
        <f aca="true">RAND()</f>
        <v>0.0926691859341811</v>
      </c>
      <c r="T744" s="40" t="n">
        <f aca="true">RAND()</f>
        <v>0.940889777942292</v>
      </c>
      <c r="U744" s="40" t="n">
        <f aca="true">RAND()</f>
        <v>0.0966959139717109</v>
      </c>
    </row>
    <row r="745" customFormat="false" ht="15" hidden="false" customHeight="false" outlineLevel="0" collapsed="false">
      <c r="A745" s="36" t="n">
        <v>665</v>
      </c>
      <c r="B745" s="37" t="n">
        <f aca="false">1+IF($G$6=$E$6,$F$6,IF(P745&lt;($F$6-$E$6)/($G$6-$E$6),$E$6+SQRT(P745*($G$6-$E$6)*($F$6-$E$6)),$G$6-SQRT((1-P745)*($G$6-$E$6)*($G$6-$F$6))))</f>
        <v>0.992208475447584</v>
      </c>
      <c r="C745" s="37" t="n">
        <f aca="false">1+IF($G$7=$E$7,$F$7,IF(Q745&lt;($F$7-$E$7)/($G$7-$E$7),$E$7+SQRT(Q745*($G$7-$E$7)*($F$7-$E$7)),$G$7-SQRT((1-Q745)*($G$7-$E$7)*($G$7-$F$7))))</f>
        <v>1.00625675510432</v>
      </c>
      <c r="D745" s="37" t="n">
        <f aca="false">1+IF($G$8=$E$8,$F$8,IF(R745&lt;($F$8-$E$8)/($G$8-$E$8),$E$8+SQRT(R745*($G$8-$E$8)*($F$8-$E$8)),$G$8-SQRT((1-R745)*($G$8-$E$8)*($G$8-$F$8))))</f>
        <v>1.02124074530382</v>
      </c>
      <c r="E745" s="37" t="n">
        <f aca="false">1+IF($G$9=$E$9,$F$9,IF(S745&lt;($F$9-$E$9)/($G$9-$E$9),$E$9+SQRT(S745*($G$9-$E$9)*($F$9-$E$9)),$G$9-SQRT((1-S745)*($G$9-$E$9)*($G$9-$F$9))))</f>
        <v>1.06104450903034</v>
      </c>
      <c r="F745" s="37" t="n">
        <f aca="false">1+IF($G$10=$E$10,$F$10,IF(T745&lt;($F$10-$E$10)/($G$10-$E$10),$E$10+SQRT(T745*($G$10-$E$10)*($F$10-$E$10)),$G$10-SQRT((1-T745)*($G$10-$E$10)*($G$10-$F$10))))</f>
        <v>1.00861181909798</v>
      </c>
      <c r="G745" s="38" t="n">
        <f aca="false">IF($G$11=$E$11,$F$11,IF(U745&lt;($F$11-$E$11)/($G$11-$E$11),$E$11+SQRT(U745*($G$11-$E$11)*($F$11-$E$11)),$G$11-SQRT((1-U745)*($G$11-$E$11)*($G$11-$F$11))))</f>
        <v>0.10543808599964</v>
      </c>
      <c r="H745" s="39" t="n">
        <f aca="false">(('Business Case'!B11*$C745*'Business Case'!B12*$B745)-'Business Case'!B11*$C745*'Business Case'!B13*$D745-'Business Case'!B14*$E745)-MAX(0,(('Business Case'!B11*$C745*'Business Case'!B12*$B745)-'Business Case'!B11*$C745*'Business Case'!B13*$D745-'Business Case'!B14*$E745))*'Business Case'!$B$7-'Business Case'!$B$8*('Business Case'!B11*$C745*'Business Case'!B12*$B745)-'Business Case'!B15*$F745</f>
        <v>-2017223638.19596</v>
      </c>
      <c r="I745" s="39" t="n">
        <f aca="false">(('Business Case'!C11*$C745*'Business Case'!C12*$B745)-'Business Case'!C11*$C745*'Business Case'!C13*$D745-'Business Case'!C14*$E745)-MAX(0,(('Business Case'!C11*$C745*'Business Case'!C12*$B745)-'Business Case'!C11*$C745*'Business Case'!C13*$D745-'Business Case'!C14*$E745))*'Business Case'!$B$7-'Business Case'!$B$8*(('Business Case'!C11*$C745*'Business Case'!C12*$B745)-('Business Case'!B11*$C745*'Business Case'!B12*$B745))-'Business Case'!C15*$F745</f>
        <v>-11789191.2526151</v>
      </c>
      <c r="J745" s="39" t="n">
        <f aca="false">(('Business Case'!D11*$C745*'Business Case'!D12*$B745)-'Business Case'!D11*$C745*'Business Case'!D13*$D745-'Business Case'!D14*$E745)-MAX(0,(('Business Case'!D11*$C745*'Business Case'!D12*$B745)-'Business Case'!D11*$C745*'Business Case'!D13*$D745-'Business Case'!D14*$E745))*'Business Case'!$B$7-'Business Case'!$B$8*(('Business Case'!D11*$C745*'Business Case'!D12*$B745)-('Business Case'!C11*$C745*'Business Case'!C12*$B745))-'Business Case'!D15*$F745</f>
        <v>279921238.958066</v>
      </c>
      <c r="K745" s="39" t="n">
        <f aca="false">(('Business Case'!E11*$C745*'Business Case'!E12*$B745)-'Business Case'!E11*$C745*'Business Case'!E13*$D745-'Business Case'!E14*$E745)-MAX(0,(('Business Case'!E11*$C745*'Business Case'!E12*$B745)-'Business Case'!E11*$C745*'Business Case'!E13*$D745-'Business Case'!E14*$E745))*'Business Case'!$B$7-'Business Case'!$B$8*(('Business Case'!E11*$C745*'Business Case'!E12*$B745)-('Business Case'!D11*$C745*'Business Case'!D12*$B745))-'Business Case'!E15*$F745</f>
        <v>622062260.123646</v>
      </c>
      <c r="L745" s="39" t="n">
        <f aca="false">(('Business Case'!F11*$C745*'Business Case'!F12*$B745)-'Business Case'!F11*$C745*'Business Case'!F13*$D745-'Business Case'!F14*$E745)-MAX(0,(('Business Case'!F11*$C745*'Business Case'!F12*$B745)-'Business Case'!F11*$C745*'Business Case'!F13*$D745-'Business Case'!F14*$E745))*'Business Case'!$B$7-'Business Case'!$B$8*(('Business Case'!F11*$C745*'Business Case'!F12*$B745)-('Business Case'!E11*$C745*'Business Case'!E12*$B745))-'Business Case'!F15*$F745</f>
        <v>753804343.773462</v>
      </c>
      <c r="M745" s="39" t="n">
        <f aca="false">(('Business Case'!G11*$C745*'Business Case'!G12*$B745)-'Business Case'!G11*$C745*'Business Case'!G13*$D745-'Business Case'!G14*$E745)-MAX(0,(('Business Case'!G11*$C745*'Business Case'!G12*$B745)-'Business Case'!G11*$C745*'Business Case'!G13*$D745-'Business Case'!G14*$E745))*'Business Case'!$B$7-'Business Case'!$B$8*(('Business Case'!G11*$C745*'Business Case'!G12*$B745)-('Business Case'!F11*$C745*'Business Case'!F12*$B745))-'Business Case'!G15*$F745+'Business Case'!$B$8*('Business Case'!G11*$C745*'Business Case'!G12*$B745)</f>
        <v>943583348.461203</v>
      </c>
      <c r="N745" s="39" t="n">
        <f aca="false">IF(COUNT('Business Case'!B11:G11)=0,"",H745+NPV(G745,I745:M745))</f>
        <v>-261895170.211201</v>
      </c>
      <c r="P745" s="40" t="n">
        <f aca="true">RAND()</f>
        <v>0.543131659006697</v>
      </c>
      <c r="Q745" s="40" t="n">
        <f aca="true">RAND()</f>
        <v>0.606435800892576</v>
      </c>
      <c r="R745" s="40" t="n">
        <f aca="true">RAND()</f>
        <v>0.668014421879733</v>
      </c>
      <c r="S745" s="40" t="n">
        <f aca="true">RAND()</f>
        <v>0.898831314887525</v>
      </c>
      <c r="T745" s="40" t="n">
        <f aca="true">RAND()</f>
        <v>0.267411284220312</v>
      </c>
      <c r="U745" s="40" t="n">
        <f aca="true">RAND()</f>
        <v>0.646584434410193</v>
      </c>
    </row>
    <row r="746" customFormat="false" ht="15" hidden="false" customHeight="false" outlineLevel="0" collapsed="false">
      <c r="A746" s="36" t="n">
        <v>666</v>
      </c>
      <c r="B746" s="37" t="n">
        <f aca="false">1+IF($G$6=$E$6,$F$6,IF(P746&lt;($F$6-$E$6)/($G$6-$E$6),$E$6+SQRT(P746*($G$6-$E$6)*($F$6-$E$6)),$G$6-SQRT((1-P746)*($G$6-$E$6)*($G$6-$F$6))))</f>
        <v>1.01848154501482</v>
      </c>
      <c r="C746" s="37" t="n">
        <f aca="false">1+IF($G$7=$E$7,$F$7,IF(Q746&lt;($F$7-$E$7)/($G$7-$E$7),$E$7+SQRT(Q746*($G$7-$E$7)*($F$7-$E$7)),$G$7-SQRT((1-Q746)*($G$7-$E$7)*($G$7-$F$7))))</f>
        <v>0.845018403685376</v>
      </c>
      <c r="D746" s="37" t="n">
        <f aca="false">1+IF($G$8=$E$8,$F$8,IF(R746&lt;($F$8-$E$8)/($G$8-$E$8),$E$8+SQRT(R746*($G$8-$E$8)*($F$8-$E$8)),$G$8-SQRT((1-R746)*($G$8-$E$8)*($G$8-$F$8))))</f>
        <v>1.00132083717611</v>
      </c>
      <c r="E746" s="37" t="n">
        <f aca="false">1+IF($G$9=$E$9,$F$9,IF(S746&lt;($F$9-$E$9)/($G$9-$E$9),$E$9+SQRT(S746*($G$9-$E$9)*($F$9-$E$9)),$G$9-SQRT((1-S746)*($G$9-$E$9)*($G$9-$F$9))))</f>
        <v>1.01283924584722</v>
      </c>
      <c r="F746" s="37" t="n">
        <f aca="false">1+IF($G$10=$E$10,$F$10,IF(T746&lt;($F$10-$E$10)/($G$10-$E$10),$E$10+SQRT(T746*($G$10-$E$10)*($F$10-$E$10)),$G$10-SQRT((1-T746)*($G$10-$E$10)*($G$10-$F$10))))</f>
        <v>1.14051722316505</v>
      </c>
      <c r="G746" s="38" t="n">
        <f aca="false">IF($G$11=$E$11,$F$11,IF(U746&lt;($F$11-$E$11)/($G$11-$E$11),$E$11+SQRT(U746*($G$11-$E$11)*($F$11-$E$11)),$G$11-SQRT((1-U746)*($G$11-$E$11)*($G$11-$F$11))))</f>
        <v>0.107061557730316</v>
      </c>
      <c r="H746" s="39" t="n">
        <f aca="false">(('Business Case'!B11*$C746*'Business Case'!B12*$B746)-'Business Case'!B11*$C746*'Business Case'!B13*$D746-'Business Case'!B14*$E746)-MAX(0,(('Business Case'!B11*$C746*'Business Case'!B12*$B746)-'Business Case'!B11*$C746*'Business Case'!B13*$D746-'Business Case'!B14*$E746))*'Business Case'!$B$7-'Business Case'!$B$8*('Business Case'!B11*$C746*'Business Case'!B12*$B746)-'Business Case'!B15*$F746</f>
        <v>-2281034446.3301</v>
      </c>
      <c r="I746" s="39" t="n">
        <f aca="false">(('Business Case'!C11*$C746*'Business Case'!C12*$B746)-'Business Case'!C11*$C746*'Business Case'!C13*$D746-'Business Case'!C14*$E746)-MAX(0,(('Business Case'!C11*$C746*'Business Case'!C12*$B746)-'Business Case'!C11*$C746*'Business Case'!C13*$D746-'Business Case'!C14*$E746))*'Business Case'!$B$7-'Business Case'!$B$8*(('Business Case'!C11*$C746*'Business Case'!C12*$B746)-('Business Case'!B11*$C746*'Business Case'!B12*$B746))-'Business Case'!C15*$F746</f>
        <v>-30923443.9185613</v>
      </c>
      <c r="J746" s="39" t="n">
        <f aca="false">(('Business Case'!D11*$C746*'Business Case'!D12*$B746)-'Business Case'!D11*$C746*'Business Case'!D13*$D746-'Business Case'!D14*$E746)-MAX(0,(('Business Case'!D11*$C746*'Business Case'!D12*$B746)-'Business Case'!D11*$C746*'Business Case'!D13*$D746-'Business Case'!D14*$E746))*'Business Case'!$B$7-'Business Case'!$B$8*(('Business Case'!D11*$C746*'Business Case'!D12*$B746)-('Business Case'!C11*$C746*'Business Case'!C12*$B746))-'Business Case'!D15*$F746</f>
        <v>240845927.301235</v>
      </c>
      <c r="K746" s="39" t="n">
        <f aca="false">(('Business Case'!E11*$C746*'Business Case'!E12*$B746)-'Business Case'!E11*$C746*'Business Case'!E13*$D746-'Business Case'!E14*$E746)-MAX(0,(('Business Case'!E11*$C746*'Business Case'!E12*$B746)-'Business Case'!E11*$C746*'Business Case'!E13*$D746-'Business Case'!E14*$E746))*'Business Case'!$B$7-'Business Case'!$B$8*(('Business Case'!E11*$C746*'Business Case'!E12*$B746)-('Business Case'!D11*$C746*'Business Case'!D12*$B746))-'Business Case'!E15*$F746</f>
        <v>569641159.679284</v>
      </c>
      <c r="L746" s="39" t="n">
        <f aca="false">(('Business Case'!F11*$C746*'Business Case'!F12*$B746)-'Business Case'!F11*$C746*'Business Case'!F13*$D746-'Business Case'!F14*$E746)-MAX(0,(('Business Case'!F11*$C746*'Business Case'!F12*$B746)-'Business Case'!F11*$C746*'Business Case'!F13*$D746-'Business Case'!F14*$E746))*'Business Case'!$B$7-'Business Case'!$B$8*(('Business Case'!F11*$C746*'Business Case'!F12*$B746)-('Business Case'!E11*$C746*'Business Case'!E12*$B746))-'Business Case'!F15*$F746</f>
        <v>689974518.127468</v>
      </c>
      <c r="M746" s="39" t="n">
        <f aca="false">(('Business Case'!G11*$C746*'Business Case'!G12*$B746)-'Business Case'!G11*$C746*'Business Case'!G13*$D746-'Business Case'!G14*$E746)-MAX(0,(('Business Case'!G11*$C746*'Business Case'!G12*$B746)-'Business Case'!G11*$C746*'Business Case'!G13*$D746-'Business Case'!G14*$E746))*'Business Case'!$B$7-'Business Case'!$B$8*(('Business Case'!G11*$C746*'Business Case'!G12*$B746)-('Business Case'!F11*$C746*'Business Case'!F12*$B746))-'Business Case'!G15*$F746+'Business Case'!$B$8*('Business Case'!G11*$C746*'Business Case'!G12*$B746)</f>
        <v>853564142.356189</v>
      </c>
      <c r="N746" s="39" t="n">
        <f aca="false">IF(COUNT('Business Case'!B11:G11)=0,"",H746+NPV(G746,I746:M746))</f>
        <v>-719950633.488926</v>
      </c>
      <c r="P746" s="40" t="n">
        <f aca="true">RAND()</f>
        <v>0.903532519802246</v>
      </c>
      <c r="Q746" s="40" t="n">
        <f aca="true">RAND()</f>
        <v>0.0289522381482784</v>
      </c>
      <c r="R746" s="40" t="n">
        <f aca="true">RAND()</f>
        <v>0.404768205512603</v>
      </c>
      <c r="S746" s="40" t="n">
        <f aca="true">RAND()</f>
        <v>0.493533529034528</v>
      </c>
      <c r="T746" s="40" t="n">
        <f aca="true">RAND()</f>
        <v>0.929235985200067</v>
      </c>
      <c r="U746" s="40" t="n">
        <f aca="true">RAND()</f>
        <v>0.720994519390081</v>
      </c>
    </row>
    <row r="747" customFormat="false" ht="15" hidden="false" customHeight="false" outlineLevel="0" collapsed="false">
      <c r="A747" s="36" t="n">
        <v>667</v>
      </c>
      <c r="B747" s="37" t="n">
        <f aca="false">1+IF($G$6=$E$6,$F$6,IF(P747&lt;($F$6-$E$6)/($G$6-$E$6),$E$6+SQRT(P747*($G$6-$E$6)*($F$6-$E$6)),$G$6-SQRT((1-P747)*($G$6-$E$6)*($G$6-$F$6))))</f>
        <v>0.985953836849693</v>
      </c>
      <c r="C747" s="37" t="n">
        <f aca="false">1+IF($G$7=$E$7,$F$7,IF(Q747&lt;($F$7-$E$7)/($G$7-$E$7),$E$7+SQRT(Q747*($G$7-$E$7)*($F$7-$E$7)),$G$7-SQRT((1-Q747)*($G$7-$E$7)*($G$7-$F$7))))</f>
        <v>0.865435976632104</v>
      </c>
      <c r="D747" s="37" t="n">
        <f aca="false">1+IF($G$8=$E$8,$F$8,IF(R747&lt;($F$8-$E$8)/($G$8-$E$8),$E$8+SQRT(R747*($G$8-$E$8)*($F$8-$E$8)),$G$8-SQRT((1-R747)*($G$8-$E$8)*($G$8-$F$8))))</f>
        <v>1.02867132210976</v>
      </c>
      <c r="E747" s="37" t="n">
        <f aca="false">1+IF($G$9=$E$9,$F$9,IF(S747&lt;($F$9-$E$9)/($G$9-$E$9),$E$9+SQRT(S747*($G$9-$E$9)*($F$9-$E$9)),$G$9-SQRT((1-S747)*($G$9-$E$9)*($G$9-$F$9))))</f>
        <v>1.06586014350752</v>
      </c>
      <c r="F747" s="37" t="n">
        <f aca="false">1+IF($G$10=$E$10,$F$10,IF(T747&lt;($F$10-$E$10)/($G$10-$E$10),$E$10+SQRT(T747*($G$10-$E$10)*($F$10-$E$10)),$G$10-SQRT((1-T747)*($G$10-$E$10)*($G$10-$F$10))))</f>
        <v>1.0847925569783</v>
      </c>
      <c r="G747" s="38" t="n">
        <f aca="false">IF($G$11=$E$11,$F$11,IF(U747&lt;($F$11-$E$11)/($G$11-$E$11),$E$11+SQRT(U747*($G$11-$E$11)*($F$11-$E$11)),$G$11-SQRT((1-U747)*($G$11-$E$11)*($G$11-$F$11))))</f>
        <v>0.0925572230110065</v>
      </c>
      <c r="H747" s="39" t="n">
        <f aca="false">(('Business Case'!B11*$C747*'Business Case'!B12*$B747)-'Business Case'!B11*$C747*'Business Case'!B13*$D747-'Business Case'!B14*$E747)-MAX(0,(('Business Case'!B11*$C747*'Business Case'!B12*$B747)-'Business Case'!B11*$C747*'Business Case'!B13*$D747-'Business Case'!B14*$E747))*'Business Case'!$B$7-'Business Case'!$B$8*('Business Case'!B11*$C747*'Business Case'!B12*$B747)-'Business Case'!B15*$F747</f>
        <v>-2169585113.95659</v>
      </c>
      <c r="I747" s="39" t="n">
        <f aca="false">(('Business Case'!C11*$C747*'Business Case'!C12*$B747)-'Business Case'!C11*$C747*'Business Case'!C13*$D747-'Business Case'!C14*$E747)-MAX(0,(('Business Case'!C11*$C747*'Business Case'!C12*$B747)-'Business Case'!C11*$C747*'Business Case'!C13*$D747-'Business Case'!C14*$E747))*'Business Case'!$B$7-'Business Case'!$B$8*(('Business Case'!C11*$C747*'Business Case'!C12*$B747)-('Business Case'!B11*$C747*'Business Case'!B12*$B747))-'Business Case'!C15*$F747</f>
        <v>-61117262.464113</v>
      </c>
      <c r="J747" s="39" t="n">
        <f aca="false">(('Business Case'!D11*$C747*'Business Case'!D12*$B747)-'Business Case'!D11*$C747*'Business Case'!D13*$D747-'Business Case'!D14*$E747)-MAX(0,(('Business Case'!D11*$C747*'Business Case'!D12*$B747)-'Business Case'!D11*$C747*'Business Case'!D13*$D747-'Business Case'!D14*$E747))*'Business Case'!$B$7-'Business Case'!$B$8*(('Business Case'!D11*$C747*'Business Case'!D12*$B747)-('Business Case'!C11*$C747*'Business Case'!C12*$B747))-'Business Case'!D15*$F747</f>
        <v>182044074.317726</v>
      </c>
      <c r="K747" s="39" t="n">
        <f aca="false">(('Business Case'!E11*$C747*'Business Case'!E12*$B747)-'Business Case'!E11*$C747*'Business Case'!E13*$D747-'Business Case'!E14*$E747)-MAX(0,(('Business Case'!E11*$C747*'Business Case'!E12*$B747)-'Business Case'!E11*$C747*'Business Case'!E13*$D747-'Business Case'!E14*$E747))*'Business Case'!$B$7-'Business Case'!$B$8*(('Business Case'!E11*$C747*'Business Case'!E12*$B747)-('Business Case'!D11*$C747*'Business Case'!D12*$B747))-'Business Case'!E15*$F747</f>
        <v>479445038.948479</v>
      </c>
      <c r="L747" s="39" t="n">
        <f aca="false">(('Business Case'!F11*$C747*'Business Case'!F12*$B747)-'Business Case'!F11*$C747*'Business Case'!F13*$D747-'Business Case'!F14*$E747)-MAX(0,(('Business Case'!F11*$C747*'Business Case'!F12*$B747)-'Business Case'!F11*$C747*'Business Case'!F13*$D747-'Business Case'!F14*$E747))*'Business Case'!$B$7-'Business Case'!$B$8*(('Business Case'!F11*$C747*'Business Case'!F12*$B747)-('Business Case'!E11*$C747*'Business Case'!E12*$B747))-'Business Case'!F15*$F747</f>
        <v>589988171.969994</v>
      </c>
      <c r="M747" s="39" t="n">
        <f aca="false">(('Business Case'!G11*$C747*'Business Case'!G12*$B747)-'Business Case'!G11*$C747*'Business Case'!G13*$D747-'Business Case'!G14*$E747)-MAX(0,(('Business Case'!G11*$C747*'Business Case'!G12*$B747)-'Business Case'!G11*$C747*'Business Case'!G13*$D747-'Business Case'!G14*$E747))*'Business Case'!$B$7-'Business Case'!$B$8*(('Business Case'!G11*$C747*'Business Case'!G12*$B747)-('Business Case'!F11*$C747*'Business Case'!F12*$B747))-'Business Case'!G15*$F747+'Business Case'!$B$8*('Business Case'!G11*$C747*'Business Case'!G12*$B747)</f>
        <v>752179619.488285</v>
      </c>
      <c r="N747" s="39" t="n">
        <f aca="false">IF(COUNT('Business Case'!B11:G11)=0,"",H747+NPV(G747,I747:M747))</f>
        <v>-808158482.996038</v>
      </c>
      <c r="P747" s="40" t="n">
        <f aca="true">RAND()</f>
        <v>0.453115478666239</v>
      </c>
      <c r="Q747" s="40" t="n">
        <f aca="true">RAND()</f>
        <v>0.0611695291113886</v>
      </c>
      <c r="R747" s="40" t="n">
        <f aca="true">RAND()</f>
        <v>0.746669887119198</v>
      </c>
      <c r="S747" s="40" t="n">
        <f aca="true">RAND()</f>
        <v>0.922298013244875</v>
      </c>
      <c r="T747" s="40" t="n">
        <f aca="true">RAND()</f>
        <v>0.734544901448016</v>
      </c>
      <c r="U747" s="40" t="n">
        <f aca="true">RAND()</f>
        <v>0.0217979650934032</v>
      </c>
    </row>
    <row r="748" customFormat="false" ht="15" hidden="false" customHeight="false" outlineLevel="0" collapsed="false">
      <c r="A748" s="36" t="n">
        <v>668</v>
      </c>
      <c r="B748" s="37" t="n">
        <f aca="false">1+IF($G$6=$E$6,$F$6,IF(P748&lt;($F$6-$E$6)/($G$6-$E$6),$E$6+SQRT(P748*($G$6-$E$6)*($F$6-$E$6)),$G$6-SQRT((1-P748)*($G$6-$E$6)*($G$6-$F$6))))</f>
        <v>1.01865535437534</v>
      </c>
      <c r="C748" s="37" t="n">
        <f aca="false">1+IF($G$7=$E$7,$F$7,IF(Q748&lt;($F$7-$E$7)/($G$7-$E$7),$E$7+SQRT(Q748*($G$7-$E$7)*($F$7-$E$7)),$G$7-SQRT((1-Q748)*($G$7-$E$7)*($G$7-$F$7))))</f>
        <v>1.04209457585754</v>
      </c>
      <c r="D748" s="37" t="n">
        <f aca="false">1+IF($G$8=$E$8,$F$8,IF(R748&lt;($F$8-$E$8)/($G$8-$E$8),$E$8+SQRT(R748*($G$8-$E$8)*($F$8-$E$8)),$G$8-SQRT((1-R748)*($G$8-$E$8)*($G$8-$F$8))))</f>
        <v>1.0178754824145</v>
      </c>
      <c r="E748" s="37" t="n">
        <f aca="false">1+IF($G$9=$E$9,$F$9,IF(S748&lt;($F$9-$E$9)/($G$9-$E$9),$E$9+SQRT(S748*($G$9-$E$9)*($F$9-$E$9)),$G$9-SQRT((1-S748)*($G$9-$E$9)*($G$9-$F$9))))</f>
        <v>1.02661525069181</v>
      </c>
      <c r="F748" s="37" t="n">
        <f aca="false">1+IF($G$10=$E$10,$F$10,IF(T748&lt;($F$10-$E$10)/($G$10-$E$10),$E$10+SQRT(T748*($G$10-$E$10)*($F$10-$E$10)),$G$10-SQRT((1-T748)*($G$10-$E$10)*($G$10-$F$10))))</f>
        <v>1.02380564284637</v>
      </c>
      <c r="G748" s="38" t="n">
        <f aca="false">IF($G$11=$E$11,$F$11,IF(U748&lt;($F$11-$E$11)/($G$11-$E$11),$E$11+SQRT(U748*($G$11-$E$11)*($F$11-$E$11)),$G$11-SQRT((1-U748)*($G$11-$E$11)*($G$11-$F$11))))</f>
        <v>0.106811737064982</v>
      </c>
      <c r="H748" s="39" t="n">
        <f aca="false">(('Business Case'!B11*$C748*'Business Case'!B12*$B748)-'Business Case'!B11*$C748*'Business Case'!B13*$D748-'Business Case'!B14*$E748)-MAX(0,(('Business Case'!B11*$C748*'Business Case'!B12*$B748)-'Business Case'!B11*$C748*'Business Case'!B13*$D748-'Business Case'!B14*$E748))*'Business Case'!$B$7-'Business Case'!$B$8*('Business Case'!B11*$C748*'Business Case'!B12*$B748)-'Business Case'!B15*$F748</f>
        <v>-2047611285.69275</v>
      </c>
      <c r="I748" s="39" t="n">
        <f aca="false">(('Business Case'!C11*$C748*'Business Case'!C12*$B748)-'Business Case'!C11*$C748*'Business Case'!C13*$D748-'Business Case'!C14*$E748)-MAX(0,(('Business Case'!C11*$C748*'Business Case'!C12*$B748)-'Business Case'!C11*$C748*'Business Case'!C13*$D748-'Business Case'!C14*$E748))*'Business Case'!$B$7-'Business Case'!$B$8*(('Business Case'!C11*$C748*'Business Case'!C12*$B748)-('Business Case'!B11*$C748*'Business Case'!B12*$B748))-'Business Case'!C15*$F748</f>
        <v>23073464.576654</v>
      </c>
      <c r="J748" s="39" t="n">
        <f aca="false">(('Business Case'!D11*$C748*'Business Case'!D12*$B748)-'Business Case'!D11*$C748*'Business Case'!D13*$D748-'Business Case'!D14*$E748)-MAX(0,(('Business Case'!D11*$C748*'Business Case'!D12*$B748)-'Business Case'!D11*$C748*'Business Case'!D13*$D748-'Business Case'!D14*$E748))*'Business Case'!$B$7-'Business Case'!$B$8*(('Business Case'!D11*$C748*'Business Case'!D12*$B748)-('Business Case'!C11*$C748*'Business Case'!C12*$B748))-'Business Case'!D15*$F748</f>
        <v>349542167.863271</v>
      </c>
      <c r="K748" s="39" t="n">
        <f aca="false">(('Business Case'!E11*$C748*'Business Case'!E12*$B748)-'Business Case'!E11*$C748*'Business Case'!E13*$D748-'Business Case'!E14*$E748)-MAX(0,(('Business Case'!E11*$C748*'Business Case'!E12*$B748)-'Business Case'!E11*$C748*'Business Case'!E13*$D748-'Business Case'!E14*$E748))*'Business Case'!$B$7-'Business Case'!$B$8*(('Business Case'!E11*$C748*'Business Case'!E12*$B748)-('Business Case'!D11*$C748*'Business Case'!D12*$B748))-'Business Case'!E15*$F748</f>
        <v>727201153.292207</v>
      </c>
      <c r="L748" s="39" t="n">
        <f aca="false">(('Business Case'!F11*$C748*'Business Case'!F12*$B748)-'Business Case'!F11*$C748*'Business Case'!F13*$D748-'Business Case'!F14*$E748)-MAX(0,(('Business Case'!F11*$C748*'Business Case'!F12*$B748)-'Business Case'!F11*$C748*'Business Case'!F13*$D748-'Business Case'!F14*$E748))*'Business Case'!$B$7-'Business Case'!$B$8*(('Business Case'!F11*$C748*'Business Case'!F12*$B748)-('Business Case'!E11*$C748*'Business Case'!E12*$B748))-'Business Case'!F15*$F748</f>
        <v>872710711.57238</v>
      </c>
      <c r="M748" s="39" t="n">
        <f aca="false">(('Business Case'!G11*$C748*'Business Case'!G12*$B748)-'Business Case'!G11*$C748*'Business Case'!G13*$D748-'Business Case'!G14*$E748)-MAX(0,(('Business Case'!G11*$C748*'Business Case'!G12*$B748)-'Business Case'!G11*$C748*'Business Case'!G13*$D748-'Business Case'!G14*$E748))*'Business Case'!$B$7-'Business Case'!$B$8*(('Business Case'!G11*$C748*'Business Case'!G12*$B748)-('Business Case'!F11*$C748*'Business Case'!F12*$B748))-'Business Case'!G15*$F748+'Business Case'!$B$8*('Business Case'!G11*$C748*'Business Case'!G12*$B748)</f>
        <v>1074487326.08787</v>
      </c>
      <c r="N748" s="39" t="n">
        <f aca="false">IF(COUNT('Business Case'!B11:G11)=0,"",H748+NPV(G748,I748:M748))</f>
        <v>23327348.8036675</v>
      </c>
      <c r="P748" s="40" t="n">
        <f aca="true">RAND()</f>
        <v>0.905084604824536</v>
      </c>
      <c r="Q748" s="40" t="n">
        <f aca="true">RAND()</f>
        <v>0.778217513154983</v>
      </c>
      <c r="R748" s="40" t="n">
        <f aca="true">RAND()</f>
        <v>0.628898491804731</v>
      </c>
      <c r="S748" s="40" t="n">
        <f aca="true">RAND()</f>
        <v>0.640978571264899</v>
      </c>
      <c r="T748" s="40" t="n">
        <f aca="true">RAND()</f>
        <v>0.379110970144406</v>
      </c>
      <c r="U748" s="40" t="n">
        <f aca="true">RAND()</f>
        <v>0.710116201261401</v>
      </c>
    </row>
    <row r="749" customFormat="false" ht="15" hidden="false" customHeight="false" outlineLevel="0" collapsed="false">
      <c r="A749" s="36" t="n">
        <v>669</v>
      </c>
      <c r="B749" s="37" t="n">
        <f aca="false">1+IF($G$6=$E$6,$F$6,IF(P749&lt;($F$6-$E$6)/($G$6-$E$6),$E$6+SQRT(P749*($G$6-$E$6)*($F$6-$E$6)),$G$6-SQRT((1-P749)*($G$6-$E$6)*($G$6-$F$6))))</f>
        <v>0.990734191472733</v>
      </c>
      <c r="C749" s="37" t="n">
        <f aca="false">1+IF($G$7=$E$7,$F$7,IF(Q749&lt;($F$7-$E$7)/($G$7-$E$7),$E$7+SQRT(Q749*($G$7-$E$7)*($F$7-$E$7)),$G$7-SQRT((1-Q749)*($G$7-$E$7)*($G$7-$F$7))))</f>
        <v>1.06735966389538</v>
      </c>
      <c r="D749" s="37" t="n">
        <f aca="false">1+IF($G$8=$E$8,$F$8,IF(R749&lt;($F$8-$E$8)/($G$8-$E$8),$E$8+SQRT(R749*($G$8-$E$8)*($F$8-$E$8)),$G$8-SQRT((1-R749)*($G$8-$E$8)*($G$8-$F$8))))</f>
        <v>1.04823653573716</v>
      </c>
      <c r="E749" s="37" t="n">
        <f aca="false">1+IF($G$9=$E$9,$F$9,IF(S749&lt;($F$9-$E$9)/($G$9-$E$9),$E$9+SQRT(S749*($G$9-$E$9)*($F$9-$E$9)),$G$9-SQRT((1-S749)*($G$9-$E$9)*($G$9-$F$9))))</f>
        <v>0.970123653217509</v>
      </c>
      <c r="F749" s="37" t="n">
        <f aca="false">1+IF($G$10=$E$10,$F$10,IF(T749&lt;($F$10-$E$10)/($G$10-$E$10),$E$10+SQRT(T749*($G$10-$E$10)*($F$10-$E$10)),$G$10-SQRT((1-T749)*($G$10-$E$10)*($G$10-$F$10))))</f>
        <v>1.02866481209224</v>
      </c>
      <c r="G749" s="38" t="n">
        <f aca="false">IF($G$11=$E$11,$F$11,IF(U749&lt;($F$11-$E$11)/($G$11-$E$11),$E$11+SQRT(U749*($G$11-$E$11)*($F$11-$E$11)),$G$11-SQRT((1-U749)*($G$11-$E$11)*($G$11-$F$11))))</f>
        <v>0.107827181595229</v>
      </c>
      <c r="H749" s="39" t="n">
        <f aca="false">(('Business Case'!B11*$C749*'Business Case'!B12*$B749)-'Business Case'!B11*$C749*'Business Case'!B13*$D749-'Business Case'!B14*$E749)-MAX(0,(('Business Case'!B11*$C749*'Business Case'!B12*$B749)-'Business Case'!B11*$C749*'Business Case'!B13*$D749-'Business Case'!B14*$E749))*'Business Case'!$B$7-'Business Case'!$B$8*('Business Case'!B11*$C749*'Business Case'!B12*$B749)-'Business Case'!B15*$F749</f>
        <v>-2057329624.18449</v>
      </c>
      <c r="I749" s="39" t="n">
        <f aca="false">(('Business Case'!C11*$C749*'Business Case'!C12*$B749)-'Business Case'!C11*$C749*'Business Case'!C13*$D749-'Business Case'!C14*$E749)-MAX(0,(('Business Case'!C11*$C749*'Business Case'!C12*$B749)-'Business Case'!C11*$C749*'Business Case'!C13*$D749-'Business Case'!C14*$E749))*'Business Case'!$B$7-'Business Case'!$B$8*(('Business Case'!C11*$C749*'Business Case'!C12*$B749)-('Business Case'!B11*$C749*'Business Case'!B12*$B749))-'Business Case'!C15*$F749</f>
        <v>-2252796.73618507</v>
      </c>
      <c r="J749" s="39" t="n">
        <f aca="false">(('Business Case'!D11*$C749*'Business Case'!D12*$B749)-'Business Case'!D11*$C749*'Business Case'!D13*$D749-'Business Case'!D14*$E749)-MAX(0,(('Business Case'!D11*$C749*'Business Case'!D12*$B749)-'Business Case'!D11*$C749*'Business Case'!D13*$D749-'Business Case'!D14*$E749))*'Business Case'!$B$7-'Business Case'!$B$8*(('Business Case'!D11*$C749*'Business Case'!D12*$B749)-('Business Case'!C11*$C749*'Business Case'!C12*$B749))-'Business Case'!D15*$F749</f>
        <v>291131701.178445</v>
      </c>
      <c r="K749" s="39" t="n">
        <f aca="false">(('Business Case'!E11*$C749*'Business Case'!E12*$B749)-'Business Case'!E11*$C749*'Business Case'!E13*$D749-'Business Case'!E14*$E749)-MAX(0,(('Business Case'!E11*$C749*'Business Case'!E12*$B749)-'Business Case'!E11*$C749*'Business Case'!E13*$D749-'Business Case'!E14*$E749))*'Business Case'!$B$7-'Business Case'!$B$8*(('Business Case'!E11*$C749*'Business Case'!E12*$B749)-('Business Case'!D11*$C749*'Business Case'!D12*$B749))-'Business Case'!E15*$F749</f>
        <v>635949439.697686</v>
      </c>
      <c r="L749" s="39" t="n">
        <f aca="false">(('Business Case'!F11*$C749*'Business Case'!F12*$B749)-'Business Case'!F11*$C749*'Business Case'!F13*$D749-'Business Case'!F14*$E749)-MAX(0,(('Business Case'!F11*$C749*'Business Case'!F12*$B749)-'Business Case'!F11*$C749*'Business Case'!F13*$D749-'Business Case'!F14*$E749))*'Business Case'!$B$7-'Business Case'!$B$8*(('Business Case'!F11*$C749*'Business Case'!F12*$B749)-('Business Case'!E11*$C749*'Business Case'!E12*$B749))-'Business Case'!F15*$F749</f>
        <v>770290425.638604</v>
      </c>
      <c r="M749" s="39" t="n">
        <f aca="false">(('Business Case'!G11*$C749*'Business Case'!G12*$B749)-'Business Case'!G11*$C749*'Business Case'!G13*$D749-'Business Case'!G14*$E749)-MAX(0,(('Business Case'!G11*$C749*'Business Case'!G12*$B749)-'Business Case'!G11*$C749*'Business Case'!G13*$D749-'Business Case'!G14*$E749))*'Business Case'!$B$7-'Business Case'!$B$8*(('Business Case'!G11*$C749*'Business Case'!G12*$B749)-('Business Case'!F11*$C749*'Business Case'!F12*$B749))-'Business Case'!G15*$F749+'Business Case'!$B$8*('Business Case'!G11*$C749*'Business Case'!G12*$B749)</f>
        <v>971294268.803492</v>
      </c>
      <c r="N749" s="39" t="n">
        <f aca="false">IF(COUNT('Business Case'!B11:G11)=0,"",H749+NPV(G749,I749:M749))</f>
        <v>-260906624.03505</v>
      </c>
      <c r="P749" s="40" t="n">
        <f aca="true">RAND()</f>
        <v>0.521179775343887</v>
      </c>
      <c r="Q749" s="40" t="n">
        <f aca="true">RAND()</f>
        <v>0.869915711400285</v>
      </c>
      <c r="R749" s="40" t="n">
        <f aca="true">RAND()</f>
        <v>0.902988686348417</v>
      </c>
      <c r="S749" s="40" t="n">
        <f aca="true">RAND()</f>
        <v>0.0539948558424756</v>
      </c>
      <c r="T749" s="40" t="n">
        <f aca="true">RAND()</f>
        <v>0.412885067692283</v>
      </c>
      <c r="U749" s="40" t="n">
        <f aca="true">RAND()</f>
        <v>0.75303748680744</v>
      </c>
    </row>
    <row r="750" customFormat="false" ht="15" hidden="false" customHeight="false" outlineLevel="0" collapsed="false">
      <c r="A750" s="36" t="n">
        <v>670</v>
      </c>
      <c r="B750" s="37" t="n">
        <f aca="false">1+IF($G$6=$E$6,$F$6,IF(P750&lt;($F$6-$E$6)/($G$6-$E$6),$E$6+SQRT(P750*($G$6-$E$6)*($F$6-$E$6)),$G$6-SQRT((1-P750)*($G$6-$E$6)*($G$6-$F$6))))</f>
        <v>0.931762616169617</v>
      </c>
      <c r="C750" s="37" t="n">
        <f aca="false">1+IF($G$7=$E$7,$F$7,IF(Q750&lt;($F$7-$E$7)/($G$7-$E$7),$E$7+SQRT(Q750*($G$7-$E$7)*($F$7-$E$7)),$G$7-SQRT((1-Q750)*($G$7-$E$7)*($G$7-$F$7))))</f>
        <v>1.07621233386719</v>
      </c>
      <c r="D750" s="37" t="n">
        <f aca="false">1+IF($G$8=$E$8,$F$8,IF(R750&lt;($F$8-$E$8)/($G$8-$E$8),$E$8+SQRT(R750*($G$8-$E$8)*($F$8-$E$8)),$G$8-SQRT((1-R750)*($G$8-$E$8)*($G$8-$F$8))))</f>
        <v>1.04324519132891</v>
      </c>
      <c r="E750" s="37" t="n">
        <f aca="false">1+IF($G$9=$E$9,$F$9,IF(S750&lt;($F$9-$E$9)/($G$9-$E$9),$E$9+SQRT(S750*($G$9-$E$9)*($F$9-$E$9)),$G$9-SQRT((1-S750)*($G$9-$E$9)*($G$9-$F$9))))</f>
        <v>1.02319474607483</v>
      </c>
      <c r="F750" s="37" t="n">
        <f aca="false">1+IF($G$10=$E$10,$F$10,IF(T750&lt;($F$10-$E$10)/($G$10-$E$10),$E$10+SQRT(T750*($G$10-$E$10)*($F$10-$E$10)),$G$10-SQRT((1-T750)*($G$10-$E$10)*($G$10-$F$10))))</f>
        <v>1.00779689833741</v>
      </c>
      <c r="G750" s="38" t="n">
        <f aca="false">IF($G$11=$E$11,$F$11,IF(U750&lt;($F$11-$E$11)/($G$11-$E$11),$E$11+SQRT(U750*($G$11-$E$11)*($F$11-$E$11)),$G$11-SQRT((1-U750)*($G$11-$E$11)*($G$11-$F$11))))</f>
        <v>0.100719473135927</v>
      </c>
      <c r="H750" s="39" t="n">
        <f aca="false">(('Business Case'!B11*$C750*'Business Case'!B12*$B750)-'Business Case'!B11*$C750*'Business Case'!B13*$D750-'Business Case'!B14*$E750)-MAX(0,(('Business Case'!B11*$C750*'Business Case'!B12*$B750)-'Business Case'!B11*$C750*'Business Case'!B13*$D750-'Business Case'!B14*$E750))*'Business Case'!$B$7-'Business Case'!$B$8*('Business Case'!B11*$C750*'Business Case'!B12*$B750)-'Business Case'!B15*$F750</f>
        <v>-2015593796.67483</v>
      </c>
      <c r="I750" s="39" t="n">
        <f aca="false">(('Business Case'!C11*$C750*'Business Case'!C12*$B750)-'Business Case'!C11*$C750*'Business Case'!C13*$D750-'Business Case'!C14*$E750)-MAX(0,(('Business Case'!C11*$C750*'Business Case'!C12*$B750)-'Business Case'!C11*$C750*'Business Case'!C13*$D750-'Business Case'!C14*$E750))*'Business Case'!$B$7-'Business Case'!$B$8*(('Business Case'!C11*$C750*'Business Case'!C12*$B750)-('Business Case'!B11*$C750*'Business Case'!B12*$B750))-'Business Case'!C15*$F750</f>
        <v>-51677250.022134</v>
      </c>
      <c r="J750" s="39" t="n">
        <f aca="false">(('Business Case'!D11*$C750*'Business Case'!D12*$B750)-'Business Case'!D11*$C750*'Business Case'!D13*$D750-'Business Case'!D14*$E750)-MAX(0,(('Business Case'!D11*$C750*'Business Case'!D12*$B750)-'Business Case'!D11*$C750*'Business Case'!D13*$D750-'Business Case'!D14*$E750))*'Business Case'!$B$7-'Business Case'!$B$8*(('Business Case'!D11*$C750*'Business Case'!D12*$B750)-('Business Case'!C11*$C750*'Business Case'!C12*$B750))-'Business Case'!D15*$F750</f>
        <v>194907308.601575</v>
      </c>
      <c r="K750" s="39" t="n">
        <f aca="false">(('Business Case'!E11*$C750*'Business Case'!E12*$B750)-'Business Case'!E11*$C750*'Business Case'!E13*$D750-'Business Case'!E14*$E750)-MAX(0,(('Business Case'!E11*$C750*'Business Case'!E12*$B750)-'Business Case'!E11*$C750*'Business Case'!E13*$D750-'Business Case'!E14*$E750))*'Business Case'!$B$7-'Business Case'!$B$8*(('Business Case'!E11*$C750*'Business Case'!E12*$B750)-('Business Case'!D11*$C750*'Business Case'!D12*$B750))-'Business Case'!E15*$F750</f>
        <v>491881712.142154</v>
      </c>
      <c r="L750" s="39" t="n">
        <f aca="false">(('Business Case'!F11*$C750*'Business Case'!F12*$B750)-'Business Case'!F11*$C750*'Business Case'!F13*$D750-'Business Case'!F14*$E750)-MAX(0,(('Business Case'!F11*$C750*'Business Case'!F12*$B750)-'Business Case'!F11*$C750*'Business Case'!F13*$D750-'Business Case'!F14*$E750))*'Business Case'!$B$7-'Business Case'!$B$8*(('Business Case'!F11*$C750*'Business Case'!F12*$B750)-('Business Case'!E11*$C750*'Business Case'!E12*$B750))-'Business Case'!F15*$F750</f>
        <v>608732448.963563</v>
      </c>
      <c r="M750" s="39" t="n">
        <f aca="false">(('Business Case'!G11*$C750*'Business Case'!G12*$B750)-'Business Case'!G11*$C750*'Business Case'!G13*$D750-'Business Case'!G14*$E750)-MAX(0,(('Business Case'!G11*$C750*'Business Case'!G12*$B750)-'Business Case'!G11*$C750*'Business Case'!G13*$D750-'Business Case'!G14*$E750))*'Business Case'!$B$7-'Business Case'!$B$8*(('Business Case'!G11*$C750*'Business Case'!G12*$B750)-('Business Case'!F11*$C750*'Business Case'!F12*$B750))-'Business Case'!G15*$F750+'Business Case'!$B$8*('Business Case'!G11*$C750*'Business Case'!G12*$B750)</f>
        <v>799339810.671184</v>
      </c>
      <c r="N750" s="39" t="n">
        <f aca="false">IF(COUNT('Business Case'!B11:G11)=0,"",H750+NPV(G750,I750:M750))</f>
        <v>-623445066.835242</v>
      </c>
      <c r="P750" s="40" t="n">
        <f aca="true">RAND()</f>
        <v>0.0144124103285152</v>
      </c>
      <c r="Q750" s="40" t="n">
        <f aca="true">RAND()</f>
        <v>0.896292958603296</v>
      </c>
      <c r="R750" s="40" t="n">
        <f aca="true">RAND()</f>
        <v>0.870104234572242</v>
      </c>
      <c r="S750" s="40" t="n">
        <f aca="true">RAND()</f>
        <v>0.606730197966036</v>
      </c>
      <c r="T750" s="40" t="n">
        <f aca="true">RAND()</f>
        <v>0.261159354225631</v>
      </c>
      <c r="U750" s="40" t="n">
        <f aca="true">RAND()</f>
        <v>0.380435473072944</v>
      </c>
    </row>
    <row r="751" customFormat="false" ht="15" hidden="false" customHeight="false" outlineLevel="0" collapsed="false">
      <c r="A751" s="36" t="n">
        <v>671</v>
      </c>
      <c r="B751" s="37" t="n">
        <f aca="false">1+IF($G$6=$E$6,$F$6,IF(P751&lt;($F$6-$E$6)/($G$6-$E$6),$E$6+SQRT(P751*($G$6-$E$6)*($F$6-$E$6)),$G$6-SQRT((1-P751)*($G$6-$E$6)*($G$6-$F$6))))</f>
        <v>0.9976505503833</v>
      </c>
      <c r="C751" s="37" t="n">
        <f aca="false">1+IF($G$7=$E$7,$F$7,IF(Q751&lt;($F$7-$E$7)/($G$7-$E$7),$E$7+SQRT(Q751*($G$7-$E$7)*($F$7-$E$7)),$G$7-SQRT((1-Q751)*($G$7-$E$7)*($G$7-$F$7))))</f>
        <v>1.06789561176359</v>
      </c>
      <c r="D751" s="37" t="n">
        <f aca="false">1+IF($G$8=$E$8,$F$8,IF(R751&lt;($F$8-$E$8)/($G$8-$E$8),$E$8+SQRT(R751*($G$8-$E$8)*($F$8-$E$8)),$G$8-SQRT((1-R751)*($G$8-$E$8)*($G$8-$F$8))))</f>
        <v>1.05691065671529</v>
      </c>
      <c r="E751" s="37" t="n">
        <f aca="false">1+IF($G$9=$E$9,$F$9,IF(S751&lt;($F$9-$E$9)/($G$9-$E$9),$E$9+SQRT(S751*($G$9-$E$9)*($F$9-$E$9)),$G$9-SQRT((1-S751)*($G$9-$E$9)*($G$9-$F$9))))</f>
        <v>1.00016708774377</v>
      </c>
      <c r="F751" s="37" t="n">
        <f aca="false">1+IF($G$10=$E$10,$F$10,IF(T751&lt;($F$10-$E$10)/($G$10-$E$10),$E$10+SQRT(T751*($G$10-$E$10)*($F$10-$E$10)),$G$10-SQRT((1-T751)*($G$10-$E$10)*($G$10-$F$10))))</f>
        <v>1.04831439888604</v>
      </c>
      <c r="G751" s="38" t="n">
        <f aca="false">IF($G$11=$E$11,$F$11,IF(U751&lt;($F$11-$E$11)/($G$11-$E$11),$E$11+SQRT(U751*($G$11-$E$11)*($F$11-$E$11)),$G$11-SQRT((1-U751)*($G$11-$E$11)*($G$11-$F$11))))</f>
        <v>0.106746715959777</v>
      </c>
      <c r="H751" s="39" t="n">
        <f aca="false">(('Business Case'!B11*$C751*'Business Case'!B12*$B751)-'Business Case'!B11*$C751*'Business Case'!B13*$D751-'Business Case'!B14*$E751)-MAX(0,(('Business Case'!B11*$C751*'Business Case'!B12*$B751)-'Business Case'!B11*$C751*'Business Case'!B13*$D751-'Business Case'!B14*$E751))*'Business Case'!$B$7-'Business Case'!$B$8*('Business Case'!B11*$C751*'Business Case'!B12*$B751)-'Business Case'!B15*$F751</f>
        <v>-2096628797.77208</v>
      </c>
      <c r="I751" s="39" t="n">
        <f aca="false">(('Business Case'!C11*$C751*'Business Case'!C12*$B751)-'Business Case'!C11*$C751*'Business Case'!C13*$D751-'Business Case'!C14*$E751)-MAX(0,(('Business Case'!C11*$C751*'Business Case'!C12*$B751)-'Business Case'!C11*$C751*'Business Case'!C13*$D751-'Business Case'!C14*$E751))*'Business Case'!$B$7-'Business Case'!$B$8*(('Business Case'!C11*$C751*'Business Case'!C12*$B751)-('Business Case'!B11*$C751*'Business Case'!B12*$B751))-'Business Case'!C15*$F751</f>
        <v>-7445349.05521989</v>
      </c>
      <c r="J751" s="39" t="n">
        <f aca="false">(('Business Case'!D11*$C751*'Business Case'!D12*$B751)-'Business Case'!D11*$C751*'Business Case'!D13*$D751-'Business Case'!D14*$E751)-MAX(0,(('Business Case'!D11*$C751*'Business Case'!D12*$B751)-'Business Case'!D11*$C751*'Business Case'!D13*$D751-'Business Case'!D14*$E751))*'Business Case'!$B$7-'Business Case'!$B$8*(('Business Case'!D11*$C751*'Business Case'!D12*$B751)-('Business Case'!C11*$C751*'Business Case'!C12*$B751))-'Business Case'!D15*$F751</f>
        <v>287394145.323204</v>
      </c>
      <c r="K751" s="39" t="n">
        <f aca="false">(('Business Case'!E11*$C751*'Business Case'!E12*$B751)-'Business Case'!E11*$C751*'Business Case'!E13*$D751-'Business Case'!E14*$E751)-MAX(0,(('Business Case'!E11*$C751*'Business Case'!E12*$B751)-'Business Case'!E11*$C751*'Business Case'!E13*$D751-'Business Case'!E14*$E751))*'Business Case'!$B$7-'Business Case'!$B$8*(('Business Case'!E11*$C751*'Business Case'!E12*$B751)-('Business Case'!D11*$C751*'Business Case'!D12*$B751))-'Business Case'!E15*$F751</f>
        <v>634649359.64593</v>
      </c>
      <c r="L751" s="39" t="n">
        <f aca="false">(('Business Case'!F11*$C751*'Business Case'!F12*$B751)-'Business Case'!F11*$C751*'Business Case'!F13*$D751-'Business Case'!F14*$E751)-MAX(0,(('Business Case'!F11*$C751*'Business Case'!F12*$B751)-'Business Case'!F11*$C751*'Business Case'!F13*$D751-'Business Case'!F14*$E751))*'Business Case'!$B$7-'Business Case'!$B$8*(('Business Case'!F11*$C751*'Business Case'!F12*$B751)-('Business Case'!E11*$C751*'Business Case'!E12*$B751))-'Business Case'!F15*$F751</f>
        <v>769748953.550655</v>
      </c>
      <c r="M751" s="39" t="n">
        <f aca="false">(('Business Case'!G11*$C751*'Business Case'!G12*$B751)-'Business Case'!G11*$C751*'Business Case'!G13*$D751-'Business Case'!G14*$E751)-MAX(0,(('Business Case'!G11*$C751*'Business Case'!G12*$B751)-'Business Case'!G11*$C751*'Business Case'!G13*$D751-'Business Case'!G14*$E751))*'Business Case'!$B$7-'Business Case'!$B$8*(('Business Case'!G11*$C751*'Business Case'!G12*$B751)-('Business Case'!F11*$C751*'Business Case'!F12*$B751))-'Business Case'!G15*$F751+'Business Case'!$B$8*('Business Case'!G11*$C751*'Business Case'!G12*$B751)</f>
        <v>972257646.999534</v>
      </c>
      <c r="N751" s="39" t="n">
        <f aca="false">IF(COUNT('Business Case'!B11:G11)=0,"",H751+NPV(G751,I751:M751))</f>
        <v>-302009085.628739</v>
      </c>
      <c r="P751" s="40" t="n">
        <f aca="true">RAND()</f>
        <v>0.628084164044736</v>
      </c>
      <c r="Q751" s="40" t="n">
        <f aca="true">RAND()</f>
        <v>0.871597512996653</v>
      </c>
      <c r="R751" s="40" t="n">
        <f aca="true">RAND()</f>
        <v>0.948738675642376</v>
      </c>
      <c r="S751" s="40" t="n">
        <f aca="true">RAND()</f>
        <v>0.335559308695989</v>
      </c>
      <c r="T751" s="40" t="n">
        <f aca="true">RAND()</f>
        <v>0.539829568293919</v>
      </c>
      <c r="U751" s="40" t="n">
        <f aca="true">RAND()</f>
        <v>0.707250770248635</v>
      </c>
    </row>
    <row r="752" customFormat="false" ht="15" hidden="false" customHeight="false" outlineLevel="0" collapsed="false">
      <c r="A752" s="36" t="n">
        <v>672</v>
      </c>
      <c r="B752" s="37" t="n">
        <f aca="false">1+IF($G$6=$E$6,$F$6,IF(P752&lt;($F$6-$E$6)/($G$6-$E$6),$E$6+SQRT(P752*($G$6-$E$6)*($F$6-$E$6)),$G$6-SQRT((1-P752)*($G$6-$E$6)*($G$6-$F$6))))</f>
        <v>0.953534487285876</v>
      </c>
      <c r="C752" s="37" t="n">
        <f aca="false">1+IF($G$7=$E$7,$F$7,IF(Q752&lt;($F$7-$E$7)/($G$7-$E$7),$E$7+SQRT(Q752*($G$7-$E$7)*($F$7-$E$7)),$G$7-SQRT((1-Q752)*($G$7-$E$7)*($G$7-$F$7))))</f>
        <v>1.01880583158424</v>
      </c>
      <c r="D752" s="37" t="n">
        <f aca="false">1+IF($G$8=$E$8,$F$8,IF(R752&lt;($F$8-$E$8)/($G$8-$E$8),$E$8+SQRT(R752*($G$8-$E$8)*($F$8-$E$8)),$G$8-SQRT((1-R752)*($G$8-$E$8)*($G$8-$F$8))))</f>
        <v>0.966744056652603</v>
      </c>
      <c r="E752" s="37" t="n">
        <f aca="false">1+IF($G$9=$E$9,$F$9,IF(S752&lt;($F$9-$E$9)/($G$9-$E$9),$E$9+SQRT(S752*($G$9-$E$9)*($F$9-$E$9)),$G$9-SQRT((1-S752)*($G$9-$E$9)*($G$9-$F$9))))</f>
        <v>1.01880330082286</v>
      </c>
      <c r="F752" s="37" t="n">
        <f aca="false">1+IF($G$10=$E$10,$F$10,IF(T752&lt;($F$10-$E$10)/($G$10-$E$10),$E$10+SQRT(T752*($G$10-$E$10)*($F$10-$E$10)),$G$10-SQRT((1-T752)*($G$10-$E$10)*($G$10-$F$10))))</f>
        <v>1.00617395243349</v>
      </c>
      <c r="G752" s="38" t="n">
        <f aca="false">IF($G$11=$E$11,$F$11,IF(U752&lt;($F$11-$E$11)/($G$11-$E$11),$E$11+SQRT(U752*($G$11-$E$11)*($F$11-$E$11)),$G$11-SQRT((1-U752)*($G$11-$E$11)*($G$11-$F$11))))</f>
        <v>0.102840888359915</v>
      </c>
      <c r="H752" s="39" t="n">
        <f aca="false">(('Business Case'!B11*$C752*'Business Case'!B12*$B752)-'Business Case'!B11*$C752*'Business Case'!B13*$D752-'Business Case'!B14*$E752)-MAX(0,(('Business Case'!B11*$C752*'Business Case'!B12*$B752)-'Business Case'!B11*$C752*'Business Case'!B13*$D752-'Business Case'!B14*$E752))*'Business Case'!$B$7-'Business Case'!$B$8*('Business Case'!B11*$C752*'Business Case'!B12*$B752)-'Business Case'!B15*$F752</f>
        <v>-2012347904.86698</v>
      </c>
      <c r="I752" s="39" t="n">
        <f aca="false">(('Business Case'!C11*$C752*'Business Case'!C12*$B752)-'Business Case'!C11*$C752*'Business Case'!C13*$D752-'Business Case'!C14*$E752)-MAX(0,(('Business Case'!C11*$C752*'Business Case'!C12*$B752)-'Business Case'!C11*$C752*'Business Case'!C13*$D752-'Business Case'!C14*$E752))*'Business Case'!$B$7-'Business Case'!$B$8*(('Business Case'!C11*$C752*'Business Case'!C12*$B752)-('Business Case'!B11*$C752*'Business Case'!B12*$B752))-'Business Case'!C15*$F752</f>
        <v>-4353582.8748306</v>
      </c>
      <c r="J752" s="39" t="n">
        <f aca="false">(('Business Case'!D11*$C752*'Business Case'!D12*$B752)-'Business Case'!D11*$C752*'Business Case'!D13*$D752-'Business Case'!D14*$E752)-MAX(0,(('Business Case'!D11*$C752*'Business Case'!D12*$B752)-'Business Case'!D11*$C752*'Business Case'!D13*$D752-'Business Case'!D14*$E752))*'Business Case'!$B$7-'Business Case'!$B$8*(('Business Case'!D11*$C752*'Business Case'!D12*$B752)-('Business Case'!C11*$C752*'Business Case'!C12*$B752))-'Business Case'!D15*$F752</f>
        <v>287144882.037</v>
      </c>
      <c r="K752" s="39" t="n">
        <f aca="false">(('Business Case'!E11*$C752*'Business Case'!E12*$B752)-'Business Case'!E11*$C752*'Business Case'!E13*$D752-'Business Case'!E14*$E752)-MAX(0,(('Business Case'!E11*$C752*'Business Case'!E12*$B752)-'Business Case'!E11*$C752*'Business Case'!E13*$D752-'Business Case'!E14*$E752))*'Business Case'!$B$7-'Business Case'!$B$8*(('Business Case'!E11*$C752*'Business Case'!E12*$B752)-('Business Case'!D11*$C752*'Business Case'!D12*$B752))-'Business Case'!E15*$F752</f>
        <v>628952044.570505</v>
      </c>
      <c r="L752" s="39" t="n">
        <f aca="false">(('Business Case'!F11*$C752*'Business Case'!F12*$B752)-'Business Case'!F11*$C752*'Business Case'!F13*$D752-'Business Case'!F14*$E752)-MAX(0,(('Business Case'!F11*$C752*'Business Case'!F12*$B752)-'Business Case'!F11*$C752*'Business Case'!F13*$D752-'Business Case'!F14*$E752))*'Business Case'!$B$7-'Business Case'!$B$8*(('Business Case'!F11*$C752*'Business Case'!F12*$B752)-('Business Case'!E11*$C752*'Business Case'!E12*$B752))-'Business Case'!F15*$F752</f>
        <v>759692081.651983</v>
      </c>
      <c r="M752" s="39" t="n">
        <f aca="false">(('Business Case'!G11*$C752*'Business Case'!G12*$B752)-'Business Case'!G11*$C752*'Business Case'!G13*$D752-'Business Case'!G14*$E752)-MAX(0,(('Business Case'!G11*$C752*'Business Case'!G12*$B752)-'Business Case'!G11*$C752*'Business Case'!G13*$D752-'Business Case'!G14*$E752))*'Business Case'!$B$7-'Business Case'!$B$8*(('Business Case'!G11*$C752*'Business Case'!G12*$B752)-('Business Case'!F11*$C752*'Business Case'!F12*$B752))-'Business Case'!G15*$F752+'Business Case'!$B$8*('Business Case'!G11*$C752*'Business Case'!G12*$B752)</f>
        <v>944348433.261756</v>
      </c>
      <c r="N752" s="39" t="n">
        <f aca="false">IF(COUNT('Business Case'!B11:G11)=0,"",H752+NPV(G752,I752:M752))</f>
        <v>-218901478.721302</v>
      </c>
      <c r="P752" s="40" t="n">
        <f aca="true">RAND()</f>
        <v>0.117141858075688</v>
      </c>
      <c r="Q752" s="40" t="n">
        <f aca="true">RAND()</f>
        <v>0.672154098546598</v>
      </c>
      <c r="R752" s="40" t="n">
        <f aca="true">RAND()</f>
        <v>0.0431328358747054</v>
      </c>
      <c r="S752" s="40" t="n">
        <f aca="true">RAND()</f>
        <v>0.560473069515784</v>
      </c>
      <c r="T752" s="40" t="n">
        <f aca="true">RAND()</f>
        <v>0.248629265694917</v>
      </c>
      <c r="U752" s="40" t="n">
        <f aca="true">RAND()</f>
        <v>0.50927481287184</v>
      </c>
    </row>
    <row r="753" customFormat="false" ht="15" hidden="false" customHeight="false" outlineLevel="0" collapsed="false">
      <c r="A753" s="36" t="n">
        <v>673</v>
      </c>
      <c r="B753" s="37" t="n">
        <f aca="false">1+IF($G$6=$E$6,$F$6,IF(P753&lt;($F$6-$E$6)/($G$6-$E$6),$E$6+SQRT(P753*($G$6-$E$6)*($F$6-$E$6)),$G$6-SQRT((1-P753)*($G$6-$E$6)*($G$6-$F$6))))</f>
        <v>0.991993055366367</v>
      </c>
      <c r="C753" s="37" t="n">
        <f aca="false">1+IF($G$7=$E$7,$F$7,IF(Q753&lt;($F$7-$E$7)/($G$7-$E$7),$E$7+SQRT(Q753*($G$7-$E$7)*($F$7-$E$7)),$G$7-SQRT((1-Q753)*($G$7-$E$7)*($G$7-$F$7))))</f>
        <v>0.996202732494979</v>
      </c>
      <c r="D753" s="37" t="n">
        <f aca="false">1+IF($G$8=$E$8,$F$8,IF(R753&lt;($F$8-$E$8)/($G$8-$E$8),$E$8+SQRT(R753*($G$8-$E$8)*($F$8-$E$8)),$G$8-SQRT((1-R753)*($G$8-$E$8)*($G$8-$F$8))))</f>
        <v>1.00279627087234</v>
      </c>
      <c r="E753" s="37" t="n">
        <f aca="false">1+IF($G$9=$E$9,$F$9,IF(S753&lt;($F$9-$E$9)/($G$9-$E$9),$E$9+SQRT(S753*($G$9-$E$9)*($F$9-$E$9)),$G$9-SQRT((1-S753)*($G$9-$E$9)*($G$9-$F$9))))</f>
        <v>0.977744698461929</v>
      </c>
      <c r="F753" s="37" t="n">
        <f aca="false">1+IF($G$10=$E$10,$F$10,IF(T753&lt;($F$10-$E$10)/($G$10-$E$10),$E$10+SQRT(T753*($G$10-$E$10)*($F$10-$E$10)),$G$10-SQRT((1-T753)*($G$10-$E$10)*($G$10-$F$10))))</f>
        <v>1.0348873701285</v>
      </c>
      <c r="G753" s="38" t="n">
        <f aca="false">IF($G$11=$E$11,$F$11,IF(U753&lt;($F$11-$E$11)/($G$11-$E$11),$E$11+SQRT(U753*($G$11-$E$11)*($F$11-$E$11)),$G$11-SQRT((1-U753)*($G$11-$E$11)*($G$11-$F$11))))</f>
        <v>0.105865829608961</v>
      </c>
      <c r="H753" s="39" t="n">
        <f aca="false">(('Business Case'!B11*$C753*'Business Case'!B12*$B753)-'Business Case'!B11*$C753*'Business Case'!B13*$D753-'Business Case'!B14*$E753)-MAX(0,(('Business Case'!B11*$C753*'Business Case'!B12*$B753)-'Business Case'!B11*$C753*'Business Case'!B13*$D753-'Business Case'!B14*$E753))*'Business Case'!$B$7-'Business Case'!$B$8*('Business Case'!B11*$C753*'Business Case'!B12*$B753)-'Business Case'!B15*$F753</f>
        <v>-2069774740.25701</v>
      </c>
      <c r="I753" s="39" t="n">
        <f aca="false">(('Business Case'!C11*$C753*'Business Case'!C12*$B753)-'Business Case'!C11*$C753*'Business Case'!C13*$D753-'Business Case'!C14*$E753)-MAX(0,(('Business Case'!C11*$C753*'Business Case'!C12*$B753)-'Business Case'!C11*$C753*'Business Case'!C13*$D753-'Business Case'!C14*$E753))*'Business Case'!$B$7-'Business Case'!$B$8*(('Business Case'!C11*$C753*'Business Case'!C12*$B753)-('Business Case'!B11*$C753*'Business Case'!B12*$B753))-'Business Case'!C15*$F753</f>
        <v>4272590.75110139</v>
      </c>
      <c r="J753" s="39" t="n">
        <f aca="false">(('Business Case'!D11*$C753*'Business Case'!D12*$B753)-'Business Case'!D11*$C753*'Business Case'!D13*$D753-'Business Case'!D14*$E753)-MAX(0,(('Business Case'!D11*$C753*'Business Case'!D12*$B753)-'Business Case'!D11*$C753*'Business Case'!D13*$D753-'Business Case'!D14*$E753))*'Business Case'!$B$7-'Business Case'!$B$8*(('Business Case'!D11*$C753*'Business Case'!D12*$B753)-('Business Case'!C11*$C753*'Business Case'!C12*$B753))-'Business Case'!D15*$F753</f>
        <v>302298860.448905</v>
      </c>
      <c r="K753" s="39" t="n">
        <f aca="false">(('Business Case'!E11*$C753*'Business Case'!E12*$B753)-'Business Case'!E11*$C753*'Business Case'!E13*$D753-'Business Case'!E14*$E753)-MAX(0,(('Business Case'!E11*$C753*'Business Case'!E12*$B753)-'Business Case'!E11*$C753*'Business Case'!E13*$D753-'Business Case'!E14*$E753))*'Business Case'!$B$7-'Business Case'!$B$8*(('Business Case'!E11*$C753*'Business Case'!E12*$B753)-('Business Case'!D11*$C753*'Business Case'!D12*$B753))-'Business Case'!E15*$F753</f>
        <v>652069498.653134</v>
      </c>
      <c r="L753" s="39" t="n">
        <f aca="false">(('Business Case'!F11*$C753*'Business Case'!F12*$B753)-'Business Case'!F11*$C753*'Business Case'!F13*$D753-'Business Case'!F14*$E753)-MAX(0,(('Business Case'!F11*$C753*'Business Case'!F12*$B753)-'Business Case'!F11*$C753*'Business Case'!F13*$D753-'Business Case'!F14*$E753))*'Business Case'!$B$7-'Business Case'!$B$8*(('Business Case'!F11*$C753*'Business Case'!F12*$B753)-('Business Case'!E11*$C753*'Business Case'!E12*$B753))-'Business Case'!F15*$F753</f>
        <v>785564685.760778</v>
      </c>
      <c r="M753" s="39" t="n">
        <f aca="false">(('Business Case'!G11*$C753*'Business Case'!G12*$B753)-'Business Case'!G11*$C753*'Business Case'!G13*$D753-'Business Case'!G14*$E753)-MAX(0,(('Business Case'!G11*$C753*'Business Case'!G12*$B753)-'Business Case'!G11*$C753*'Business Case'!G13*$D753-'Business Case'!G14*$E753))*'Business Case'!$B$7-'Business Case'!$B$8*(('Business Case'!G11*$C753*'Business Case'!G12*$B753)-('Business Case'!F11*$C753*'Business Case'!F12*$B753))-'Business Case'!G15*$F753+'Business Case'!$B$8*('Business Case'!G11*$C753*'Business Case'!G12*$B753)</f>
        <v>973406720.406851</v>
      </c>
      <c r="N753" s="39" t="n">
        <f aca="false">IF(COUNT('Business Case'!B11:G11)=0,"",H753+NPV(G753,I753:M753))</f>
        <v>-222760099.328996</v>
      </c>
      <c r="P753" s="40" t="n">
        <f aca="true">RAND()</f>
        <v>0.539895835519241</v>
      </c>
      <c r="Q753" s="40" t="n">
        <f aca="true">RAND()</f>
        <v>0.549935889121377</v>
      </c>
      <c r="R753" s="40" t="n">
        <f aca="true">RAND()</f>
        <v>0.426883096998303</v>
      </c>
      <c r="S753" s="40" t="n">
        <f aca="true">RAND()</f>
        <v>0.102635772365783</v>
      </c>
      <c r="T753" s="40" t="n">
        <f aca="true">RAND()</f>
        <v>0.454756389138369</v>
      </c>
      <c r="U753" s="40" t="n">
        <f aca="true">RAND()</f>
        <v>0.667042045595118</v>
      </c>
    </row>
    <row r="754" customFormat="false" ht="15" hidden="false" customHeight="false" outlineLevel="0" collapsed="false">
      <c r="A754" s="36" t="n">
        <v>674</v>
      </c>
      <c r="B754" s="37" t="n">
        <f aca="false">1+IF($G$6=$E$6,$F$6,IF(P754&lt;($F$6-$E$6)/($G$6-$E$6),$E$6+SQRT(P754*($G$6-$E$6)*($F$6-$E$6)),$G$6-SQRT((1-P754)*($G$6-$E$6)*($G$6-$F$6))))</f>
        <v>0.93806271192861</v>
      </c>
      <c r="C754" s="37" t="n">
        <f aca="false">1+IF($G$7=$E$7,$F$7,IF(Q754&lt;($F$7-$E$7)/($G$7-$E$7),$E$7+SQRT(Q754*($G$7-$E$7)*($F$7-$E$7)),$G$7-SQRT((1-Q754)*($G$7-$E$7)*($G$7-$F$7))))</f>
        <v>1.06666136999473</v>
      </c>
      <c r="D754" s="37" t="n">
        <f aca="false">1+IF($G$8=$E$8,$F$8,IF(R754&lt;($F$8-$E$8)/($G$8-$E$8),$E$8+SQRT(R754*($G$8-$E$8)*($F$8-$E$8)),$G$8-SQRT((1-R754)*($G$8-$E$8)*($G$8-$F$8))))</f>
        <v>0.984432340972442</v>
      </c>
      <c r="E754" s="37" t="n">
        <f aca="false">1+IF($G$9=$E$9,$F$9,IF(S754&lt;($F$9-$E$9)/($G$9-$E$9),$E$9+SQRT(S754*($G$9-$E$9)*($F$9-$E$9)),$G$9-SQRT((1-S754)*($G$9-$E$9)*($G$9-$F$9))))</f>
        <v>1.04348253271937</v>
      </c>
      <c r="F754" s="37" t="n">
        <f aca="false">1+IF($G$10=$E$10,$F$10,IF(T754&lt;($F$10-$E$10)/($G$10-$E$10),$E$10+SQRT(T754*($G$10-$E$10)*($F$10-$E$10)),$G$10-SQRT((1-T754)*($G$10-$E$10)*($G$10-$F$10))))</f>
        <v>1.08227870036183</v>
      </c>
      <c r="G754" s="38" t="n">
        <f aca="false">IF($G$11=$E$11,$F$11,IF(U754&lt;($F$11-$E$11)/($G$11-$E$11),$E$11+SQRT(U754*($G$11-$E$11)*($F$11-$E$11)),$G$11-SQRT((1-U754)*($G$11-$E$11)*($G$11-$F$11))))</f>
        <v>0.0995905198469002</v>
      </c>
      <c r="H754" s="39" t="n">
        <f aca="false">(('Business Case'!B11*$C754*'Business Case'!B12*$B754)-'Business Case'!B11*$C754*'Business Case'!B13*$D754-'Business Case'!B14*$E754)-MAX(0,(('Business Case'!B11*$C754*'Business Case'!B12*$B754)-'Business Case'!B11*$C754*'Business Case'!B13*$D754-'Business Case'!B14*$E754))*'Business Case'!$B$7-'Business Case'!$B$8*('Business Case'!B11*$C754*'Business Case'!B12*$B754)-'Business Case'!B15*$F754</f>
        <v>-2164557400.72366</v>
      </c>
      <c r="I754" s="39" t="n">
        <f aca="false">(('Business Case'!C11*$C754*'Business Case'!C12*$B754)-'Business Case'!C11*$C754*'Business Case'!C13*$D754-'Business Case'!C14*$E754)-MAX(0,(('Business Case'!C11*$C754*'Business Case'!C12*$B754)-'Business Case'!C11*$C754*'Business Case'!C13*$D754-'Business Case'!C14*$E754))*'Business Case'!$B$7-'Business Case'!$B$8*(('Business Case'!C11*$C754*'Business Case'!C12*$B754)-('Business Case'!B11*$C754*'Business Case'!B12*$B754))-'Business Case'!C15*$F754</f>
        <v>-26467027.2897953</v>
      </c>
      <c r="J754" s="39" t="n">
        <f aca="false">(('Business Case'!D11*$C754*'Business Case'!D12*$B754)-'Business Case'!D11*$C754*'Business Case'!D13*$D754-'Business Case'!D14*$E754)-MAX(0,(('Business Case'!D11*$C754*'Business Case'!D12*$B754)-'Business Case'!D11*$C754*'Business Case'!D13*$D754-'Business Case'!D14*$E754))*'Business Case'!$B$7-'Business Case'!$B$8*(('Business Case'!D11*$C754*'Business Case'!D12*$B754)-('Business Case'!C11*$C754*'Business Case'!C12*$B754))-'Business Case'!D15*$F754</f>
        <v>255547889.755325</v>
      </c>
      <c r="K754" s="39" t="n">
        <f aca="false">(('Business Case'!E11*$C754*'Business Case'!E12*$B754)-'Business Case'!E11*$C754*'Business Case'!E13*$D754-'Business Case'!E14*$E754)-MAX(0,(('Business Case'!E11*$C754*'Business Case'!E12*$B754)-'Business Case'!E11*$C754*'Business Case'!E13*$D754-'Business Case'!E14*$E754))*'Business Case'!$B$7-'Business Case'!$B$8*(('Business Case'!E11*$C754*'Business Case'!E12*$B754)-('Business Case'!D11*$C754*'Business Case'!D12*$B754))-'Business Case'!E15*$F754</f>
        <v>591676741.818538</v>
      </c>
      <c r="L754" s="39" t="n">
        <f aca="false">(('Business Case'!F11*$C754*'Business Case'!F12*$B754)-'Business Case'!F11*$C754*'Business Case'!F13*$D754-'Business Case'!F14*$E754)-MAX(0,(('Business Case'!F11*$C754*'Business Case'!F12*$B754)-'Business Case'!F11*$C754*'Business Case'!F13*$D754-'Business Case'!F14*$E754))*'Business Case'!$B$7-'Business Case'!$B$8*(('Business Case'!F11*$C754*'Business Case'!F12*$B754)-('Business Case'!E11*$C754*'Business Case'!E12*$B754))-'Business Case'!F15*$F754</f>
        <v>720262286.26427</v>
      </c>
      <c r="M754" s="39" t="n">
        <f aca="false">(('Business Case'!G11*$C754*'Business Case'!G12*$B754)-'Business Case'!G11*$C754*'Business Case'!G13*$D754-'Business Case'!G14*$E754)-MAX(0,(('Business Case'!G11*$C754*'Business Case'!G12*$B754)-'Business Case'!G11*$C754*'Business Case'!G13*$D754-'Business Case'!G14*$E754))*'Business Case'!$B$7-'Business Case'!$B$8*(('Business Case'!G11*$C754*'Business Case'!G12*$B754)-('Business Case'!F11*$C754*'Business Case'!F12*$B754))-'Business Case'!G15*$F754+'Business Case'!$B$8*('Business Case'!G11*$C754*'Business Case'!G12*$B754)</f>
        <v>910455432.799747</v>
      </c>
      <c r="N754" s="39" t="n">
        <f aca="false">IF(COUNT('Business Case'!B11:G11)=0,"",H754+NPV(G754,I754:M754))</f>
        <v>-473184439.896315</v>
      </c>
      <c r="P754" s="40" t="n">
        <f aca="true">RAND()</f>
        <v>0.0339855793974962</v>
      </c>
      <c r="Q754" s="40" t="n">
        <f aca="true">RAND()</f>
        <v>0.867708052358945</v>
      </c>
      <c r="R754" s="40" t="n">
        <f aca="true">RAND()</f>
        <v>0.182397862283458</v>
      </c>
      <c r="S754" s="40" t="n">
        <f aca="true">RAND()</f>
        <v>0.787051726145491</v>
      </c>
      <c r="T754" s="40" t="n">
        <f aca="true">RAND()</f>
        <v>0.722833912230007</v>
      </c>
      <c r="U754" s="40" t="n">
        <f aca="true">RAND()</f>
        <v>0.306593569779288</v>
      </c>
    </row>
    <row r="755" customFormat="false" ht="15" hidden="false" customHeight="false" outlineLevel="0" collapsed="false">
      <c r="A755" s="36" t="n">
        <v>675</v>
      </c>
      <c r="B755" s="37" t="n">
        <f aca="false">1+IF($G$6=$E$6,$F$6,IF(P755&lt;($F$6-$E$6)/($G$6-$E$6),$E$6+SQRT(P755*($G$6-$E$6)*($F$6-$E$6)),$G$6-SQRT((1-P755)*($G$6-$E$6)*($G$6-$F$6))))</f>
        <v>0.979939819886867</v>
      </c>
      <c r="C755" s="37" t="n">
        <f aca="false">1+IF($G$7=$E$7,$F$7,IF(Q755&lt;($F$7-$E$7)/($G$7-$E$7),$E$7+SQRT(Q755*($G$7-$E$7)*($F$7-$E$7)),$G$7-SQRT((1-Q755)*($G$7-$E$7)*($G$7-$F$7))))</f>
        <v>0.999437684814289</v>
      </c>
      <c r="D755" s="37" t="n">
        <f aca="false">1+IF($G$8=$E$8,$F$8,IF(R755&lt;($F$8-$E$8)/($G$8-$E$8),$E$8+SQRT(R755*($G$8-$E$8)*($F$8-$E$8)),$G$8-SQRT((1-R755)*($G$8-$E$8)*($G$8-$F$8))))</f>
        <v>0.977087399054214</v>
      </c>
      <c r="E755" s="37" t="n">
        <f aca="false">1+IF($G$9=$E$9,$F$9,IF(S755&lt;($F$9-$E$9)/($G$9-$E$9),$E$9+SQRT(S755*($G$9-$E$9)*($F$9-$E$9)),$G$9-SQRT((1-S755)*($G$9-$E$9)*($G$9-$F$9))))</f>
        <v>0.997116733507488</v>
      </c>
      <c r="F755" s="37" t="n">
        <f aca="false">1+IF($G$10=$E$10,$F$10,IF(T755&lt;($F$10-$E$10)/($G$10-$E$10),$E$10+SQRT(T755*($G$10-$E$10)*($F$10-$E$10)),$G$10-SQRT((1-T755)*($G$10-$E$10)*($G$10-$F$10))))</f>
        <v>0.998312362819327</v>
      </c>
      <c r="G755" s="38" t="n">
        <f aca="false">IF($G$11=$E$11,$F$11,IF(U755&lt;($F$11-$E$11)/($G$11-$E$11),$E$11+SQRT(U755*($G$11-$E$11)*($F$11-$E$11)),$G$11-SQRT((1-U755)*($G$11-$E$11)*($G$11-$F$11))))</f>
        <v>0.112083135565402</v>
      </c>
      <c r="H755" s="39" t="n">
        <f aca="false">(('Business Case'!B11*$C755*'Business Case'!B12*$B755)-'Business Case'!B11*$C755*'Business Case'!B13*$D755-'Business Case'!B14*$E755)-MAX(0,(('Business Case'!B11*$C755*'Business Case'!B12*$B755)-'Business Case'!B11*$C755*'Business Case'!B13*$D755-'Business Case'!B14*$E755))*'Business Case'!$B$7-'Business Case'!$B$8*('Business Case'!B11*$C755*'Business Case'!B12*$B755)-'Business Case'!B15*$F755</f>
        <v>-1996624725.63866</v>
      </c>
      <c r="I755" s="39" t="n">
        <f aca="false">(('Business Case'!C11*$C755*'Business Case'!C12*$B755)-'Business Case'!C11*$C755*'Business Case'!C13*$D755-'Business Case'!C14*$E755)-MAX(0,(('Business Case'!C11*$C755*'Business Case'!C12*$B755)-'Business Case'!C11*$C755*'Business Case'!C13*$D755-'Business Case'!C14*$E755))*'Business Case'!$B$7-'Business Case'!$B$8*(('Business Case'!C11*$C755*'Business Case'!C12*$B755)-('Business Case'!B11*$C755*'Business Case'!B12*$B755))-'Business Case'!C15*$F755</f>
        <v>9887863.82334362</v>
      </c>
      <c r="J755" s="39" t="n">
        <f aca="false">(('Business Case'!D11*$C755*'Business Case'!D12*$B755)-'Business Case'!D11*$C755*'Business Case'!D13*$D755-'Business Case'!D14*$E755)-MAX(0,(('Business Case'!D11*$C755*'Business Case'!D12*$B755)-'Business Case'!D11*$C755*'Business Case'!D13*$D755-'Business Case'!D14*$E755))*'Business Case'!$B$7-'Business Case'!$B$8*(('Business Case'!D11*$C755*'Business Case'!D12*$B755)-('Business Case'!C11*$C755*'Business Case'!C12*$B755))-'Business Case'!D15*$F755</f>
        <v>312168478.039753</v>
      </c>
      <c r="K755" s="39" t="n">
        <f aca="false">(('Business Case'!E11*$C755*'Business Case'!E12*$B755)-'Business Case'!E11*$C755*'Business Case'!E13*$D755-'Business Case'!E14*$E755)-MAX(0,(('Business Case'!E11*$C755*'Business Case'!E12*$B755)-'Business Case'!E11*$C755*'Business Case'!E13*$D755-'Business Case'!E14*$E755))*'Business Case'!$B$7-'Business Case'!$B$8*(('Business Case'!E11*$C755*'Business Case'!E12*$B755)-('Business Case'!D11*$C755*'Business Case'!D12*$B755))-'Business Case'!E15*$F755</f>
        <v>664364710.397129</v>
      </c>
      <c r="L755" s="39" t="n">
        <f aca="false">(('Business Case'!F11*$C755*'Business Case'!F12*$B755)-'Business Case'!F11*$C755*'Business Case'!F13*$D755-'Business Case'!F14*$E755)-MAX(0,(('Business Case'!F11*$C755*'Business Case'!F12*$B755)-'Business Case'!F11*$C755*'Business Case'!F13*$D755-'Business Case'!F14*$E755))*'Business Case'!$B$7-'Business Case'!$B$8*(('Business Case'!F11*$C755*'Business Case'!F12*$B755)-('Business Case'!E11*$C755*'Business Case'!E12*$B755))-'Business Case'!F15*$F755</f>
        <v>798972591.540176</v>
      </c>
      <c r="M755" s="39" t="n">
        <f aca="false">(('Business Case'!G11*$C755*'Business Case'!G12*$B755)-'Business Case'!G11*$C755*'Business Case'!G13*$D755-'Business Case'!G14*$E755)-MAX(0,(('Business Case'!G11*$C755*'Business Case'!G12*$B755)-'Business Case'!G11*$C755*'Business Case'!G13*$D755-'Business Case'!G14*$E755))*'Business Case'!$B$7-'Business Case'!$B$8*(('Business Case'!G11*$C755*'Business Case'!G12*$B755)-('Business Case'!F11*$C755*'Business Case'!F12*$B755))-'Business Case'!G15*$F755+'Business Case'!$B$8*('Business Case'!G11*$C755*'Business Case'!G12*$B755)</f>
        <v>985134811.763526</v>
      </c>
      <c r="N755" s="39" t="n">
        <f aca="false">IF(COUNT('Business Case'!B11:G11)=0,"",H755+NPV(G755,I755:M755))</f>
        <v>-150715759.45932</v>
      </c>
      <c r="P755" s="40" t="n">
        <f aca="true">RAND()</f>
        <v>0.374248125840633</v>
      </c>
      <c r="Q755" s="40" t="n">
        <f aca="true">RAND()</f>
        <v>0.568219858915479</v>
      </c>
      <c r="R755" s="40" t="n">
        <f aca="true">RAND()</f>
        <v>0.112881105772651</v>
      </c>
      <c r="S755" s="40" t="n">
        <f aca="true">RAND()</f>
        <v>0.295998210188757</v>
      </c>
      <c r="T755" s="40" t="n">
        <f aca="true">RAND()</f>
        <v>0.186726752094907</v>
      </c>
      <c r="U755" s="40" t="n">
        <f aca="true">RAND()</f>
        <v>0.895538762540327</v>
      </c>
    </row>
    <row r="756" customFormat="false" ht="15" hidden="false" customHeight="false" outlineLevel="0" collapsed="false">
      <c r="A756" s="36" t="n">
        <v>676</v>
      </c>
      <c r="B756" s="37" t="n">
        <f aca="false">1+IF($G$6=$E$6,$F$6,IF(P756&lt;($F$6-$E$6)/($G$6-$E$6),$E$6+SQRT(P756*($G$6-$E$6)*($F$6-$E$6)),$G$6-SQRT((1-P756)*($G$6-$E$6)*($G$6-$F$6))))</f>
        <v>1.00143395554028</v>
      </c>
      <c r="C756" s="37" t="n">
        <f aca="false">1+IF($G$7=$E$7,$F$7,IF(Q756&lt;($F$7-$E$7)/($G$7-$E$7),$E$7+SQRT(Q756*($G$7-$E$7)*($F$7-$E$7)),$G$7-SQRT((1-Q756)*($G$7-$E$7)*($G$7-$F$7))))</f>
        <v>1.02895626203736</v>
      </c>
      <c r="D756" s="37" t="n">
        <f aca="false">1+IF($G$8=$E$8,$F$8,IF(R756&lt;($F$8-$E$8)/($G$8-$E$8),$E$8+SQRT(R756*($G$8-$E$8)*($F$8-$E$8)),$G$8-SQRT((1-R756)*($G$8-$E$8)*($G$8-$F$8))))</f>
        <v>0.992182613315705</v>
      </c>
      <c r="E756" s="37" t="n">
        <f aca="false">1+IF($G$9=$E$9,$F$9,IF(S756&lt;($F$9-$E$9)/($G$9-$E$9),$E$9+SQRT(S756*($G$9-$E$9)*($F$9-$E$9)),$G$9-SQRT((1-S756)*($G$9-$E$9)*($G$9-$F$9))))</f>
        <v>0.957510459332842</v>
      </c>
      <c r="F756" s="37" t="n">
        <f aca="false">1+IF($G$10=$E$10,$F$10,IF(T756&lt;($F$10-$E$10)/($G$10-$E$10),$E$10+SQRT(T756*($G$10-$E$10)*($F$10-$E$10)),$G$10-SQRT((1-T756)*($G$10-$E$10)*($G$10-$F$10))))</f>
        <v>1.0342632116748</v>
      </c>
      <c r="G756" s="38" t="n">
        <f aca="false">IF($G$11=$E$11,$F$11,IF(U756&lt;($F$11-$E$11)/($G$11-$E$11),$E$11+SQRT(U756*($G$11-$E$11)*($F$11-$E$11)),$G$11-SQRT((1-U756)*($G$11-$E$11)*($G$11-$F$11))))</f>
        <v>0.097596671602503</v>
      </c>
      <c r="H756" s="39" t="n">
        <f aca="false">(('Business Case'!B11*$C756*'Business Case'!B12*$B756)-'Business Case'!B11*$C756*'Business Case'!B13*$D756-'Business Case'!B14*$E756)-MAX(0,(('Business Case'!B11*$C756*'Business Case'!B12*$B756)-'Business Case'!B11*$C756*'Business Case'!B13*$D756-'Business Case'!B14*$E756))*'Business Case'!$B$7-'Business Case'!$B$8*('Business Case'!B11*$C756*'Business Case'!B12*$B756)-'Business Case'!B15*$F756</f>
        <v>-2068526423.34961</v>
      </c>
      <c r="I756" s="39" t="n">
        <f aca="false">(('Business Case'!C11*$C756*'Business Case'!C12*$B756)-'Business Case'!C11*$C756*'Business Case'!C13*$D756-'Business Case'!C14*$E756)-MAX(0,(('Business Case'!C11*$C756*'Business Case'!C12*$B756)-'Business Case'!C11*$C756*'Business Case'!C13*$D756-'Business Case'!C14*$E756))*'Business Case'!$B$7-'Business Case'!$B$8*(('Business Case'!C11*$C756*'Business Case'!C12*$B756)-('Business Case'!B11*$C756*'Business Case'!B12*$B756))-'Business Case'!C15*$F756</f>
        <v>28370362.2456545</v>
      </c>
      <c r="J756" s="39" t="n">
        <f aca="false">(('Business Case'!D11*$C756*'Business Case'!D12*$B756)-'Business Case'!D11*$C756*'Business Case'!D13*$D756-'Business Case'!D14*$E756)-MAX(0,(('Business Case'!D11*$C756*'Business Case'!D12*$B756)-'Business Case'!D11*$C756*'Business Case'!D13*$D756-'Business Case'!D14*$E756))*'Business Case'!$B$7-'Business Case'!$B$8*(('Business Case'!D11*$C756*'Business Case'!D12*$B756)-('Business Case'!C11*$C756*'Business Case'!C12*$B756))-'Business Case'!D15*$F756</f>
        <v>349742614.355229</v>
      </c>
      <c r="K756" s="39" t="n">
        <f aca="false">(('Business Case'!E11*$C756*'Business Case'!E12*$B756)-'Business Case'!E11*$C756*'Business Case'!E13*$D756-'Business Case'!E14*$E756)-MAX(0,(('Business Case'!E11*$C756*'Business Case'!E12*$B756)-'Business Case'!E11*$C756*'Business Case'!E13*$D756-'Business Case'!E14*$E756))*'Business Case'!$B$7-'Business Case'!$B$8*(('Business Case'!E11*$C756*'Business Case'!E12*$B756)-('Business Case'!D11*$C756*'Business Case'!D12*$B756))-'Business Case'!E15*$F756</f>
        <v>722828027.048544</v>
      </c>
      <c r="L756" s="39" t="n">
        <f aca="false">(('Business Case'!F11*$C756*'Business Case'!F12*$B756)-'Business Case'!F11*$C756*'Business Case'!F13*$D756-'Business Case'!F14*$E756)-MAX(0,(('Business Case'!F11*$C756*'Business Case'!F12*$B756)-'Business Case'!F11*$C756*'Business Case'!F13*$D756-'Business Case'!F14*$E756))*'Business Case'!$B$7-'Business Case'!$B$8*(('Business Case'!F11*$C756*'Business Case'!F12*$B756)-('Business Case'!E11*$C756*'Business Case'!E12*$B756))-'Business Case'!F15*$F756</f>
        <v>865563832.004609</v>
      </c>
      <c r="M756" s="39" t="n">
        <f aca="false">(('Business Case'!G11*$C756*'Business Case'!G12*$B756)-'Business Case'!G11*$C756*'Business Case'!G13*$D756-'Business Case'!G14*$E756)-MAX(0,(('Business Case'!G11*$C756*'Business Case'!G12*$B756)-'Business Case'!G11*$C756*'Business Case'!G13*$D756-'Business Case'!G14*$E756))*'Business Case'!$B$7-'Business Case'!$B$8*(('Business Case'!G11*$C756*'Business Case'!G12*$B756)-('Business Case'!F11*$C756*'Business Case'!F12*$B756))-'Business Case'!G15*$F756+'Business Case'!$B$8*('Business Case'!G11*$C756*'Business Case'!G12*$B756)</f>
        <v>1061428297.06208</v>
      </c>
      <c r="N756" s="39" t="n">
        <f aca="false">IF(COUNT('Business Case'!B11:G11)=0,"",H756+NPV(G756,I756:M756))</f>
        <v>56975922.2616472</v>
      </c>
      <c r="P756" s="40" t="n">
        <f aca="true">RAND()</f>
        <v>0.690137544735639</v>
      </c>
      <c r="Q756" s="40" t="n">
        <f aca="true">RAND()</f>
        <v>0.720922161905373</v>
      </c>
      <c r="R756" s="40" t="n">
        <f aca="true">RAND()</f>
        <v>0.273749671714195</v>
      </c>
      <c r="S756" s="40" t="n">
        <f aca="true">RAND()</f>
        <v>0.00752093325203615</v>
      </c>
      <c r="T756" s="40" t="n">
        <f aca="true">RAND()</f>
        <v>0.450626339912974</v>
      </c>
      <c r="U756" s="40" t="n">
        <f aca="true">RAND()</f>
        <v>0.192364731454254</v>
      </c>
    </row>
    <row r="757" customFormat="false" ht="15" hidden="false" customHeight="false" outlineLevel="0" collapsed="false">
      <c r="A757" s="36" t="n">
        <v>677</v>
      </c>
      <c r="B757" s="37" t="n">
        <f aca="false">1+IF($G$6=$E$6,$F$6,IF(P757&lt;($F$6-$E$6)/($G$6-$E$6),$E$6+SQRT(P757*($G$6-$E$6)*($F$6-$E$6)),$G$6-SQRT((1-P757)*($G$6-$E$6)*($G$6-$F$6))))</f>
        <v>0.947332944260818</v>
      </c>
      <c r="C757" s="37" t="n">
        <f aca="false">1+IF($G$7=$E$7,$F$7,IF(Q757&lt;($F$7-$E$7)/($G$7-$E$7),$E$7+SQRT(Q757*($G$7-$E$7)*($F$7-$E$7)),$G$7-SQRT((1-Q757)*($G$7-$E$7)*($G$7-$F$7))))</f>
        <v>1.00876537907538</v>
      </c>
      <c r="D757" s="37" t="n">
        <f aca="false">1+IF($G$8=$E$8,$F$8,IF(R757&lt;($F$8-$E$8)/($G$8-$E$8),$E$8+SQRT(R757*($G$8-$E$8)*($F$8-$E$8)),$G$8-SQRT((1-R757)*($G$8-$E$8)*($G$8-$F$8))))</f>
        <v>1.04420754435562</v>
      </c>
      <c r="E757" s="37" t="n">
        <f aca="false">1+IF($G$9=$E$9,$F$9,IF(S757&lt;($F$9-$E$9)/($G$9-$E$9),$E$9+SQRT(S757*($G$9-$E$9)*($F$9-$E$9)),$G$9-SQRT((1-S757)*($G$9-$E$9)*($G$9-$F$9))))</f>
        <v>1.02224980407224</v>
      </c>
      <c r="F757" s="37" t="n">
        <f aca="false">1+IF($G$10=$E$10,$F$10,IF(T757&lt;($F$10-$E$10)/($G$10-$E$10),$E$10+SQRT(T757*($G$10-$E$10)*($F$10-$E$10)),$G$10-SQRT((1-T757)*($G$10-$E$10)*($G$10-$F$10))))</f>
        <v>0.986536953843442</v>
      </c>
      <c r="G757" s="38" t="n">
        <f aca="false">IF($G$11=$E$11,$F$11,IF(U757&lt;($F$11-$E$11)/($G$11-$E$11),$E$11+SQRT(U757*($G$11-$E$11)*($F$11-$E$11)),$G$11-SQRT((1-U757)*($G$11-$E$11)*($G$11-$F$11))))</f>
        <v>0.100330619005196</v>
      </c>
      <c r="H757" s="39" t="n">
        <f aca="false">(('Business Case'!B11*$C757*'Business Case'!B12*$B757)-'Business Case'!B11*$C757*'Business Case'!B13*$D757-'Business Case'!B14*$E757)-MAX(0,(('Business Case'!B11*$C757*'Business Case'!B12*$B757)-'Business Case'!B11*$C757*'Business Case'!B13*$D757-'Business Case'!B14*$E757))*'Business Case'!$B$7-'Business Case'!$B$8*('Business Case'!B11*$C757*'Business Case'!B12*$B757)-'Business Case'!B15*$F757</f>
        <v>-1973073907.68688</v>
      </c>
      <c r="I757" s="39" t="n">
        <f aca="false">(('Business Case'!C11*$C757*'Business Case'!C12*$B757)-'Business Case'!C11*$C757*'Business Case'!C13*$D757-'Business Case'!C14*$E757)-MAX(0,(('Business Case'!C11*$C757*'Business Case'!C12*$B757)-'Business Case'!C11*$C757*'Business Case'!C13*$D757-'Business Case'!C14*$E757))*'Business Case'!$B$7-'Business Case'!$B$8*(('Business Case'!C11*$C757*'Business Case'!C12*$B757)-('Business Case'!B11*$C757*'Business Case'!B12*$B757))-'Business Case'!C15*$F757</f>
        <v>-50058844.6967416</v>
      </c>
      <c r="J757" s="39" t="n">
        <f aca="false">(('Business Case'!D11*$C757*'Business Case'!D12*$B757)-'Business Case'!D11*$C757*'Business Case'!D13*$D757-'Business Case'!D14*$E757)-MAX(0,(('Business Case'!D11*$C757*'Business Case'!D12*$B757)-'Business Case'!D11*$C757*'Business Case'!D13*$D757-'Business Case'!D14*$E757))*'Business Case'!$B$7-'Business Case'!$B$8*(('Business Case'!D11*$C757*'Business Case'!D12*$B757)-('Business Case'!C11*$C757*'Business Case'!C12*$B757))-'Business Case'!D15*$F757</f>
        <v>193440133.446321</v>
      </c>
      <c r="K757" s="39" t="n">
        <f aca="false">(('Business Case'!E11*$C757*'Business Case'!E12*$B757)-'Business Case'!E11*$C757*'Business Case'!E13*$D757-'Business Case'!E14*$E757)-MAX(0,(('Business Case'!E11*$C757*'Business Case'!E12*$B757)-'Business Case'!E11*$C757*'Business Case'!E13*$D757-'Business Case'!E14*$E757))*'Business Case'!$B$7-'Business Case'!$B$8*(('Business Case'!E11*$C757*'Business Case'!E12*$B757)-('Business Case'!D11*$C757*'Business Case'!D12*$B757))-'Business Case'!E15*$F757</f>
        <v>486265959.281556</v>
      </c>
      <c r="L757" s="39" t="n">
        <f aca="false">(('Business Case'!F11*$C757*'Business Case'!F12*$B757)-'Business Case'!F11*$C757*'Business Case'!F13*$D757-'Business Case'!F14*$E757)-MAX(0,(('Business Case'!F11*$C757*'Business Case'!F12*$B757)-'Business Case'!F11*$C757*'Business Case'!F13*$D757-'Business Case'!F14*$E757))*'Business Case'!$B$7-'Business Case'!$B$8*(('Business Case'!F11*$C757*'Business Case'!F12*$B757)-('Business Case'!E11*$C757*'Business Case'!E12*$B757))-'Business Case'!F15*$F757</f>
        <v>600459088.873503</v>
      </c>
      <c r="M757" s="39" t="n">
        <f aca="false">(('Business Case'!G11*$C757*'Business Case'!G12*$B757)-'Business Case'!G11*$C757*'Business Case'!G13*$D757-'Business Case'!G14*$E757)-MAX(0,(('Business Case'!G11*$C757*'Business Case'!G12*$B757)-'Business Case'!G11*$C757*'Business Case'!G13*$D757-'Business Case'!G14*$E757))*'Business Case'!$B$7-'Business Case'!$B$8*(('Business Case'!G11*$C757*'Business Case'!G12*$B757)-('Business Case'!F11*$C757*'Business Case'!F12*$B757))-'Business Case'!G15*$F757+'Business Case'!$B$8*('Business Case'!G11*$C757*'Business Case'!G12*$B757)</f>
        <v>782106508.366926</v>
      </c>
      <c r="N757" s="39" t="n">
        <f aca="false">IF(COUNT('Business Case'!B11:G11)=0,"",H757+NPV(G757,I757:M757))</f>
        <v>-599260466.763133</v>
      </c>
      <c r="P757" s="40" t="n">
        <f aca="true">RAND()</f>
        <v>0.0778218585380195</v>
      </c>
      <c r="Q757" s="40" t="n">
        <f aca="true">RAND()</f>
        <v>0.620052987662431</v>
      </c>
      <c r="R757" s="40" t="n">
        <f aca="true">RAND()</f>
        <v>0.876817319129308</v>
      </c>
      <c r="S757" s="40" t="n">
        <f aca="true">RAND()</f>
        <v>0.596993802212992</v>
      </c>
      <c r="T757" s="40" t="n">
        <f aca="true">RAND()</f>
        <v>0.106795919692625</v>
      </c>
      <c r="U757" s="40" t="n">
        <f aca="true">RAND()</f>
        <v>0.355192418802064</v>
      </c>
    </row>
    <row r="758" customFormat="false" ht="15" hidden="false" customHeight="false" outlineLevel="0" collapsed="false">
      <c r="A758" s="36" t="n">
        <v>678</v>
      </c>
      <c r="B758" s="37" t="n">
        <f aca="false">1+IF($G$6=$E$6,$F$6,IF(P758&lt;($F$6-$E$6)/($G$6-$E$6),$E$6+SQRT(P758*($G$6-$E$6)*($F$6-$E$6)),$G$6-SQRT((1-P758)*($G$6-$E$6)*($G$6-$F$6))))</f>
        <v>1.01247791217831</v>
      </c>
      <c r="C758" s="37" t="n">
        <f aca="false">1+IF($G$7=$E$7,$F$7,IF(Q758&lt;($F$7-$E$7)/($G$7-$E$7),$E$7+SQRT(Q758*($G$7-$E$7)*($F$7-$E$7)),$G$7-SQRT((1-Q758)*($G$7-$E$7)*($G$7-$F$7))))</f>
        <v>1.03886563421591</v>
      </c>
      <c r="D758" s="37" t="n">
        <f aca="false">1+IF($G$8=$E$8,$F$8,IF(R758&lt;($F$8-$E$8)/($G$8-$E$8),$E$8+SQRT(R758*($G$8-$E$8)*($F$8-$E$8)),$G$8-SQRT((1-R758)*($G$8-$E$8)*($G$8-$F$8))))</f>
        <v>0.956354267748151</v>
      </c>
      <c r="E758" s="37" t="n">
        <f aca="false">1+IF($G$9=$E$9,$F$9,IF(S758&lt;($F$9-$E$9)/($G$9-$E$9),$E$9+SQRT(S758*($G$9-$E$9)*($F$9-$E$9)),$G$9-SQRT((1-S758)*($G$9-$E$9)*($G$9-$F$9))))</f>
        <v>0.995679780291557</v>
      </c>
      <c r="F758" s="37" t="n">
        <f aca="false">1+IF($G$10=$E$10,$F$10,IF(T758&lt;($F$10-$E$10)/($G$10-$E$10),$E$10+SQRT(T758*($G$10-$E$10)*($F$10-$E$10)),$G$10-SQRT((1-T758)*($G$10-$E$10)*($G$10-$F$10))))</f>
        <v>1.01027994541654</v>
      </c>
      <c r="G758" s="38" t="n">
        <f aca="false">IF($G$11=$E$11,$F$11,IF(U758&lt;($F$11-$E$11)/($G$11-$E$11),$E$11+SQRT(U758*($G$11-$E$11)*($F$11-$E$11)),$G$11-SQRT((1-U758)*($G$11-$E$11)*($G$11-$F$11))))</f>
        <v>0.118356980724075</v>
      </c>
      <c r="H758" s="39" t="n">
        <f aca="false">(('Business Case'!B11*$C758*'Business Case'!B12*$B758)-'Business Case'!B11*$C758*'Business Case'!B13*$D758-'Business Case'!B14*$E758)-MAX(0,(('Business Case'!B11*$C758*'Business Case'!B12*$B758)-'Business Case'!B11*$C758*'Business Case'!B13*$D758-'Business Case'!B14*$E758))*'Business Case'!$B$7-'Business Case'!$B$8*('Business Case'!B11*$C758*'Business Case'!B12*$B758)-'Business Case'!B15*$F758</f>
        <v>-2020559890.83308</v>
      </c>
      <c r="I758" s="39" t="n">
        <f aca="false">(('Business Case'!C11*$C758*'Business Case'!C12*$B758)-'Business Case'!C11*$C758*'Business Case'!C13*$D758-'Business Case'!C14*$E758)-MAX(0,(('Business Case'!C11*$C758*'Business Case'!C12*$B758)-'Business Case'!C11*$C758*'Business Case'!C13*$D758-'Business Case'!C14*$E758))*'Business Case'!$B$7-'Business Case'!$B$8*(('Business Case'!C11*$C758*'Business Case'!C12*$B758)-('Business Case'!B11*$C758*'Business Case'!B12*$B758))-'Business Case'!C15*$F758</f>
        <v>55778238.2727713</v>
      </c>
      <c r="J758" s="39" t="n">
        <f aca="false">(('Business Case'!D11*$C758*'Business Case'!D12*$B758)-'Business Case'!D11*$C758*'Business Case'!D13*$D758-'Business Case'!D14*$E758)-MAX(0,(('Business Case'!D11*$C758*'Business Case'!D12*$B758)-'Business Case'!D11*$C758*'Business Case'!D13*$D758-'Business Case'!D14*$E758))*'Business Case'!$B$7-'Business Case'!$B$8*(('Business Case'!D11*$C758*'Business Case'!D12*$B758)-('Business Case'!C11*$C758*'Business Case'!C12*$B758))-'Business Case'!D15*$F758</f>
        <v>408696925.718283</v>
      </c>
      <c r="K758" s="39" t="n">
        <f aca="false">(('Business Case'!E11*$C758*'Business Case'!E12*$B758)-'Business Case'!E11*$C758*'Business Case'!E13*$D758-'Business Case'!E14*$E758)-MAX(0,(('Business Case'!E11*$C758*'Business Case'!E12*$B758)-'Business Case'!E11*$C758*'Business Case'!E13*$D758-'Business Case'!E14*$E758))*'Business Case'!$B$7-'Business Case'!$B$8*(('Business Case'!E11*$C758*'Business Case'!E12*$B758)-('Business Case'!D11*$C758*'Business Case'!D12*$B758))-'Business Case'!E15*$F758</f>
        <v>812129610.434622</v>
      </c>
      <c r="L758" s="39" t="n">
        <f aca="false">(('Business Case'!F11*$C758*'Business Case'!F12*$B758)-'Business Case'!F11*$C758*'Business Case'!F13*$D758-'Business Case'!F14*$E758)-MAX(0,(('Business Case'!F11*$C758*'Business Case'!F12*$B758)-'Business Case'!F11*$C758*'Business Case'!F13*$D758-'Business Case'!F14*$E758))*'Business Case'!$B$7-'Business Case'!$B$8*(('Business Case'!F11*$C758*'Business Case'!F12*$B758)-('Business Case'!E11*$C758*'Business Case'!E12*$B758))-'Business Case'!F15*$F758</f>
        <v>966120366.165544</v>
      </c>
      <c r="M758" s="39" t="n">
        <f aca="false">(('Business Case'!G11*$C758*'Business Case'!G12*$B758)-'Business Case'!G11*$C758*'Business Case'!G13*$D758-'Business Case'!G14*$E758)-MAX(0,(('Business Case'!G11*$C758*'Business Case'!G12*$B758)-'Business Case'!G11*$C758*'Business Case'!G13*$D758-'Business Case'!G14*$E758))*'Business Case'!$B$7-'Business Case'!$B$8*(('Business Case'!G11*$C758*'Business Case'!G12*$B758)-('Business Case'!F11*$C758*'Business Case'!F12*$B758))-'Business Case'!G15*$F758+'Business Case'!$B$8*('Business Case'!G11*$C758*'Business Case'!G12*$B758)</f>
        <v>1166051929.03551</v>
      </c>
      <c r="N758" s="39" t="n">
        <f aca="false">IF(COUNT('Business Case'!B11:G11)=0,"",H758+NPV(G758,I758:M758))</f>
        <v>220820070.274857</v>
      </c>
      <c r="P758" s="40" t="n">
        <f aca="true">RAND()</f>
        <v>0.842194725403161</v>
      </c>
      <c r="Q758" s="40" t="n">
        <f aca="true">RAND()</f>
        <v>0.764745766509877</v>
      </c>
      <c r="R758" s="40" t="n">
        <f aca="true">RAND()</f>
        <v>0.00621180286387638</v>
      </c>
      <c r="S758" s="40" t="n">
        <f aca="true">RAND()</f>
        <v>0.278218976997985</v>
      </c>
      <c r="T758" s="40" t="n">
        <f aca="true">RAND()</f>
        <v>0.280126017776968</v>
      </c>
      <c r="U758" s="40" t="n">
        <f aca="true">RAND()</f>
        <v>0.995500812764897</v>
      </c>
    </row>
    <row r="759" customFormat="false" ht="15" hidden="false" customHeight="false" outlineLevel="0" collapsed="false">
      <c r="A759" s="36" t="n">
        <v>679</v>
      </c>
      <c r="B759" s="37" t="n">
        <f aca="false">1+IF($G$6=$E$6,$F$6,IF(P759&lt;($F$6-$E$6)/($G$6-$E$6),$E$6+SQRT(P759*($G$6-$E$6)*($F$6-$E$6)),$G$6-SQRT((1-P759)*($G$6-$E$6)*($G$6-$F$6))))</f>
        <v>1.03034283764834</v>
      </c>
      <c r="C759" s="37" t="n">
        <f aca="false">1+IF($G$7=$E$7,$F$7,IF(Q759&lt;($F$7-$E$7)/($G$7-$E$7),$E$7+SQRT(Q759*($G$7-$E$7)*($F$7-$E$7)),$G$7-SQRT((1-Q759)*($G$7-$E$7)*($G$7-$F$7))))</f>
        <v>0.893965198585286</v>
      </c>
      <c r="D759" s="37" t="n">
        <f aca="false">1+IF($G$8=$E$8,$F$8,IF(R759&lt;($F$8-$E$8)/($G$8-$E$8),$E$8+SQRT(R759*($G$8-$E$8)*($F$8-$E$8)),$G$8-SQRT((1-R759)*($G$8-$E$8)*($G$8-$F$8))))</f>
        <v>0.975148745456021</v>
      </c>
      <c r="E759" s="37" t="n">
        <f aca="false">1+IF($G$9=$E$9,$F$9,IF(S759&lt;($F$9-$E$9)/($G$9-$E$9),$E$9+SQRT(S759*($G$9-$E$9)*($F$9-$E$9)),$G$9-SQRT((1-S759)*($G$9-$E$9)*($G$9-$F$9))))</f>
        <v>0.979678045196073</v>
      </c>
      <c r="F759" s="37" t="n">
        <f aca="false">1+IF($G$10=$E$10,$F$10,IF(T759&lt;($F$10-$E$10)/($G$10-$E$10),$E$10+SQRT(T759*($G$10-$E$10)*($F$10-$E$10)),$G$10-SQRT((1-T759)*($G$10-$E$10)*($G$10-$F$10))))</f>
        <v>0.989945168469419</v>
      </c>
      <c r="G759" s="38" t="n">
        <f aca="false">IF($G$11=$E$11,$F$11,IF(U759&lt;($F$11-$E$11)/($G$11-$E$11),$E$11+SQRT(U759*($G$11-$E$11)*($F$11-$E$11)),$G$11-SQRT((1-U759)*($G$11-$E$11)*($G$11-$F$11))))</f>
        <v>0.109773361075189</v>
      </c>
      <c r="H759" s="39" t="n">
        <f aca="false">(('Business Case'!B11*$C759*'Business Case'!B12*$B759)-'Business Case'!B11*$C759*'Business Case'!B13*$D759-'Business Case'!B14*$E759)-MAX(0,(('Business Case'!B11*$C759*'Business Case'!B12*$B759)-'Business Case'!B11*$C759*'Business Case'!B13*$D759-'Business Case'!B14*$E759))*'Business Case'!$B$7-'Business Case'!$B$8*('Business Case'!B11*$C759*'Business Case'!B12*$B759)-'Business Case'!B15*$F759</f>
        <v>-1979890336.93884</v>
      </c>
      <c r="I759" s="39" t="n">
        <f aca="false">(('Business Case'!C11*$C759*'Business Case'!C12*$B759)-'Business Case'!C11*$C759*'Business Case'!C13*$D759-'Business Case'!C14*$E759)-MAX(0,(('Business Case'!C11*$C759*'Business Case'!C12*$B759)-'Business Case'!C11*$C759*'Business Case'!C13*$D759-'Business Case'!C14*$E759))*'Business Case'!$B$7-'Business Case'!$B$8*(('Business Case'!C11*$C759*'Business Case'!C12*$B759)-('Business Case'!B11*$C759*'Business Case'!B12*$B759))-'Business Case'!C15*$F759</f>
        <v>22119709.1073026</v>
      </c>
      <c r="J759" s="39" t="n">
        <f aca="false">(('Business Case'!D11*$C759*'Business Case'!D12*$B759)-'Business Case'!D11*$C759*'Business Case'!D13*$D759-'Business Case'!D14*$E759)-MAX(0,(('Business Case'!D11*$C759*'Business Case'!D12*$B759)-'Business Case'!D11*$C759*'Business Case'!D13*$D759-'Business Case'!D14*$E759))*'Business Case'!$B$7-'Business Case'!$B$8*(('Business Case'!D11*$C759*'Business Case'!D12*$B759)-('Business Case'!C11*$C759*'Business Case'!C12*$B759))-'Business Case'!D15*$F759</f>
        <v>330293491.838513</v>
      </c>
      <c r="K759" s="39" t="n">
        <f aca="false">(('Business Case'!E11*$C759*'Business Case'!E12*$B759)-'Business Case'!E11*$C759*'Business Case'!E13*$D759-'Business Case'!E14*$E759)-MAX(0,(('Business Case'!E11*$C759*'Business Case'!E12*$B759)-'Business Case'!E11*$C759*'Business Case'!E13*$D759-'Business Case'!E14*$E759))*'Business Case'!$B$7-'Business Case'!$B$8*(('Business Case'!E11*$C759*'Business Case'!E12*$B759)-('Business Case'!D11*$C759*'Business Case'!D12*$B759))-'Business Case'!E15*$F759</f>
        <v>687964532.993195</v>
      </c>
      <c r="L759" s="39" t="n">
        <f aca="false">(('Business Case'!F11*$C759*'Business Case'!F12*$B759)-'Business Case'!F11*$C759*'Business Case'!F13*$D759-'Business Case'!F14*$E759)-MAX(0,(('Business Case'!F11*$C759*'Business Case'!F12*$B759)-'Business Case'!F11*$C759*'Business Case'!F13*$D759-'Business Case'!F14*$E759))*'Business Case'!$B$7-'Business Case'!$B$8*(('Business Case'!F11*$C759*'Business Case'!F12*$B759)-('Business Case'!E11*$C759*'Business Case'!E12*$B759))-'Business Case'!F15*$F759</f>
        <v>822522019.736988</v>
      </c>
      <c r="M759" s="39" t="n">
        <f aca="false">(('Business Case'!G11*$C759*'Business Case'!G12*$B759)-'Business Case'!G11*$C759*'Business Case'!G13*$D759-'Business Case'!G14*$E759)-MAX(0,(('Business Case'!G11*$C759*'Business Case'!G12*$B759)-'Business Case'!G11*$C759*'Business Case'!G13*$D759-'Business Case'!G14*$E759))*'Business Case'!$B$7-'Business Case'!$B$8*(('Business Case'!G11*$C759*'Business Case'!G12*$B759)-('Business Case'!F11*$C759*'Business Case'!F12*$B759))-'Business Case'!G15*$F759+'Business Case'!$B$8*('Business Case'!G11*$C759*'Business Case'!G12*$B759)</f>
        <v>997602928.487297</v>
      </c>
      <c r="N759" s="39" t="n">
        <f aca="false">IF(COUNT('Business Case'!B11:G11)=0,"",H759+NPV(G759,I759:M759))</f>
        <v>-53536475.6786187</v>
      </c>
      <c r="P759" s="40" t="n">
        <f aca="true">RAND()</f>
        <v>0.980570669856997</v>
      </c>
      <c r="Q759" s="40" t="n">
        <f aca="true">RAND()</f>
        <v>0.126135122073889</v>
      </c>
      <c r="R759" s="40" t="n">
        <f aca="true">RAND()</f>
        <v>0.0973014458479614</v>
      </c>
      <c r="S759" s="40" t="n">
        <f aca="true">RAND()</f>
        <v>0.117438182221356</v>
      </c>
      <c r="T759" s="40" t="n">
        <f aca="true">RAND()</f>
        <v>0.12764931872402</v>
      </c>
      <c r="U759" s="40" t="n">
        <f aca="true">RAND()</f>
        <v>0.82569309383589</v>
      </c>
    </row>
    <row r="760" customFormat="false" ht="15" hidden="false" customHeight="false" outlineLevel="0" collapsed="false">
      <c r="A760" s="36" t="n">
        <v>680</v>
      </c>
      <c r="B760" s="37" t="n">
        <f aca="false">1+IF($G$6=$E$6,$F$6,IF(P760&lt;($F$6-$E$6)/($G$6-$E$6),$E$6+SQRT(P760*($G$6-$E$6)*($F$6-$E$6)),$G$6-SQRT((1-P760)*($G$6-$E$6)*($G$6-$F$6))))</f>
        <v>0.991565119267895</v>
      </c>
      <c r="C760" s="37" t="n">
        <f aca="false">1+IF($G$7=$E$7,$F$7,IF(Q760&lt;($F$7-$E$7)/($G$7-$E$7),$E$7+SQRT(Q760*($G$7-$E$7)*($F$7-$E$7)),$G$7-SQRT((1-Q760)*($G$7-$E$7)*($G$7-$F$7))))</f>
        <v>0.891231169397149</v>
      </c>
      <c r="D760" s="37" t="n">
        <f aca="false">1+IF($G$8=$E$8,$F$8,IF(R760&lt;($F$8-$E$8)/($G$8-$E$8),$E$8+SQRT(R760*($G$8-$E$8)*($F$8-$E$8)),$G$8-SQRT((1-R760)*($G$8-$E$8)*($G$8-$F$8))))</f>
        <v>1.01095143601931</v>
      </c>
      <c r="E760" s="37" t="n">
        <f aca="false">1+IF($G$9=$E$9,$F$9,IF(S760&lt;($F$9-$E$9)/($G$9-$E$9),$E$9+SQRT(S760*($G$9-$E$9)*($F$9-$E$9)),$G$9-SQRT((1-S760)*($G$9-$E$9)*($G$9-$F$9))))</f>
        <v>1.04196049344221</v>
      </c>
      <c r="F760" s="37" t="n">
        <f aca="false">1+IF($G$10=$E$10,$F$10,IF(T760&lt;($F$10-$E$10)/($G$10-$E$10),$E$10+SQRT(T760*($G$10-$E$10)*($F$10-$E$10)),$G$10-SQRT((1-T760)*($G$10-$E$10)*($G$10-$F$10))))</f>
        <v>1.03841446025029</v>
      </c>
      <c r="G760" s="38" t="n">
        <f aca="false">IF($G$11=$E$11,$F$11,IF(U760&lt;($F$11-$E$11)/($G$11-$E$11),$E$11+SQRT(U760*($G$11-$E$11)*($F$11-$E$11)),$G$11-SQRT((1-U760)*($G$11-$E$11)*($G$11-$F$11))))</f>
        <v>0.104389504957423</v>
      </c>
      <c r="H760" s="39" t="n">
        <f aca="false">(('Business Case'!B11*$C760*'Business Case'!B12*$B760)-'Business Case'!B11*$C760*'Business Case'!B13*$D760-'Business Case'!B14*$E760)-MAX(0,(('Business Case'!B11*$C760*'Business Case'!B12*$B760)-'Business Case'!B11*$C760*'Business Case'!B13*$D760-'Business Case'!B14*$E760))*'Business Case'!$B$7-'Business Case'!$B$8*('Business Case'!B11*$C760*'Business Case'!B12*$B760)-'Business Case'!B15*$F760</f>
        <v>-2076828920.50059</v>
      </c>
      <c r="I760" s="39" t="n">
        <f aca="false">(('Business Case'!C11*$C760*'Business Case'!C12*$B760)-'Business Case'!C11*$C760*'Business Case'!C13*$D760-'Business Case'!C14*$E760)-MAX(0,(('Business Case'!C11*$C760*'Business Case'!C12*$B760)-'Business Case'!C11*$C760*'Business Case'!C13*$D760-'Business Case'!C14*$E760))*'Business Case'!$B$7-'Business Case'!$B$8*(('Business Case'!C11*$C760*'Business Case'!C12*$B760)-('Business Case'!B11*$C760*'Business Case'!B12*$B760))-'Business Case'!C15*$F760</f>
        <v>-35230300.5429973</v>
      </c>
      <c r="J760" s="39" t="n">
        <f aca="false">(('Business Case'!D11*$C760*'Business Case'!D12*$B760)-'Business Case'!D11*$C760*'Business Case'!D13*$D760-'Business Case'!D14*$E760)-MAX(0,(('Business Case'!D11*$C760*'Business Case'!D12*$B760)-'Business Case'!D11*$C760*'Business Case'!D13*$D760-'Business Case'!D14*$E760))*'Business Case'!$B$7-'Business Case'!$B$8*(('Business Case'!D11*$C760*'Business Case'!D12*$B760)-('Business Case'!C11*$C760*'Business Case'!C12*$B760))-'Business Case'!D15*$F760</f>
        <v>227359347.428477</v>
      </c>
      <c r="K760" s="39" t="n">
        <f aca="false">(('Business Case'!E11*$C760*'Business Case'!E12*$B760)-'Business Case'!E11*$C760*'Business Case'!E13*$D760-'Business Case'!E14*$E760)-MAX(0,(('Business Case'!E11*$C760*'Business Case'!E12*$B760)-'Business Case'!E11*$C760*'Business Case'!E13*$D760-'Business Case'!E14*$E760))*'Business Case'!$B$7-'Business Case'!$B$8*(('Business Case'!E11*$C760*'Business Case'!E12*$B760)-('Business Case'!D11*$C760*'Business Case'!D12*$B760))-'Business Case'!E15*$F760</f>
        <v>541869718.412466</v>
      </c>
      <c r="L760" s="39" t="n">
        <f aca="false">(('Business Case'!F11*$C760*'Business Case'!F12*$B760)-'Business Case'!F11*$C760*'Business Case'!F13*$D760-'Business Case'!F14*$E760)-MAX(0,(('Business Case'!F11*$C760*'Business Case'!F12*$B760)-'Business Case'!F11*$C760*'Business Case'!F13*$D760-'Business Case'!F14*$E760))*'Business Case'!$B$7-'Business Case'!$B$8*(('Business Case'!F11*$C760*'Business Case'!F12*$B760)-('Business Case'!E11*$C760*'Business Case'!E12*$B760))-'Business Case'!F15*$F760</f>
        <v>659940747.950931</v>
      </c>
      <c r="M760" s="39" t="n">
        <f aca="false">(('Business Case'!G11*$C760*'Business Case'!G12*$B760)-'Business Case'!G11*$C760*'Business Case'!G13*$D760-'Business Case'!G14*$E760)-MAX(0,(('Business Case'!G11*$C760*'Business Case'!G12*$B760)-'Business Case'!G11*$C760*'Business Case'!G13*$D760-'Business Case'!G14*$E760))*'Business Case'!$B$7-'Business Case'!$B$8*(('Business Case'!G11*$C760*'Business Case'!G12*$B760)-('Business Case'!F11*$C760*'Business Case'!F12*$B760))-'Business Case'!G15*$F760+'Business Case'!$B$8*('Business Case'!G11*$C760*'Business Case'!G12*$B760)</f>
        <v>827917055.798118</v>
      </c>
      <c r="N760" s="39" t="n">
        <f aca="false">IF(COUNT('Business Case'!B11:G11)=0,"",H760+NPV(G760,I760:M760))</f>
        <v>-572478964.821887</v>
      </c>
      <c r="P760" s="40" t="n">
        <f aca="true">RAND()</f>
        <v>0.53349648914875</v>
      </c>
      <c r="Q760" s="40" t="n">
        <f aca="true">RAND()</f>
        <v>0.118901803851019</v>
      </c>
      <c r="R760" s="40" t="n">
        <f aca="true">RAND()</f>
        <v>0.541566905019689</v>
      </c>
      <c r="S760" s="40" t="n">
        <f aca="true">RAND()</f>
        <v>0.775427711901899</v>
      </c>
      <c r="T760" s="40" t="n">
        <f aca="true">RAND()</f>
        <v>0.477802266875919</v>
      </c>
      <c r="U760" s="40" t="n">
        <f aca="true">RAND()</f>
        <v>0.593854074209485</v>
      </c>
    </row>
    <row r="761" customFormat="false" ht="15" hidden="false" customHeight="false" outlineLevel="0" collapsed="false">
      <c r="A761" s="36" t="n">
        <v>681</v>
      </c>
      <c r="B761" s="37" t="n">
        <f aca="false">1+IF($G$6=$E$6,$F$6,IF(P761&lt;($F$6-$E$6)/($G$6-$E$6),$E$6+SQRT(P761*($G$6-$E$6)*($F$6-$E$6)),$G$6-SQRT((1-P761)*($G$6-$E$6)*($G$6-$F$6))))</f>
        <v>1.01016611893848</v>
      </c>
      <c r="C761" s="37" t="n">
        <f aca="false">1+IF($G$7=$E$7,$F$7,IF(Q761&lt;($F$7-$E$7)/($G$7-$E$7),$E$7+SQRT(Q761*($G$7-$E$7)*($F$7-$E$7)),$G$7-SQRT((1-Q761)*($G$7-$E$7)*($G$7-$F$7))))</f>
        <v>0.956530453267987</v>
      </c>
      <c r="D761" s="37" t="n">
        <f aca="false">1+IF($G$8=$E$8,$F$8,IF(R761&lt;($F$8-$E$8)/($G$8-$E$8),$E$8+SQRT(R761*($G$8-$E$8)*($F$8-$E$8)),$G$8-SQRT((1-R761)*($G$8-$E$8)*($G$8-$F$8))))</f>
        <v>0.975439848794655</v>
      </c>
      <c r="E761" s="37" t="n">
        <f aca="false">1+IF($G$9=$E$9,$F$9,IF(S761&lt;($F$9-$E$9)/($G$9-$E$9),$E$9+SQRT(S761*($G$9-$E$9)*($F$9-$E$9)),$G$9-SQRT((1-S761)*($G$9-$E$9)*($G$9-$F$9))))</f>
        <v>1.00998306223085</v>
      </c>
      <c r="F761" s="37" t="n">
        <f aca="false">1+IF($G$10=$E$10,$F$10,IF(T761&lt;($F$10-$E$10)/($G$10-$E$10),$E$10+SQRT(T761*($G$10-$E$10)*($F$10-$E$10)),$G$10-SQRT((1-T761)*($G$10-$E$10)*($G$10-$F$10))))</f>
        <v>1.00953177469804</v>
      </c>
      <c r="G761" s="38" t="n">
        <f aca="false">IF($G$11=$E$11,$F$11,IF(U761&lt;($F$11-$E$11)/($G$11-$E$11),$E$11+SQRT(U761*($G$11-$E$11)*($F$11-$E$11)),$G$11-SQRT((1-U761)*($G$11-$E$11)*($G$11-$F$11))))</f>
        <v>0.106513995202742</v>
      </c>
      <c r="H761" s="39" t="n">
        <f aca="false">(('Business Case'!B11*$C761*'Business Case'!B12*$B761)-'Business Case'!B11*$C761*'Business Case'!B13*$D761-'Business Case'!B14*$E761)-MAX(0,(('Business Case'!B11*$C761*'Business Case'!B12*$B761)-'Business Case'!B11*$C761*'Business Case'!B13*$D761-'Business Case'!B14*$E761))*'Business Case'!$B$7-'Business Case'!$B$8*('Business Case'!B11*$C761*'Business Case'!B12*$B761)-'Business Case'!B15*$F761</f>
        <v>-2019063549.39608</v>
      </c>
      <c r="I761" s="39" t="n">
        <f aca="false">(('Business Case'!C11*$C761*'Business Case'!C12*$B761)-'Business Case'!C11*$C761*'Business Case'!C13*$D761-'Business Case'!C14*$E761)-MAX(0,(('Business Case'!C11*$C761*'Business Case'!C12*$B761)-'Business Case'!C11*$C761*'Business Case'!C13*$D761-'Business Case'!C14*$E761))*'Business Case'!$B$7-'Business Case'!$B$8*(('Business Case'!C11*$C761*'Business Case'!C12*$B761)-('Business Case'!B11*$C761*'Business Case'!B12*$B761))-'Business Case'!C15*$F761</f>
        <v>19127950.6584377</v>
      </c>
      <c r="J761" s="39" t="n">
        <f aca="false">(('Business Case'!D11*$C761*'Business Case'!D12*$B761)-'Business Case'!D11*$C761*'Business Case'!D13*$D761-'Business Case'!D14*$E761)-MAX(0,(('Business Case'!D11*$C761*'Business Case'!D12*$B761)-'Business Case'!D11*$C761*'Business Case'!D13*$D761-'Business Case'!D14*$E761))*'Business Case'!$B$7-'Business Case'!$B$8*(('Business Case'!D11*$C761*'Business Case'!D12*$B761)-('Business Case'!C11*$C761*'Business Case'!C12*$B761))-'Business Case'!D15*$F761</f>
        <v>332919311.583464</v>
      </c>
      <c r="K761" s="39" t="n">
        <f aca="false">(('Business Case'!E11*$C761*'Business Case'!E12*$B761)-'Business Case'!E11*$C761*'Business Case'!E13*$D761-'Business Case'!E14*$E761)-MAX(0,(('Business Case'!E11*$C761*'Business Case'!E12*$B761)-'Business Case'!E11*$C761*'Business Case'!E13*$D761-'Business Case'!E14*$E761))*'Business Case'!$B$7-'Business Case'!$B$8*(('Business Case'!E11*$C761*'Business Case'!E12*$B761)-('Business Case'!D11*$C761*'Business Case'!D12*$B761))-'Business Case'!E15*$F761</f>
        <v>697187261.243393</v>
      </c>
      <c r="L761" s="39" t="n">
        <f aca="false">(('Business Case'!F11*$C761*'Business Case'!F12*$B761)-'Business Case'!F11*$C761*'Business Case'!F13*$D761-'Business Case'!F14*$E761)-MAX(0,(('Business Case'!F11*$C761*'Business Case'!F12*$B761)-'Business Case'!F11*$C761*'Business Case'!F13*$D761-'Business Case'!F14*$E761))*'Business Case'!$B$7-'Business Case'!$B$8*(('Business Case'!F11*$C761*'Business Case'!F12*$B761)-('Business Case'!E11*$C761*'Business Case'!E12*$B761))-'Business Case'!F15*$F761</f>
        <v>835178142.450107</v>
      </c>
      <c r="M761" s="39" t="n">
        <f aca="false">(('Business Case'!G11*$C761*'Business Case'!G12*$B761)-'Business Case'!G11*$C761*'Business Case'!G13*$D761-'Business Case'!G14*$E761)-MAX(0,(('Business Case'!G11*$C761*'Business Case'!G12*$B761)-'Business Case'!G11*$C761*'Business Case'!G13*$D761-'Business Case'!G14*$E761))*'Business Case'!$B$7-'Business Case'!$B$8*(('Business Case'!G11*$C761*'Business Case'!G12*$B761)-('Business Case'!F11*$C761*'Business Case'!F12*$B761))-'Business Case'!G15*$F761+'Business Case'!$B$8*('Business Case'!G11*$C761*'Business Case'!G12*$B761)</f>
        <v>1018843827.39115</v>
      </c>
      <c r="N761" s="39" t="n">
        <f aca="false">IF(COUNT('Business Case'!B11:G11)=0,"",H761+NPV(G761,I761:M761))</f>
        <v>-43914066.8484483</v>
      </c>
      <c r="P761" s="40" t="n">
        <f aca="true">RAND()</f>
        <v>0.814570737668114</v>
      </c>
      <c r="Q761" s="40" t="n">
        <f aca="true">RAND()</f>
        <v>0.350025468575448</v>
      </c>
      <c r="R761" s="40" t="n">
        <f aca="true">RAND()</f>
        <v>0.0995670625684452</v>
      </c>
      <c r="S761" s="40" t="n">
        <f aca="true">RAND()</f>
        <v>0.459796727644338</v>
      </c>
      <c r="T761" s="40" t="n">
        <f aca="true">RAND()</f>
        <v>0.27443710300645</v>
      </c>
      <c r="U761" s="40" t="n">
        <f aca="true">RAND()</f>
        <v>0.696879457680574</v>
      </c>
    </row>
    <row r="762" customFormat="false" ht="15" hidden="false" customHeight="false" outlineLevel="0" collapsed="false">
      <c r="A762" s="36" t="n">
        <v>682</v>
      </c>
      <c r="B762" s="37" t="n">
        <f aca="false">1+IF($G$6=$E$6,$F$6,IF(P762&lt;($F$6-$E$6)/($G$6-$E$6),$E$6+SQRT(P762*($G$6-$E$6)*($F$6-$E$6)),$G$6-SQRT((1-P762)*($G$6-$E$6)*($G$6-$F$6))))</f>
        <v>0.986113387609285</v>
      </c>
      <c r="C762" s="37" t="n">
        <f aca="false">1+IF($G$7=$E$7,$F$7,IF(Q762&lt;($F$7-$E$7)/($G$7-$E$7),$E$7+SQRT(Q762*($G$7-$E$7)*($F$7-$E$7)),$G$7-SQRT((1-Q762)*($G$7-$E$7)*($G$7-$F$7))))</f>
        <v>0.943584612114147</v>
      </c>
      <c r="D762" s="37" t="n">
        <f aca="false">1+IF($G$8=$E$8,$F$8,IF(R762&lt;($F$8-$E$8)/($G$8-$E$8),$E$8+SQRT(R762*($G$8-$E$8)*($F$8-$E$8)),$G$8-SQRT((1-R762)*($G$8-$E$8)*($G$8-$F$8))))</f>
        <v>0.983573423740415</v>
      </c>
      <c r="E762" s="37" t="n">
        <f aca="false">1+IF($G$9=$E$9,$F$9,IF(S762&lt;($F$9-$E$9)/($G$9-$E$9),$E$9+SQRT(S762*($G$9-$E$9)*($F$9-$E$9)),$G$9-SQRT((1-S762)*($G$9-$E$9)*($G$9-$F$9))))</f>
        <v>1.05416267373552</v>
      </c>
      <c r="F762" s="37" t="n">
        <f aca="false">1+IF($G$10=$E$10,$F$10,IF(T762&lt;($F$10-$E$10)/($G$10-$E$10),$E$10+SQRT(T762*($G$10-$E$10)*($F$10-$E$10)),$G$10-SQRT((1-T762)*($G$10-$E$10)*($G$10-$F$10))))</f>
        <v>1.06520225222918</v>
      </c>
      <c r="G762" s="38" t="n">
        <f aca="false">IF($G$11=$E$11,$F$11,IF(U762&lt;($F$11-$E$11)/($G$11-$E$11),$E$11+SQRT(U762*($G$11-$E$11)*($F$11-$E$11)),$G$11-SQRT((1-U762)*($G$11-$E$11)*($G$11-$F$11))))</f>
        <v>0.0966164673290668</v>
      </c>
      <c r="H762" s="39" t="n">
        <f aca="false">(('Business Case'!B11*$C762*'Business Case'!B12*$B762)-'Business Case'!B11*$C762*'Business Case'!B13*$D762-'Business Case'!B14*$E762)-MAX(0,(('Business Case'!B11*$C762*'Business Case'!B12*$B762)-'Business Case'!B11*$C762*'Business Case'!B13*$D762-'Business Case'!B14*$E762))*'Business Case'!$B$7-'Business Case'!$B$8*('Business Case'!B11*$C762*'Business Case'!B12*$B762)-'Business Case'!B15*$F762</f>
        <v>-2130404504.45836</v>
      </c>
      <c r="I762" s="39" t="n">
        <f aca="false">(('Business Case'!C11*$C762*'Business Case'!C12*$B762)-'Business Case'!C11*$C762*'Business Case'!C13*$D762-'Business Case'!C14*$E762)-MAX(0,(('Business Case'!C11*$C762*'Business Case'!C12*$B762)-'Business Case'!C11*$C762*'Business Case'!C13*$D762-'Business Case'!C14*$E762))*'Business Case'!$B$7-'Business Case'!$B$8*(('Business Case'!C11*$C762*'Business Case'!C12*$B762)-('Business Case'!B11*$C762*'Business Case'!B12*$B762))-'Business Case'!C15*$F762</f>
        <v>-17632181.8196828</v>
      </c>
      <c r="J762" s="39" t="n">
        <f aca="false">(('Business Case'!D11*$C762*'Business Case'!D12*$B762)-'Business Case'!D11*$C762*'Business Case'!D13*$D762-'Business Case'!D14*$E762)-MAX(0,(('Business Case'!D11*$C762*'Business Case'!D12*$B762)-'Business Case'!D11*$C762*'Business Case'!D13*$D762-'Business Case'!D14*$E762))*'Business Case'!$B$7-'Business Case'!$B$8*(('Business Case'!D11*$C762*'Business Case'!D12*$B762)-('Business Case'!C11*$C762*'Business Case'!C12*$B762))-'Business Case'!D15*$F762</f>
        <v>269393950.515898</v>
      </c>
      <c r="K762" s="39" t="n">
        <f aca="false">(('Business Case'!E11*$C762*'Business Case'!E12*$B762)-'Business Case'!E11*$C762*'Business Case'!E13*$D762-'Business Case'!E14*$E762)-MAX(0,(('Business Case'!E11*$C762*'Business Case'!E12*$B762)-'Business Case'!E11*$C762*'Business Case'!E13*$D762-'Business Case'!E14*$E762))*'Business Case'!$B$7-'Business Case'!$B$8*(('Business Case'!E11*$C762*'Business Case'!E12*$B762)-('Business Case'!D11*$C762*'Business Case'!D12*$B762))-'Business Case'!E15*$F762</f>
        <v>609680195.462938</v>
      </c>
      <c r="L762" s="39" t="n">
        <f aca="false">(('Business Case'!F11*$C762*'Business Case'!F12*$B762)-'Business Case'!F11*$C762*'Business Case'!F13*$D762-'Business Case'!F14*$E762)-MAX(0,(('Business Case'!F11*$C762*'Business Case'!F12*$B762)-'Business Case'!F11*$C762*'Business Case'!F13*$D762-'Business Case'!F14*$E762))*'Business Case'!$B$7-'Business Case'!$B$8*(('Business Case'!F11*$C762*'Business Case'!F12*$B762)-('Business Case'!E11*$C762*'Business Case'!E12*$B762))-'Business Case'!F15*$F762</f>
        <v>737513010.726234</v>
      </c>
      <c r="M762" s="39" t="n">
        <f aca="false">(('Business Case'!G11*$C762*'Business Case'!G12*$B762)-'Business Case'!G11*$C762*'Business Case'!G13*$D762-'Business Case'!G14*$E762)-MAX(0,(('Business Case'!G11*$C762*'Business Case'!G12*$B762)-'Business Case'!G11*$C762*'Business Case'!G13*$D762-'Business Case'!G14*$E762))*'Business Case'!$B$7-'Business Case'!$B$8*(('Business Case'!G11*$C762*'Business Case'!G12*$B762)-('Business Case'!F11*$C762*'Business Case'!F12*$B762))-'Business Case'!G15*$F762+'Business Case'!$B$8*('Business Case'!G11*$C762*'Business Case'!G12*$B762)</f>
        <v>914378918.725798</v>
      </c>
      <c r="N762" s="39" t="n">
        <f aca="false">IF(COUNT('Business Case'!B11:G11)=0,"",H762+NPV(G762,I762:M762))</f>
        <v>-373605277.788959</v>
      </c>
      <c r="P762" s="40" t="n">
        <f aca="true">RAND()</f>
        <v>0.45531041887246</v>
      </c>
      <c r="Q762" s="40" t="n">
        <f aca="true">RAND()</f>
        <v>0.294522011942429</v>
      </c>
      <c r="R762" s="40" t="n">
        <f aca="true">RAND()</f>
        <v>0.173411504869761</v>
      </c>
      <c r="S762" s="40" t="n">
        <f aca="true">RAND()</f>
        <v>0.859929301394932</v>
      </c>
      <c r="T762" s="40" t="n">
        <f aca="true">RAND()</f>
        <v>0.636591343918291</v>
      </c>
      <c r="U762" s="40" t="n">
        <f aca="true">RAND()</f>
        <v>0.145925466388695</v>
      </c>
    </row>
    <row r="763" customFormat="false" ht="15" hidden="false" customHeight="false" outlineLevel="0" collapsed="false">
      <c r="A763" s="36" t="n">
        <v>683</v>
      </c>
      <c r="B763" s="37" t="n">
        <f aca="false">1+IF($G$6=$E$6,$F$6,IF(P763&lt;($F$6-$E$6)/($G$6-$E$6),$E$6+SQRT(P763*($G$6-$E$6)*($F$6-$E$6)),$G$6-SQRT((1-P763)*($G$6-$E$6)*($G$6-$F$6))))</f>
        <v>0.936558480313288</v>
      </c>
      <c r="C763" s="37" t="n">
        <f aca="false">1+IF($G$7=$E$7,$F$7,IF(Q763&lt;($F$7-$E$7)/($G$7-$E$7),$E$7+SQRT(Q763*($G$7-$E$7)*($F$7-$E$7)),$G$7-SQRT((1-Q763)*($G$7-$E$7)*($G$7-$F$7))))</f>
        <v>0.981354294636585</v>
      </c>
      <c r="D763" s="37" t="n">
        <f aca="false">1+IF($G$8=$E$8,$F$8,IF(R763&lt;($F$8-$E$8)/($G$8-$E$8),$E$8+SQRT(R763*($G$8-$E$8)*($F$8-$E$8)),$G$8-SQRT((1-R763)*($G$8-$E$8)*($G$8-$F$8))))</f>
        <v>1.00065776910582</v>
      </c>
      <c r="E763" s="37" t="n">
        <f aca="false">1+IF($G$9=$E$9,$F$9,IF(S763&lt;($F$9-$E$9)/($G$9-$E$9),$E$9+SQRT(S763*($G$9-$E$9)*($F$9-$E$9)),$G$9-SQRT((1-S763)*($G$9-$E$9)*($G$9-$F$9))))</f>
        <v>1.02977985975101</v>
      </c>
      <c r="F763" s="37" t="n">
        <f aca="false">1+IF($G$10=$E$10,$F$10,IF(T763&lt;($F$10-$E$10)/($G$10-$E$10),$E$10+SQRT(T763*($G$10-$E$10)*($F$10-$E$10)),$G$10-SQRT((1-T763)*($G$10-$E$10)*($G$10-$F$10))))</f>
        <v>1.01681486945381</v>
      </c>
      <c r="G763" s="38" t="n">
        <f aca="false">IF($G$11=$E$11,$F$11,IF(U763&lt;($F$11-$E$11)/($G$11-$E$11),$E$11+SQRT(U763*($G$11-$E$11)*($F$11-$E$11)),$G$11-SQRT((1-U763)*($G$11-$E$11)*($G$11-$F$11))))</f>
        <v>0.117418329914505</v>
      </c>
      <c r="H763" s="39" t="n">
        <f aca="false">(('Business Case'!B11*$C763*'Business Case'!B12*$B763)-'Business Case'!B11*$C763*'Business Case'!B13*$D763-'Business Case'!B14*$E763)-MAX(0,(('Business Case'!B11*$C763*'Business Case'!B12*$B763)-'Business Case'!B11*$C763*'Business Case'!B13*$D763-'Business Case'!B14*$E763))*'Business Case'!$B$7-'Business Case'!$B$8*('Business Case'!B11*$C763*'Business Case'!B12*$B763)-'Business Case'!B15*$F763</f>
        <v>-2033629738.90762</v>
      </c>
      <c r="I763" s="39" t="n">
        <f aca="false">(('Business Case'!C11*$C763*'Business Case'!C12*$B763)-'Business Case'!C11*$C763*'Business Case'!C13*$D763-'Business Case'!C14*$E763)-MAX(0,(('Business Case'!C11*$C763*'Business Case'!C12*$B763)-'Business Case'!C11*$C763*'Business Case'!C13*$D763-'Business Case'!C14*$E763))*'Business Case'!$B$7-'Business Case'!$B$8*(('Business Case'!C11*$C763*'Business Case'!C12*$B763)-('Business Case'!B11*$C763*'Business Case'!B12*$B763))-'Business Case'!C15*$F763</f>
        <v>-45661898.1940125</v>
      </c>
      <c r="J763" s="39" t="n">
        <f aca="false">(('Business Case'!D11*$C763*'Business Case'!D12*$B763)-'Business Case'!D11*$C763*'Business Case'!D13*$D763-'Business Case'!D14*$E763)-MAX(0,(('Business Case'!D11*$C763*'Business Case'!D12*$B763)-'Business Case'!D11*$C763*'Business Case'!D13*$D763-'Business Case'!D14*$E763))*'Business Case'!$B$7-'Business Case'!$B$8*(('Business Case'!D11*$C763*'Business Case'!D12*$B763)-('Business Case'!C11*$C763*'Business Case'!C12*$B763))-'Business Case'!D15*$F763</f>
        <v>204438307.019411</v>
      </c>
      <c r="K763" s="39" t="n">
        <f aca="false">(('Business Case'!E11*$C763*'Business Case'!E12*$B763)-'Business Case'!E11*$C763*'Business Case'!E13*$D763-'Business Case'!E14*$E763)-MAX(0,(('Business Case'!E11*$C763*'Business Case'!E12*$B763)-'Business Case'!E11*$C763*'Business Case'!E13*$D763-'Business Case'!E14*$E763))*'Business Case'!$B$7-'Business Case'!$B$8*(('Business Case'!E11*$C763*'Business Case'!E12*$B763)-('Business Case'!D11*$C763*'Business Case'!D12*$B763))-'Business Case'!E15*$F763</f>
        <v>505379255.705526</v>
      </c>
      <c r="L763" s="39" t="n">
        <f aca="false">(('Business Case'!F11*$C763*'Business Case'!F12*$B763)-'Business Case'!F11*$C763*'Business Case'!F13*$D763-'Business Case'!F14*$E763)-MAX(0,(('Business Case'!F11*$C763*'Business Case'!F12*$B763)-'Business Case'!F11*$C763*'Business Case'!F13*$D763-'Business Case'!F14*$E763))*'Business Case'!$B$7-'Business Case'!$B$8*(('Business Case'!F11*$C763*'Business Case'!F12*$B763)-('Business Case'!E11*$C763*'Business Case'!E12*$B763))-'Business Case'!F15*$F763</f>
        <v>620509937.713642</v>
      </c>
      <c r="M763" s="39" t="n">
        <f aca="false">(('Business Case'!G11*$C763*'Business Case'!G12*$B763)-'Business Case'!G11*$C763*'Business Case'!G13*$D763-'Business Case'!G14*$E763)-MAX(0,(('Business Case'!G11*$C763*'Business Case'!G12*$B763)-'Business Case'!G11*$C763*'Business Case'!G13*$D763-'Business Case'!G14*$E763))*'Business Case'!$B$7-'Business Case'!$B$8*(('Business Case'!G11*$C763*'Business Case'!G12*$B763)-('Business Case'!F11*$C763*'Business Case'!F12*$B763))-'Business Case'!G15*$F763+'Business Case'!$B$8*('Business Case'!G11*$C763*'Business Case'!G12*$B763)</f>
        <v>795211645.867003</v>
      </c>
      <c r="N763" s="39" t="n">
        <f aca="false">IF(COUNT('Business Case'!B11:G11)=0,"",H763+NPV(G763,I763:M763))</f>
        <v>-694081160.741601</v>
      </c>
      <c r="P763" s="40" t="n">
        <f aca="true">RAND()</f>
        <v>0.02856075732141</v>
      </c>
      <c r="Q763" s="40" t="n">
        <f aca="true">RAND()</f>
        <v>0.469848288330473</v>
      </c>
      <c r="R763" s="40" t="n">
        <f aca="true">RAND()</f>
        <v>0.394693307378274</v>
      </c>
      <c r="S763" s="40" t="n">
        <f aca="true">RAND()</f>
        <v>0.671275460227473</v>
      </c>
      <c r="T763" s="40" t="n">
        <f aca="true">RAND()</f>
        <v>0.328864158935498</v>
      </c>
      <c r="U763" s="40" t="n">
        <f aca="true">RAND()</f>
        <v>0.988891632616104</v>
      </c>
    </row>
    <row r="764" customFormat="false" ht="15" hidden="false" customHeight="false" outlineLevel="0" collapsed="false">
      <c r="A764" s="36" t="n">
        <v>684</v>
      </c>
      <c r="B764" s="37" t="n">
        <f aca="false">1+IF($G$6=$E$6,$F$6,IF(P764&lt;($F$6-$E$6)/($G$6-$E$6),$E$6+SQRT(P764*($G$6-$E$6)*($F$6-$E$6)),$G$6-SQRT((1-P764)*($G$6-$E$6)*($G$6-$F$6))))</f>
        <v>0.9839897355601</v>
      </c>
      <c r="C764" s="37" t="n">
        <f aca="false">1+IF($G$7=$E$7,$F$7,IF(Q764&lt;($F$7-$E$7)/($G$7-$E$7),$E$7+SQRT(Q764*($G$7-$E$7)*($F$7-$E$7)),$G$7-SQRT((1-Q764)*($G$7-$E$7)*($G$7-$F$7))))</f>
        <v>1.01941408285808</v>
      </c>
      <c r="D764" s="37" t="n">
        <f aca="false">1+IF($G$8=$E$8,$F$8,IF(R764&lt;($F$8-$E$8)/($G$8-$E$8),$E$8+SQRT(R764*($G$8-$E$8)*($F$8-$E$8)),$G$8-SQRT((1-R764)*($G$8-$E$8)*($G$8-$F$8))))</f>
        <v>1.03598053904543</v>
      </c>
      <c r="E764" s="37" t="n">
        <f aca="false">1+IF($G$9=$E$9,$F$9,IF(S764&lt;($F$9-$E$9)/($G$9-$E$9),$E$9+SQRT(S764*($G$9-$E$9)*($F$9-$E$9)),$G$9-SQRT((1-S764)*($G$9-$E$9)*($G$9-$F$9))))</f>
        <v>1.08263910387562</v>
      </c>
      <c r="F764" s="37" t="n">
        <f aca="false">1+IF($G$10=$E$10,$F$10,IF(T764&lt;($F$10-$E$10)/($G$10-$E$10),$E$10+SQRT(T764*($G$10-$E$10)*($F$10-$E$10)),$G$10-SQRT((1-T764)*($G$10-$E$10)*($G$10-$F$10))))</f>
        <v>0.99896453317227</v>
      </c>
      <c r="G764" s="38" t="n">
        <f aca="false">IF($G$11=$E$11,$F$11,IF(U764&lt;($F$11-$E$11)/($G$11-$E$11),$E$11+SQRT(U764*($G$11-$E$11)*($F$11-$E$11)),$G$11-SQRT((1-U764)*($G$11-$E$11)*($G$11-$F$11))))</f>
        <v>0.100670659827412</v>
      </c>
      <c r="H764" s="39" t="n">
        <f aca="false">(('Business Case'!B11*$C764*'Business Case'!B12*$B764)-'Business Case'!B11*$C764*'Business Case'!B13*$D764-'Business Case'!B14*$E764)-MAX(0,(('Business Case'!B11*$C764*'Business Case'!B12*$B764)-'Business Case'!B11*$C764*'Business Case'!B13*$D764-'Business Case'!B14*$E764))*'Business Case'!$B$7-'Business Case'!$B$8*('Business Case'!B11*$C764*'Business Case'!B12*$B764)-'Business Case'!B15*$F764</f>
        <v>-1997929066.34454</v>
      </c>
      <c r="I764" s="39" t="n">
        <f aca="false">(('Business Case'!C11*$C764*'Business Case'!C12*$B764)-'Business Case'!C11*$C764*'Business Case'!C13*$D764-'Business Case'!C14*$E764)-MAX(0,(('Business Case'!C11*$C764*'Business Case'!C12*$B764)-'Business Case'!C11*$C764*'Business Case'!C13*$D764-'Business Case'!C14*$E764))*'Business Case'!$B$7-'Business Case'!$B$8*(('Business Case'!C11*$C764*'Business Case'!C12*$B764)-('Business Case'!B11*$C764*'Business Case'!B12*$B764))-'Business Case'!C15*$F764</f>
        <v>-24877895.951209</v>
      </c>
      <c r="J764" s="39" t="n">
        <f aca="false">(('Business Case'!D11*$C764*'Business Case'!D12*$B764)-'Business Case'!D11*$C764*'Business Case'!D13*$D764-'Business Case'!D14*$E764)-MAX(0,(('Business Case'!D11*$C764*'Business Case'!D12*$B764)-'Business Case'!D11*$C764*'Business Case'!D13*$D764-'Business Case'!D14*$E764))*'Business Case'!$B$7-'Business Case'!$B$8*(('Business Case'!D11*$C764*'Business Case'!D12*$B764)-('Business Case'!C11*$C764*'Business Case'!C12*$B764))-'Business Case'!D15*$F764</f>
        <v>256092282.785435</v>
      </c>
      <c r="K764" s="39" t="n">
        <f aca="false">(('Business Case'!E11*$C764*'Business Case'!E12*$B764)-'Business Case'!E11*$C764*'Business Case'!E13*$D764-'Business Case'!E14*$E764)-MAX(0,(('Business Case'!E11*$C764*'Business Case'!E12*$B764)-'Business Case'!E11*$C764*'Business Case'!E13*$D764-'Business Case'!E14*$E764))*'Business Case'!$B$7-'Business Case'!$B$8*(('Business Case'!E11*$C764*'Business Case'!E12*$B764)-('Business Case'!D11*$C764*'Business Case'!D12*$B764))-'Business Case'!E15*$F764</f>
        <v>587010688.180692</v>
      </c>
      <c r="L764" s="39" t="n">
        <f aca="false">(('Business Case'!F11*$C764*'Business Case'!F12*$B764)-'Business Case'!F11*$C764*'Business Case'!F13*$D764-'Business Case'!F14*$E764)-MAX(0,(('Business Case'!F11*$C764*'Business Case'!F12*$B764)-'Business Case'!F11*$C764*'Business Case'!F13*$D764-'Business Case'!F14*$E764))*'Business Case'!$B$7-'Business Case'!$B$8*(('Business Case'!F11*$C764*'Business Case'!F12*$B764)-('Business Case'!E11*$C764*'Business Case'!E12*$B764))-'Business Case'!F15*$F764</f>
        <v>715334308.292581</v>
      </c>
      <c r="M764" s="39" t="n">
        <f aca="false">(('Business Case'!G11*$C764*'Business Case'!G12*$B764)-'Business Case'!G11*$C764*'Business Case'!G13*$D764-'Business Case'!G14*$E764)-MAX(0,(('Business Case'!G11*$C764*'Business Case'!G12*$B764)-'Business Case'!G11*$C764*'Business Case'!G13*$D764-'Business Case'!G14*$E764))*'Business Case'!$B$7-'Business Case'!$B$8*(('Business Case'!G11*$C764*'Business Case'!G12*$B764)-('Business Case'!F11*$C764*'Business Case'!F12*$B764))-'Business Case'!G15*$F764+'Business Case'!$B$8*('Business Case'!G11*$C764*'Business Case'!G12*$B764)</f>
        <v>906002224.557462</v>
      </c>
      <c r="N764" s="39" t="n">
        <f aca="false">IF(COUNT('Business Case'!B11:G11)=0,"",H764+NPV(G764,I764:M764))</f>
        <v>-320681217.079309</v>
      </c>
      <c r="P764" s="40" t="n">
        <f aca="true">RAND()</f>
        <v>0.426529818442872</v>
      </c>
      <c r="Q764" s="40" t="n">
        <f aca="true">RAND()</f>
        <v>0.675187014175293</v>
      </c>
      <c r="R764" s="40" t="n">
        <f aca="true">RAND()</f>
        <v>0.813681447814321</v>
      </c>
      <c r="S764" s="40" t="n">
        <f aca="true">RAND()</f>
        <v>0.979906619050557</v>
      </c>
      <c r="T764" s="40" t="n">
        <f aca="true">RAND()</f>
        <v>0.191802040702269</v>
      </c>
      <c r="U764" s="40" t="n">
        <f aca="true">RAND()</f>
        <v>0.377294347487278</v>
      </c>
    </row>
    <row r="765" customFormat="false" ht="15" hidden="false" customHeight="false" outlineLevel="0" collapsed="false">
      <c r="A765" s="36" t="n">
        <v>685</v>
      </c>
      <c r="B765" s="37" t="n">
        <f aca="false">1+IF($G$6=$E$6,$F$6,IF(P765&lt;($F$6-$E$6)/($G$6-$E$6),$E$6+SQRT(P765*($G$6-$E$6)*($F$6-$E$6)),$G$6-SQRT((1-P765)*($G$6-$E$6)*($G$6-$F$6))))</f>
        <v>0.999888881277064</v>
      </c>
      <c r="C765" s="37" t="n">
        <f aca="false">1+IF($G$7=$E$7,$F$7,IF(Q765&lt;($F$7-$E$7)/($G$7-$E$7),$E$7+SQRT(Q765*($G$7-$E$7)*($F$7-$E$7)),$G$7-SQRT((1-Q765)*($G$7-$E$7)*($G$7-$F$7))))</f>
        <v>1.0227428609225</v>
      </c>
      <c r="D765" s="37" t="n">
        <f aca="false">1+IF($G$8=$E$8,$F$8,IF(R765&lt;($F$8-$E$8)/($G$8-$E$8),$E$8+SQRT(R765*($G$8-$E$8)*($F$8-$E$8)),$G$8-SQRT((1-R765)*($G$8-$E$8)*($G$8-$F$8))))</f>
        <v>1.02101448971392</v>
      </c>
      <c r="E765" s="37" t="n">
        <f aca="false">1+IF($G$9=$E$9,$F$9,IF(S765&lt;($F$9-$E$9)/($G$9-$E$9),$E$9+SQRT(S765*($G$9-$E$9)*($F$9-$E$9)),$G$9-SQRT((1-S765)*($G$9-$E$9)*($G$9-$F$9))))</f>
        <v>1.08203222813614</v>
      </c>
      <c r="F765" s="37" t="n">
        <f aca="false">1+IF($G$10=$E$10,$F$10,IF(T765&lt;($F$10-$E$10)/($G$10-$E$10),$E$10+SQRT(T765*($G$10-$E$10)*($F$10-$E$10)),$G$10-SQRT((1-T765)*($G$10-$E$10)*($G$10-$F$10))))</f>
        <v>1.05590719790807</v>
      </c>
      <c r="G765" s="38" t="n">
        <f aca="false">IF($G$11=$E$11,$F$11,IF(U765&lt;($F$11-$E$11)/($G$11-$E$11),$E$11+SQRT(U765*($G$11-$E$11)*($F$11-$E$11)),$G$11-SQRT((1-U765)*($G$11-$E$11)*($G$11-$F$11))))</f>
        <v>0.105300257916485</v>
      </c>
      <c r="H765" s="39" t="n">
        <f aca="false">(('Business Case'!B11*$C765*'Business Case'!B12*$B765)-'Business Case'!B11*$C765*'Business Case'!B13*$D765-'Business Case'!B14*$E765)-MAX(0,(('Business Case'!B11*$C765*'Business Case'!B12*$B765)-'Business Case'!B11*$C765*'Business Case'!B13*$D765-'Business Case'!B14*$E765))*'Business Case'!$B$7-'Business Case'!$B$8*('Business Case'!B11*$C765*'Business Case'!B12*$B765)-'Business Case'!B15*$F765</f>
        <v>-2111814395.81613</v>
      </c>
      <c r="I765" s="39" t="n">
        <f aca="false">(('Business Case'!C11*$C765*'Business Case'!C12*$B765)-'Business Case'!C11*$C765*'Business Case'!C13*$D765-'Business Case'!C14*$E765)-MAX(0,(('Business Case'!C11*$C765*'Business Case'!C12*$B765)-'Business Case'!C11*$C765*'Business Case'!C13*$D765-'Business Case'!C14*$E765))*'Business Case'!$B$7-'Business Case'!$B$8*(('Business Case'!C11*$C765*'Business Case'!C12*$B765)-('Business Case'!B11*$C765*'Business Case'!B12*$B765))-'Business Case'!C15*$F765</f>
        <v>-9426769.38402791</v>
      </c>
      <c r="J765" s="39" t="n">
        <f aca="false">(('Business Case'!D11*$C765*'Business Case'!D12*$B765)-'Business Case'!D11*$C765*'Business Case'!D13*$D765-'Business Case'!D14*$E765)-MAX(0,(('Business Case'!D11*$C765*'Business Case'!D12*$B765)-'Business Case'!D11*$C765*'Business Case'!D13*$D765-'Business Case'!D14*$E765))*'Business Case'!$B$7-'Business Case'!$B$8*(('Business Case'!D11*$C765*'Business Case'!D12*$B765)-('Business Case'!C11*$C765*'Business Case'!C12*$B765))-'Business Case'!D15*$F765</f>
        <v>293615262.371481</v>
      </c>
      <c r="K765" s="39" t="n">
        <f aca="false">(('Business Case'!E11*$C765*'Business Case'!E12*$B765)-'Business Case'!E11*$C765*'Business Case'!E13*$D765-'Business Case'!E14*$E765)-MAX(0,(('Business Case'!E11*$C765*'Business Case'!E12*$B765)-'Business Case'!E11*$C765*'Business Case'!E13*$D765-'Business Case'!E14*$E765))*'Business Case'!$B$7-'Business Case'!$B$8*(('Business Case'!E11*$C765*'Business Case'!E12*$B765)-('Business Case'!D11*$C765*'Business Case'!D12*$B765))-'Business Case'!E15*$F765</f>
        <v>649452654.022393</v>
      </c>
      <c r="L765" s="39" t="n">
        <f aca="false">(('Business Case'!F11*$C765*'Business Case'!F12*$B765)-'Business Case'!F11*$C765*'Business Case'!F13*$D765-'Business Case'!F14*$E765)-MAX(0,(('Business Case'!F11*$C765*'Business Case'!F12*$B765)-'Business Case'!F11*$C765*'Business Case'!F13*$D765-'Business Case'!F14*$E765))*'Business Case'!$B$7-'Business Case'!$B$8*(('Business Case'!F11*$C765*'Business Case'!F12*$B765)-('Business Case'!E11*$C765*'Business Case'!E12*$B765))-'Business Case'!F15*$F765</f>
        <v>785808730.279412</v>
      </c>
      <c r="M765" s="39" t="n">
        <f aca="false">(('Business Case'!G11*$C765*'Business Case'!G12*$B765)-'Business Case'!G11*$C765*'Business Case'!G13*$D765-'Business Case'!G14*$E765)-MAX(0,(('Business Case'!G11*$C765*'Business Case'!G12*$B765)-'Business Case'!G11*$C765*'Business Case'!G13*$D765-'Business Case'!G14*$E765))*'Business Case'!$B$7-'Business Case'!$B$8*(('Business Case'!G11*$C765*'Business Case'!G12*$B765)-('Business Case'!F11*$C765*'Business Case'!F12*$B765))-'Business Case'!G15*$F765+'Business Case'!$B$8*('Business Case'!G11*$C765*'Business Case'!G12*$B765)</f>
        <v>980190091.474577</v>
      </c>
      <c r="N765" s="39" t="n">
        <f aca="false">IF(COUNT('Business Case'!B11:G11)=0,"",H765+NPV(G765,I765:M765))</f>
        <v>-278385611.404825</v>
      </c>
      <c r="P765" s="40" t="n">
        <f aca="true">RAND()</f>
        <v>0.664815974135499</v>
      </c>
      <c r="Q765" s="40" t="n">
        <f aca="true">RAND()</f>
        <v>0.691535629596379</v>
      </c>
      <c r="R765" s="40" t="n">
        <f aca="true">RAND()</f>
        <v>0.665452843874144</v>
      </c>
      <c r="S765" s="40" t="n">
        <f aca="true">RAND()</f>
        <v>0.978477278283207</v>
      </c>
      <c r="T765" s="40" t="n">
        <f aca="true">RAND()</f>
        <v>0.58474528770589</v>
      </c>
      <c r="U765" s="40" t="n">
        <f aca="true">RAND()</f>
        <v>0.639862637796874</v>
      </c>
    </row>
    <row r="766" customFormat="false" ht="15" hidden="false" customHeight="false" outlineLevel="0" collapsed="false">
      <c r="A766" s="36" t="n">
        <v>686</v>
      </c>
      <c r="B766" s="37" t="n">
        <f aca="false">1+IF($G$6=$E$6,$F$6,IF(P766&lt;($F$6-$E$6)/($G$6-$E$6),$E$6+SQRT(P766*($G$6-$E$6)*($F$6-$E$6)),$G$6-SQRT((1-P766)*($G$6-$E$6)*($G$6-$F$6))))</f>
        <v>0.972701818165337</v>
      </c>
      <c r="C766" s="37" t="n">
        <f aca="false">1+IF($G$7=$E$7,$F$7,IF(Q766&lt;($F$7-$E$7)/($G$7-$E$7),$E$7+SQRT(Q766*($G$7-$E$7)*($F$7-$E$7)),$G$7-SQRT((1-Q766)*($G$7-$E$7)*($G$7-$F$7))))</f>
        <v>1.08367384669377</v>
      </c>
      <c r="D766" s="37" t="n">
        <f aca="false">1+IF($G$8=$E$8,$F$8,IF(R766&lt;($F$8-$E$8)/($G$8-$E$8),$E$8+SQRT(R766*($G$8-$E$8)*($F$8-$E$8)),$G$8-SQRT((1-R766)*($G$8-$E$8)*($G$8-$F$8))))</f>
        <v>0.975510023559279</v>
      </c>
      <c r="E766" s="37" t="n">
        <f aca="false">1+IF($G$9=$E$9,$F$9,IF(S766&lt;($F$9-$E$9)/($G$9-$E$9),$E$9+SQRT(S766*($G$9-$E$9)*($F$9-$E$9)),$G$9-SQRT((1-S766)*($G$9-$E$9)*($G$9-$F$9))))</f>
        <v>0.999433914461316</v>
      </c>
      <c r="F766" s="37" t="n">
        <f aca="false">1+IF($G$10=$E$10,$F$10,IF(T766&lt;($F$10-$E$10)/($G$10-$E$10),$E$10+SQRT(T766*($G$10-$E$10)*($F$10-$E$10)),$G$10-SQRT((1-T766)*($G$10-$E$10)*($G$10-$F$10))))</f>
        <v>0.986681131054855</v>
      </c>
      <c r="G766" s="38" t="n">
        <f aca="false">IF($G$11=$E$11,$F$11,IF(U766&lt;($F$11-$E$11)/($G$11-$E$11),$E$11+SQRT(U766*($G$11-$E$11)*($F$11-$E$11)),$G$11-SQRT((1-U766)*($G$11-$E$11)*($G$11-$F$11))))</f>
        <v>0.109132883065454</v>
      </c>
      <c r="H766" s="39" t="n">
        <f aca="false">(('Business Case'!B11*$C766*'Business Case'!B12*$B766)-'Business Case'!B11*$C766*'Business Case'!B13*$D766-'Business Case'!B14*$E766)-MAX(0,(('Business Case'!B11*$C766*'Business Case'!B12*$B766)-'Business Case'!B11*$C766*'Business Case'!B13*$D766-'Business Case'!B14*$E766))*'Business Case'!$B$7-'Business Case'!$B$8*('Business Case'!B11*$C766*'Business Case'!B12*$B766)-'Business Case'!B15*$F766</f>
        <v>-1973362262.10971</v>
      </c>
      <c r="I766" s="39" t="n">
        <f aca="false">(('Business Case'!C11*$C766*'Business Case'!C12*$B766)-'Business Case'!C11*$C766*'Business Case'!C13*$D766-'Business Case'!C14*$E766)-MAX(0,(('Business Case'!C11*$C766*'Business Case'!C12*$B766)-'Business Case'!C11*$C766*'Business Case'!C13*$D766-'Business Case'!C14*$E766))*'Business Case'!$B$7-'Business Case'!$B$8*(('Business Case'!C11*$C766*'Business Case'!C12*$B766)-('Business Case'!B11*$C766*'Business Case'!B12*$B766))-'Business Case'!C15*$F766</f>
        <v>26776734.600481</v>
      </c>
      <c r="J766" s="39" t="n">
        <f aca="false">(('Business Case'!D11*$C766*'Business Case'!D12*$B766)-'Business Case'!D11*$C766*'Business Case'!D13*$D766-'Business Case'!D14*$E766)-MAX(0,(('Business Case'!D11*$C766*'Business Case'!D12*$B766)-'Business Case'!D11*$C766*'Business Case'!D13*$D766-'Business Case'!D14*$E766))*'Business Case'!$B$7-'Business Case'!$B$8*(('Business Case'!D11*$C766*'Business Case'!D12*$B766)-('Business Case'!C11*$C766*'Business Case'!C12*$B766))-'Business Case'!D15*$F766</f>
        <v>348985189.390308</v>
      </c>
      <c r="K766" s="39" t="n">
        <f aca="false">(('Business Case'!E11*$C766*'Business Case'!E12*$B766)-'Business Case'!E11*$C766*'Business Case'!E13*$D766-'Business Case'!E14*$E766)-MAX(0,(('Business Case'!E11*$C766*'Business Case'!E12*$B766)-'Business Case'!E11*$C766*'Business Case'!E13*$D766-'Business Case'!E14*$E766))*'Business Case'!$B$7-'Business Case'!$B$8*(('Business Case'!E11*$C766*'Business Case'!E12*$B766)-('Business Case'!D11*$C766*'Business Case'!D12*$B766))-'Business Case'!E15*$F766</f>
        <v>720527700.732876</v>
      </c>
      <c r="L766" s="39" t="n">
        <f aca="false">(('Business Case'!F11*$C766*'Business Case'!F12*$B766)-'Business Case'!F11*$C766*'Business Case'!F13*$D766-'Business Case'!F14*$E766)-MAX(0,(('Business Case'!F11*$C766*'Business Case'!F12*$B766)-'Business Case'!F11*$C766*'Business Case'!F13*$D766-'Business Case'!F14*$E766))*'Business Case'!$B$7-'Business Case'!$B$8*(('Business Case'!F11*$C766*'Business Case'!F12*$B766)-('Business Case'!E11*$C766*'Business Case'!E12*$B766))-'Business Case'!F15*$F766</f>
        <v>864359921.961126</v>
      </c>
      <c r="M766" s="39" t="n">
        <f aca="false">(('Business Case'!G11*$C766*'Business Case'!G12*$B766)-'Business Case'!G11*$C766*'Business Case'!G13*$D766-'Business Case'!G14*$E766)-MAX(0,(('Business Case'!G11*$C766*'Business Case'!G12*$B766)-'Business Case'!G11*$C766*'Business Case'!G13*$D766-'Business Case'!G14*$E766))*'Business Case'!$B$7-'Business Case'!$B$8*(('Business Case'!G11*$C766*'Business Case'!G12*$B766)-('Business Case'!F11*$C766*'Business Case'!F12*$B766))-'Business Case'!G15*$F766+'Business Case'!$B$8*('Business Case'!G11*$C766*'Business Case'!G12*$B766)</f>
        <v>1064721638.26848</v>
      </c>
      <c r="N766" s="39" t="n">
        <f aca="false">IF(COUNT('Business Case'!B11:G11)=0,"",H766+NPV(G766,I766:M766))</f>
        <v>68044880.1112533</v>
      </c>
      <c r="P766" s="40" t="n">
        <f aca="true">RAND()</f>
        <v>0.289321003951271</v>
      </c>
      <c r="Q766" s="40" t="n">
        <f aca="true">RAND()</f>
        <v>0.916206502620924</v>
      </c>
      <c r="R766" s="40" t="n">
        <f aca="true">RAND()</f>
        <v>0.10011712338384</v>
      </c>
      <c r="S766" s="40" t="n">
        <f aca="true">RAND()</f>
        <v>0.325828253195832</v>
      </c>
      <c r="T766" s="40" t="n">
        <f aca="true">RAND()</f>
        <v>0.107640430037075</v>
      </c>
      <c r="U766" s="40" t="n">
        <f aca="true">RAND()</f>
        <v>0.803176282551521</v>
      </c>
    </row>
    <row r="767" customFormat="false" ht="15" hidden="false" customHeight="false" outlineLevel="0" collapsed="false">
      <c r="A767" s="36" t="n">
        <v>687</v>
      </c>
      <c r="B767" s="37" t="n">
        <f aca="false">1+IF($G$6=$E$6,$F$6,IF(P767&lt;($F$6-$E$6)/($G$6-$E$6),$E$6+SQRT(P767*($G$6-$E$6)*($F$6-$E$6)),$G$6-SQRT((1-P767)*($G$6-$E$6)*($G$6-$F$6))))</f>
        <v>0.955347604710018</v>
      </c>
      <c r="C767" s="37" t="n">
        <f aca="false">1+IF($G$7=$E$7,$F$7,IF(Q767&lt;($F$7-$E$7)/($G$7-$E$7),$E$7+SQRT(Q767*($G$7-$E$7)*($F$7-$E$7)),$G$7-SQRT((1-Q767)*($G$7-$E$7)*($G$7-$F$7))))</f>
        <v>1.01330213824222</v>
      </c>
      <c r="D767" s="37" t="n">
        <f aca="false">1+IF($G$8=$E$8,$F$8,IF(R767&lt;($F$8-$E$8)/($G$8-$E$8),$E$8+SQRT(R767*($G$8-$E$8)*($F$8-$E$8)),$G$8-SQRT((1-R767)*($G$8-$E$8)*($G$8-$F$8))))</f>
        <v>1.0008714422172</v>
      </c>
      <c r="E767" s="37" t="n">
        <f aca="false">1+IF($G$9=$E$9,$F$9,IF(S767&lt;($F$9-$E$9)/($G$9-$E$9),$E$9+SQRT(S767*($G$9-$E$9)*($F$9-$E$9)),$G$9-SQRT((1-S767)*($G$9-$E$9)*($G$9-$F$9))))</f>
        <v>1.02195914376552</v>
      </c>
      <c r="F767" s="37" t="n">
        <f aca="false">1+IF($G$10=$E$10,$F$10,IF(T767&lt;($F$10-$E$10)/($G$10-$E$10),$E$10+SQRT(T767*($G$10-$E$10)*($F$10-$E$10)),$G$10-SQRT((1-T767)*($G$10-$E$10)*($G$10-$F$10))))</f>
        <v>1.02455359787409</v>
      </c>
      <c r="G767" s="38" t="n">
        <f aca="false">IF($G$11=$E$11,$F$11,IF(U767&lt;($F$11-$E$11)/($G$11-$E$11),$E$11+SQRT(U767*($G$11-$E$11)*($F$11-$E$11)),$G$11-SQRT((1-U767)*($G$11-$E$11)*($G$11-$F$11))))</f>
        <v>0.096539387715595</v>
      </c>
      <c r="H767" s="39" t="n">
        <f aca="false">(('Business Case'!B11*$C767*'Business Case'!B12*$B767)-'Business Case'!B11*$C767*'Business Case'!B13*$D767-'Business Case'!B14*$E767)-MAX(0,(('Business Case'!B11*$C767*'Business Case'!B12*$B767)-'Business Case'!B11*$C767*'Business Case'!B13*$D767-'Business Case'!B14*$E767))*'Business Case'!$B$7-'Business Case'!$B$8*('Business Case'!B11*$C767*'Business Case'!B12*$B767)-'Business Case'!B15*$F767</f>
        <v>-2049107195.74818</v>
      </c>
      <c r="I767" s="39" t="n">
        <f aca="false">(('Business Case'!C11*$C767*'Business Case'!C12*$B767)-'Business Case'!C11*$C767*'Business Case'!C13*$D767-'Business Case'!C14*$E767)-MAX(0,(('Business Case'!C11*$C767*'Business Case'!C12*$B767)-'Business Case'!C11*$C767*'Business Case'!C13*$D767-'Business Case'!C14*$E767))*'Business Case'!$B$7-'Business Case'!$B$8*(('Business Case'!C11*$C767*'Business Case'!C12*$B767)-('Business Case'!B11*$C767*'Business Case'!B12*$B767))-'Business Case'!C15*$F767</f>
        <v>-24236258.537037</v>
      </c>
      <c r="J767" s="39" t="n">
        <f aca="false">(('Business Case'!D11*$C767*'Business Case'!D12*$B767)-'Business Case'!D11*$C767*'Business Case'!D13*$D767-'Business Case'!D14*$E767)-MAX(0,(('Business Case'!D11*$C767*'Business Case'!D12*$B767)-'Business Case'!D11*$C767*'Business Case'!D13*$D767-'Business Case'!D14*$E767))*'Business Case'!$B$7-'Business Case'!$B$8*(('Business Case'!D11*$C767*'Business Case'!D12*$B767)-('Business Case'!C11*$C767*'Business Case'!C12*$B767))-'Business Case'!D15*$F767</f>
        <v>249489444.10559</v>
      </c>
      <c r="K767" s="39" t="n">
        <f aca="false">(('Business Case'!E11*$C767*'Business Case'!E12*$B767)-'Business Case'!E11*$C767*'Business Case'!E13*$D767-'Business Case'!E14*$E767)-MAX(0,(('Business Case'!E11*$C767*'Business Case'!E12*$B767)-'Business Case'!E11*$C767*'Business Case'!E13*$D767-'Business Case'!E14*$E767))*'Business Case'!$B$7-'Business Case'!$B$8*(('Business Case'!E11*$C767*'Business Case'!E12*$B767)-('Business Case'!D11*$C767*'Business Case'!D12*$B767))-'Business Case'!E15*$F767</f>
        <v>574442826.641922</v>
      </c>
      <c r="L767" s="39" t="n">
        <f aca="false">(('Business Case'!F11*$C767*'Business Case'!F12*$B767)-'Business Case'!F11*$C767*'Business Case'!F13*$D767-'Business Case'!F14*$E767)-MAX(0,(('Business Case'!F11*$C767*'Business Case'!F12*$B767)-'Business Case'!F11*$C767*'Business Case'!F13*$D767-'Business Case'!F14*$E767))*'Business Case'!$B$7-'Business Case'!$B$8*(('Business Case'!F11*$C767*'Business Case'!F12*$B767)-('Business Case'!E11*$C767*'Business Case'!E12*$B767))-'Business Case'!F15*$F767</f>
        <v>699140734.955331</v>
      </c>
      <c r="M767" s="39" t="n">
        <f aca="false">(('Business Case'!G11*$C767*'Business Case'!G12*$B767)-'Business Case'!G11*$C767*'Business Case'!G13*$D767-'Business Case'!G14*$E767)-MAX(0,(('Business Case'!G11*$C767*'Business Case'!G12*$B767)-'Business Case'!G11*$C767*'Business Case'!G13*$D767-'Business Case'!G14*$E767))*'Business Case'!$B$7-'Business Case'!$B$8*(('Business Case'!G11*$C767*'Business Case'!G12*$B767)-('Business Case'!F11*$C767*'Business Case'!F12*$B767))-'Business Case'!G15*$F767+'Business Case'!$B$8*('Business Case'!G11*$C767*'Business Case'!G12*$B767)</f>
        <v>883148775.834257</v>
      </c>
      <c r="N767" s="39" t="n">
        <f aca="false">IF(COUNT('Business Case'!B11:G11)=0,"",H767+NPV(G767,I767:M767))</f>
        <v>-387377072.840328</v>
      </c>
      <c r="P767" s="40" t="n">
        <f aca="true">RAND()</f>
        <v>0.130151370701635</v>
      </c>
      <c r="Q767" s="40" t="n">
        <f aca="true">RAND()</f>
        <v>0.644070373159081</v>
      </c>
      <c r="R767" s="40" t="n">
        <f aca="true">RAND()</f>
        <v>0.397949167616703</v>
      </c>
      <c r="S767" s="40" t="n">
        <f aca="true">RAND()</f>
        <v>0.593974983879286</v>
      </c>
      <c r="T767" s="40" t="n">
        <f aca="true">RAND()</f>
        <v>0.384371199621479</v>
      </c>
      <c r="U767" s="40" t="n">
        <f aca="true">RAND()</f>
        <v>0.142545305649583</v>
      </c>
    </row>
    <row r="768" customFormat="false" ht="15" hidden="false" customHeight="false" outlineLevel="0" collapsed="false">
      <c r="A768" s="36" t="n">
        <v>688</v>
      </c>
      <c r="B768" s="37" t="n">
        <f aca="false">1+IF($G$6=$E$6,$F$6,IF(P768&lt;($F$6-$E$6)/($G$6-$E$6),$E$6+SQRT(P768*($G$6-$E$6)*($F$6-$E$6)),$G$6-SQRT((1-P768)*($G$6-$E$6)*($G$6-$F$6))))</f>
        <v>0.968884021714193</v>
      </c>
      <c r="C768" s="37" t="n">
        <f aca="false">1+IF($G$7=$E$7,$F$7,IF(Q768&lt;($F$7-$E$7)/($G$7-$E$7),$E$7+SQRT(Q768*($G$7-$E$7)*($F$7-$E$7)),$G$7-SQRT((1-Q768)*($G$7-$E$7)*($G$7-$F$7))))</f>
        <v>0.95659228427317</v>
      </c>
      <c r="D768" s="37" t="n">
        <f aca="false">1+IF($G$8=$E$8,$F$8,IF(R768&lt;($F$8-$E$8)/($G$8-$E$8),$E$8+SQRT(R768*($G$8-$E$8)*($F$8-$E$8)),$G$8-SQRT((1-R768)*($G$8-$E$8)*($G$8-$F$8))))</f>
        <v>1.0065066228259</v>
      </c>
      <c r="E768" s="37" t="n">
        <f aca="false">1+IF($G$9=$E$9,$F$9,IF(S768&lt;($F$9-$E$9)/($G$9-$E$9),$E$9+SQRT(S768*($G$9-$E$9)*($F$9-$E$9)),$G$9-SQRT((1-S768)*($G$9-$E$9)*($G$9-$F$9))))</f>
        <v>0.98613909364698</v>
      </c>
      <c r="F768" s="37" t="n">
        <f aca="false">1+IF($G$10=$E$10,$F$10,IF(T768&lt;($F$10-$E$10)/($G$10-$E$10),$E$10+SQRT(T768*($G$10-$E$10)*($F$10-$E$10)),$G$10-SQRT((1-T768)*($G$10-$E$10)*($G$10-$F$10))))</f>
        <v>0.974971861767905</v>
      </c>
      <c r="G768" s="38" t="n">
        <f aca="false">IF($G$11=$E$11,$F$11,IF(U768&lt;($F$11-$E$11)/($G$11-$E$11),$E$11+SQRT(U768*($G$11-$E$11)*($F$11-$E$11)),$G$11-SQRT((1-U768)*($G$11-$E$11)*($G$11-$F$11))))</f>
        <v>0.101740926600485</v>
      </c>
      <c r="H768" s="39" t="n">
        <f aca="false">(('Business Case'!B11*$C768*'Business Case'!B12*$B768)-'Business Case'!B11*$C768*'Business Case'!B13*$D768-'Business Case'!B14*$E768)-MAX(0,(('Business Case'!B11*$C768*'Business Case'!B12*$B768)-'Business Case'!B11*$C768*'Business Case'!B13*$D768-'Business Case'!B14*$E768))*'Business Case'!$B$7-'Business Case'!$B$8*('Business Case'!B11*$C768*'Business Case'!B12*$B768)-'Business Case'!B15*$F768</f>
        <v>-1949943723.53581</v>
      </c>
      <c r="I768" s="39" t="n">
        <f aca="false">(('Business Case'!C11*$C768*'Business Case'!C12*$B768)-'Business Case'!C11*$C768*'Business Case'!C13*$D768-'Business Case'!C14*$E768)-MAX(0,(('Business Case'!C11*$C768*'Business Case'!C12*$B768)-'Business Case'!C11*$C768*'Business Case'!C13*$D768-'Business Case'!C14*$E768))*'Business Case'!$B$7-'Business Case'!$B$8*(('Business Case'!C11*$C768*'Business Case'!C12*$B768)-('Business Case'!B11*$C768*'Business Case'!B12*$B768))-'Business Case'!C15*$F768</f>
        <v>-19519855.185234</v>
      </c>
      <c r="J768" s="39" t="n">
        <f aca="false">(('Business Case'!D11*$C768*'Business Case'!D12*$B768)-'Business Case'!D11*$C768*'Business Case'!D13*$D768-'Business Case'!D14*$E768)-MAX(0,(('Business Case'!D11*$C768*'Business Case'!D12*$B768)-'Business Case'!D11*$C768*'Business Case'!D13*$D768-'Business Case'!D14*$E768))*'Business Case'!$B$7-'Business Case'!$B$8*(('Business Case'!D11*$C768*'Business Case'!D12*$B768)-('Business Case'!C11*$C768*'Business Case'!C12*$B768))-'Business Case'!D15*$F768</f>
        <v>246733165.541621</v>
      </c>
      <c r="K768" s="39" t="n">
        <f aca="false">(('Business Case'!E11*$C768*'Business Case'!E12*$B768)-'Business Case'!E11*$C768*'Business Case'!E13*$D768-'Business Case'!E14*$E768)-MAX(0,(('Business Case'!E11*$C768*'Business Case'!E12*$B768)-'Business Case'!E11*$C768*'Business Case'!E13*$D768-'Business Case'!E14*$E768))*'Business Case'!$B$7-'Business Case'!$B$8*(('Business Case'!E11*$C768*'Business Case'!E12*$B768)-('Business Case'!D11*$C768*'Business Case'!D12*$B768))-'Business Case'!E15*$F768</f>
        <v>561734779.356872</v>
      </c>
      <c r="L768" s="39" t="n">
        <f aca="false">(('Business Case'!F11*$C768*'Business Case'!F12*$B768)-'Business Case'!F11*$C768*'Business Case'!F13*$D768-'Business Case'!F14*$E768)-MAX(0,(('Business Case'!F11*$C768*'Business Case'!F12*$B768)-'Business Case'!F11*$C768*'Business Case'!F13*$D768-'Business Case'!F14*$E768))*'Business Case'!$B$7-'Business Case'!$B$8*(('Business Case'!F11*$C768*'Business Case'!F12*$B768)-('Business Case'!E11*$C768*'Business Case'!E12*$B768))-'Business Case'!F15*$F768</f>
        <v>682516926.678289</v>
      </c>
      <c r="M768" s="39" t="n">
        <f aca="false">(('Business Case'!G11*$C768*'Business Case'!G12*$B768)-'Business Case'!G11*$C768*'Business Case'!G13*$D768-'Business Case'!G14*$E768)-MAX(0,(('Business Case'!G11*$C768*'Business Case'!G12*$B768)-'Business Case'!G11*$C768*'Business Case'!G13*$D768-'Business Case'!G14*$E768))*'Business Case'!$B$7-'Business Case'!$B$8*(('Business Case'!G11*$C768*'Business Case'!G12*$B768)-('Business Case'!F11*$C768*'Business Case'!F12*$B768))-'Business Case'!G15*$F768+'Business Case'!$B$8*('Business Case'!G11*$C768*'Business Case'!G12*$B768)</f>
        <v>858688198.946849</v>
      </c>
      <c r="N768" s="39" t="n">
        <f aca="false">IF(COUNT('Business Case'!B11:G11)=0,"",H768+NPV(G768,I768:M768))</f>
        <v>-352143758.473026</v>
      </c>
      <c r="P768" s="40" t="n">
        <f aca="true">RAND()</f>
        <v>0.248921622807677</v>
      </c>
      <c r="Q768" s="40" t="n">
        <f aca="true">RAND()</f>
        <v>0.350302049912706</v>
      </c>
      <c r="R768" s="40" t="n">
        <f aca="true">RAND()</f>
        <v>0.480646491494761</v>
      </c>
      <c r="S768" s="40" t="n">
        <f aca="true">RAND()</f>
        <v>0.174137878616696</v>
      </c>
      <c r="T768" s="40" t="n">
        <f aca="true">RAND()</f>
        <v>0.0498875104124294</v>
      </c>
      <c r="U768" s="40" t="n">
        <f aca="true">RAND()</f>
        <v>0.444343730985179</v>
      </c>
    </row>
    <row r="769" customFormat="false" ht="15" hidden="false" customHeight="false" outlineLevel="0" collapsed="false">
      <c r="A769" s="36" t="n">
        <v>689</v>
      </c>
      <c r="B769" s="37" t="n">
        <f aca="false">1+IF($G$6=$E$6,$F$6,IF(P769&lt;($F$6-$E$6)/($G$6-$E$6),$E$6+SQRT(P769*($G$6-$E$6)*($F$6-$E$6)),$G$6-SQRT((1-P769)*($G$6-$E$6)*($G$6-$F$6))))</f>
        <v>0.99588933739226</v>
      </c>
      <c r="C769" s="37" t="n">
        <f aca="false">1+IF($G$7=$E$7,$F$7,IF(Q769&lt;($F$7-$E$7)/($G$7-$E$7),$E$7+SQRT(Q769*($G$7-$E$7)*($F$7-$E$7)),$G$7-SQRT((1-Q769)*($G$7-$E$7)*($G$7-$F$7))))</f>
        <v>0.973697713601585</v>
      </c>
      <c r="D769" s="37" t="n">
        <f aca="false">1+IF($G$8=$E$8,$F$8,IF(R769&lt;($F$8-$E$8)/($G$8-$E$8),$E$8+SQRT(R769*($G$8-$E$8)*($F$8-$E$8)),$G$8-SQRT((1-R769)*($G$8-$E$8)*($G$8-$F$8))))</f>
        <v>1.01047486683846</v>
      </c>
      <c r="E769" s="37" t="n">
        <f aca="false">1+IF($G$9=$E$9,$F$9,IF(S769&lt;($F$9-$E$9)/($G$9-$E$9),$E$9+SQRT(S769*($G$9-$E$9)*($F$9-$E$9)),$G$9-SQRT((1-S769)*($G$9-$E$9)*($G$9-$F$9))))</f>
        <v>1.02388155694552</v>
      </c>
      <c r="F769" s="37" t="n">
        <f aca="false">1+IF($G$10=$E$10,$F$10,IF(T769&lt;($F$10-$E$10)/($G$10-$E$10),$E$10+SQRT(T769*($G$10-$E$10)*($F$10-$E$10)),$G$10-SQRT((1-T769)*($G$10-$E$10)*($G$10-$F$10))))</f>
        <v>0.975223359716285</v>
      </c>
      <c r="G769" s="38" t="n">
        <f aca="false">IF($G$11=$E$11,$F$11,IF(U769&lt;($F$11-$E$11)/($G$11-$E$11),$E$11+SQRT(U769*($G$11-$E$11)*($F$11-$E$11)),$G$11-SQRT((1-U769)*($G$11-$E$11)*($G$11-$F$11))))</f>
        <v>0.0968840262395107</v>
      </c>
      <c r="H769" s="39" t="n">
        <f aca="false">(('Business Case'!B11*$C769*'Business Case'!B12*$B769)-'Business Case'!B11*$C769*'Business Case'!B13*$D769-'Business Case'!B14*$E769)-MAX(0,(('Business Case'!B11*$C769*'Business Case'!B12*$B769)-'Business Case'!B11*$C769*'Business Case'!B13*$D769-'Business Case'!B14*$E769))*'Business Case'!$B$7-'Business Case'!$B$8*('Business Case'!B11*$C769*'Business Case'!B12*$B769)-'Business Case'!B15*$F769</f>
        <v>-1950446719.43257</v>
      </c>
      <c r="I769" s="39" t="n">
        <f aca="false">(('Business Case'!C11*$C769*'Business Case'!C12*$B769)-'Business Case'!C11*$C769*'Business Case'!C13*$D769-'Business Case'!C14*$E769)-MAX(0,(('Business Case'!C11*$C769*'Business Case'!C12*$B769)-'Business Case'!C11*$C769*'Business Case'!C13*$D769-'Business Case'!C14*$E769))*'Business Case'!$B$7-'Business Case'!$B$8*(('Business Case'!C11*$C769*'Business Case'!C12*$B769)-('Business Case'!B11*$C769*'Business Case'!B12*$B769))-'Business Case'!C15*$F769</f>
        <v>-2813714.86219245</v>
      </c>
      <c r="J769" s="39" t="n">
        <f aca="false">(('Business Case'!D11*$C769*'Business Case'!D12*$B769)-'Business Case'!D11*$C769*'Business Case'!D13*$D769-'Business Case'!D14*$E769)-MAX(0,(('Business Case'!D11*$C769*'Business Case'!D12*$B769)-'Business Case'!D11*$C769*'Business Case'!D13*$D769-'Business Case'!D14*$E769))*'Business Case'!$B$7-'Business Case'!$B$8*(('Business Case'!D11*$C769*'Business Case'!D12*$B769)-('Business Case'!C11*$C769*'Business Case'!C12*$B769))-'Business Case'!D15*$F769</f>
        <v>287759861.300155</v>
      </c>
      <c r="K769" s="39" t="n">
        <f aca="false">(('Business Case'!E11*$C769*'Business Case'!E12*$B769)-'Business Case'!E11*$C769*'Business Case'!E13*$D769-'Business Case'!E14*$E769)-MAX(0,(('Business Case'!E11*$C769*'Business Case'!E12*$B769)-'Business Case'!E11*$C769*'Business Case'!E13*$D769-'Business Case'!E14*$E769))*'Business Case'!$B$7-'Business Case'!$B$8*(('Business Case'!E11*$C769*'Business Case'!E12*$B769)-('Business Case'!D11*$C769*'Business Case'!D12*$B769))-'Business Case'!E15*$F769</f>
        <v>627094605.448318</v>
      </c>
      <c r="L769" s="39" t="n">
        <f aca="false">(('Business Case'!F11*$C769*'Business Case'!F12*$B769)-'Business Case'!F11*$C769*'Business Case'!F13*$D769-'Business Case'!F14*$E769)-MAX(0,(('Business Case'!F11*$C769*'Business Case'!F12*$B769)-'Business Case'!F11*$C769*'Business Case'!F13*$D769-'Business Case'!F14*$E769))*'Business Case'!$B$7-'Business Case'!$B$8*(('Business Case'!F11*$C769*'Business Case'!F12*$B769)-('Business Case'!E11*$C769*'Business Case'!E12*$B769))-'Business Case'!F15*$F769</f>
        <v>757465129.272607</v>
      </c>
      <c r="M769" s="39" t="n">
        <f aca="false">(('Business Case'!G11*$C769*'Business Case'!G12*$B769)-'Business Case'!G11*$C769*'Business Case'!G13*$D769-'Business Case'!G14*$E769)-MAX(0,(('Business Case'!G11*$C769*'Business Case'!G12*$B769)-'Business Case'!G11*$C769*'Business Case'!G13*$D769-'Business Case'!G14*$E769))*'Business Case'!$B$7-'Business Case'!$B$8*(('Business Case'!G11*$C769*'Business Case'!G12*$B769)-('Business Case'!F11*$C769*'Business Case'!F12*$B769))-'Business Case'!G15*$F769+'Business Case'!$B$8*('Business Case'!G11*$C769*'Business Case'!G12*$B769)</f>
        <v>941784787.34189</v>
      </c>
      <c r="N769" s="39" t="n">
        <f aca="false">IF(COUNT('Business Case'!B11:G11)=0,"",H769+NPV(G769,I769:M769))</f>
        <v>-122278370.797877</v>
      </c>
      <c r="P769" s="40" t="n">
        <f aca="true">RAND()</f>
        <v>0.599915784357936</v>
      </c>
      <c r="Q769" s="40" t="n">
        <f aca="true">RAND()</f>
        <v>0.431012795863117</v>
      </c>
      <c r="R769" s="40" t="n">
        <f aca="true">RAND()</f>
        <v>0.535216909506677</v>
      </c>
      <c r="S769" s="40" t="n">
        <f aca="true">RAND()</f>
        <v>0.613732175130785</v>
      </c>
      <c r="T769" s="40" t="n">
        <f aca="true">RAND()</f>
        <v>0.0508974300301693</v>
      </c>
      <c r="U769" s="40" t="n">
        <f aca="true">RAND()</f>
        <v>0.157966057554237</v>
      </c>
    </row>
    <row r="770" customFormat="false" ht="15" hidden="false" customHeight="false" outlineLevel="0" collapsed="false">
      <c r="A770" s="36" t="n">
        <v>690</v>
      </c>
      <c r="B770" s="37" t="n">
        <f aca="false">1+IF($G$6=$E$6,$F$6,IF(P770&lt;($F$6-$E$6)/($G$6-$E$6),$E$6+SQRT(P770*($G$6-$E$6)*($F$6-$E$6)),$G$6-SQRT((1-P770)*($G$6-$E$6)*($G$6-$F$6))))</f>
        <v>1.01393048184957</v>
      </c>
      <c r="C770" s="37" t="n">
        <f aca="false">1+IF($G$7=$E$7,$F$7,IF(Q770&lt;($F$7-$E$7)/($G$7-$E$7),$E$7+SQRT(Q770*($G$7-$E$7)*($F$7-$E$7)),$G$7-SQRT((1-Q770)*($G$7-$E$7)*($G$7-$F$7))))</f>
        <v>0.964402171647672</v>
      </c>
      <c r="D770" s="37" t="n">
        <f aca="false">1+IF($G$8=$E$8,$F$8,IF(R770&lt;($F$8-$E$8)/($G$8-$E$8),$E$8+SQRT(R770*($G$8-$E$8)*($F$8-$E$8)),$G$8-SQRT((1-R770)*($G$8-$E$8)*($G$8-$F$8))))</f>
        <v>0.967425594565541</v>
      </c>
      <c r="E770" s="37" t="n">
        <f aca="false">1+IF($G$9=$E$9,$F$9,IF(S770&lt;($F$9-$E$9)/($G$9-$E$9),$E$9+SQRT(S770*($G$9-$E$9)*($F$9-$E$9)),$G$9-SQRT((1-S770)*($G$9-$E$9)*($G$9-$F$9))))</f>
        <v>1.01226292302918</v>
      </c>
      <c r="F770" s="37" t="n">
        <f aca="false">1+IF($G$10=$E$10,$F$10,IF(T770&lt;($F$10-$E$10)/($G$10-$E$10),$E$10+SQRT(T770*($G$10-$E$10)*($F$10-$E$10)),$G$10-SQRT((1-T770)*($G$10-$E$10)*($G$10-$F$10))))</f>
        <v>1.00455211134231</v>
      </c>
      <c r="G770" s="38" t="n">
        <f aca="false">IF($G$11=$E$11,$F$11,IF(U770&lt;($F$11-$E$11)/($G$11-$E$11),$E$11+SQRT(U770*($G$11-$E$11)*($F$11-$E$11)),$G$11-SQRT((1-U770)*($G$11-$E$11)*($G$11-$F$11))))</f>
        <v>0.117028142582197</v>
      </c>
      <c r="H770" s="39" t="n">
        <f aca="false">(('Business Case'!B11*$C770*'Business Case'!B12*$B770)-'Business Case'!B11*$C770*'Business Case'!B13*$D770-'Business Case'!B14*$E770)-MAX(0,(('Business Case'!B11*$C770*'Business Case'!B12*$B770)-'Business Case'!B11*$C770*'Business Case'!B13*$D770-'Business Case'!B14*$E770))*'Business Case'!$B$7-'Business Case'!$B$8*('Business Case'!B11*$C770*'Business Case'!B12*$B770)-'Business Case'!B15*$F770</f>
        <v>-2009104222.68463</v>
      </c>
      <c r="I770" s="39" t="n">
        <f aca="false">(('Business Case'!C11*$C770*'Business Case'!C12*$B770)-'Business Case'!C11*$C770*'Business Case'!C13*$D770-'Business Case'!C14*$E770)-MAX(0,(('Business Case'!C11*$C770*'Business Case'!C12*$B770)-'Business Case'!C11*$C770*'Business Case'!C13*$D770-'Business Case'!C14*$E770))*'Business Case'!$B$7-'Business Case'!$B$8*(('Business Case'!C11*$C770*'Business Case'!C12*$B770)-('Business Case'!B11*$C770*'Business Case'!B12*$B770))-'Business Case'!C15*$F770</f>
        <v>28213771.8843537</v>
      </c>
      <c r="J770" s="39" t="n">
        <f aca="false">(('Business Case'!D11*$C770*'Business Case'!D12*$B770)-'Business Case'!D11*$C770*'Business Case'!D13*$D770-'Business Case'!D14*$E770)-MAX(0,(('Business Case'!D11*$C770*'Business Case'!D12*$B770)-'Business Case'!D11*$C770*'Business Case'!D13*$D770-'Business Case'!D14*$E770))*'Business Case'!$B$7-'Business Case'!$B$8*(('Business Case'!D11*$C770*'Business Case'!D12*$B770)-('Business Case'!C11*$C770*'Business Case'!C12*$B770))-'Business Case'!D15*$F770</f>
        <v>351517600.123278</v>
      </c>
      <c r="K770" s="39" t="n">
        <f aca="false">(('Business Case'!E11*$C770*'Business Case'!E12*$B770)-'Business Case'!E11*$C770*'Business Case'!E13*$D770-'Business Case'!E14*$E770)-MAX(0,(('Business Case'!E11*$C770*'Business Case'!E12*$B770)-'Business Case'!E11*$C770*'Business Case'!E13*$D770-'Business Case'!E14*$E770))*'Business Case'!$B$7-'Business Case'!$B$8*(('Business Case'!E11*$C770*'Business Case'!E12*$B770)-('Business Case'!D11*$C770*'Business Case'!D12*$B770))-'Business Case'!E15*$F770</f>
        <v>725049033.929318</v>
      </c>
      <c r="L770" s="39" t="n">
        <f aca="false">(('Business Case'!F11*$C770*'Business Case'!F12*$B770)-'Business Case'!F11*$C770*'Business Case'!F13*$D770-'Business Case'!F14*$E770)-MAX(0,(('Business Case'!F11*$C770*'Business Case'!F12*$B770)-'Business Case'!F11*$C770*'Business Case'!F13*$D770-'Business Case'!F14*$E770))*'Business Case'!$B$7-'Business Case'!$B$8*(('Business Case'!F11*$C770*'Business Case'!F12*$B770)-('Business Case'!E11*$C770*'Business Case'!E12*$B770))-'Business Case'!F15*$F770</f>
        <v>866611015.052687</v>
      </c>
      <c r="M770" s="39" t="n">
        <f aca="false">(('Business Case'!G11*$C770*'Business Case'!G12*$B770)-'Business Case'!G11*$C770*'Business Case'!G13*$D770-'Business Case'!G14*$E770)-MAX(0,(('Business Case'!G11*$C770*'Business Case'!G12*$B770)-'Business Case'!G11*$C770*'Business Case'!G13*$D770-'Business Case'!G14*$E770))*'Business Case'!$B$7-'Business Case'!$B$8*(('Business Case'!G11*$C770*'Business Case'!G12*$B770)-('Business Case'!F11*$C770*'Business Case'!F12*$B770))-'Business Case'!G15*$F770+'Business Case'!$B$8*('Business Case'!G11*$C770*'Business Case'!G12*$B770)</f>
        <v>1052478226.12652</v>
      </c>
      <c r="N770" s="39" t="n">
        <f aca="false">IF(COUNT('Business Case'!B11:G11)=0,"",H770+NPV(G770,I770:M770))</f>
        <v>-20097393.1981208</v>
      </c>
      <c r="P770" s="40" t="n">
        <f aca="true">RAND()</f>
        <v>0.85841254654262</v>
      </c>
      <c r="Q770" s="40" t="n">
        <f aca="true">RAND()</f>
        <v>0.386115343463868</v>
      </c>
      <c r="R770" s="40" t="n">
        <f aca="true">RAND()</f>
        <v>0.0467155916865578</v>
      </c>
      <c r="S770" s="40" t="n">
        <f aca="true">RAND()</f>
        <v>0.48681368830771</v>
      </c>
      <c r="T770" s="40" t="n">
        <f aca="true">RAND()</f>
        <v>0.236002456385045</v>
      </c>
      <c r="U770" s="40" t="n">
        <f aca="true">RAND()</f>
        <v>0.985280105813745</v>
      </c>
    </row>
    <row r="771" customFormat="false" ht="15" hidden="false" customHeight="false" outlineLevel="0" collapsed="false">
      <c r="A771" s="36" t="n">
        <v>691</v>
      </c>
      <c r="B771" s="37" t="n">
        <f aca="false">1+IF($G$6=$E$6,$F$6,IF(P771&lt;($F$6-$E$6)/($G$6-$E$6),$E$6+SQRT(P771*($G$6-$E$6)*($F$6-$E$6)),$G$6-SQRT((1-P771)*($G$6-$E$6)*($G$6-$F$6))))</f>
        <v>0.980758510333953</v>
      </c>
      <c r="C771" s="37" t="n">
        <f aca="false">1+IF($G$7=$E$7,$F$7,IF(Q771&lt;($F$7-$E$7)/($G$7-$E$7),$E$7+SQRT(Q771*($G$7-$E$7)*($F$7-$E$7)),$G$7-SQRT((1-Q771)*($G$7-$E$7)*($G$7-$F$7))))</f>
        <v>0.967364146582623</v>
      </c>
      <c r="D771" s="37" t="n">
        <f aca="false">1+IF($G$8=$E$8,$F$8,IF(R771&lt;($F$8-$E$8)/($G$8-$E$8),$E$8+SQRT(R771*($G$8-$E$8)*($F$8-$E$8)),$G$8-SQRT((1-R771)*($G$8-$E$8)*($G$8-$F$8))))</f>
        <v>1.01915096399041</v>
      </c>
      <c r="E771" s="37" t="n">
        <f aca="false">1+IF($G$9=$E$9,$F$9,IF(S771&lt;($F$9-$E$9)/($G$9-$E$9),$E$9+SQRT(S771*($G$9-$E$9)*($F$9-$E$9)),$G$9-SQRT((1-S771)*($G$9-$E$9)*($G$9-$F$9))))</f>
        <v>1.05046271880896</v>
      </c>
      <c r="F771" s="37" t="n">
        <f aca="false">1+IF($G$10=$E$10,$F$10,IF(T771&lt;($F$10-$E$10)/($G$10-$E$10),$E$10+SQRT(T771*($G$10-$E$10)*($F$10-$E$10)),$G$10-SQRT((1-T771)*($G$10-$E$10)*($G$10-$F$10))))</f>
        <v>0.999007652388046</v>
      </c>
      <c r="G771" s="38" t="n">
        <f aca="false">IF($G$11=$E$11,$F$11,IF(U771&lt;($F$11-$E$11)/($G$11-$E$11),$E$11+SQRT(U771*($G$11-$E$11)*($F$11-$E$11)),$G$11-SQRT((1-U771)*($G$11-$E$11)*($G$11-$F$11))))</f>
        <v>0.107417231977153</v>
      </c>
      <c r="H771" s="39" t="n">
        <f aca="false">(('Business Case'!B11*$C771*'Business Case'!B12*$B771)-'Business Case'!B11*$C771*'Business Case'!B13*$D771-'Business Case'!B14*$E771)-MAX(0,(('Business Case'!B11*$C771*'Business Case'!B12*$B771)-'Business Case'!B11*$C771*'Business Case'!B13*$D771-'Business Case'!B14*$E771))*'Business Case'!$B$7-'Business Case'!$B$8*('Business Case'!B11*$C771*'Business Case'!B12*$B771)-'Business Case'!B15*$F771</f>
        <v>-1998015304.77609</v>
      </c>
      <c r="I771" s="39" t="n">
        <f aca="false">(('Business Case'!C11*$C771*'Business Case'!C12*$B771)-'Business Case'!C11*$C771*'Business Case'!C13*$D771-'Business Case'!C14*$E771)-MAX(0,(('Business Case'!C11*$C771*'Business Case'!C12*$B771)-'Business Case'!C11*$C771*'Business Case'!C13*$D771-'Business Case'!C14*$E771))*'Business Case'!$B$7-'Business Case'!$B$8*(('Business Case'!C11*$C771*'Business Case'!C12*$B771)-('Business Case'!B11*$C771*'Business Case'!B12*$B771))-'Business Case'!C15*$F771</f>
        <v>-26061589.9478655</v>
      </c>
      <c r="J771" s="39" t="n">
        <f aca="false">(('Business Case'!D11*$C771*'Business Case'!D12*$B771)-'Business Case'!D11*$C771*'Business Case'!D13*$D771-'Business Case'!D14*$E771)-MAX(0,(('Business Case'!D11*$C771*'Business Case'!D12*$B771)-'Business Case'!D11*$C771*'Business Case'!D13*$D771-'Business Case'!D14*$E771))*'Business Case'!$B$7-'Business Case'!$B$8*(('Business Case'!D11*$C771*'Business Case'!D12*$B771)-('Business Case'!C11*$C771*'Business Case'!C12*$B771))-'Business Case'!D15*$F771</f>
        <v>246336616.064959</v>
      </c>
      <c r="K771" s="39" t="n">
        <f aca="false">(('Business Case'!E11*$C771*'Business Case'!E12*$B771)-'Business Case'!E11*$C771*'Business Case'!E13*$D771-'Business Case'!E14*$E771)-MAX(0,(('Business Case'!E11*$C771*'Business Case'!E12*$B771)-'Business Case'!E11*$C771*'Business Case'!E13*$D771-'Business Case'!E14*$E771))*'Business Case'!$B$7-'Business Case'!$B$8*(('Business Case'!E11*$C771*'Business Case'!E12*$B771)-('Business Case'!D11*$C771*'Business Case'!D12*$B771))-'Business Case'!E15*$F771</f>
        <v>568685204.697187</v>
      </c>
      <c r="L771" s="39" t="n">
        <f aca="false">(('Business Case'!F11*$C771*'Business Case'!F12*$B771)-'Business Case'!F11*$C771*'Business Case'!F13*$D771-'Business Case'!F14*$E771)-MAX(0,(('Business Case'!F11*$C771*'Business Case'!F12*$B771)-'Business Case'!F11*$C771*'Business Case'!F13*$D771-'Business Case'!F14*$E771))*'Business Case'!$B$7-'Business Case'!$B$8*(('Business Case'!F11*$C771*'Business Case'!F12*$B771)-('Business Case'!E11*$C771*'Business Case'!E12*$B771))-'Business Case'!F15*$F771</f>
        <v>692273428.106296</v>
      </c>
      <c r="M771" s="39" t="n">
        <f aca="false">(('Business Case'!G11*$C771*'Business Case'!G12*$B771)-'Business Case'!G11*$C771*'Business Case'!G13*$D771-'Business Case'!G14*$E771)-MAX(0,(('Business Case'!G11*$C771*'Business Case'!G12*$B771)-'Business Case'!G11*$C771*'Business Case'!G13*$D771-'Business Case'!G14*$E771))*'Business Case'!$B$7-'Business Case'!$B$8*(('Business Case'!G11*$C771*'Business Case'!G12*$B771)-('Business Case'!F11*$C771*'Business Case'!F12*$B771))-'Business Case'!G15*$F771+'Business Case'!$B$8*('Business Case'!G11*$C771*'Business Case'!G12*$B771)</f>
        <v>872611945.832885</v>
      </c>
      <c r="N771" s="39" t="n">
        <f aca="false">IF(COUNT('Business Case'!B11:G11)=0,"",H771+NPV(G771,I771:M771))</f>
        <v>-417738279.635961</v>
      </c>
      <c r="P771" s="40" t="n">
        <f aca="true">RAND()</f>
        <v>0.384541310208444</v>
      </c>
      <c r="Q771" s="40" t="n">
        <f aca="true">RAND()</f>
        <v>0.400153679447568</v>
      </c>
      <c r="R771" s="40" t="n">
        <f aca="true">RAND()</f>
        <v>0.643980270836885</v>
      </c>
      <c r="S771" s="40" t="n">
        <f aca="true">RAND()</f>
        <v>0.83640385147999</v>
      </c>
      <c r="T771" s="40" t="n">
        <f aca="true">RAND()</f>
        <v>0.192139999407003</v>
      </c>
      <c r="U771" s="40" t="n">
        <f aca="true">RAND()</f>
        <v>0.736123248138688</v>
      </c>
    </row>
    <row r="772" customFormat="false" ht="15" hidden="false" customHeight="false" outlineLevel="0" collapsed="false">
      <c r="A772" s="36" t="n">
        <v>692</v>
      </c>
      <c r="B772" s="37" t="n">
        <f aca="false">1+IF($G$6=$E$6,$F$6,IF(P772&lt;($F$6-$E$6)/($G$6-$E$6),$E$6+SQRT(P772*($G$6-$E$6)*($F$6-$E$6)),$G$6-SQRT((1-P772)*($G$6-$E$6)*($G$6-$F$6))))</f>
        <v>1.0110778698875</v>
      </c>
      <c r="C772" s="37" t="n">
        <f aca="false">1+IF($G$7=$E$7,$F$7,IF(Q772&lt;($F$7-$E$7)/($G$7-$E$7),$E$7+SQRT(Q772*($G$7-$E$7)*($F$7-$E$7)),$G$7-SQRT((1-Q772)*($G$7-$E$7)*($G$7-$F$7))))</f>
        <v>0.989503498386191</v>
      </c>
      <c r="D772" s="37" t="n">
        <f aca="false">1+IF($G$8=$E$8,$F$8,IF(R772&lt;($F$8-$E$8)/($G$8-$E$8),$E$8+SQRT(R772*($G$8-$E$8)*($F$8-$E$8)),$G$8-SQRT((1-R772)*($G$8-$E$8)*($G$8-$F$8))))</f>
        <v>1.00106737706143</v>
      </c>
      <c r="E772" s="37" t="n">
        <f aca="false">1+IF($G$9=$E$9,$F$9,IF(S772&lt;($F$9-$E$9)/($G$9-$E$9),$E$9+SQRT(S772*($G$9-$E$9)*($F$9-$E$9)),$G$9-SQRT((1-S772)*($G$9-$E$9)*($G$9-$F$9))))</f>
        <v>1.06622165808145</v>
      </c>
      <c r="F772" s="37" t="n">
        <f aca="false">1+IF($G$10=$E$10,$F$10,IF(T772&lt;($F$10-$E$10)/($G$10-$E$10),$E$10+SQRT(T772*($G$10-$E$10)*($F$10-$E$10)),$G$10-SQRT((1-T772)*($G$10-$E$10)*($G$10-$F$10))))</f>
        <v>1.07277097932033</v>
      </c>
      <c r="G772" s="38" t="n">
        <f aca="false">IF($G$11=$E$11,$F$11,IF(U772&lt;($F$11-$E$11)/($G$11-$E$11),$E$11+SQRT(U772*($G$11-$E$11)*($F$11-$E$11)),$G$11-SQRT((1-U772)*($G$11-$E$11)*($G$11-$F$11))))</f>
        <v>0.10648204902175</v>
      </c>
      <c r="H772" s="39" t="n">
        <f aca="false">(('Business Case'!B11*$C772*'Business Case'!B12*$B772)-'Business Case'!B11*$C772*'Business Case'!B13*$D772-'Business Case'!B14*$E772)-MAX(0,(('Business Case'!B11*$C772*'Business Case'!B12*$B772)-'Business Case'!B11*$C772*'Business Case'!B13*$D772-'Business Case'!B14*$E772))*'Business Case'!$B$7-'Business Case'!$B$8*('Business Case'!B11*$C772*'Business Case'!B12*$B772)-'Business Case'!B15*$F772</f>
        <v>-2145541958.64066</v>
      </c>
      <c r="I772" s="39" t="n">
        <f aca="false">(('Business Case'!C11*$C772*'Business Case'!C12*$B772)-'Business Case'!C11*$C772*'Business Case'!C13*$D772-'Business Case'!C14*$E772)-MAX(0,(('Business Case'!C11*$C772*'Business Case'!C12*$B772)-'Business Case'!C11*$C772*'Business Case'!C13*$D772-'Business Case'!C14*$E772))*'Business Case'!$B$7-'Business Case'!$B$8*(('Business Case'!C11*$C772*'Business Case'!C12*$B772)-('Business Case'!B11*$C772*'Business Case'!B12*$B772))-'Business Case'!C15*$F772</f>
        <v>1607706.60691457</v>
      </c>
      <c r="J772" s="39" t="n">
        <f aca="false">(('Business Case'!D11*$C772*'Business Case'!D12*$B772)-'Business Case'!D11*$C772*'Business Case'!D13*$D772-'Business Case'!D14*$E772)-MAX(0,(('Business Case'!D11*$C772*'Business Case'!D12*$B772)-'Business Case'!D11*$C772*'Business Case'!D13*$D772-'Business Case'!D14*$E772))*'Business Case'!$B$7-'Business Case'!$B$8*(('Business Case'!D11*$C772*'Business Case'!D12*$B772)-('Business Case'!C11*$C772*'Business Case'!C12*$B772))-'Business Case'!D15*$F772</f>
        <v>313973341.159257</v>
      </c>
      <c r="K772" s="39" t="n">
        <f aca="false">(('Business Case'!E11*$C772*'Business Case'!E12*$B772)-'Business Case'!E11*$C772*'Business Case'!E13*$D772-'Business Case'!E14*$E772)-MAX(0,(('Business Case'!E11*$C772*'Business Case'!E12*$B772)-'Business Case'!E11*$C772*'Business Case'!E13*$D772-'Business Case'!E14*$E772))*'Business Case'!$B$7-'Business Case'!$B$8*(('Business Case'!E11*$C772*'Business Case'!E12*$B772)-('Business Case'!D11*$C772*'Business Case'!D12*$B772))-'Business Case'!E15*$F772</f>
        <v>679977524.677615</v>
      </c>
      <c r="L772" s="39" t="n">
        <f aca="false">(('Business Case'!F11*$C772*'Business Case'!F12*$B772)-'Business Case'!F11*$C772*'Business Case'!F13*$D772-'Business Case'!F14*$E772)-MAX(0,(('Business Case'!F11*$C772*'Business Case'!F12*$B772)-'Business Case'!F11*$C772*'Business Case'!F13*$D772-'Business Case'!F14*$E772))*'Business Case'!$B$7-'Business Case'!$B$8*(('Business Case'!F11*$C772*'Business Case'!F12*$B772)-('Business Case'!E11*$C772*'Business Case'!E12*$B772))-'Business Case'!F15*$F772</f>
        <v>818675476.351204</v>
      </c>
      <c r="M772" s="39" t="n">
        <f aca="false">(('Business Case'!G11*$C772*'Business Case'!G12*$B772)-'Business Case'!G11*$C772*'Business Case'!G13*$D772-'Business Case'!G14*$E772)-MAX(0,(('Business Case'!G11*$C772*'Business Case'!G12*$B772)-'Business Case'!G11*$C772*'Business Case'!G13*$D772-'Business Case'!G14*$E772))*'Business Case'!$B$7-'Business Case'!$B$8*(('Business Case'!G11*$C772*'Business Case'!G12*$B772)-('Business Case'!F11*$C772*'Business Case'!F12*$B772))-'Business Case'!G15*$F772+'Business Case'!$B$8*('Business Case'!G11*$C772*'Business Case'!G12*$B772)</f>
        <v>1008843880.54332</v>
      </c>
      <c r="N772" s="39" t="n">
        <f aca="false">IF(COUNT('Business Case'!B11:G11)=0,"",H772+NPV(G772,I772:M772))</f>
        <v>-231230951.887252</v>
      </c>
      <c r="P772" s="40" t="n">
        <f aca="true">RAND()</f>
        <v>0.825731331199074</v>
      </c>
      <c r="Q772" s="40" t="n">
        <f aca="true">RAND()</f>
        <v>0.513022512865785</v>
      </c>
      <c r="R772" s="40" t="n">
        <f aca="true">RAND()</f>
        <v>0.400927022695959</v>
      </c>
      <c r="S772" s="40" t="n">
        <f aca="true">RAND()</f>
        <v>0.923934907815551</v>
      </c>
      <c r="T772" s="40" t="n">
        <f aca="true">RAND()</f>
        <v>0.676255525937837</v>
      </c>
      <c r="U772" s="40" t="n">
        <f aca="true">RAND()</f>
        <v>0.695441668916054</v>
      </c>
    </row>
    <row r="773" customFormat="false" ht="15" hidden="false" customHeight="false" outlineLevel="0" collapsed="false">
      <c r="A773" s="36" t="n">
        <v>693</v>
      </c>
      <c r="B773" s="37" t="n">
        <f aca="false">1+IF($G$6=$E$6,$F$6,IF(P773&lt;($F$6-$E$6)/($G$6-$E$6),$E$6+SQRT(P773*($G$6-$E$6)*($F$6-$E$6)),$G$6-SQRT((1-P773)*($G$6-$E$6)*($G$6-$F$6))))</f>
        <v>0.973447370844207</v>
      </c>
      <c r="C773" s="37" t="n">
        <f aca="false">1+IF($G$7=$E$7,$F$7,IF(Q773&lt;($F$7-$E$7)/($G$7-$E$7),$E$7+SQRT(Q773*($G$7-$E$7)*($F$7-$E$7)),$G$7-SQRT((1-Q773)*($G$7-$E$7)*($G$7-$F$7))))</f>
        <v>1.04221633013715</v>
      </c>
      <c r="D773" s="37" t="n">
        <f aca="false">1+IF($G$8=$E$8,$F$8,IF(R773&lt;($F$8-$E$8)/($G$8-$E$8),$E$8+SQRT(R773*($G$8-$E$8)*($F$8-$E$8)),$G$8-SQRT((1-R773)*($G$8-$E$8)*($G$8-$F$8))))</f>
        <v>0.99969822063966</v>
      </c>
      <c r="E773" s="37" t="n">
        <f aca="false">1+IF($G$9=$E$9,$F$9,IF(S773&lt;($F$9-$E$9)/($G$9-$E$9),$E$9+SQRT(S773*($G$9-$E$9)*($F$9-$E$9)),$G$9-SQRT((1-S773)*($G$9-$E$9)*($G$9-$F$9))))</f>
        <v>0.969633590285071</v>
      </c>
      <c r="F773" s="37" t="n">
        <f aca="false">1+IF($G$10=$E$10,$F$10,IF(T773&lt;($F$10-$E$10)/($G$10-$E$10),$E$10+SQRT(T773*($G$10-$E$10)*($F$10-$E$10)),$G$10-SQRT((1-T773)*($G$10-$E$10)*($G$10-$F$10))))</f>
        <v>1.06886871964449</v>
      </c>
      <c r="G773" s="38" t="n">
        <f aca="false">IF($G$11=$E$11,$F$11,IF(U773&lt;($F$11-$E$11)/($G$11-$E$11),$E$11+SQRT(U773*($G$11-$E$11)*($F$11-$E$11)),$G$11-SQRT((1-U773)*($G$11-$E$11)*($G$11-$F$11))))</f>
        <v>0.0941497127480771</v>
      </c>
      <c r="H773" s="39" t="n">
        <f aca="false">(('Business Case'!B11*$C773*'Business Case'!B12*$B773)-'Business Case'!B11*$C773*'Business Case'!B13*$D773-'Business Case'!B14*$E773)-MAX(0,(('Business Case'!B11*$C773*'Business Case'!B12*$B773)-'Business Case'!B11*$C773*'Business Case'!B13*$D773-'Business Case'!B14*$E773))*'Business Case'!$B$7-'Business Case'!$B$8*('Business Case'!B11*$C773*'Business Case'!B12*$B773)-'Business Case'!B15*$F773</f>
        <v>-2137737439.28899</v>
      </c>
      <c r="I773" s="39" t="n">
        <f aca="false">(('Business Case'!C11*$C773*'Business Case'!C12*$B773)-'Business Case'!C11*$C773*'Business Case'!C13*$D773-'Business Case'!C14*$E773)-MAX(0,(('Business Case'!C11*$C773*'Business Case'!C12*$B773)-'Business Case'!C11*$C773*'Business Case'!C13*$D773-'Business Case'!C14*$E773))*'Business Case'!$B$7-'Business Case'!$B$8*(('Business Case'!C11*$C773*'Business Case'!C12*$B773)-('Business Case'!B11*$C773*'Business Case'!B12*$B773))-'Business Case'!C15*$F773</f>
        <v>250516.956445247</v>
      </c>
      <c r="J773" s="39" t="n">
        <f aca="false">(('Business Case'!D11*$C773*'Business Case'!D12*$B773)-'Business Case'!D11*$C773*'Business Case'!D13*$D773-'Business Case'!D14*$E773)-MAX(0,(('Business Case'!D11*$C773*'Business Case'!D12*$B773)-'Business Case'!D11*$C773*'Business Case'!D13*$D773-'Business Case'!D14*$E773))*'Business Case'!$B$7-'Business Case'!$B$8*(('Business Case'!D11*$C773*'Business Case'!D12*$B773)-('Business Case'!C11*$C773*'Business Case'!C12*$B773))-'Business Case'!D15*$F773</f>
        <v>297863698.39044</v>
      </c>
      <c r="K773" s="39" t="n">
        <f aca="false">(('Business Case'!E11*$C773*'Business Case'!E12*$B773)-'Business Case'!E11*$C773*'Business Case'!E13*$D773-'Business Case'!E14*$E773)-MAX(0,(('Business Case'!E11*$C773*'Business Case'!E12*$B773)-'Business Case'!E11*$C773*'Business Case'!E13*$D773-'Business Case'!E14*$E773))*'Business Case'!$B$7-'Business Case'!$B$8*(('Business Case'!E11*$C773*'Business Case'!E12*$B773)-('Business Case'!D11*$C773*'Business Case'!D12*$B773))-'Business Case'!E15*$F773</f>
        <v>648920315.80666</v>
      </c>
      <c r="L773" s="39" t="n">
        <f aca="false">(('Business Case'!F11*$C773*'Business Case'!F12*$B773)-'Business Case'!F11*$C773*'Business Case'!F13*$D773-'Business Case'!F14*$E773)-MAX(0,(('Business Case'!F11*$C773*'Business Case'!F12*$B773)-'Business Case'!F11*$C773*'Business Case'!F13*$D773-'Business Case'!F14*$E773))*'Business Case'!$B$7-'Business Case'!$B$8*(('Business Case'!F11*$C773*'Business Case'!F12*$B773)-('Business Case'!E11*$C773*'Business Case'!E12*$B773))-'Business Case'!F15*$F773</f>
        <v>783187306.934368</v>
      </c>
      <c r="M773" s="39" t="n">
        <f aca="false">(('Business Case'!G11*$C773*'Business Case'!G12*$B773)-'Business Case'!G11*$C773*'Business Case'!G13*$D773-'Business Case'!G14*$E773)-MAX(0,(('Business Case'!G11*$C773*'Business Case'!G12*$B773)-'Business Case'!G11*$C773*'Business Case'!G13*$D773-'Business Case'!G14*$E773))*'Business Case'!$B$7-'Business Case'!$B$8*(('Business Case'!G11*$C773*'Business Case'!G12*$B773)-('Business Case'!F11*$C773*'Business Case'!F12*$B773))-'Business Case'!G15*$F773+'Business Case'!$B$8*('Business Case'!G11*$C773*'Business Case'!G12*$B773)</f>
        <v>976031592.174434</v>
      </c>
      <c r="N773" s="39" t="n">
        <f aca="false">IF(COUNT('Business Case'!B11:G11)=0,"",H773+NPV(G773,I773:M773))</f>
        <v>-224419364.541029</v>
      </c>
      <c r="P773" s="40" t="n">
        <f aca="true">RAND()</f>
        <v>0.297564734391474</v>
      </c>
      <c r="Q773" s="40" t="n">
        <f aca="true">RAND()</f>
        <v>0.778717724017079</v>
      </c>
      <c r="R773" s="40" t="n">
        <f aca="true">RAND()</f>
        <v>0.379986636115122</v>
      </c>
      <c r="S773" s="40" t="n">
        <f aca="true">RAND()</f>
        <v>0.0513970489976032</v>
      </c>
      <c r="T773" s="40" t="n">
        <f aca="true">RAND()</f>
        <v>0.656091746246508</v>
      </c>
      <c r="U773" s="40" t="n">
        <f aca="true">RAND()</f>
        <v>0.0574003863051786</v>
      </c>
    </row>
    <row r="774" customFormat="false" ht="15" hidden="false" customHeight="false" outlineLevel="0" collapsed="false">
      <c r="A774" s="36" t="n">
        <v>694</v>
      </c>
      <c r="B774" s="37" t="n">
        <f aca="false">1+IF($G$6=$E$6,$F$6,IF(P774&lt;($F$6-$E$6)/($G$6-$E$6),$E$6+SQRT(P774*($G$6-$E$6)*($F$6-$E$6)),$G$6-SQRT((1-P774)*($G$6-$E$6)*($G$6-$F$6))))</f>
        <v>0.986010305464822</v>
      </c>
      <c r="C774" s="37" t="n">
        <f aca="false">1+IF($G$7=$E$7,$F$7,IF(Q774&lt;($F$7-$E$7)/($G$7-$E$7),$E$7+SQRT(Q774*($G$7-$E$7)*($F$7-$E$7)),$G$7-SQRT((1-Q774)*($G$7-$E$7)*($G$7-$F$7))))</f>
        <v>1.04839363040474</v>
      </c>
      <c r="D774" s="37" t="n">
        <f aca="false">1+IF($G$8=$E$8,$F$8,IF(R774&lt;($F$8-$E$8)/($G$8-$E$8),$E$8+SQRT(R774*($G$8-$E$8)*($F$8-$E$8)),$G$8-SQRT((1-R774)*($G$8-$E$8)*($G$8-$F$8))))</f>
        <v>1.00417329912793</v>
      </c>
      <c r="E774" s="37" t="n">
        <f aca="false">1+IF($G$9=$E$9,$F$9,IF(S774&lt;($F$9-$E$9)/($G$9-$E$9),$E$9+SQRT(S774*($G$9-$E$9)*($F$9-$E$9)),$G$9-SQRT((1-S774)*($G$9-$E$9)*($G$9-$F$9))))</f>
        <v>0.968781949069593</v>
      </c>
      <c r="F774" s="37" t="n">
        <f aca="false">1+IF($G$10=$E$10,$F$10,IF(T774&lt;($F$10-$E$10)/($G$10-$E$10),$E$10+SQRT(T774*($G$10-$E$10)*($F$10-$E$10)),$G$10-SQRT((1-T774)*($G$10-$E$10)*($G$10-$F$10))))</f>
        <v>1.04806443818805</v>
      </c>
      <c r="G774" s="38" t="n">
        <f aca="false">IF($G$11=$E$11,$F$11,IF(U774&lt;($F$11-$E$11)/($G$11-$E$11),$E$11+SQRT(U774*($G$11-$E$11)*($F$11-$E$11)),$G$11-SQRT((1-U774)*($G$11-$E$11)*($G$11-$F$11))))</f>
        <v>0.114366045048162</v>
      </c>
      <c r="H774" s="39" t="n">
        <f aca="false">(('Business Case'!B11*$C774*'Business Case'!B12*$B774)-'Business Case'!B11*$C774*'Business Case'!B13*$D774-'Business Case'!B14*$E774)-MAX(0,(('Business Case'!B11*$C774*'Business Case'!B12*$B774)-'Business Case'!B11*$C774*'Business Case'!B13*$D774-'Business Case'!B14*$E774))*'Business Case'!$B$7-'Business Case'!$B$8*('Business Case'!B11*$C774*'Business Case'!B12*$B774)-'Business Case'!B15*$F774</f>
        <v>-2096128876.37611</v>
      </c>
      <c r="I774" s="39" t="n">
        <f aca="false">(('Business Case'!C11*$C774*'Business Case'!C12*$B774)-'Business Case'!C11*$C774*'Business Case'!C13*$D774-'Business Case'!C14*$E774)-MAX(0,(('Business Case'!C11*$C774*'Business Case'!C12*$B774)-'Business Case'!C11*$C774*'Business Case'!C13*$D774-'Business Case'!C14*$E774))*'Business Case'!$B$7-'Business Case'!$B$8*(('Business Case'!C11*$C774*'Business Case'!C12*$B774)-('Business Case'!B11*$C774*'Business Case'!B12*$B774))-'Business Case'!C15*$F774</f>
        <v>11607687.7054353</v>
      </c>
      <c r="J774" s="39" t="n">
        <f aca="false">(('Business Case'!D11*$C774*'Business Case'!D12*$B774)-'Business Case'!D11*$C774*'Business Case'!D13*$D774-'Business Case'!D14*$E774)-MAX(0,(('Business Case'!D11*$C774*'Business Case'!D12*$B774)-'Business Case'!D11*$C774*'Business Case'!D13*$D774-'Business Case'!D14*$E774))*'Business Case'!$B$7-'Business Case'!$B$8*(('Business Case'!D11*$C774*'Business Case'!D12*$B774)-('Business Case'!C11*$C774*'Business Case'!C12*$B774))-'Business Case'!D15*$F774</f>
        <v>319371016.115233</v>
      </c>
      <c r="K774" s="39" t="n">
        <f aca="false">(('Business Case'!E11*$C774*'Business Case'!E12*$B774)-'Business Case'!E11*$C774*'Business Case'!E13*$D774-'Business Case'!E14*$E774)-MAX(0,(('Business Case'!E11*$C774*'Business Case'!E12*$B774)-'Business Case'!E11*$C774*'Business Case'!E13*$D774-'Business Case'!E14*$E774))*'Business Case'!$B$7-'Business Case'!$B$8*(('Business Case'!E11*$C774*'Business Case'!E12*$B774)-('Business Case'!D11*$C774*'Business Case'!D12*$B774))-'Business Case'!E15*$F774</f>
        <v>679537566.434433</v>
      </c>
      <c r="L774" s="39" t="n">
        <f aca="false">(('Business Case'!F11*$C774*'Business Case'!F12*$B774)-'Business Case'!F11*$C774*'Business Case'!F13*$D774-'Business Case'!F14*$E774)-MAX(0,(('Business Case'!F11*$C774*'Business Case'!F12*$B774)-'Business Case'!F11*$C774*'Business Case'!F13*$D774-'Business Case'!F14*$E774))*'Business Case'!$B$7-'Business Case'!$B$8*(('Business Case'!F11*$C774*'Business Case'!F12*$B774)-('Business Case'!E11*$C774*'Business Case'!E12*$B774))-'Business Case'!F15*$F774</f>
        <v>817850945.056273</v>
      </c>
      <c r="M774" s="39" t="n">
        <f aca="false">(('Business Case'!G11*$C774*'Business Case'!G12*$B774)-'Business Case'!G11*$C774*'Business Case'!G13*$D774-'Business Case'!G14*$E774)-MAX(0,(('Business Case'!G11*$C774*'Business Case'!G12*$B774)-'Business Case'!G11*$C774*'Business Case'!G13*$D774-'Business Case'!G14*$E774))*'Business Case'!$B$7-'Business Case'!$B$8*(('Business Case'!G11*$C774*'Business Case'!G12*$B774)-('Business Case'!F11*$C774*'Business Case'!F12*$B774))-'Business Case'!G15*$F774+'Business Case'!$B$8*('Business Case'!G11*$C774*'Business Case'!G12*$B774)</f>
        <v>1014341758.7251</v>
      </c>
      <c r="N774" s="39" t="n">
        <f aca="false">IF(COUNT('Business Case'!B11:G11)=0,"",H774+NPV(G774,I774:M774))</f>
        <v>-216863966.494365</v>
      </c>
      <c r="P774" s="40" t="n">
        <f aca="true">RAND()</f>
        <v>0.453891711204075</v>
      </c>
      <c r="Q774" s="40" t="n">
        <f aca="true">RAND()</f>
        <v>0.803355155384204</v>
      </c>
      <c r="R774" s="40" t="n">
        <f aca="true">RAND()</f>
        <v>0.447145330274757</v>
      </c>
      <c r="S774" s="40" t="n">
        <f aca="true">RAND()</f>
        <v>0.0470348814470382</v>
      </c>
      <c r="T774" s="40" t="n">
        <f aca="true">RAND()</f>
        <v>0.53831170113776</v>
      </c>
      <c r="U774" s="40" t="n">
        <f aca="true">RAND()</f>
        <v>0.947097586001091</v>
      </c>
    </row>
    <row r="775" customFormat="false" ht="15" hidden="false" customHeight="false" outlineLevel="0" collapsed="false">
      <c r="A775" s="36" t="n">
        <v>695</v>
      </c>
      <c r="B775" s="37" t="n">
        <f aca="false">1+IF($G$6=$E$6,$F$6,IF(P775&lt;($F$6-$E$6)/($G$6-$E$6),$E$6+SQRT(P775*($G$6-$E$6)*($F$6-$E$6)),$G$6-SQRT((1-P775)*($G$6-$E$6)*($G$6-$F$6))))</f>
        <v>0.999616513508067</v>
      </c>
      <c r="C775" s="37" t="n">
        <f aca="false">1+IF($G$7=$E$7,$F$7,IF(Q775&lt;($F$7-$E$7)/($G$7-$E$7),$E$7+SQRT(Q775*($G$7-$E$7)*($F$7-$E$7)),$G$7-SQRT((1-Q775)*($G$7-$E$7)*($G$7-$F$7))))</f>
        <v>0.880489649776727</v>
      </c>
      <c r="D775" s="37" t="n">
        <f aca="false">1+IF($G$8=$E$8,$F$8,IF(R775&lt;($F$8-$E$8)/($G$8-$E$8),$E$8+SQRT(R775*($G$8-$E$8)*($F$8-$E$8)),$G$8-SQRT((1-R775)*($G$8-$E$8)*($G$8-$F$8))))</f>
        <v>0.994132300341112</v>
      </c>
      <c r="E775" s="37" t="n">
        <f aca="false">1+IF($G$9=$E$9,$F$9,IF(S775&lt;($F$9-$E$9)/($G$9-$E$9),$E$9+SQRT(S775*($G$9-$E$9)*($F$9-$E$9)),$G$9-SQRT((1-S775)*($G$9-$E$9)*($G$9-$F$9))))</f>
        <v>1.00107868461924</v>
      </c>
      <c r="F775" s="37" t="n">
        <f aca="false">1+IF($G$10=$E$10,$F$10,IF(T775&lt;($F$10-$E$10)/($G$10-$E$10),$E$10+SQRT(T775*($G$10-$E$10)*($F$10-$E$10)),$G$10-SQRT((1-T775)*($G$10-$E$10)*($G$10-$F$10))))</f>
        <v>1.00398586205035</v>
      </c>
      <c r="G775" s="38" t="n">
        <f aca="false">IF($G$11=$E$11,$F$11,IF(U775&lt;($F$11-$E$11)/($G$11-$E$11),$E$11+SQRT(U775*($G$11-$E$11)*($F$11-$E$11)),$G$11-SQRT((1-U775)*($G$11-$E$11)*($G$11-$F$11))))</f>
        <v>0.104701322244785</v>
      </c>
      <c r="H775" s="39" t="n">
        <f aca="false">(('Business Case'!B11*$C775*'Business Case'!B12*$B775)-'Business Case'!B11*$C775*'Business Case'!B13*$D775-'Business Case'!B14*$E775)-MAX(0,(('Business Case'!B11*$C775*'Business Case'!B12*$B775)-'Business Case'!B11*$C775*'Business Case'!B13*$D775-'Business Case'!B14*$E775))*'Business Case'!$B$7-'Business Case'!$B$8*('Business Case'!B11*$C775*'Business Case'!B12*$B775)-'Business Case'!B15*$F775</f>
        <v>-2007971724.10071</v>
      </c>
      <c r="I775" s="39" t="n">
        <f aca="false">(('Business Case'!C11*$C775*'Business Case'!C12*$B775)-'Business Case'!C11*$C775*'Business Case'!C13*$D775-'Business Case'!C14*$E775)-MAX(0,(('Business Case'!C11*$C775*'Business Case'!C12*$B775)-'Business Case'!C11*$C775*'Business Case'!C13*$D775-'Business Case'!C14*$E775))*'Business Case'!$B$7-'Business Case'!$B$8*(('Business Case'!C11*$C775*'Business Case'!C12*$B775)-('Business Case'!B11*$C775*'Business Case'!B12*$B775))-'Business Case'!C15*$F775</f>
        <v>-15566653.6168407</v>
      </c>
      <c r="J775" s="39" t="n">
        <f aca="false">(('Business Case'!D11*$C775*'Business Case'!D12*$B775)-'Business Case'!D11*$C775*'Business Case'!D13*$D775-'Business Case'!D14*$E775)-MAX(0,(('Business Case'!D11*$C775*'Business Case'!D12*$B775)-'Business Case'!D11*$C775*'Business Case'!D13*$D775-'Business Case'!D14*$E775))*'Business Case'!$B$7-'Business Case'!$B$8*(('Business Case'!D11*$C775*'Business Case'!D12*$B775)-('Business Case'!C11*$C775*'Business Case'!C12*$B775))-'Business Case'!D15*$F775</f>
        <v>257245747.287455</v>
      </c>
      <c r="K775" s="39" t="n">
        <f aca="false">(('Business Case'!E11*$C775*'Business Case'!E12*$B775)-'Business Case'!E11*$C775*'Business Case'!E13*$D775-'Business Case'!E14*$E775)-MAX(0,(('Business Case'!E11*$C775*'Business Case'!E12*$B775)-'Business Case'!E11*$C775*'Business Case'!E13*$D775-'Business Case'!E14*$E775))*'Business Case'!$B$7-'Business Case'!$B$8*(('Business Case'!E11*$C775*'Business Case'!E12*$B775)-('Business Case'!D11*$C775*'Business Case'!D12*$B775))-'Business Case'!E15*$F775</f>
        <v>580257441.294267</v>
      </c>
      <c r="L775" s="39" t="n">
        <f aca="false">(('Business Case'!F11*$C775*'Business Case'!F12*$B775)-'Business Case'!F11*$C775*'Business Case'!F13*$D775-'Business Case'!F14*$E775)-MAX(0,(('Business Case'!F11*$C775*'Business Case'!F12*$B775)-'Business Case'!F11*$C775*'Business Case'!F13*$D775-'Business Case'!F14*$E775))*'Business Case'!$B$7-'Business Case'!$B$8*(('Business Case'!F11*$C775*'Business Case'!F12*$B775)-('Business Case'!E11*$C775*'Business Case'!E12*$B775))-'Business Case'!F15*$F775</f>
        <v>701612961.171196</v>
      </c>
      <c r="M775" s="39" t="n">
        <f aca="false">(('Business Case'!G11*$C775*'Business Case'!G12*$B775)-'Business Case'!G11*$C775*'Business Case'!G13*$D775-'Business Case'!G14*$E775)-MAX(0,(('Business Case'!G11*$C775*'Business Case'!G12*$B775)-'Business Case'!G11*$C775*'Business Case'!G13*$D775-'Business Case'!G14*$E775))*'Business Case'!$B$7-'Business Case'!$B$8*(('Business Case'!G11*$C775*'Business Case'!G12*$B775)-('Business Case'!F11*$C775*'Business Case'!F12*$B775))-'Business Case'!G15*$F775+'Business Case'!$B$8*('Business Case'!G11*$C775*'Business Case'!G12*$B775)</f>
        <v>868912252.169759</v>
      </c>
      <c r="N775" s="39" t="n">
        <f aca="false">IF(COUNT('Business Case'!B11:G11)=0,"",H775+NPV(G775,I775:M775))</f>
        <v>-381606732.193358</v>
      </c>
      <c r="P775" s="40" t="n">
        <f aca="true">RAND()</f>
        <v>0.660290544081275</v>
      </c>
      <c r="Q775" s="40" t="n">
        <f aca="true">RAND()</f>
        <v>0.0925511960168594</v>
      </c>
      <c r="R775" s="40" t="n">
        <f aca="true">RAND()</f>
        <v>0.29963998975355</v>
      </c>
      <c r="S775" s="40" t="n">
        <f aca="true">RAND()</f>
        <v>0.347638224222684</v>
      </c>
      <c r="T775" s="40" t="n">
        <f aca="true">RAND()</f>
        <v>0.231569154477135</v>
      </c>
      <c r="U775" s="40" t="n">
        <f aca="true">RAND()</f>
        <v>0.609917431570163</v>
      </c>
    </row>
    <row r="776" customFormat="false" ht="15" hidden="false" customHeight="false" outlineLevel="0" collapsed="false">
      <c r="A776" s="36" t="n">
        <v>696</v>
      </c>
      <c r="B776" s="37" t="n">
        <f aca="false">1+IF($G$6=$E$6,$F$6,IF(P776&lt;($F$6-$E$6)/($G$6-$E$6),$E$6+SQRT(P776*($G$6-$E$6)*($F$6-$E$6)),$G$6-SQRT((1-P776)*($G$6-$E$6)*($G$6-$F$6))))</f>
        <v>0.988319962757428</v>
      </c>
      <c r="C776" s="37" t="n">
        <f aca="false">1+IF($G$7=$E$7,$F$7,IF(Q776&lt;($F$7-$E$7)/($G$7-$E$7),$E$7+SQRT(Q776*($G$7-$E$7)*($F$7-$E$7)),$G$7-SQRT((1-Q776)*($G$7-$E$7)*($G$7-$F$7))))</f>
        <v>0.993038442959223</v>
      </c>
      <c r="D776" s="37" t="n">
        <f aca="false">1+IF($G$8=$E$8,$F$8,IF(R776&lt;($F$8-$E$8)/($G$8-$E$8),$E$8+SQRT(R776*($G$8-$E$8)*($F$8-$E$8)),$G$8-SQRT((1-R776)*($G$8-$E$8)*($G$8-$F$8))))</f>
        <v>1.021813773679</v>
      </c>
      <c r="E776" s="37" t="n">
        <f aca="false">1+IF($G$9=$E$9,$F$9,IF(S776&lt;($F$9-$E$9)/($G$9-$E$9),$E$9+SQRT(S776*($G$9-$E$9)*($F$9-$E$9)),$G$9-SQRT((1-S776)*($G$9-$E$9)*($G$9-$F$9))))</f>
        <v>1.00675060454162</v>
      </c>
      <c r="F776" s="37" t="n">
        <f aca="false">1+IF($G$10=$E$10,$F$10,IF(T776&lt;($F$10-$E$10)/($G$10-$E$10),$E$10+SQRT(T776*($G$10-$E$10)*($F$10-$E$10)),$G$10-SQRT((1-T776)*($G$10-$E$10)*($G$10-$F$10))))</f>
        <v>1.0617596802145</v>
      </c>
      <c r="G776" s="38" t="n">
        <f aca="false">IF($G$11=$E$11,$F$11,IF(U776&lt;($F$11-$E$11)/($G$11-$E$11),$E$11+SQRT(U776*($G$11-$E$11)*($F$11-$E$11)),$G$11-SQRT((1-U776)*($G$11-$E$11)*($G$11-$F$11))))</f>
        <v>0.106563323067674</v>
      </c>
      <c r="H776" s="39" t="n">
        <f aca="false">(('Business Case'!B11*$C776*'Business Case'!B12*$B776)-'Business Case'!B11*$C776*'Business Case'!B13*$D776-'Business Case'!B14*$E776)-MAX(0,(('Business Case'!B11*$C776*'Business Case'!B12*$B776)-'Business Case'!B11*$C776*'Business Case'!B13*$D776-'Business Case'!B14*$E776))*'Business Case'!$B$7-'Business Case'!$B$8*('Business Case'!B11*$C776*'Business Case'!B12*$B776)-'Business Case'!B15*$F776</f>
        <v>-2123519360.429</v>
      </c>
      <c r="I776" s="39" t="n">
        <f aca="false">(('Business Case'!C11*$C776*'Business Case'!C12*$B776)-'Business Case'!C11*$C776*'Business Case'!C13*$D776-'Business Case'!C14*$E776)-MAX(0,(('Business Case'!C11*$C776*'Business Case'!C12*$B776)-'Business Case'!C11*$C776*'Business Case'!C13*$D776-'Business Case'!C14*$E776))*'Business Case'!$B$7-'Business Case'!$B$8*(('Business Case'!C11*$C776*'Business Case'!C12*$B776)-('Business Case'!B11*$C776*'Business Case'!B12*$B776))-'Business Case'!C15*$F776</f>
        <v>-15789354.7442012</v>
      </c>
      <c r="J776" s="39" t="n">
        <f aca="false">(('Business Case'!D11*$C776*'Business Case'!D12*$B776)-'Business Case'!D11*$C776*'Business Case'!D13*$D776-'Business Case'!D14*$E776)-MAX(0,(('Business Case'!D11*$C776*'Business Case'!D12*$B776)-'Business Case'!D11*$C776*'Business Case'!D13*$D776-'Business Case'!D14*$E776))*'Business Case'!$B$7-'Business Case'!$B$8*(('Business Case'!D11*$C776*'Business Case'!D12*$B776)-('Business Case'!C11*$C776*'Business Case'!C12*$B776))-'Business Case'!D15*$F776</f>
        <v>268635029.426184</v>
      </c>
      <c r="K776" s="39" t="n">
        <f aca="false">(('Business Case'!E11*$C776*'Business Case'!E12*$B776)-'Business Case'!E11*$C776*'Business Case'!E13*$D776-'Business Case'!E14*$E776)-MAX(0,(('Business Case'!E11*$C776*'Business Case'!E12*$B776)-'Business Case'!E11*$C776*'Business Case'!E13*$D776-'Business Case'!E14*$E776))*'Business Case'!$B$7-'Business Case'!$B$8*(('Business Case'!E11*$C776*'Business Case'!E12*$B776)-('Business Case'!D11*$C776*'Business Case'!D12*$B776))-'Business Case'!E15*$F776</f>
        <v>606147397.607294</v>
      </c>
      <c r="L776" s="39" t="n">
        <f aca="false">(('Business Case'!F11*$C776*'Business Case'!F12*$B776)-'Business Case'!F11*$C776*'Business Case'!F13*$D776-'Business Case'!F14*$E776)-MAX(0,(('Business Case'!F11*$C776*'Business Case'!F12*$B776)-'Business Case'!F11*$C776*'Business Case'!F13*$D776-'Business Case'!F14*$E776))*'Business Case'!$B$7-'Business Case'!$B$8*(('Business Case'!F11*$C776*'Business Case'!F12*$B776)-('Business Case'!E11*$C776*'Business Case'!E12*$B776))-'Business Case'!F15*$F776</f>
        <v>734874082.2823</v>
      </c>
      <c r="M776" s="39" t="n">
        <f aca="false">(('Business Case'!G11*$C776*'Business Case'!G12*$B776)-'Business Case'!G11*$C776*'Business Case'!G13*$D776-'Business Case'!G14*$E776)-MAX(0,(('Business Case'!G11*$C776*'Business Case'!G12*$B776)-'Business Case'!G11*$C776*'Business Case'!G13*$D776-'Business Case'!G14*$E776))*'Business Case'!$B$7-'Business Case'!$B$8*(('Business Case'!G11*$C776*'Business Case'!G12*$B776)-('Business Case'!F11*$C776*'Business Case'!F12*$B776))-'Business Case'!G15*$F776+'Business Case'!$B$8*('Business Case'!G11*$C776*'Business Case'!G12*$B776)</f>
        <v>921426143.682467</v>
      </c>
      <c r="N776" s="39" t="n">
        <f aca="false">IF(COUNT('Business Case'!B11:G11)=0,"",H776+NPV(G776,I776:M776))</f>
        <v>-425557562.777645</v>
      </c>
      <c r="P776" s="40" t="n">
        <f aca="true">RAND()</f>
        <v>0.486210136580876</v>
      </c>
      <c r="Q776" s="40" t="n">
        <f aca="true">RAND()</f>
        <v>0.532340578001732</v>
      </c>
      <c r="R776" s="40" t="n">
        <f aca="true">RAND()</f>
        <v>0.674457987165569</v>
      </c>
      <c r="S776" s="40" t="n">
        <f aca="true">RAND()</f>
        <v>0.420303349776419</v>
      </c>
      <c r="T776" s="40" t="n">
        <f aca="true">RAND()</f>
        <v>0.617792279712054</v>
      </c>
      <c r="U776" s="40" t="n">
        <f aca="true">RAND()</f>
        <v>0.699092855027152</v>
      </c>
    </row>
    <row r="777" customFormat="false" ht="15" hidden="false" customHeight="false" outlineLevel="0" collapsed="false">
      <c r="A777" s="36" t="n">
        <v>697</v>
      </c>
      <c r="B777" s="37" t="n">
        <f aca="false">1+IF($G$6=$E$6,$F$6,IF(P777&lt;($F$6-$E$6)/($G$6-$E$6),$E$6+SQRT(P777*($G$6-$E$6)*($F$6-$E$6)),$G$6-SQRT((1-P777)*($G$6-$E$6)*($G$6-$F$6))))</f>
        <v>0.989746601869475</v>
      </c>
      <c r="C777" s="37" t="n">
        <f aca="false">1+IF($G$7=$E$7,$F$7,IF(Q777&lt;($F$7-$E$7)/($G$7-$E$7),$E$7+SQRT(Q777*($G$7-$E$7)*($F$7-$E$7)),$G$7-SQRT((1-Q777)*($G$7-$E$7)*($G$7-$F$7))))</f>
        <v>1.02209297566639</v>
      </c>
      <c r="D777" s="37" t="n">
        <f aca="false">1+IF($G$8=$E$8,$F$8,IF(R777&lt;($F$8-$E$8)/($G$8-$E$8),$E$8+SQRT(R777*($G$8-$E$8)*($F$8-$E$8)),$G$8-SQRT((1-R777)*($G$8-$E$8)*($G$8-$F$8))))</f>
        <v>1.00296522811497</v>
      </c>
      <c r="E777" s="37" t="n">
        <f aca="false">1+IF($G$9=$E$9,$F$9,IF(S777&lt;($F$9-$E$9)/($G$9-$E$9),$E$9+SQRT(S777*($G$9-$E$9)*($F$9-$E$9)),$G$9-SQRT((1-S777)*($G$9-$E$9)*($G$9-$F$9))))</f>
        <v>1.04253152240767</v>
      </c>
      <c r="F777" s="37" t="n">
        <f aca="false">1+IF($G$10=$E$10,$F$10,IF(T777&lt;($F$10-$E$10)/($G$10-$E$10),$E$10+SQRT(T777*($G$10-$E$10)*($F$10-$E$10)),$G$10-SQRT((1-T777)*($G$10-$E$10)*($G$10-$F$10))))</f>
        <v>0.986518917643618</v>
      </c>
      <c r="G777" s="38" t="n">
        <f aca="false">IF($G$11=$E$11,$F$11,IF(U777&lt;($F$11-$E$11)/($G$11-$E$11),$E$11+SQRT(U777*($G$11-$E$11)*($F$11-$E$11)),$G$11-SQRT((1-U777)*($G$11-$E$11)*($G$11-$F$11))))</f>
        <v>0.0998526510235535</v>
      </c>
      <c r="H777" s="39" t="n">
        <f aca="false">(('Business Case'!B11*$C777*'Business Case'!B12*$B777)-'Business Case'!B11*$C777*'Business Case'!B13*$D777-'Business Case'!B14*$E777)-MAX(0,(('Business Case'!B11*$C777*'Business Case'!B12*$B777)-'Business Case'!B11*$C777*'Business Case'!B13*$D777-'Business Case'!B14*$E777))*'Business Case'!$B$7-'Business Case'!$B$8*('Business Case'!B11*$C777*'Business Case'!B12*$B777)-'Business Case'!B15*$F777</f>
        <v>-1973037835.28724</v>
      </c>
      <c r="I777" s="39" t="n">
        <f aca="false">(('Business Case'!C11*$C777*'Business Case'!C12*$B777)-'Business Case'!C11*$C777*'Business Case'!C13*$D777-'Business Case'!C14*$E777)-MAX(0,(('Business Case'!C11*$C777*'Business Case'!C12*$B777)-'Business Case'!C11*$C777*'Business Case'!C13*$D777-'Business Case'!C14*$E777))*'Business Case'!$B$7-'Business Case'!$B$8*(('Business Case'!C11*$C777*'Business Case'!C12*$B777)-('Business Case'!B11*$C777*'Business Case'!B12*$B777))-'Business Case'!C15*$F777</f>
        <v>4460696.98917818</v>
      </c>
      <c r="J777" s="39" t="n">
        <f aca="false">(('Business Case'!D11*$C777*'Business Case'!D12*$B777)-'Business Case'!D11*$C777*'Business Case'!D13*$D777-'Business Case'!D14*$E777)-MAX(0,(('Business Case'!D11*$C777*'Business Case'!D12*$B777)-'Business Case'!D11*$C777*'Business Case'!D13*$D777-'Business Case'!D14*$E777))*'Business Case'!$B$7-'Business Case'!$B$8*(('Business Case'!D11*$C777*'Business Case'!D12*$B777)-('Business Case'!C11*$C777*'Business Case'!C12*$B777))-'Business Case'!D15*$F777</f>
        <v>308263288.71312</v>
      </c>
      <c r="K777" s="39" t="n">
        <f aca="false">(('Business Case'!E11*$C777*'Business Case'!E12*$B777)-'Business Case'!E11*$C777*'Business Case'!E13*$D777-'Business Case'!E14*$E777)-MAX(0,(('Business Case'!E11*$C777*'Business Case'!E12*$B777)-'Business Case'!E11*$C777*'Business Case'!E13*$D777-'Business Case'!E14*$E777))*'Business Case'!$B$7-'Business Case'!$B$8*(('Business Case'!E11*$C777*'Business Case'!E12*$B777)-('Business Case'!D11*$C777*'Business Case'!D12*$B777))-'Business Case'!E15*$F777</f>
        <v>661391826.319243</v>
      </c>
      <c r="L777" s="39" t="n">
        <f aca="false">(('Business Case'!F11*$C777*'Business Case'!F12*$B777)-'Business Case'!F11*$C777*'Business Case'!F13*$D777-'Business Case'!F14*$E777)-MAX(0,(('Business Case'!F11*$C777*'Business Case'!F12*$B777)-'Business Case'!F11*$C777*'Business Case'!F13*$D777-'Business Case'!F14*$E777))*'Business Case'!$B$7-'Business Case'!$B$8*(('Business Case'!F11*$C777*'Business Case'!F12*$B777)-('Business Case'!E11*$C777*'Business Case'!E12*$B777))-'Business Case'!F15*$F777</f>
        <v>797620703.883245</v>
      </c>
      <c r="M777" s="39" t="n">
        <f aca="false">(('Business Case'!G11*$C777*'Business Case'!G12*$B777)-'Business Case'!G11*$C777*'Business Case'!G13*$D777-'Business Case'!G14*$E777)-MAX(0,(('Business Case'!G11*$C777*'Business Case'!G12*$B777)-'Business Case'!G11*$C777*'Business Case'!G13*$D777-'Business Case'!G14*$E777))*'Business Case'!$B$7-'Business Case'!$B$8*(('Business Case'!G11*$C777*'Business Case'!G12*$B777)-('Business Case'!F11*$C777*'Business Case'!F12*$B777))-'Business Case'!G15*$F777+'Business Case'!$B$8*('Business Case'!G11*$C777*'Business Case'!G12*$B777)</f>
        <v>989908112.324691</v>
      </c>
      <c r="N777" s="39" t="n">
        <f aca="false">IF(COUNT('Business Case'!B11:G11)=0,"",H777+NPV(G777,I777:M777))</f>
        <v>-56893014.4556122</v>
      </c>
      <c r="P777" s="40" t="n">
        <f aca="true">RAND()</f>
        <v>0.506727965868652</v>
      </c>
      <c r="Q777" s="40" t="n">
        <f aca="true">RAND()</f>
        <v>0.688377011926141</v>
      </c>
      <c r="R777" s="40" t="n">
        <f aca="true">RAND()</f>
        <v>0.429388838521349</v>
      </c>
      <c r="S777" s="40" t="n">
        <f aca="true">RAND()</f>
        <v>0.779824938881359</v>
      </c>
      <c r="T777" s="40" t="n">
        <f aca="true">RAND()</f>
        <v>0.106690507668908</v>
      </c>
      <c r="U777" s="40" t="n">
        <f aca="true">RAND()</f>
        <v>0.323582440639763</v>
      </c>
    </row>
    <row r="778" customFormat="false" ht="15" hidden="false" customHeight="false" outlineLevel="0" collapsed="false">
      <c r="A778" s="36" t="n">
        <v>698</v>
      </c>
      <c r="B778" s="37" t="n">
        <f aca="false">1+IF($G$6=$E$6,$F$6,IF(P778&lt;($F$6-$E$6)/($G$6-$E$6),$E$6+SQRT(P778*($G$6-$E$6)*($F$6-$E$6)),$G$6-SQRT((1-P778)*($G$6-$E$6)*($G$6-$F$6))))</f>
        <v>1.0283896854042</v>
      </c>
      <c r="C778" s="37" t="n">
        <f aca="false">1+IF($G$7=$E$7,$F$7,IF(Q778&lt;($F$7-$E$7)/($G$7-$E$7),$E$7+SQRT(Q778*($G$7-$E$7)*($F$7-$E$7)),$G$7-SQRT((1-Q778)*($G$7-$E$7)*($G$7-$F$7))))</f>
        <v>0.860616091630557</v>
      </c>
      <c r="D778" s="37" t="n">
        <f aca="false">1+IF($G$8=$E$8,$F$8,IF(R778&lt;($F$8-$E$8)/($G$8-$E$8),$E$8+SQRT(R778*($G$8-$E$8)*($F$8-$E$8)),$G$8-SQRT((1-R778)*($G$8-$E$8)*($G$8-$F$8))))</f>
        <v>0.959936758554153</v>
      </c>
      <c r="E778" s="37" t="n">
        <f aca="false">1+IF($G$9=$E$9,$F$9,IF(S778&lt;($F$9-$E$9)/($G$9-$E$9),$E$9+SQRT(S778*($G$9-$E$9)*($F$9-$E$9)),$G$9-SQRT((1-S778)*($G$9-$E$9)*($G$9-$F$9))))</f>
        <v>1.01015700392965</v>
      </c>
      <c r="F778" s="37" t="n">
        <f aca="false">1+IF($G$10=$E$10,$F$10,IF(T778&lt;($F$10-$E$10)/($G$10-$E$10),$E$10+SQRT(T778*($G$10-$E$10)*($F$10-$E$10)),$G$10-SQRT((1-T778)*($G$10-$E$10)*($G$10-$F$10))))</f>
        <v>1.06012229120503</v>
      </c>
      <c r="G778" s="38" t="n">
        <f aca="false">IF($G$11=$E$11,$F$11,IF(U778&lt;($F$11-$E$11)/($G$11-$E$11),$E$11+SQRT(U778*($G$11-$E$11)*($F$11-$E$11)),$G$11-SQRT((1-U778)*($G$11-$E$11)*($G$11-$F$11))))</f>
        <v>0.101042065990067</v>
      </c>
      <c r="H778" s="39" t="n">
        <f aca="false">(('Business Case'!B11*$C778*'Business Case'!B12*$B778)-'Business Case'!B11*$C778*'Business Case'!B13*$D778-'Business Case'!B14*$E778)-MAX(0,(('Business Case'!B11*$C778*'Business Case'!B12*$B778)-'Business Case'!B11*$C778*'Business Case'!B13*$D778-'Business Case'!B14*$E778))*'Business Case'!$B$7-'Business Case'!$B$8*('Business Case'!B11*$C778*'Business Case'!B12*$B778)-'Business Case'!B15*$F778</f>
        <v>-2120244582.41006</v>
      </c>
      <c r="I778" s="39" t="n">
        <f aca="false">(('Business Case'!C11*$C778*'Business Case'!C12*$B778)-'Business Case'!C11*$C778*'Business Case'!C13*$D778-'Business Case'!C14*$E778)-MAX(0,(('Business Case'!C11*$C778*'Business Case'!C12*$B778)-'Business Case'!C11*$C778*'Business Case'!C13*$D778-'Business Case'!C14*$E778))*'Business Case'!$B$7-'Business Case'!$B$8*(('Business Case'!C11*$C778*'Business Case'!C12*$B778)-('Business Case'!B11*$C778*'Business Case'!B12*$B778))-'Business Case'!C15*$F778</f>
        <v>6465074.14116909</v>
      </c>
      <c r="J778" s="39" t="n">
        <f aca="false">(('Business Case'!D11*$C778*'Business Case'!D12*$B778)-'Business Case'!D11*$C778*'Business Case'!D13*$D778-'Business Case'!D14*$E778)-MAX(0,(('Business Case'!D11*$C778*'Business Case'!D12*$B778)-'Business Case'!D11*$C778*'Business Case'!D13*$D778-'Business Case'!D14*$E778))*'Business Case'!$B$7-'Business Case'!$B$8*(('Business Case'!D11*$C778*'Business Case'!D12*$B778)-('Business Case'!C11*$C778*'Business Case'!C12*$B778))-'Business Case'!D15*$F778</f>
        <v>308467628.577499</v>
      </c>
      <c r="K778" s="39" t="n">
        <f aca="false">(('Business Case'!E11*$C778*'Business Case'!E12*$B778)-'Business Case'!E11*$C778*'Business Case'!E13*$D778-'Business Case'!E14*$E778)-MAX(0,(('Business Case'!E11*$C778*'Business Case'!E12*$B778)-'Business Case'!E11*$C778*'Business Case'!E13*$D778-'Business Case'!E14*$E778))*'Business Case'!$B$7-'Business Case'!$B$8*(('Business Case'!E11*$C778*'Business Case'!E12*$B778)-('Business Case'!D11*$C778*'Business Case'!D12*$B778))-'Business Case'!E15*$F778</f>
        <v>663476297.574081</v>
      </c>
      <c r="L778" s="39" t="n">
        <f aca="false">(('Business Case'!F11*$C778*'Business Case'!F12*$B778)-'Business Case'!F11*$C778*'Business Case'!F13*$D778-'Business Case'!F14*$E778)-MAX(0,(('Business Case'!F11*$C778*'Business Case'!F12*$B778)-'Business Case'!F11*$C778*'Business Case'!F13*$D778-'Business Case'!F14*$E778))*'Business Case'!$B$7-'Business Case'!$B$8*(('Business Case'!F11*$C778*'Business Case'!F12*$B778)-('Business Case'!E11*$C778*'Business Case'!E12*$B778))-'Business Case'!F15*$F778</f>
        <v>794731099.196766</v>
      </c>
      <c r="M778" s="39" t="n">
        <f aca="false">(('Business Case'!G11*$C778*'Business Case'!G12*$B778)-'Business Case'!G11*$C778*'Business Case'!G13*$D778-'Business Case'!G14*$E778)-MAX(0,(('Business Case'!G11*$C778*'Business Case'!G12*$B778)-'Business Case'!G11*$C778*'Business Case'!G13*$D778-'Business Case'!G14*$E778))*'Business Case'!$B$7-'Business Case'!$B$8*(('Business Case'!G11*$C778*'Business Case'!G12*$B778)-('Business Case'!F11*$C778*'Business Case'!F12*$B778))-'Business Case'!G15*$F778+'Business Case'!$B$8*('Business Case'!G11*$C778*'Business Case'!G12*$B778)</f>
        <v>962961158.321594</v>
      </c>
      <c r="N778" s="39" t="n">
        <f aca="false">IF(COUNT('Business Case'!B11:G11)=0,"",H778+NPV(G778,I778:M778))</f>
        <v>-226998652.2576</v>
      </c>
      <c r="P778" s="40" t="n">
        <f aca="true">RAND()</f>
        <v>0.971916790622189</v>
      </c>
      <c r="Q778" s="40" t="n">
        <f aca="true">RAND()</f>
        <v>0.0524901509223438</v>
      </c>
      <c r="R778" s="40" t="n">
        <f aca="true">RAND()</f>
        <v>0.0151906416251587</v>
      </c>
      <c r="S778" s="40" t="n">
        <f aca="true">RAND()</f>
        <v>0.461882403806852</v>
      </c>
      <c r="T778" s="40" t="n">
        <f aca="true">RAND()</f>
        <v>0.60868453164538</v>
      </c>
      <c r="U778" s="40" t="n">
        <f aca="true">RAND()</f>
        <v>0.40099456345835</v>
      </c>
    </row>
    <row r="779" customFormat="false" ht="15" hidden="false" customHeight="false" outlineLevel="0" collapsed="false">
      <c r="A779" s="36" t="n">
        <v>699</v>
      </c>
      <c r="B779" s="37" t="n">
        <f aca="false">1+IF($G$6=$E$6,$F$6,IF(P779&lt;($F$6-$E$6)/($G$6-$E$6),$E$6+SQRT(P779*($G$6-$E$6)*($F$6-$E$6)),$G$6-SQRT((1-P779)*($G$6-$E$6)*($G$6-$F$6))))</f>
        <v>0.999591996286426</v>
      </c>
      <c r="C779" s="37" t="n">
        <f aca="false">1+IF($G$7=$E$7,$F$7,IF(Q779&lt;($F$7-$E$7)/($G$7-$E$7),$E$7+SQRT(Q779*($G$7-$E$7)*($F$7-$E$7)),$G$7-SQRT((1-Q779)*($G$7-$E$7)*($G$7-$F$7))))</f>
        <v>1.03070331239443</v>
      </c>
      <c r="D779" s="37" t="n">
        <f aca="false">1+IF($G$8=$E$8,$F$8,IF(R779&lt;($F$8-$E$8)/($G$8-$E$8),$E$8+SQRT(R779*($G$8-$E$8)*($F$8-$E$8)),$G$8-SQRT((1-R779)*($G$8-$E$8)*($G$8-$F$8))))</f>
        <v>1.00617637144812</v>
      </c>
      <c r="E779" s="37" t="n">
        <f aca="false">1+IF($G$9=$E$9,$F$9,IF(S779&lt;($F$9-$E$9)/($G$9-$E$9),$E$9+SQRT(S779*($G$9-$E$9)*($F$9-$E$9)),$G$9-SQRT((1-S779)*($G$9-$E$9)*($G$9-$F$9))))</f>
        <v>0.99892883299</v>
      </c>
      <c r="F779" s="37" t="n">
        <f aca="false">1+IF($G$10=$E$10,$F$10,IF(T779&lt;($F$10-$E$10)/($G$10-$E$10),$E$10+SQRT(T779*($G$10-$E$10)*($F$10-$E$10)),$G$10-SQRT((1-T779)*($G$10-$E$10)*($G$10-$F$10))))</f>
        <v>1.08273031400761</v>
      </c>
      <c r="G779" s="38" t="n">
        <f aca="false">IF($G$11=$E$11,$F$11,IF(U779&lt;($F$11-$E$11)/($G$11-$E$11),$E$11+SQRT(U779*($G$11-$E$11)*($F$11-$E$11)),$G$11-SQRT((1-U779)*($G$11-$E$11)*($G$11-$F$11))))</f>
        <v>0.103319244858159</v>
      </c>
      <c r="H779" s="39" t="n">
        <f aca="false">(('Business Case'!B11*$C779*'Business Case'!B12*$B779)-'Business Case'!B11*$C779*'Business Case'!B13*$D779-'Business Case'!B14*$E779)-MAX(0,(('Business Case'!B11*$C779*'Business Case'!B12*$B779)-'Business Case'!B11*$C779*'Business Case'!B13*$D779-'Business Case'!B14*$E779))*'Business Case'!$B$7-'Business Case'!$B$8*('Business Case'!B11*$C779*'Business Case'!B12*$B779)-'Business Case'!B15*$F779</f>
        <v>-2165460628.01522</v>
      </c>
      <c r="I779" s="39" t="n">
        <f aca="false">(('Business Case'!C11*$C779*'Business Case'!C12*$B779)-'Business Case'!C11*$C779*'Business Case'!C13*$D779-'Business Case'!C14*$E779)-MAX(0,(('Business Case'!C11*$C779*'Business Case'!C12*$B779)-'Business Case'!C11*$C779*'Business Case'!C13*$D779-'Business Case'!C14*$E779))*'Business Case'!$B$7-'Business Case'!$B$8*(('Business Case'!C11*$C779*'Business Case'!C12*$B779)-('Business Case'!B11*$C779*'Business Case'!B12*$B779))-'Business Case'!C15*$F779</f>
        <v>9248681.91875568</v>
      </c>
      <c r="J779" s="39" t="n">
        <f aca="false">(('Business Case'!D11*$C779*'Business Case'!D12*$B779)-'Business Case'!D11*$C779*'Business Case'!D13*$D779-'Business Case'!D14*$E779)-MAX(0,(('Business Case'!D11*$C779*'Business Case'!D12*$B779)-'Business Case'!D11*$C779*'Business Case'!D13*$D779-'Business Case'!D14*$E779))*'Business Case'!$B$7-'Business Case'!$B$8*(('Business Case'!D11*$C779*'Business Case'!D12*$B779)-('Business Case'!C11*$C779*'Business Case'!C12*$B779))-'Business Case'!D15*$F779</f>
        <v>322227934.688391</v>
      </c>
      <c r="K779" s="39" t="n">
        <f aca="false">(('Business Case'!E11*$C779*'Business Case'!E12*$B779)-'Business Case'!E11*$C779*'Business Case'!E13*$D779-'Business Case'!E14*$E779)-MAX(0,(('Business Case'!E11*$C779*'Business Case'!E12*$B779)-'Business Case'!E11*$C779*'Business Case'!E13*$D779-'Business Case'!E14*$E779))*'Business Case'!$B$7-'Business Case'!$B$8*(('Business Case'!E11*$C779*'Business Case'!E12*$B779)-('Business Case'!D11*$C779*'Business Case'!D12*$B779))-'Business Case'!E15*$F779</f>
        <v>689343703.158407</v>
      </c>
      <c r="L779" s="39" t="n">
        <f aca="false">(('Business Case'!F11*$C779*'Business Case'!F12*$B779)-'Business Case'!F11*$C779*'Business Case'!F13*$D779-'Business Case'!F14*$E779)-MAX(0,(('Business Case'!F11*$C779*'Business Case'!F12*$B779)-'Business Case'!F11*$C779*'Business Case'!F13*$D779-'Business Case'!F14*$E779))*'Business Case'!$B$7-'Business Case'!$B$8*(('Business Case'!F11*$C779*'Business Case'!F12*$B779)-('Business Case'!E11*$C779*'Business Case'!E12*$B779))-'Business Case'!F15*$F779</f>
        <v>829276693.680913</v>
      </c>
      <c r="M779" s="39" t="n">
        <f aca="false">(('Business Case'!G11*$C779*'Business Case'!G12*$B779)-'Business Case'!G11*$C779*'Business Case'!G13*$D779-'Business Case'!G14*$E779)-MAX(0,(('Business Case'!G11*$C779*'Business Case'!G12*$B779)-'Business Case'!G11*$C779*'Business Case'!G13*$D779-'Business Case'!G14*$E779))*'Business Case'!$B$7-'Business Case'!$B$8*(('Business Case'!G11*$C779*'Business Case'!G12*$B779)-('Business Case'!F11*$C779*'Business Case'!F12*$B779))-'Business Case'!G15*$F779+'Business Case'!$B$8*('Business Case'!G11*$C779*'Business Case'!G12*$B779)</f>
        <v>1025112844.81036</v>
      </c>
      <c r="N779" s="39" t="n">
        <f aca="false">IF(COUNT('Business Case'!B11:G11)=0,"",H779+NPV(G779,I779:M779))</f>
        <v>-192500746.104904</v>
      </c>
      <c r="P779" s="40" t="n">
        <f aca="true">RAND()</f>
        <v>0.659883945089423</v>
      </c>
      <c r="Q779" s="40" t="n">
        <f aca="true">RAND()</f>
        <v>0.72892000621596</v>
      </c>
      <c r="R779" s="40" t="n">
        <f aca="true">RAND()</f>
        <v>0.475968448791739</v>
      </c>
      <c r="S779" s="40" t="n">
        <f aca="true">RAND()</f>
        <v>0.319204093035113</v>
      </c>
      <c r="T779" s="40" t="n">
        <f aca="true">RAND()</f>
        <v>0.724956414944916</v>
      </c>
      <c r="U779" s="40" t="n">
        <f aca="true">RAND()</f>
        <v>0.536254013163227</v>
      </c>
    </row>
    <row r="780" customFormat="false" ht="15" hidden="false" customHeight="false" outlineLevel="0" collapsed="false">
      <c r="A780" s="36" t="n">
        <v>700</v>
      </c>
      <c r="B780" s="37" t="n">
        <f aca="false">1+IF($G$6=$E$6,$F$6,IF(P780&lt;($F$6-$E$6)/($G$6-$E$6),$E$6+SQRT(P780*($G$6-$E$6)*($F$6-$E$6)),$G$6-SQRT((1-P780)*($G$6-$E$6)*($G$6-$F$6))))</f>
        <v>0.991988223694322</v>
      </c>
      <c r="C780" s="37" t="n">
        <f aca="false">1+IF($G$7=$E$7,$F$7,IF(Q780&lt;($F$7-$E$7)/($G$7-$E$7),$E$7+SQRT(Q780*($G$7-$E$7)*($F$7-$E$7)),$G$7-SQRT((1-Q780)*($G$7-$E$7)*($G$7-$F$7))))</f>
        <v>0.986188487040562</v>
      </c>
      <c r="D780" s="37" t="n">
        <f aca="false">1+IF($G$8=$E$8,$F$8,IF(R780&lt;($F$8-$E$8)/($G$8-$E$8),$E$8+SQRT(R780*($G$8-$E$8)*($F$8-$E$8)),$G$8-SQRT((1-R780)*($G$8-$E$8)*($G$8-$F$8))))</f>
        <v>1.00585564604654</v>
      </c>
      <c r="E780" s="37" t="n">
        <f aca="false">1+IF($G$9=$E$9,$F$9,IF(S780&lt;($F$9-$E$9)/($G$9-$E$9),$E$9+SQRT(S780*($G$9-$E$9)*($F$9-$E$9)),$G$9-SQRT((1-S780)*($G$9-$E$9)*($G$9-$F$9))))</f>
        <v>1.08440584825892</v>
      </c>
      <c r="F780" s="37" t="n">
        <f aca="false">1+IF($G$10=$E$10,$F$10,IF(T780&lt;($F$10-$E$10)/($G$10-$E$10),$E$10+SQRT(T780*($G$10-$E$10)*($F$10-$E$10)),$G$10-SQRT((1-T780)*($G$10-$E$10)*($G$10-$F$10))))</f>
        <v>0.980809856806721</v>
      </c>
      <c r="G780" s="38" t="n">
        <f aca="false">IF($G$11=$E$11,$F$11,IF(U780&lt;($F$11-$E$11)/($G$11-$E$11),$E$11+SQRT(U780*($G$11-$E$11)*($F$11-$E$11)),$G$11-SQRT((1-U780)*($G$11-$E$11)*($G$11-$F$11))))</f>
        <v>0.0962298750923813</v>
      </c>
      <c r="H780" s="39" t="n">
        <f aca="false">(('Business Case'!B11*$C780*'Business Case'!B12*$B780)-'Business Case'!B11*$C780*'Business Case'!B13*$D780-'Business Case'!B14*$E780)-MAX(0,(('Business Case'!B11*$C780*'Business Case'!B12*$B780)-'Business Case'!B11*$C780*'Business Case'!B13*$D780-'Business Case'!B14*$E780))*'Business Case'!$B$7-'Business Case'!$B$8*('Business Case'!B11*$C780*'Business Case'!B12*$B780)-'Business Case'!B15*$F780</f>
        <v>-1961619713.61344</v>
      </c>
      <c r="I780" s="39" t="n">
        <f aca="false">(('Business Case'!C11*$C780*'Business Case'!C12*$B780)-'Business Case'!C11*$C780*'Business Case'!C13*$D780-'Business Case'!C14*$E780)-MAX(0,(('Business Case'!C11*$C780*'Business Case'!C12*$B780)-'Business Case'!C11*$C780*'Business Case'!C13*$D780-'Business Case'!C14*$E780))*'Business Case'!$B$7-'Business Case'!$B$8*(('Business Case'!C11*$C780*'Business Case'!C12*$B780)-('Business Case'!B11*$C780*'Business Case'!B12*$B780))-'Business Case'!C15*$F780</f>
        <v>-9515956.21601866</v>
      </c>
      <c r="J780" s="39" t="n">
        <f aca="false">(('Business Case'!D11*$C780*'Business Case'!D12*$B780)-'Business Case'!D11*$C780*'Business Case'!D13*$D780-'Business Case'!D14*$E780)-MAX(0,(('Business Case'!D11*$C780*'Business Case'!D12*$B780)-'Business Case'!D11*$C780*'Business Case'!D13*$D780-'Business Case'!D14*$E780))*'Business Case'!$B$7-'Business Case'!$B$8*(('Business Case'!D11*$C780*'Business Case'!D12*$B780)-('Business Case'!C11*$C780*'Business Case'!C12*$B780))-'Business Case'!D15*$F780</f>
        <v>283966001.897907</v>
      </c>
      <c r="K780" s="39" t="n">
        <f aca="false">(('Business Case'!E11*$C780*'Business Case'!E12*$B780)-'Business Case'!E11*$C780*'Business Case'!E13*$D780-'Business Case'!E14*$E780)-MAX(0,(('Business Case'!E11*$C780*'Business Case'!E12*$B780)-'Business Case'!E11*$C780*'Business Case'!E13*$D780-'Business Case'!E14*$E780))*'Business Case'!$B$7-'Business Case'!$B$8*(('Business Case'!E11*$C780*'Business Case'!E12*$B780)-('Business Case'!D11*$C780*'Business Case'!D12*$B780))-'Business Case'!E15*$F780</f>
        <v>626488452.852169</v>
      </c>
      <c r="L780" s="39" t="n">
        <f aca="false">(('Business Case'!F11*$C780*'Business Case'!F12*$B780)-'Business Case'!F11*$C780*'Business Case'!F13*$D780-'Business Case'!F14*$E780)-MAX(0,(('Business Case'!F11*$C780*'Business Case'!F12*$B780)-'Business Case'!F11*$C780*'Business Case'!F13*$D780-'Business Case'!F14*$E780))*'Business Case'!$B$7-'Business Case'!$B$8*(('Business Case'!F11*$C780*'Business Case'!F12*$B780)-('Business Case'!E11*$C780*'Business Case'!E12*$B780))-'Business Case'!F15*$F780</f>
        <v>758125383.574713</v>
      </c>
      <c r="M780" s="39" t="n">
        <f aca="false">(('Business Case'!G11*$C780*'Business Case'!G12*$B780)-'Business Case'!G11*$C780*'Business Case'!G13*$D780-'Business Case'!G14*$E780)-MAX(0,(('Business Case'!G11*$C780*'Business Case'!G12*$B780)-'Business Case'!G11*$C780*'Business Case'!G13*$D780-'Business Case'!G14*$E780))*'Business Case'!$B$7-'Business Case'!$B$8*(('Business Case'!G11*$C780*'Business Case'!G12*$B780)-('Business Case'!F11*$C780*'Business Case'!F12*$B780))-'Business Case'!G15*$F780+'Business Case'!$B$8*('Business Case'!G11*$C780*'Business Case'!G12*$B780)</f>
        <v>944078246.006511</v>
      </c>
      <c r="N780" s="39" t="n">
        <f aca="false">IF(COUNT('Business Case'!B11:G11)=0,"",H780+NPV(G780,I780:M780))</f>
        <v>-137119463.227621</v>
      </c>
      <c r="P780" s="40" t="n">
        <f aca="true">RAND()</f>
        <v>0.539823369860804</v>
      </c>
      <c r="Q780" s="40" t="n">
        <f aca="true">RAND()</f>
        <v>0.495230752949334</v>
      </c>
      <c r="R780" s="40" t="n">
        <f aca="true">RAND()</f>
        <v>0.47140526700231</v>
      </c>
      <c r="S780" s="40" t="n">
        <f aca="true">RAND()</f>
        <v>0.983788162098404</v>
      </c>
      <c r="T780" s="40" t="n">
        <f aca="true">RAND()</f>
        <v>0.0759397821160519</v>
      </c>
      <c r="U780" s="40" t="n">
        <f aca="true">RAND()</f>
        <v>0.129371145555578</v>
      </c>
    </row>
    <row r="781" customFormat="false" ht="15" hidden="false" customHeight="false" outlineLevel="0" collapsed="false">
      <c r="A781" s="36" t="n">
        <v>701</v>
      </c>
      <c r="B781" s="37" t="n">
        <f aca="false">1+IF($G$6=$E$6,$F$6,IF(P781&lt;($F$6-$E$6)/($G$6-$E$6),$E$6+SQRT(P781*($G$6-$E$6)*($F$6-$E$6)),$G$6-SQRT((1-P781)*($G$6-$E$6)*($G$6-$F$6))))</f>
        <v>0.954324436438511</v>
      </c>
      <c r="C781" s="37" t="n">
        <f aca="false">1+IF($G$7=$E$7,$F$7,IF(Q781&lt;($F$7-$E$7)/($G$7-$E$7),$E$7+SQRT(Q781*($G$7-$E$7)*($F$7-$E$7)),$G$7-SQRT((1-Q781)*($G$7-$E$7)*($G$7-$F$7))))</f>
        <v>1.03600037897247</v>
      </c>
      <c r="D781" s="37" t="n">
        <f aca="false">1+IF($G$8=$E$8,$F$8,IF(R781&lt;($F$8-$E$8)/($G$8-$E$8),$E$8+SQRT(R781*($G$8-$E$8)*($F$8-$E$8)),$G$8-SQRT((1-R781)*($G$8-$E$8)*($G$8-$F$8))))</f>
        <v>0.975207545832579</v>
      </c>
      <c r="E781" s="37" t="n">
        <f aca="false">1+IF($G$9=$E$9,$F$9,IF(S781&lt;($F$9-$E$9)/($G$9-$E$9),$E$9+SQRT(S781*($G$9-$E$9)*($F$9-$E$9)),$G$9-SQRT((1-S781)*($G$9-$E$9)*($G$9-$F$9))))</f>
        <v>1.00223602707936</v>
      </c>
      <c r="F781" s="37" t="n">
        <f aca="false">1+IF($G$10=$E$10,$F$10,IF(T781&lt;($F$10-$E$10)/($G$10-$E$10),$E$10+SQRT(T781*($G$10-$E$10)*($F$10-$E$10)),$G$10-SQRT((1-T781)*($G$10-$E$10)*($G$10-$F$10))))</f>
        <v>1.08796344627356</v>
      </c>
      <c r="G781" s="38" t="n">
        <f aca="false">IF($G$11=$E$11,$F$11,IF(U781&lt;($F$11-$E$11)/($G$11-$E$11),$E$11+SQRT(U781*($G$11-$E$11)*($F$11-$E$11)),$G$11-SQRT((1-U781)*($G$11-$E$11)*($G$11-$F$11))))</f>
        <v>0.102916728921443</v>
      </c>
      <c r="H781" s="39" t="n">
        <f aca="false">(('Business Case'!B11*$C781*'Business Case'!B12*$B781)-'Business Case'!B11*$C781*'Business Case'!B13*$D781-'Business Case'!B14*$E781)-MAX(0,(('Business Case'!B11*$C781*'Business Case'!B12*$B781)-'Business Case'!B11*$C781*'Business Case'!B13*$D781-'Business Case'!B14*$E781))*'Business Case'!$B$7-'Business Case'!$B$8*('Business Case'!B11*$C781*'Business Case'!B12*$B781)-'Business Case'!B15*$F781</f>
        <v>-2175926892.54711</v>
      </c>
      <c r="I781" s="39" t="n">
        <f aca="false">(('Business Case'!C11*$C781*'Business Case'!C12*$B781)-'Business Case'!C11*$C781*'Business Case'!C13*$D781-'Business Case'!C14*$E781)-MAX(0,(('Business Case'!C11*$C781*'Business Case'!C12*$B781)-'Business Case'!C11*$C781*'Business Case'!C13*$D781-'Business Case'!C14*$E781))*'Business Case'!$B$7-'Business Case'!$B$8*(('Business Case'!C11*$C781*'Business Case'!C12*$B781)-('Business Case'!B11*$C781*'Business Case'!B12*$B781))-'Business Case'!C15*$F781</f>
        <v>-9967660.26805617</v>
      </c>
      <c r="J781" s="39" t="n">
        <f aca="false">(('Business Case'!D11*$C781*'Business Case'!D12*$B781)-'Business Case'!D11*$C781*'Business Case'!D13*$D781-'Business Case'!D14*$E781)-MAX(0,(('Business Case'!D11*$C781*'Business Case'!D12*$B781)-'Business Case'!D11*$C781*'Business Case'!D13*$D781-'Business Case'!D14*$E781))*'Business Case'!$B$7-'Business Case'!$B$8*(('Business Case'!D11*$C781*'Business Case'!D12*$B781)-('Business Case'!C11*$C781*'Business Case'!C12*$B781))-'Business Case'!D15*$F781</f>
        <v>282632183.111753</v>
      </c>
      <c r="K781" s="39" t="n">
        <f aca="false">(('Business Case'!E11*$C781*'Business Case'!E12*$B781)-'Business Case'!E11*$C781*'Business Case'!E13*$D781-'Business Case'!E14*$E781)-MAX(0,(('Business Case'!E11*$C781*'Business Case'!E12*$B781)-'Business Case'!E11*$C781*'Business Case'!E13*$D781-'Business Case'!E14*$E781))*'Business Case'!$B$7-'Business Case'!$B$8*(('Business Case'!E11*$C781*'Business Case'!E12*$B781)-('Business Case'!D11*$C781*'Business Case'!D12*$B781))-'Business Case'!E15*$F781</f>
        <v>629630198.80524</v>
      </c>
      <c r="L781" s="39" t="n">
        <f aca="false">(('Business Case'!F11*$C781*'Business Case'!F12*$B781)-'Business Case'!F11*$C781*'Business Case'!F13*$D781-'Business Case'!F14*$E781)-MAX(0,(('Business Case'!F11*$C781*'Business Case'!F12*$B781)-'Business Case'!F11*$C781*'Business Case'!F13*$D781-'Business Case'!F14*$E781))*'Business Case'!$B$7-'Business Case'!$B$8*(('Business Case'!F11*$C781*'Business Case'!F12*$B781)-('Business Case'!E11*$C781*'Business Case'!E12*$B781))-'Business Case'!F15*$F781</f>
        <v>761332277.24506</v>
      </c>
      <c r="M781" s="39" t="n">
        <f aca="false">(('Business Case'!G11*$C781*'Business Case'!G12*$B781)-'Business Case'!G11*$C781*'Business Case'!G13*$D781-'Business Case'!G14*$E781)-MAX(0,(('Business Case'!G11*$C781*'Business Case'!G12*$B781)-'Business Case'!G11*$C781*'Business Case'!G13*$D781-'Business Case'!G14*$E781))*'Business Case'!$B$7-'Business Case'!$B$8*(('Business Case'!G11*$C781*'Business Case'!G12*$B781)-('Business Case'!F11*$C781*'Business Case'!F12*$B781))-'Business Case'!G15*$F781+'Business Case'!$B$8*('Business Case'!G11*$C781*'Business Case'!G12*$B781)</f>
        <v>949260662.467753</v>
      </c>
      <c r="N781" s="39" t="n">
        <f aca="false">IF(COUNT('Business Case'!B11:G11)=0,"",H781+NPV(G781,I781:M781))</f>
        <v>-387125694.592597</v>
      </c>
      <c r="P781" s="40" t="n">
        <f aca="true">RAND()</f>
        <v>0.122725722585562</v>
      </c>
      <c r="Q781" s="40" t="n">
        <f aca="true">RAND()</f>
        <v>0.752458788677714</v>
      </c>
      <c r="R781" s="40" t="n">
        <f aca="true">RAND()</f>
        <v>0.0977569795233194</v>
      </c>
      <c r="S781" s="40" t="n">
        <f aca="true">RAND()</f>
        <v>0.362813706584781</v>
      </c>
      <c r="T781" s="40" t="n">
        <f aca="true">RAND()</f>
        <v>0.748956212582029</v>
      </c>
      <c r="U781" s="40" t="n">
        <f aca="true">RAND()</f>
        <v>0.513603082094228</v>
      </c>
    </row>
    <row r="782" customFormat="false" ht="15" hidden="false" customHeight="false" outlineLevel="0" collapsed="false">
      <c r="A782" s="36" t="n">
        <v>702</v>
      </c>
      <c r="B782" s="37" t="n">
        <f aca="false">1+IF($G$6=$E$6,$F$6,IF(P782&lt;($F$6-$E$6)/($G$6-$E$6),$E$6+SQRT(P782*($G$6-$E$6)*($F$6-$E$6)),$G$6-SQRT((1-P782)*($G$6-$E$6)*($G$6-$F$6))))</f>
        <v>1.00602371567158</v>
      </c>
      <c r="C782" s="37" t="n">
        <f aca="false">1+IF($G$7=$E$7,$F$7,IF(Q782&lt;($F$7-$E$7)/($G$7-$E$7),$E$7+SQRT(Q782*($G$7-$E$7)*($F$7-$E$7)),$G$7-SQRT((1-Q782)*($G$7-$E$7)*($G$7-$F$7))))</f>
        <v>1.05588470522028</v>
      </c>
      <c r="D782" s="37" t="n">
        <f aca="false">1+IF($G$8=$E$8,$F$8,IF(R782&lt;($F$8-$E$8)/($G$8-$E$8),$E$8+SQRT(R782*($G$8-$E$8)*($F$8-$E$8)),$G$8-SQRT((1-R782)*($G$8-$E$8)*($G$8-$F$8))))</f>
        <v>1.04085179154315</v>
      </c>
      <c r="E782" s="37" t="n">
        <f aca="false">1+IF($G$9=$E$9,$F$9,IF(S782&lt;($F$9-$E$9)/($G$9-$E$9),$E$9+SQRT(S782*($G$9-$E$9)*($F$9-$E$9)),$G$9-SQRT((1-S782)*($G$9-$E$9)*($G$9-$F$9))))</f>
        <v>0.989513032466344</v>
      </c>
      <c r="F782" s="37" t="n">
        <f aca="false">1+IF($G$10=$E$10,$F$10,IF(T782&lt;($F$10-$E$10)/($G$10-$E$10),$E$10+SQRT(T782*($G$10-$E$10)*($F$10-$E$10)),$G$10-SQRT((1-T782)*($G$10-$E$10)*($G$10-$F$10))))</f>
        <v>0.979115712966188</v>
      </c>
      <c r="G782" s="38" t="n">
        <f aca="false">IF($G$11=$E$11,$F$11,IF(U782&lt;($F$11-$E$11)/($G$11-$E$11),$E$11+SQRT(U782*($G$11-$E$11)*($F$11-$E$11)),$G$11-SQRT((1-U782)*($G$11-$E$11)*($G$11-$F$11))))</f>
        <v>0.100337822933876</v>
      </c>
      <c r="H782" s="39" t="n">
        <f aca="false">(('Business Case'!B11*$C782*'Business Case'!B12*$B782)-'Business Case'!B11*$C782*'Business Case'!B13*$D782-'Business Case'!B14*$E782)-MAX(0,(('Business Case'!B11*$C782*'Business Case'!B12*$B782)-'Business Case'!B11*$C782*'Business Case'!B13*$D782-'Business Case'!B14*$E782))*'Business Case'!$B$7-'Business Case'!$B$8*('Business Case'!B11*$C782*'Business Case'!B12*$B782)-'Business Case'!B15*$F782</f>
        <v>-1958231425.93238</v>
      </c>
      <c r="I782" s="39" t="n">
        <f aca="false">(('Business Case'!C11*$C782*'Business Case'!C12*$B782)-'Business Case'!C11*$C782*'Business Case'!C13*$D782-'Business Case'!C14*$E782)-MAX(0,(('Business Case'!C11*$C782*'Business Case'!C12*$B782)-'Business Case'!C11*$C782*'Business Case'!C13*$D782-'Business Case'!C14*$E782))*'Business Case'!$B$7-'Business Case'!$B$8*(('Business Case'!C11*$C782*'Business Case'!C12*$B782)-('Business Case'!B11*$C782*'Business Case'!B12*$B782))-'Business Case'!C15*$F782</f>
        <v>13758017.2832046</v>
      </c>
      <c r="J782" s="39" t="n">
        <f aca="false">(('Business Case'!D11*$C782*'Business Case'!D12*$B782)-'Business Case'!D11*$C782*'Business Case'!D13*$D782-'Business Case'!D14*$E782)-MAX(0,(('Business Case'!D11*$C782*'Business Case'!D12*$B782)-'Business Case'!D11*$C782*'Business Case'!D13*$D782-'Business Case'!D14*$E782))*'Business Case'!$B$7-'Business Case'!$B$8*(('Business Case'!D11*$C782*'Business Case'!D12*$B782)-('Business Case'!C11*$C782*'Business Case'!C12*$B782))-'Business Case'!D15*$F782</f>
        <v>321203142.703286</v>
      </c>
      <c r="K782" s="39" t="n">
        <f aca="false">(('Business Case'!E11*$C782*'Business Case'!E12*$B782)-'Business Case'!E11*$C782*'Business Case'!E13*$D782-'Business Case'!E14*$E782)-MAX(0,(('Business Case'!E11*$C782*'Business Case'!E12*$B782)-'Business Case'!E11*$C782*'Business Case'!E13*$D782-'Business Case'!E14*$E782))*'Business Case'!$B$7-'Business Case'!$B$8*(('Business Case'!E11*$C782*'Business Case'!E12*$B782)-('Business Case'!D11*$C782*'Business Case'!D12*$B782))-'Business Case'!E15*$F782</f>
        <v>677604053.771676</v>
      </c>
      <c r="L782" s="39" t="n">
        <f aca="false">(('Business Case'!F11*$C782*'Business Case'!F12*$B782)-'Business Case'!F11*$C782*'Business Case'!F13*$D782-'Business Case'!F14*$E782)-MAX(0,(('Business Case'!F11*$C782*'Business Case'!F12*$B782)-'Business Case'!F11*$C782*'Business Case'!F13*$D782-'Business Case'!F14*$E782))*'Business Case'!$B$7-'Business Case'!$B$8*(('Business Case'!F11*$C782*'Business Case'!F12*$B782)-('Business Case'!E11*$C782*'Business Case'!E12*$B782))-'Business Case'!F15*$F782</f>
        <v>816796951.327399</v>
      </c>
      <c r="M782" s="39" t="n">
        <f aca="false">(('Business Case'!G11*$C782*'Business Case'!G12*$B782)-'Business Case'!G11*$C782*'Business Case'!G13*$D782-'Business Case'!G14*$E782)-MAX(0,(('Business Case'!G11*$C782*'Business Case'!G12*$B782)-'Business Case'!G11*$C782*'Business Case'!G13*$D782-'Business Case'!G14*$E782))*'Business Case'!$B$7-'Business Case'!$B$8*(('Business Case'!G11*$C782*'Business Case'!G12*$B782)-('Business Case'!F11*$C782*'Business Case'!F12*$B782))-'Business Case'!G15*$F782+'Business Case'!$B$8*('Business Case'!G11*$C782*'Business Case'!G12*$B782)</f>
        <v>1018708491.28039</v>
      </c>
      <c r="N782" s="39" t="n">
        <f aca="false">IF(COUNT('Business Case'!B11:G11)=0,"",H782+NPV(G782,I782:M782))</f>
        <v>16957310.1006949</v>
      </c>
      <c r="P782" s="40" t="n">
        <f aca="true">RAND()</f>
        <v>0.759502521507169</v>
      </c>
      <c r="Q782" s="40" t="n">
        <f aca="true">RAND()</f>
        <v>0.83128211978146</v>
      </c>
      <c r="R782" s="40" t="n">
        <f aca="true">RAND()</f>
        <v>0.852636324482626</v>
      </c>
      <c r="S782" s="40" t="n">
        <f aca="true">RAND()</f>
        <v>0.208170631291516</v>
      </c>
      <c r="T782" s="40" t="n">
        <f aca="true">RAND()</f>
        <v>0.0678179793223552</v>
      </c>
      <c r="U782" s="40" t="n">
        <f aca="true">RAND()</f>
        <v>0.355664655033953</v>
      </c>
    </row>
    <row r="783" customFormat="false" ht="15" hidden="false" customHeight="false" outlineLevel="0" collapsed="false">
      <c r="A783" s="36" t="n">
        <v>703</v>
      </c>
      <c r="B783" s="37" t="n">
        <f aca="false">1+IF($G$6=$E$6,$F$6,IF(P783&lt;($F$6-$E$6)/($G$6-$E$6),$E$6+SQRT(P783*($G$6-$E$6)*($F$6-$E$6)),$G$6-SQRT((1-P783)*($G$6-$E$6)*($G$6-$F$6))))</f>
        <v>0.932484819025172</v>
      </c>
      <c r="C783" s="37" t="n">
        <f aca="false">1+IF($G$7=$E$7,$F$7,IF(Q783&lt;($F$7-$E$7)/($G$7-$E$7),$E$7+SQRT(Q783*($G$7-$E$7)*($F$7-$E$7)),$G$7-SQRT((1-Q783)*($G$7-$E$7)*($G$7-$F$7))))</f>
        <v>0.989250091563893</v>
      </c>
      <c r="D783" s="37" t="n">
        <f aca="false">1+IF($G$8=$E$8,$F$8,IF(R783&lt;($F$8-$E$8)/($G$8-$E$8),$E$8+SQRT(R783*($G$8-$E$8)*($F$8-$E$8)),$G$8-SQRT((1-R783)*($G$8-$E$8)*($G$8-$F$8))))</f>
        <v>1.00804788177243</v>
      </c>
      <c r="E783" s="37" t="n">
        <f aca="false">1+IF($G$9=$E$9,$F$9,IF(S783&lt;($F$9-$E$9)/($G$9-$E$9),$E$9+SQRT(S783*($G$9-$E$9)*($F$9-$E$9)),$G$9-SQRT((1-S783)*($G$9-$E$9)*($G$9-$F$9))))</f>
        <v>1.05802783850749</v>
      </c>
      <c r="F783" s="37" t="n">
        <f aca="false">1+IF($G$10=$E$10,$F$10,IF(T783&lt;($F$10-$E$10)/($G$10-$E$10),$E$10+SQRT(T783*($G$10-$E$10)*($F$10-$E$10)),$G$10-SQRT((1-T783)*($G$10-$E$10)*($G$10-$F$10))))</f>
        <v>1.00057544094887</v>
      </c>
      <c r="G783" s="38" t="n">
        <f aca="false">IF($G$11=$E$11,$F$11,IF(U783&lt;($F$11-$E$11)/($G$11-$E$11),$E$11+SQRT(U783*($G$11-$E$11)*($F$11-$E$11)),$G$11-SQRT((1-U783)*($G$11-$E$11)*($G$11-$F$11))))</f>
        <v>0.105729809915236</v>
      </c>
      <c r="H783" s="39" t="n">
        <f aca="false">(('Business Case'!B11*$C783*'Business Case'!B12*$B783)-'Business Case'!B11*$C783*'Business Case'!B13*$D783-'Business Case'!B14*$E783)-MAX(0,(('Business Case'!B11*$C783*'Business Case'!B12*$B783)-'Business Case'!B11*$C783*'Business Case'!B13*$D783-'Business Case'!B14*$E783))*'Business Case'!$B$7-'Business Case'!$B$8*('Business Case'!B11*$C783*'Business Case'!B12*$B783)-'Business Case'!B15*$F783</f>
        <v>-2001150881.89774</v>
      </c>
      <c r="I783" s="39" t="n">
        <f aca="false">(('Business Case'!C11*$C783*'Business Case'!C12*$B783)-'Business Case'!C11*$C783*'Business Case'!C13*$D783-'Business Case'!C14*$E783)-MAX(0,(('Business Case'!C11*$C783*'Business Case'!C12*$B783)-'Business Case'!C11*$C783*'Business Case'!C13*$D783-'Business Case'!C14*$E783))*'Business Case'!$B$7-'Business Case'!$B$8*(('Business Case'!C11*$C783*'Business Case'!C12*$B783)-('Business Case'!B11*$C783*'Business Case'!B12*$B783))-'Business Case'!C15*$F783</f>
        <v>-53260230.8912438</v>
      </c>
      <c r="J783" s="39" t="n">
        <f aca="false">(('Business Case'!D11*$C783*'Business Case'!D12*$B783)-'Business Case'!D11*$C783*'Business Case'!D13*$D783-'Business Case'!D14*$E783)-MAX(0,(('Business Case'!D11*$C783*'Business Case'!D12*$B783)-'Business Case'!D11*$C783*'Business Case'!D13*$D783-'Business Case'!D14*$E783))*'Business Case'!$B$7-'Business Case'!$B$8*(('Business Case'!D11*$C783*'Business Case'!D12*$B783)-('Business Case'!C11*$C783*'Business Case'!C12*$B783))-'Business Case'!D15*$F783</f>
        <v>191809003.252683</v>
      </c>
      <c r="K783" s="39" t="n">
        <f aca="false">(('Business Case'!E11*$C783*'Business Case'!E12*$B783)-'Business Case'!E11*$C783*'Business Case'!E13*$D783-'Business Case'!E14*$E783)-MAX(0,(('Business Case'!E11*$C783*'Business Case'!E12*$B783)-'Business Case'!E11*$C783*'Business Case'!E13*$D783-'Business Case'!E14*$E783))*'Business Case'!$B$7-'Business Case'!$B$8*(('Business Case'!E11*$C783*'Business Case'!E12*$B783)-('Business Case'!D11*$C783*'Business Case'!D12*$B783))-'Business Case'!E15*$F783</f>
        <v>486907009.444053</v>
      </c>
      <c r="L783" s="39" t="n">
        <f aca="false">(('Business Case'!F11*$C783*'Business Case'!F12*$B783)-'Business Case'!F11*$C783*'Business Case'!F13*$D783-'Business Case'!F14*$E783)-MAX(0,(('Business Case'!F11*$C783*'Business Case'!F12*$B783)-'Business Case'!F11*$C783*'Business Case'!F13*$D783-'Business Case'!F14*$E783))*'Business Case'!$B$7-'Business Case'!$B$8*(('Business Case'!F11*$C783*'Business Case'!F12*$B783)-('Business Case'!E11*$C783*'Business Case'!E12*$B783))-'Business Case'!F15*$F783</f>
        <v>600476995.695042</v>
      </c>
      <c r="M783" s="39" t="n">
        <f aca="false">(('Business Case'!G11*$C783*'Business Case'!G12*$B783)-'Business Case'!G11*$C783*'Business Case'!G13*$D783-'Business Case'!G14*$E783)-MAX(0,(('Business Case'!G11*$C783*'Business Case'!G12*$B783)-'Business Case'!G11*$C783*'Business Case'!G13*$D783-'Business Case'!G14*$E783))*'Business Case'!$B$7-'Business Case'!$B$8*(('Business Case'!G11*$C783*'Business Case'!G12*$B783)-('Business Case'!F11*$C783*'Business Case'!F12*$B783))-'Business Case'!G15*$F783+'Business Case'!$B$8*('Business Case'!G11*$C783*'Business Case'!G12*$B783)</f>
        <v>775818324.144942</v>
      </c>
      <c r="N783" s="39" t="n">
        <f aca="false">IF(COUNT('Business Case'!B11:G11)=0,"",H783+NPV(G783,I783:M783))</f>
        <v>-661206088.837432</v>
      </c>
      <c r="P783" s="40" t="n">
        <f aca="true">RAND()</f>
        <v>0.0162365318845112</v>
      </c>
      <c r="Q783" s="40" t="n">
        <f aca="true">RAND()</f>
        <v>0.511651387956313</v>
      </c>
      <c r="R783" s="40" t="n">
        <f aca="true">RAND()</f>
        <v>0.502201219477442</v>
      </c>
      <c r="S783" s="40" t="n">
        <f aca="true">RAND()</f>
        <v>0.882555843976452</v>
      </c>
      <c r="T783" s="40" t="n">
        <f aca="true">RAND()</f>
        <v>0.20459690494525</v>
      </c>
      <c r="U783" s="40" t="n">
        <f aca="true">RAND()</f>
        <v>0.66060279157451</v>
      </c>
    </row>
    <row r="784" customFormat="false" ht="15" hidden="false" customHeight="false" outlineLevel="0" collapsed="false">
      <c r="A784" s="36" t="n">
        <v>704</v>
      </c>
      <c r="B784" s="37" t="n">
        <f aca="false">1+IF($G$6=$E$6,$F$6,IF(P784&lt;($F$6-$E$6)/($G$6-$E$6),$E$6+SQRT(P784*($G$6-$E$6)*($F$6-$E$6)),$G$6-SQRT((1-P784)*($G$6-$E$6)*($G$6-$F$6))))</f>
        <v>0.995922036592534</v>
      </c>
      <c r="C784" s="37" t="n">
        <f aca="false">1+IF($G$7=$E$7,$F$7,IF(Q784&lt;($F$7-$E$7)/($G$7-$E$7),$E$7+SQRT(Q784*($G$7-$E$7)*($F$7-$E$7)),$G$7-SQRT((1-Q784)*($G$7-$E$7)*($G$7-$F$7))))</f>
        <v>0.993554342260054</v>
      </c>
      <c r="D784" s="37" t="n">
        <f aca="false">1+IF($G$8=$E$8,$F$8,IF(R784&lt;($F$8-$E$8)/($G$8-$E$8),$E$8+SQRT(R784*($G$8-$E$8)*($F$8-$E$8)),$G$8-SQRT((1-R784)*($G$8-$E$8)*($G$8-$F$8))))</f>
        <v>0.975682135169663</v>
      </c>
      <c r="E784" s="37" t="n">
        <f aca="false">1+IF($G$9=$E$9,$F$9,IF(S784&lt;($F$9-$E$9)/($G$9-$E$9),$E$9+SQRT(S784*($G$9-$E$9)*($F$9-$E$9)),$G$9-SQRT((1-S784)*($G$9-$E$9)*($G$9-$F$9))))</f>
        <v>1.04485607884526</v>
      </c>
      <c r="F784" s="37" t="n">
        <f aca="false">1+IF($G$10=$E$10,$F$10,IF(T784&lt;($F$10-$E$10)/($G$10-$E$10),$E$10+SQRT(T784*($G$10-$E$10)*($F$10-$E$10)),$G$10-SQRT((1-T784)*($G$10-$E$10)*($G$10-$F$10))))</f>
        <v>0.977554564085477</v>
      </c>
      <c r="G784" s="38" t="n">
        <f aca="false">IF($G$11=$E$11,$F$11,IF(U784&lt;($F$11-$E$11)/($G$11-$E$11),$E$11+SQRT(U784*($G$11-$E$11)*($F$11-$E$11)),$G$11-SQRT((1-U784)*($G$11-$E$11)*($G$11-$F$11))))</f>
        <v>0.109023440804288</v>
      </c>
      <c r="H784" s="39" t="n">
        <f aca="false">(('Business Case'!B11*$C784*'Business Case'!B12*$B784)-'Business Case'!B11*$C784*'Business Case'!B13*$D784-'Business Case'!B14*$E784)-MAX(0,(('Business Case'!B11*$C784*'Business Case'!B12*$B784)-'Business Case'!B11*$C784*'Business Case'!B13*$D784-'Business Case'!B14*$E784))*'Business Case'!$B$7-'Business Case'!$B$8*('Business Case'!B11*$C784*'Business Case'!B12*$B784)-'Business Case'!B15*$F784</f>
        <v>-1955109128.17095</v>
      </c>
      <c r="I784" s="39" t="n">
        <f aca="false">(('Business Case'!C11*$C784*'Business Case'!C12*$B784)-'Business Case'!C11*$C784*'Business Case'!C13*$D784-'Business Case'!C14*$E784)-MAX(0,(('Business Case'!C11*$C784*'Business Case'!C12*$B784)-'Business Case'!C11*$C784*'Business Case'!C13*$D784-'Business Case'!C14*$E784))*'Business Case'!$B$7-'Business Case'!$B$8*(('Business Case'!C11*$C784*'Business Case'!C12*$B784)-('Business Case'!B11*$C784*'Business Case'!B12*$B784))-'Business Case'!C15*$F784</f>
        <v>16592338.8539155</v>
      </c>
      <c r="J784" s="39" t="n">
        <f aca="false">(('Business Case'!D11*$C784*'Business Case'!D12*$B784)-'Business Case'!D11*$C784*'Business Case'!D13*$D784-'Business Case'!D14*$E784)-MAX(0,(('Business Case'!D11*$C784*'Business Case'!D12*$B784)-'Business Case'!D11*$C784*'Business Case'!D13*$D784-'Business Case'!D14*$E784))*'Business Case'!$B$7-'Business Case'!$B$8*(('Business Case'!D11*$C784*'Business Case'!D12*$B784)-('Business Case'!C11*$C784*'Business Case'!C12*$B784))-'Business Case'!D15*$F784</f>
        <v>330814486.630401</v>
      </c>
      <c r="K784" s="39" t="n">
        <f aca="false">(('Business Case'!E11*$C784*'Business Case'!E12*$B784)-'Business Case'!E11*$C784*'Business Case'!E13*$D784-'Business Case'!E14*$E784)-MAX(0,(('Business Case'!E11*$C784*'Business Case'!E12*$B784)-'Business Case'!E11*$C784*'Business Case'!E13*$D784-'Business Case'!E14*$E784))*'Business Case'!$B$7-'Business Case'!$B$8*(('Business Case'!E11*$C784*'Business Case'!E12*$B784)-('Business Case'!D11*$C784*'Business Case'!D12*$B784))-'Business Case'!E15*$F784</f>
        <v>693914362.611159</v>
      </c>
      <c r="L784" s="39" t="n">
        <f aca="false">(('Business Case'!F11*$C784*'Business Case'!F12*$B784)-'Business Case'!F11*$C784*'Business Case'!F13*$D784-'Business Case'!F14*$E784)-MAX(0,(('Business Case'!F11*$C784*'Business Case'!F12*$B784)-'Business Case'!F11*$C784*'Business Case'!F13*$D784-'Business Case'!F14*$E784))*'Business Case'!$B$7-'Business Case'!$B$8*(('Business Case'!F11*$C784*'Business Case'!F12*$B784)-('Business Case'!E11*$C784*'Business Case'!E12*$B784))-'Business Case'!F15*$F784</f>
        <v>832852290.604805</v>
      </c>
      <c r="M784" s="39" t="n">
        <f aca="false">(('Business Case'!G11*$C784*'Business Case'!G12*$B784)-'Business Case'!G11*$C784*'Business Case'!G13*$D784-'Business Case'!G14*$E784)-MAX(0,(('Business Case'!G11*$C784*'Business Case'!G12*$B784)-'Business Case'!G11*$C784*'Business Case'!G13*$D784-'Business Case'!G14*$E784))*'Business Case'!$B$7-'Business Case'!$B$8*(('Business Case'!G11*$C784*'Business Case'!G12*$B784)-('Business Case'!F11*$C784*'Business Case'!F12*$B784))-'Business Case'!G15*$F784+'Business Case'!$B$8*('Business Case'!G11*$C784*'Business Case'!G12*$B784)</f>
        <v>1020936956.97963</v>
      </c>
      <c r="N784" s="39" t="n">
        <f aca="false">IF(COUNT('Business Case'!B11:G11)=0,"",H784+NPV(G784,I784:M784))</f>
        <v>-3343485.8181839</v>
      </c>
      <c r="P784" s="40" t="n">
        <f aca="true">RAND()</f>
        <v>0.600432879203969</v>
      </c>
      <c r="Q784" s="40" t="n">
        <f aca="true">RAND()</f>
        <v>0.535189762967461</v>
      </c>
      <c r="R784" s="40" t="n">
        <f aca="true">RAND()</f>
        <v>0.101472625672746</v>
      </c>
      <c r="S784" s="40" t="n">
        <f aca="true">RAND()</f>
        <v>0.797276530645322</v>
      </c>
      <c r="T784" s="40" t="n">
        <f aca="true">RAND()</f>
        <v>0.0607403201552519</v>
      </c>
      <c r="U784" s="40" t="n">
        <f aca="true">RAND()</f>
        <v>0.799191913705066</v>
      </c>
    </row>
    <row r="785" customFormat="false" ht="15" hidden="false" customHeight="false" outlineLevel="0" collapsed="false">
      <c r="A785" s="36" t="n">
        <v>705</v>
      </c>
      <c r="B785" s="37" t="n">
        <f aca="false">1+IF($G$6=$E$6,$F$6,IF(P785&lt;($F$6-$E$6)/($G$6-$E$6),$E$6+SQRT(P785*($G$6-$E$6)*($F$6-$E$6)),$G$6-SQRT((1-P785)*($G$6-$E$6)*($G$6-$F$6))))</f>
        <v>1.00766150331687</v>
      </c>
      <c r="C785" s="37" t="n">
        <f aca="false">1+IF($G$7=$E$7,$F$7,IF(Q785&lt;($F$7-$E$7)/($G$7-$E$7),$E$7+SQRT(Q785*($G$7-$E$7)*($F$7-$E$7)),$G$7-SQRT((1-Q785)*($G$7-$E$7)*($G$7-$F$7))))</f>
        <v>1.04312234458856</v>
      </c>
      <c r="D785" s="37" t="n">
        <f aca="false">1+IF($G$8=$E$8,$F$8,IF(R785&lt;($F$8-$E$8)/($G$8-$E$8),$E$8+SQRT(R785*($G$8-$E$8)*($F$8-$E$8)),$G$8-SQRT((1-R785)*($G$8-$E$8)*($G$8-$F$8))))</f>
        <v>1.04465518248375</v>
      </c>
      <c r="E785" s="37" t="n">
        <f aca="false">1+IF($G$9=$E$9,$F$9,IF(S785&lt;($F$9-$E$9)/($G$9-$E$9),$E$9+SQRT(S785*($G$9-$E$9)*($F$9-$E$9)),$G$9-SQRT((1-S785)*($G$9-$E$9)*($G$9-$F$9))))</f>
        <v>0.998739190835604</v>
      </c>
      <c r="F785" s="37" t="n">
        <f aca="false">1+IF($G$10=$E$10,$F$10,IF(T785&lt;($F$10-$E$10)/($G$10-$E$10),$E$10+SQRT(T785*($G$10-$E$10)*($F$10-$E$10)),$G$10-SQRT((1-T785)*($G$10-$E$10)*($G$10-$F$10))))</f>
        <v>1.00030265018404</v>
      </c>
      <c r="G785" s="38" t="n">
        <f aca="false">IF($G$11=$E$11,$F$11,IF(U785&lt;($F$11-$E$11)/($G$11-$E$11),$E$11+SQRT(U785*($G$11-$E$11)*($F$11-$E$11)),$G$11-SQRT((1-U785)*($G$11-$E$11)*($G$11-$F$11))))</f>
        <v>0.105338732348518</v>
      </c>
      <c r="H785" s="39" t="n">
        <f aca="false">(('Business Case'!B11*$C785*'Business Case'!B12*$B785)-'Business Case'!B11*$C785*'Business Case'!B13*$D785-'Business Case'!B14*$E785)-MAX(0,(('Business Case'!B11*$C785*'Business Case'!B12*$B785)-'Business Case'!B11*$C785*'Business Case'!B13*$D785-'Business Case'!B14*$E785))*'Business Case'!$B$7-'Business Case'!$B$8*('Business Case'!B11*$C785*'Business Case'!B12*$B785)-'Business Case'!B15*$F785</f>
        <v>-2000605300.36809</v>
      </c>
      <c r="I785" s="39" t="n">
        <f aca="false">(('Business Case'!C11*$C785*'Business Case'!C12*$B785)-'Business Case'!C11*$C785*'Business Case'!C13*$D785-'Business Case'!C14*$E785)-MAX(0,(('Business Case'!C11*$C785*'Business Case'!C12*$B785)-'Business Case'!C11*$C785*'Business Case'!C13*$D785-'Business Case'!C14*$E785))*'Business Case'!$B$7-'Business Case'!$B$8*(('Business Case'!C11*$C785*'Business Case'!C12*$B785)-('Business Case'!B11*$C785*'Business Case'!B12*$B785))-'Business Case'!C15*$F785</f>
        <v>6556651.54757491</v>
      </c>
      <c r="J785" s="39" t="n">
        <f aca="false">(('Business Case'!D11*$C785*'Business Case'!D12*$B785)-'Business Case'!D11*$C785*'Business Case'!D13*$D785-'Business Case'!D14*$E785)-MAX(0,(('Business Case'!D11*$C785*'Business Case'!D12*$B785)-'Business Case'!D11*$C785*'Business Case'!D13*$D785-'Business Case'!D14*$E785))*'Business Case'!$B$7-'Business Case'!$B$8*(('Business Case'!D11*$C785*'Business Case'!D12*$B785)-('Business Case'!C11*$C785*'Business Case'!C12*$B785))-'Business Case'!D15*$F785</f>
        <v>309654042.727953</v>
      </c>
      <c r="K785" s="39" t="n">
        <f aca="false">(('Business Case'!E11*$C785*'Business Case'!E12*$B785)-'Business Case'!E11*$C785*'Business Case'!E13*$D785-'Business Case'!E14*$E785)-MAX(0,(('Business Case'!E11*$C785*'Business Case'!E12*$B785)-'Business Case'!E11*$C785*'Business Case'!E13*$D785-'Business Case'!E14*$E785))*'Business Case'!$B$7-'Business Case'!$B$8*(('Business Case'!E11*$C785*'Business Case'!E12*$B785)-('Business Case'!D11*$C785*'Business Case'!D12*$B785))-'Business Case'!E15*$F785</f>
        <v>662766566.417534</v>
      </c>
      <c r="L785" s="39" t="n">
        <f aca="false">(('Business Case'!F11*$C785*'Business Case'!F12*$B785)-'Business Case'!F11*$C785*'Business Case'!F13*$D785-'Business Case'!F14*$E785)-MAX(0,(('Business Case'!F11*$C785*'Business Case'!F12*$B785)-'Business Case'!F11*$C785*'Business Case'!F13*$D785-'Business Case'!F14*$E785))*'Business Case'!$B$7-'Business Case'!$B$8*(('Business Case'!F11*$C785*'Business Case'!F12*$B785)-('Business Case'!E11*$C785*'Business Case'!E12*$B785))-'Business Case'!F15*$F785</f>
        <v>800125537.929378</v>
      </c>
      <c r="M785" s="39" t="n">
        <f aca="false">(('Business Case'!G11*$C785*'Business Case'!G12*$B785)-'Business Case'!G11*$C785*'Business Case'!G13*$D785-'Business Case'!G14*$E785)-MAX(0,(('Business Case'!G11*$C785*'Business Case'!G12*$B785)-'Business Case'!G11*$C785*'Business Case'!G13*$D785-'Business Case'!G14*$E785))*'Business Case'!$B$7-'Business Case'!$B$8*(('Business Case'!G11*$C785*'Business Case'!G12*$B785)-('Business Case'!F11*$C785*'Business Case'!F12*$B785))-'Business Case'!G15*$F785+'Business Case'!$B$8*('Business Case'!G11*$C785*'Business Case'!G12*$B785)</f>
        <v>999921330.747158</v>
      </c>
      <c r="N785" s="39" t="n">
        <f aca="false">IF(COUNT('Business Case'!B11:G11)=0,"",H785+NPV(G785,I785:M785))</f>
        <v>-108423982.907992</v>
      </c>
      <c r="P785" s="40" t="n">
        <f aca="true">RAND()</f>
        <v>0.782129506723982</v>
      </c>
      <c r="Q785" s="40" t="n">
        <f aca="true">RAND()</f>
        <v>0.782422224261952</v>
      </c>
      <c r="R785" s="40" t="n">
        <f aca="true">RAND()</f>
        <v>0.879879218725319</v>
      </c>
      <c r="S785" s="40" t="n">
        <f aca="true">RAND()</f>
        <v>0.31673449644125</v>
      </c>
      <c r="T785" s="40" t="n">
        <f aca="true">RAND()</f>
        <v>0.202419369529666</v>
      </c>
      <c r="U785" s="40" t="n">
        <f aca="true">RAND()</f>
        <v>0.641745384752682</v>
      </c>
    </row>
    <row r="786" customFormat="false" ht="15" hidden="false" customHeight="false" outlineLevel="0" collapsed="false">
      <c r="A786" s="36" t="n">
        <v>706</v>
      </c>
      <c r="B786" s="37" t="n">
        <f aca="false">1+IF($G$6=$E$6,$F$6,IF(P786&lt;($F$6-$E$6)/($G$6-$E$6),$E$6+SQRT(P786*($G$6-$E$6)*($F$6-$E$6)),$G$6-SQRT((1-P786)*($G$6-$E$6)*($G$6-$F$6))))</f>
        <v>0.994137073183894</v>
      </c>
      <c r="C786" s="37" t="n">
        <f aca="false">1+IF($G$7=$E$7,$F$7,IF(Q786&lt;($F$7-$E$7)/($G$7-$E$7),$E$7+SQRT(Q786*($G$7-$E$7)*($F$7-$E$7)),$G$7-SQRT((1-Q786)*($G$7-$E$7)*($G$7-$F$7))))</f>
        <v>1.07650878665323</v>
      </c>
      <c r="D786" s="37" t="n">
        <f aca="false">1+IF($G$8=$E$8,$F$8,IF(R786&lt;($F$8-$E$8)/($G$8-$E$8),$E$8+SQRT(R786*($G$8-$E$8)*($F$8-$E$8)),$G$8-SQRT((1-R786)*($G$8-$E$8)*($G$8-$F$8))))</f>
        <v>0.960402589823823</v>
      </c>
      <c r="E786" s="37" t="n">
        <f aca="false">1+IF($G$9=$E$9,$F$9,IF(S786&lt;($F$9-$E$9)/($G$9-$E$9),$E$9+SQRT(S786*($G$9-$E$9)*($F$9-$E$9)),$G$9-SQRT((1-S786)*($G$9-$E$9)*($G$9-$F$9))))</f>
        <v>0.99326113145173</v>
      </c>
      <c r="F786" s="37" t="n">
        <f aca="false">1+IF($G$10=$E$10,$F$10,IF(T786&lt;($F$10-$E$10)/($G$10-$E$10),$E$10+SQRT(T786*($G$10-$E$10)*($F$10-$E$10)),$G$10-SQRT((1-T786)*($G$10-$E$10)*($G$10-$F$10))))</f>
        <v>1.09837287151171</v>
      </c>
      <c r="G786" s="38" t="n">
        <f aca="false">IF($G$11=$E$11,$F$11,IF(U786&lt;($F$11-$E$11)/($G$11-$E$11),$E$11+SQRT(U786*($G$11-$E$11)*($F$11-$E$11)),$G$11-SQRT((1-U786)*($G$11-$E$11)*($G$11-$F$11))))</f>
        <v>0.11302234383531</v>
      </c>
      <c r="H786" s="39" t="n">
        <f aca="false">(('Business Case'!B11*$C786*'Business Case'!B12*$B786)-'Business Case'!B11*$C786*'Business Case'!B13*$D786-'Business Case'!B14*$E786)-MAX(0,(('Business Case'!B11*$C786*'Business Case'!B12*$B786)-'Business Case'!B11*$C786*'Business Case'!B13*$D786-'Business Case'!B14*$E786))*'Business Case'!$B$7-'Business Case'!$B$8*('Business Case'!B11*$C786*'Business Case'!B12*$B786)-'Business Case'!B15*$F786</f>
        <v>-2196745743.02343</v>
      </c>
      <c r="I786" s="39" t="n">
        <f aca="false">(('Business Case'!C11*$C786*'Business Case'!C12*$B786)-'Business Case'!C11*$C786*'Business Case'!C13*$D786-'Business Case'!C14*$E786)-MAX(0,(('Business Case'!C11*$C786*'Business Case'!C12*$B786)-'Business Case'!C11*$C786*'Business Case'!C13*$D786-'Business Case'!C14*$E786))*'Business Case'!$B$7-'Business Case'!$B$8*(('Business Case'!C11*$C786*'Business Case'!C12*$B786)-('Business Case'!B11*$C786*'Business Case'!B12*$B786))-'Business Case'!C15*$F786</f>
        <v>40745805.8401437</v>
      </c>
      <c r="J786" s="39" t="n">
        <f aca="false">(('Business Case'!D11*$C786*'Business Case'!D12*$B786)-'Business Case'!D11*$C786*'Business Case'!D13*$D786-'Business Case'!D14*$E786)-MAX(0,(('Business Case'!D11*$C786*'Business Case'!D12*$B786)-'Business Case'!D11*$C786*'Business Case'!D13*$D786-'Business Case'!D14*$E786))*'Business Case'!$B$7-'Business Case'!$B$8*(('Business Case'!D11*$C786*'Business Case'!D12*$B786)-('Business Case'!C11*$C786*'Business Case'!C12*$B786))-'Business Case'!D15*$F786</f>
        <v>388049659.466637</v>
      </c>
      <c r="K786" s="39" t="n">
        <f aca="false">(('Business Case'!E11*$C786*'Business Case'!E12*$B786)-'Business Case'!E11*$C786*'Business Case'!E13*$D786-'Business Case'!E14*$E786)-MAX(0,(('Business Case'!E11*$C786*'Business Case'!E12*$B786)-'Business Case'!E11*$C786*'Business Case'!E13*$D786-'Business Case'!E14*$E786))*'Business Case'!$B$7-'Business Case'!$B$8*(('Business Case'!E11*$C786*'Business Case'!E12*$B786)-('Business Case'!D11*$C786*'Business Case'!D12*$B786))-'Business Case'!E15*$F786</f>
        <v>790272156.668716</v>
      </c>
      <c r="L786" s="39" t="n">
        <f aca="false">(('Business Case'!F11*$C786*'Business Case'!F12*$B786)-'Business Case'!F11*$C786*'Business Case'!F13*$D786-'Business Case'!F14*$E786)-MAX(0,(('Business Case'!F11*$C786*'Business Case'!F12*$B786)-'Business Case'!F11*$C786*'Business Case'!F13*$D786-'Business Case'!F14*$E786))*'Business Case'!$B$7-'Business Case'!$B$8*(('Business Case'!F11*$C786*'Business Case'!F12*$B786)-('Business Case'!E11*$C786*'Business Case'!E12*$B786))-'Business Case'!F15*$F786</f>
        <v>943026126.372708</v>
      </c>
      <c r="M786" s="39" t="n">
        <f aca="false">(('Business Case'!G11*$C786*'Business Case'!G12*$B786)-'Business Case'!G11*$C786*'Business Case'!G13*$D786-'Business Case'!G14*$E786)-MAX(0,(('Business Case'!G11*$C786*'Business Case'!G12*$B786)-'Business Case'!G11*$C786*'Business Case'!G13*$D786-'Business Case'!G14*$E786))*'Business Case'!$B$7-'Business Case'!$B$8*(('Business Case'!G11*$C786*'Business Case'!G12*$B786)-('Business Case'!F11*$C786*'Business Case'!F12*$B786))-'Business Case'!G15*$F786+'Business Case'!$B$8*('Business Case'!G11*$C786*'Business Case'!G12*$B786)</f>
        <v>1146449228.0961</v>
      </c>
      <c r="N786" s="39" t="n">
        <f aca="false">IF(COUNT('Business Case'!B11:G11)=0,"",H786+NPV(G786,I786:M786))</f>
        <v>11904950.3837605</v>
      </c>
      <c r="P786" s="40" t="n">
        <f aca="true">RAND()</f>
        <v>0.572531835445217</v>
      </c>
      <c r="Q786" s="40" t="n">
        <f aca="true">RAND()</f>
        <v>0.897124601158453</v>
      </c>
      <c r="R786" s="40" t="n">
        <f aca="true">RAND()</f>
        <v>0.0166482884681101</v>
      </c>
      <c r="S786" s="40" t="n">
        <f aca="true">RAND()</f>
        <v>0.249536732597849</v>
      </c>
      <c r="T786" s="40" t="n">
        <f aca="true">RAND()</f>
        <v>0.79343853510451</v>
      </c>
      <c r="U786" s="40" t="n">
        <f aca="true">RAND()</f>
        <v>0.918853857412272</v>
      </c>
    </row>
    <row r="787" customFormat="false" ht="15" hidden="false" customHeight="false" outlineLevel="0" collapsed="false">
      <c r="A787" s="36" t="n">
        <v>707</v>
      </c>
      <c r="B787" s="37" t="n">
        <f aca="false">1+IF($G$6=$E$6,$F$6,IF(P787&lt;($F$6-$E$6)/($G$6-$E$6),$E$6+SQRT(P787*($G$6-$E$6)*($F$6-$E$6)),$G$6-SQRT((1-P787)*($G$6-$E$6)*($G$6-$F$6))))</f>
        <v>1.02254194572183</v>
      </c>
      <c r="C787" s="37" t="n">
        <f aca="false">1+IF($G$7=$E$7,$F$7,IF(Q787&lt;($F$7-$E$7)/($G$7-$E$7),$E$7+SQRT(Q787*($G$7-$E$7)*($F$7-$E$7)),$G$7-SQRT((1-Q787)*($G$7-$E$7)*($G$7-$F$7))))</f>
        <v>0.907019209626518</v>
      </c>
      <c r="D787" s="37" t="n">
        <f aca="false">1+IF($G$8=$E$8,$F$8,IF(R787&lt;($F$8-$E$8)/($G$8-$E$8),$E$8+SQRT(R787*($G$8-$E$8)*($F$8-$E$8)),$G$8-SQRT((1-R787)*($G$8-$E$8)*($G$8-$F$8))))</f>
        <v>1.04920592375072</v>
      </c>
      <c r="E787" s="37" t="n">
        <f aca="false">1+IF($G$9=$E$9,$F$9,IF(S787&lt;($F$9-$E$9)/($G$9-$E$9),$E$9+SQRT(S787*($G$9-$E$9)*($F$9-$E$9)),$G$9-SQRT((1-S787)*($G$9-$E$9)*($G$9-$F$9))))</f>
        <v>1.03303562802937</v>
      </c>
      <c r="F787" s="37" t="n">
        <f aca="false">1+IF($G$10=$E$10,$F$10,IF(T787&lt;($F$10-$E$10)/($G$10-$E$10),$E$10+SQRT(T787*($G$10-$E$10)*($F$10-$E$10)),$G$10-SQRT((1-T787)*($G$10-$E$10)*($G$10-$F$10))))</f>
        <v>1.02753647545135</v>
      </c>
      <c r="G787" s="38" t="n">
        <f aca="false">IF($G$11=$E$11,$F$11,IF(U787&lt;($F$11-$E$11)/($G$11-$E$11),$E$11+SQRT(U787*($G$11-$E$11)*($F$11-$E$11)),$G$11-SQRT((1-U787)*($G$11-$E$11)*($G$11-$F$11))))</f>
        <v>0.112432111704139</v>
      </c>
      <c r="H787" s="39" t="n">
        <f aca="false">(('Business Case'!B11*$C787*'Business Case'!B12*$B787)-'Business Case'!B11*$C787*'Business Case'!B13*$D787-'Business Case'!B14*$E787)-MAX(0,(('Business Case'!B11*$C787*'Business Case'!B12*$B787)-'Business Case'!B11*$C787*'Business Case'!B13*$D787-'Business Case'!B14*$E787))*'Business Case'!$B$7-'Business Case'!$B$8*('Business Case'!B11*$C787*'Business Case'!B12*$B787)-'Business Case'!B15*$F787</f>
        <v>-2055072950.90271</v>
      </c>
      <c r="I787" s="39" t="n">
        <f aca="false">(('Business Case'!C11*$C787*'Business Case'!C12*$B787)-'Business Case'!C11*$C787*'Business Case'!C13*$D787-'Business Case'!C14*$E787)-MAX(0,(('Business Case'!C11*$C787*'Business Case'!C12*$B787)-'Business Case'!C11*$C787*'Business Case'!C13*$D787-'Business Case'!C14*$E787))*'Business Case'!$B$7-'Business Case'!$B$8*(('Business Case'!C11*$C787*'Business Case'!C12*$B787)-('Business Case'!B11*$C787*'Business Case'!B12*$B787))-'Business Case'!C15*$F787</f>
        <v>-25238974.1634335</v>
      </c>
      <c r="J787" s="39" t="n">
        <f aca="false">(('Business Case'!D11*$C787*'Business Case'!D12*$B787)-'Business Case'!D11*$C787*'Business Case'!D13*$D787-'Business Case'!D14*$E787)-MAX(0,(('Business Case'!D11*$C787*'Business Case'!D12*$B787)-'Business Case'!D11*$C787*'Business Case'!D13*$D787-'Business Case'!D14*$E787))*'Business Case'!$B$7-'Business Case'!$B$8*(('Business Case'!D11*$C787*'Business Case'!D12*$B787)-('Business Case'!C11*$C787*'Business Case'!C12*$B787))-'Business Case'!D15*$F787</f>
        <v>247253160.839825</v>
      </c>
      <c r="K787" s="39" t="n">
        <f aca="false">(('Business Case'!E11*$C787*'Business Case'!E12*$B787)-'Business Case'!E11*$C787*'Business Case'!E13*$D787-'Business Case'!E14*$E787)-MAX(0,(('Business Case'!E11*$C787*'Business Case'!E12*$B787)-'Business Case'!E11*$C787*'Business Case'!E13*$D787-'Business Case'!E14*$E787))*'Business Case'!$B$7-'Business Case'!$B$8*(('Business Case'!E11*$C787*'Business Case'!E12*$B787)-('Business Case'!D11*$C787*'Business Case'!D12*$B787))-'Business Case'!E15*$F787</f>
        <v>571122119.615651</v>
      </c>
      <c r="L787" s="39" t="n">
        <f aca="false">(('Business Case'!F11*$C787*'Business Case'!F12*$B787)-'Business Case'!F11*$C787*'Business Case'!F13*$D787-'Business Case'!F14*$E787)-MAX(0,(('Business Case'!F11*$C787*'Business Case'!F12*$B787)-'Business Case'!F11*$C787*'Business Case'!F13*$D787-'Business Case'!F14*$E787))*'Business Case'!$B$7-'Business Case'!$B$8*(('Business Case'!F11*$C787*'Business Case'!F12*$B787)-('Business Case'!E11*$C787*'Business Case'!E12*$B787))-'Business Case'!F15*$F787</f>
        <v>694006028.160589</v>
      </c>
      <c r="M787" s="39" t="n">
        <f aca="false">(('Business Case'!G11*$C787*'Business Case'!G12*$B787)-'Business Case'!G11*$C787*'Business Case'!G13*$D787-'Business Case'!G14*$E787)-MAX(0,(('Business Case'!G11*$C787*'Business Case'!G12*$B787)-'Business Case'!G11*$C787*'Business Case'!G13*$D787-'Business Case'!G14*$E787))*'Business Case'!$B$7-'Business Case'!$B$8*(('Business Case'!G11*$C787*'Business Case'!G12*$B787)-('Business Case'!F11*$C787*'Business Case'!F12*$B787))-'Business Case'!G15*$F787+'Business Case'!$B$8*('Business Case'!G11*$C787*'Business Case'!G12*$B787)</f>
        <v>870298610.985112</v>
      </c>
      <c r="N787" s="39" t="n">
        <f aca="false">IF(COUNT('Business Case'!B11:G11)=0,"",H787+NPV(G787,I787:M787))</f>
        <v>-499057830.115557</v>
      </c>
      <c r="P787" s="40" t="n">
        <f aca="true">RAND()</f>
        <v>0.936503404337619</v>
      </c>
      <c r="Q787" s="40" t="n">
        <f aca="true">RAND()</f>
        <v>0.163615874701207</v>
      </c>
      <c r="R787" s="40" t="n">
        <f aca="true">RAND()</f>
        <v>0.908819698841663</v>
      </c>
      <c r="S787" s="40" t="n">
        <f aca="true">RAND()</f>
        <v>0.701051525771979</v>
      </c>
      <c r="T787" s="40" t="n">
        <f aca="true">RAND()</f>
        <v>0.405126654005171</v>
      </c>
      <c r="U787" s="40" t="n">
        <f aca="true">RAND()</f>
        <v>0.904545111235624</v>
      </c>
    </row>
    <row r="788" customFormat="false" ht="15" hidden="false" customHeight="false" outlineLevel="0" collapsed="false">
      <c r="A788" s="36" t="n">
        <v>708</v>
      </c>
      <c r="B788" s="37" t="n">
        <f aca="false">1+IF($G$6=$E$6,$F$6,IF(P788&lt;($F$6-$E$6)/($G$6-$E$6),$E$6+SQRT(P788*($G$6-$E$6)*($F$6-$E$6)),$G$6-SQRT((1-P788)*($G$6-$E$6)*($G$6-$F$6))))</f>
        <v>0.998881387224922</v>
      </c>
      <c r="C788" s="37" t="n">
        <f aca="false">1+IF($G$7=$E$7,$F$7,IF(Q788&lt;($F$7-$E$7)/($G$7-$E$7),$E$7+SQRT(Q788*($G$7-$E$7)*($F$7-$E$7)),$G$7-SQRT((1-Q788)*($G$7-$E$7)*($G$7-$F$7))))</f>
        <v>1.07375741209185</v>
      </c>
      <c r="D788" s="37" t="n">
        <f aca="false">1+IF($G$8=$E$8,$F$8,IF(R788&lt;($F$8-$E$8)/($G$8-$E$8),$E$8+SQRT(R788*($G$8-$E$8)*($F$8-$E$8)),$G$8-SQRT((1-R788)*($G$8-$E$8)*($G$8-$F$8))))</f>
        <v>1.00450063820431</v>
      </c>
      <c r="E788" s="37" t="n">
        <f aca="false">1+IF($G$9=$E$9,$F$9,IF(S788&lt;($F$9-$E$9)/($G$9-$E$9),$E$9+SQRT(S788*($G$9-$E$9)*($F$9-$E$9)),$G$9-SQRT((1-S788)*($G$9-$E$9)*($G$9-$F$9))))</f>
        <v>1.01679338906</v>
      </c>
      <c r="F788" s="37" t="n">
        <f aca="false">1+IF($G$10=$E$10,$F$10,IF(T788&lt;($F$10-$E$10)/($G$10-$E$10),$E$10+SQRT(T788*($G$10-$E$10)*($F$10-$E$10)),$G$10-SQRT((1-T788)*($G$10-$E$10)*($G$10-$F$10))))</f>
        <v>1.08350864356879</v>
      </c>
      <c r="G788" s="38" t="n">
        <f aca="false">IF($G$11=$E$11,$F$11,IF(U788&lt;($F$11-$E$11)/($G$11-$E$11),$E$11+SQRT(U788*($G$11-$E$11)*($F$11-$E$11)),$G$11-SQRT((1-U788)*($G$11-$E$11)*($G$11-$F$11))))</f>
        <v>0.0990129789339889</v>
      </c>
      <c r="H788" s="39" t="n">
        <f aca="false">(('Business Case'!B11*$C788*'Business Case'!B12*$B788)-'Business Case'!B11*$C788*'Business Case'!B13*$D788-'Business Case'!B14*$E788)-MAX(0,(('Business Case'!B11*$C788*'Business Case'!B12*$B788)-'Business Case'!B11*$C788*'Business Case'!B13*$D788-'Business Case'!B14*$E788))*'Business Case'!$B$7-'Business Case'!$B$8*('Business Case'!B11*$C788*'Business Case'!B12*$B788)-'Business Case'!B15*$F788</f>
        <v>-2167017287.13759</v>
      </c>
      <c r="I788" s="39" t="n">
        <f aca="false">(('Business Case'!C11*$C788*'Business Case'!C12*$B788)-'Business Case'!C11*$C788*'Business Case'!C13*$D788-'Business Case'!C14*$E788)-MAX(0,(('Business Case'!C11*$C788*'Business Case'!C12*$B788)-'Business Case'!C11*$C788*'Business Case'!C13*$D788-'Business Case'!C14*$E788))*'Business Case'!$B$7-'Business Case'!$B$8*(('Business Case'!C11*$C788*'Business Case'!C12*$B788)-('Business Case'!B11*$C788*'Business Case'!B12*$B788))-'Business Case'!C15*$F788</f>
        <v>17808830.0358722</v>
      </c>
      <c r="J788" s="39" t="n">
        <f aca="false">(('Business Case'!D11*$C788*'Business Case'!D12*$B788)-'Business Case'!D11*$C788*'Business Case'!D13*$D788-'Business Case'!D14*$E788)-MAX(0,(('Business Case'!D11*$C788*'Business Case'!D12*$B788)-'Business Case'!D11*$C788*'Business Case'!D13*$D788-'Business Case'!D14*$E788))*'Business Case'!$B$7-'Business Case'!$B$8*(('Business Case'!D11*$C788*'Business Case'!D12*$B788)-('Business Case'!C11*$C788*'Business Case'!C12*$B788))-'Business Case'!D15*$F788</f>
        <v>344157862.599356</v>
      </c>
      <c r="K788" s="39" t="n">
        <f aca="false">(('Business Case'!E11*$C788*'Business Case'!E12*$B788)-'Business Case'!E11*$C788*'Business Case'!E13*$D788-'Business Case'!E14*$E788)-MAX(0,(('Business Case'!E11*$C788*'Business Case'!E12*$B788)-'Business Case'!E11*$C788*'Business Case'!E13*$D788-'Business Case'!E14*$E788))*'Business Case'!$B$7-'Business Case'!$B$8*(('Business Case'!E11*$C788*'Business Case'!E12*$B788)-('Business Case'!D11*$C788*'Business Case'!D12*$B788))-'Business Case'!E15*$F788</f>
        <v>724682327.341279</v>
      </c>
      <c r="L788" s="39" t="n">
        <f aca="false">(('Business Case'!F11*$C788*'Business Case'!F12*$B788)-'Business Case'!F11*$C788*'Business Case'!F13*$D788-'Business Case'!F14*$E788)-MAX(0,(('Business Case'!F11*$C788*'Business Case'!F12*$B788)-'Business Case'!F11*$C788*'Business Case'!F13*$D788-'Business Case'!F14*$E788))*'Business Case'!$B$7-'Business Case'!$B$8*(('Business Case'!F11*$C788*'Business Case'!F12*$B788)-('Business Case'!E11*$C788*'Business Case'!E12*$B788))-'Business Case'!F15*$F788</f>
        <v>870532883.693375</v>
      </c>
      <c r="M788" s="39" t="n">
        <f aca="false">(('Business Case'!G11*$C788*'Business Case'!G12*$B788)-'Business Case'!G11*$C788*'Business Case'!G13*$D788-'Business Case'!G14*$E788)-MAX(0,(('Business Case'!G11*$C788*'Business Case'!G12*$B788)-'Business Case'!G11*$C788*'Business Case'!G13*$D788-'Business Case'!G14*$E788))*'Business Case'!$B$7-'Business Case'!$B$8*(('Business Case'!G11*$C788*'Business Case'!G12*$B788)-('Business Case'!F11*$C788*'Business Case'!F12*$B788))-'Business Case'!G15*$F788+'Business Case'!$B$8*('Business Case'!G11*$C788*'Business Case'!G12*$B788)</f>
        <v>1074404383.93018</v>
      </c>
      <c r="N788" s="39" t="n">
        <f aca="false">IF(COUNT('Business Case'!B11:G11)=0,"",H788+NPV(G788,I788:M788))</f>
        <v>-53094763.7860599</v>
      </c>
      <c r="P788" s="40" t="n">
        <f aca="true">RAND()</f>
        <v>0.648153463596674</v>
      </c>
      <c r="Q788" s="40" t="n">
        <f aca="true">RAND()</f>
        <v>0.889277481696537</v>
      </c>
      <c r="R788" s="40" t="n">
        <f aca="true">RAND()</f>
        <v>0.451908304657957</v>
      </c>
      <c r="S788" s="40" t="n">
        <f aca="true">RAND()</f>
        <v>0.538443993058583</v>
      </c>
      <c r="T788" s="40" t="n">
        <f aca="true">RAND()</f>
        <v>0.728595277536348</v>
      </c>
      <c r="U788" s="40" t="n">
        <f aca="true">RAND()</f>
        <v>0.270779297548426</v>
      </c>
    </row>
    <row r="789" customFormat="false" ht="15" hidden="false" customHeight="false" outlineLevel="0" collapsed="false">
      <c r="A789" s="36" t="n">
        <v>709</v>
      </c>
      <c r="B789" s="37" t="n">
        <f aca="false">1+IF($G$6=$E$6,$F$6,IF(P789&lt;($F$6-$E$6)/($G$6-$E$6),$E$6+SQRT(P789*($G$6-$E$6)*($F$6-$E$6)),$G$6-SQRT((1-P789)*($G$6-$E$6)*($G$6-$F$6))))</f>
        <v>0.968363197587841</v>
      </c>
      <c r="C789" s="37" t="n">
        <f aca="false">1+IF($G$7=$E$7,$F$7,IF(Q789&lt;($F$7-$E$7)/($G$7-$E$7),$E$7+SQRT(Q789*($G$7-$E$7)*($F$7-$E$7)),$G$7-SQRT((1-Q789)*($G$7-$E$7)*($G$7-$F$7))))</f>
        <v>1.03862052315948</v>
      </c>
      <c r="D789" s="37" t="n">
        <f aca="false">1+IF($G$8=$E$8,$F$8,IF(R789&lt;($F$8-$E$8)/($G$8-$E$8),$E$8+SQRT(R789*($G$8-$E$8)*($F$8-$E$8)),$G$8-SQRT((1-R789)*($G$8-$E$8)*($G$8-$F$8))))</f>
        <v>1.0136123999787</v>
      </c>
      <c r="E789" s="37" t="n">
        <f aca="false">1+IF($G$9=$E$9,$F$9,IF(S789&lt;($F$9-$E$9)/($G$9-$E$9),$E$9+SQRT(S789*($G$9-$E$9)*($F$9-$E$9)),$G$9-SQRT((1-S789)*($G$9-$E$9)*($G$9-$F$9))))</f>
        <v>1.02201155062253</v>
      </c>
      <c r="F789" s="37" t="n">
        <f aca="false">1+IF($G$10=$E$10,$F$10,IF(T789&lt;($F$10-$E$10)/($G$10-$E$10),$E$10+SQRT(T789*($G$10-$E$10)*($F$10-$E$10)),$G$10-SQRT((1-T789)*($G$10-$E$10)*($G$10-$F$10))))</f>
        <v>1.05982972370051</v>
      </c>
      <c r="G789" s="38" t="n">
        <f aca="false">IF($G$11=$E$11,$F$11,IF(U789&lt;($F$11-$E$11)/($G$11-$E$11),$E$11+SQRT(U789*($G$11-$E$11)*($F$11-$E$11)),$G$11-SQRT((1-U789)*($G$11-$E$11)*($G$11-$F$11))))</f>
        <v>0.106789949477442</v>
      </c>
      <c r="H789" s="39" t="n">
        <f aca="false">(('Business Case'!B11*$C789*'Business Case'!B12*$B789)-'Business Case'!B11*$C789*'Business Case'!B13*$D789-'Business Case'!B14*$E789)-MAX(0,(('Business Case'!B11*$C789*'Business Case'!B12*$B789)-'Business Case'!B11*$C789*'Business Case'!B13*$D789-'Business Case'!B14*$E789))*'Business Case'!$B$7-'Business Case'!$B$8*('Business Case'!B11*$C789*'Business Case'!B12*$B789)-'Business Case'!B15*$F789</f>
        <v>-2119659447.40102</v>
      </c>
      <c r="I789" s="39" t="n">
        <f aca="false">(('Business Case'!C11*$C789*'Business Case'!C12*$B789)-'Business Case'!C11*$C789*'Business Case'!C13*$D789-'Business Case'!C14*$E789)-MAX(0,(('Business Case'!C11*$C789*'Business Case'!C12*$B789)-'Business Case'!C11*$C789*'Business Case'!C13*$D789-'Business Case'!C14*$E789))*'Business Case'!$B$7-'Business Case'!$B$8*(('Business Case'!C11*$C789*'Business Case'!C12*$B789)-('Business Case'!B11*$C789*'Business Case'!B12*$B789))-'Business Case'!C15*$F789</f>
        <v>-18588511.3753836</v>
      </c>
      <c r="J789" s="39" t="n">
        <f aca="false">(('Business Case'!D11*$C789*'Business Case'!D12*$B789)-'Business Case'!D11*$C789*'Business Case'!D13*$D789-'Business Case'!D14*$E789)-MAX(0,(('Business Case'!D11*$C789*'Business Case'!D12*$B789)-'Business Case'!D11*$C789*'Business Case'!D13*$D789-'Business Case'!D14*$E789))*'Business Case'!$B$7-'Business Case'!$B$8*(('Business Case'!D11*$C789*'Business Case'!D12*$B789)-('Business Case'!C11*$C789*'Business Case'!C12*$B789))-'Business Case'!D15*$F789</f>
        <v>266274688.541393</v>
      </c>
      <c r="K789" s="39" t="n">
        <f aca="false">(('Business Case'!E11*$C789*'Business Case'!E12*$B789)-'Business Case'!E11*$C789*'Business Case'!E13*$D789-'Business Case'!E14*$E789)-MAX(0,(('Business Case'!E11*$C789*'Business Case'!E12*$B789)-'Business Case'!E11*$C789*'Business Case'!E13*$D789-'Business Case'!E14*$E789))*'Business Case'!$B$7-'Business Case'!$B$8*(('Business Case'!E11*$C789*'Business Case'!E12*$B789)-('Business Case'!D11*$C789*'Business Case'!D12*$B789))-'Business Case'!E15*$F789</f>
        <v>604129374.643196</v>
      </c>
      <c r="L789" s="39" t="n">
        <f aca="false">(('Business Case'!F11*$C789*'Business Case'!F12*$B789)-'Business Case'!F11*$C789*'Business Case'!F13*$D789-'Business Case'!F14*$E789)-MAX(0,(('Business Case'!F11*$C789*'Business Case'!F12*$B789)-'Business Case'!F11*$C789*'Business Case'!F13*$D789-'Business Case'!F14*$E789))*'Business Case'!$B$7-'Business Case'!$B$8*(('Business Case'!F11*$C789*'Business Case'!F12*$B789)-('Business Case'!E11*$C789*'Business Case'!E12*$B789))-'Business Case'!F15*$F789</f>
        <v>733842905.564512</v>
      </c>
      <c r="M789" s="39" t="n">
        <f aca="false">(('Business Case'!G11*$C789*'Business Case'!G12*$B789)-'Business Case'!G11*$C789*'Business Case'!G13*$D789-'Business Case'!G14*$E789)-MAX(0,(('Business Case'!G11*$C789*'Business Case'!G12*$B789)-'Business Case'!G11*$C789*'Business Case'!G13*$D789-'Business Case'!G14*$E789))*'Business Case'!$B$7-'Business Case'!$B$8*(('Business Case'!G11*$C789*'Business Case'!G12*$B789)-('Business Case'!F11*$C789*'Business Case'!F12*$B789))-'Business Case'!G15*$F789+'Business Case'!$B$8*('Business Case'!G11*$C789*'Business Case'!G12*$B789)</f>
        <v>925018125.784325</v>
      </c>
      <c r="N789" s="39" t="n">
        <f aca="false">IF(COUNT('Business Case'!B11:G11)=0,"",H789+NPV(G789,I789:M789))</f>
        <v>-427497737.774986</v>
      </c>
      <c r="P789" s="40" t="n">
        <f aca="true">RAND()</f>
        <v>0.243645716762557</v>
      </c>
      <c r="Q789" s="40" t="n">
        <f aca="true">RAND()</f>
        <v>0.763706897880589</v>
      </c>
      <c r="R789" s="40" t="n">
        <f aca="true">RAND()</f>
        <v>0.576219861866515</v>
      </c>
      <c r="S789" s="40" t="n">
        <f aca="true">RAND()</f>
        <v>0.594520117579862</v>
      </c>
      <c r="T789" s="40" t="n">
        <f aca="true">RAND()</f>
        <v>0.607045872842495</v>
      </c>
      <c r="U789" s="40" t="n">
        <f aca="true">RAND()</f>
        <v>0.70915760865243</v>
      </c>
    </row>
    <row r="790" customFormat="false" ht="15" hidden="false" customHeight="false" outlineLevel="0" collapsed="false">
      <c r="A790" s="36" t="n">
        <v>710</v>
      </c>
      <c r="B790" s="37" t="n">
        <f aca="false">1+IF($G$6=$E$6,$F$6,IF(P790&lt;($F$6-$E$6)/($G$6-$E$6),$E$6+SQRT(P790*($G$6-$E$6)*($F$6-$E$6)),$G$6-SQRT((1-P790)*($G$6-$E$6)*($G$6-$F$6))))</f>
        <v>0.94023565637148</v>
      </c>
      <c r="C790" s="37" t="n">
        <f aca="false">1+IF($G$7=$E$7,$F$7,IF(Q790&lt;($F$7-$E$7)/($G$7-$E$7),$E$7+SQRT(Q790*($G$7-$E$7)*($F$7-$E$7)),$G$7-SQRT((1-Q790)*($G$7-$E$7)*($G$7-$F$7))))</f>
        <v>0.933931259923544</v>
      </c>
      <c r="D790" s="37" t="n">
        <f aca="false">1+IF($G$8=$E$8,$F$8,IF(R790&lt;($F$8-$E$8)/($G$8-$E$8),$E$8+SQRT(R790*($G$8-$E$8)*($F$8-$E$8)),$G$8-SQRT((1-R790)*($G$8-$E$8)*($G$8-$F$8))))</f>
        <v>0.974109967804532</v>
      </c>
      <c r="E790" s="37" t="n">
        <f aca="false">1+IF($G$9=$E$9,$F$9,IF(S790&lt;($F$9-$E$9)/($G$9-$E$9),$E$9+SQRT(S790*($G$9-$E$9)*($F$9-$E$9)),$G$9-SQRT((1-S790)*($G$9-$E$9)*($G$9-$F$9))))</f>
        <v>1.02902714177142</v>
      </c>
      <c r="F790" s="37" t="n">
        <f aca="false">1+IF($G$10=$E$10,$F$10,IF(T790&lt;($F$10-$E$10)/($G$10-$E$10),$E$10+SQRT(T790*($G$10-$E$10)*($F$10-$E$10)),$G$10-SQRT((1-T790)*($G$10-$E$10)*($G$10-$F$10))))</f>
        <v>1.06723594642176</v>
      </c>
      <c r="G790" s="38" t="n">
        <f aca="false">IF($G$11=$E$11,$F$11,IF(U790&lt;($F$11-$E$11)/($G$11-$E$11),$E$11+SQRT(U790*($G$11-$E$11)*($F$11-$E$11)),$G$11-SQRT((1-U790)*($G$11-$E$11)*($G$11-$F$11))))</f>
        <v>0.102199135596098</v>
      </c>
      <c r="H790" s="39" t="n">
        <f aca="false">(('Business Case'!B11*$C790*'Business Case'!B12*$B790)-'Business Case'!B11*$C790*'Business Case'!B13*$D790-'Business Case'!B14*$E790)-MAX(0,(('Business Case'!B11*$C790*'Business Case'!B12*$B790)-'Business Case'!B11*$C790*'Business Case'!B13*$D790-'Business Case'!B14*$E790))*'Business Case'!$B$7-'Business Case'!$B$8*('Business Case'!B11*$C790*'Business Case'!B12*$B790)-'Business Case'!B15*$F790</f>
        <v>-2134471892.84353</v>
      </c>
      <c r="I790" s="39" t="n">
        <f aca="false">(('Business Case'!C11*$C790*'Business Case'!C12*$B790)-'Business Case'!C11*$C790*'Business Case'!C13*$D790-'Business Case'!C14*$E790)-MAX(0,(('Business Case'!C11*$C790*'Business Case'!C12*$B790)-'Business Case'!C11*$C790*'Business Case'!C13*$D790-'Business Case'!C14*$E790))*'Business Case'!$B$7-'Business Case'!$B$8*(('Business Case'!C11*$C790*'Business Case'!C12*$B790)-('Business Case'!B11*$C790*'Business Case'!B12*$B790))-'Business Case'!C15*$F790</f>
        <v>-45053080.6400064</v>
      </c>
      <c r="J790" s="39" t="n">
        <f aca="false">(('Business Case'!D11*$C790*'Business Case'!D12*$B790)-'Business Case'!D11*$C790*'Business Case'!D13*$D790-'Business Case'!D14*$E790)-MAX(0,(('Business Case'!D11*$C790*'Business Case'!D12*$B790)-'Business Case'!D11*$C790*'Business Case'!D13*$D790-'Business Case'!D14*$E790))*'Business Case'!$B$7-'Business Case'!$B$8*(('Business Case'!D11*$C790*'Business Case'!D12*$B790)-('Business Case'!C11*$C790*'Business Case'!C12*$B790))-'Business Case'!D15*$F790</f>
        <v>208466598.948034</v>
      </c>
      <c r="K790" s="39" t="n">
        <f aca="false">(('Business Case'!E11*$C790*'Business Case'!E12*$B790)-'Business Case'!E11*$C790*'Business Case'!E13*$D790-'Business Case'!E14*$E790)-MAX(0,(('Business Case'!E11*$C790*'Business Case'!E12*$B790)-'Business Case'!E11*$C790*'Business Case'!E13*$D790-'Business Case'!E14*$E790))*'Business Case'!$B$7-'Business Case'!$B$8*(('Business Case'!E11*$C790*'Business Case'!E12*$B790)-('Business Case'!D11*$C790*'Business Case'!D12*$B790))-'Business Case'!E15*$F790</f>
        <v>515348075.857163</v>
      </c>
      <c r="L790" s="39" t="n">
        <f aca="false">(('Business Case'!F11*$C790*'Business Case'!F12*$B790)-'Business Case'!F11*$C790*'Business Case'!F13*$D790-'Business Case'!F14*$E790)-MAX(0,(('Business Case'!F11*$C790*'Business Case'!F12*$B790)-'Business Case'!F11*$C790*'Business Case'!F13*$D790-'Business Case'!F14*$E790))*'Business Case'!$B$7-'Business Case'!$B$8*(('Business Case'!F11*$C790*'Business Case'!F12*$B790)-('Business Case'!E11*$C790*'Business Case'!E12*$B790))-'Business Case'!F15*$F790</f>
        <v>630202306.403826</v>
      </c>
      <c r="M790" s="39" t="n">
        <f aca="false">(('Business Case'!G11*$C790*'Business Case'!G12*$B790)-'Business Case'!G11*$C790*'Business Case'!G13*$D790-'Business Case'!G14*$E790)-MAX(0,(('Business Case'!G11*$C790*'Business Case'!G12*$B790)-'Business Case'!G11*$C790*'Business Case'!G13*$D790-'Business Case'!G14*$E790))*'Business Case'!$B$7-'Business Case'!$B$8*(('Business Case'!G11*$C790*'Business Case'!G12*$B790)-('Business Case'!F11*$C790*'Business Case'!F12*$B790))-'Business Case'!G15*$F790+'Business Case'!$B$8*('Business Case'!G11*$C790*'Business Case'!G12*$B790)</f>
        <v>797114495.165731</v>
      </c>
      <c r="N790" s="39" t="n">
        <f aca="false">IF(COUNT('Business Case'!B11:G11)=0,"",H790+NPV(G790,I790:M790))</f>
        <v>-701833153.347459</v>
      </c>
      <c r="P790" s="40" t="n">
        <f aca="true">RAND()</f>
        <v>0.042654352998399</v>
      </c>
      <c r="Q790" s="40" t="n">
        <f aca="true">RAND()</f>
        <v>0.256251176924398</v>
      </c>
      <c r="R790" s="40" t="n">
        <f aca="true">RAND()</f>
        <v>0.0894293150054688</v>
      </c>
      <c r="S790" s="40" t="n">
        <f aca="true">RAND()</f>
        <v>0.664190226324438</v>
      </c>
      <c r="T790" s="40" t="n">
        <f aca="true">RAND()</f>
        <v>0.647474121549503</v>
      </c>
      <c r="U790" s="40" t="n">
        <f aca="true">RAND()</f>
        <v>0.471882044123135</v>
      </c>
    </row>
    <row r="791" customFormat="false" ht="15" hidden="false" customHeight="false" outlineLevel="0" collapsed="false">
      <c r="A791" s="36" t="n">
        <v>711</v>
      </c>
      <c r="B791" s="37" t="n">
        <f aca="false">1+IF($G$6=$E$6,$F$6,IF(P791&lt;($F$6-$E$6)/($G$6-$E$6),$E$6+SQRT(P791*($G$6-$E$6)*($F$6-$E$6)),$G$6-SQRT((1-P791)*($G$6-$E$6)*($G$6-$F$6))))</f>
        <v>0.998952535486349</v>
      </c>
      <c r="C791" s="37" t="n">
        <f aca="false">1+IF($G$7=$E$7,$F$7,IF(Q791&lt;($F$7-$E$7)/($G$7-$E$7),$E$7+SQRT(Q791*($G$7-$E$7)*($F$7-$E$7)),$G$7-SQRT((1-Q791)*($G$7-$E$7)*($G$7-$F$7))))</f>
        <v>1.05459555241728</v>
      </c>
      <c r="D791" s="37" t="n">
        <f aca="false">1+IF($G$8=$E$8,$F$8,IF(R791&lt;($F$8-$E$8)/($G$8-$E$8),$E$8+SQRT(R791*($G$8-$E$8)*($F$8-$E$8)),$G$8-SQRT((1-R791)*($G$8-$E$8)*($G$8-$F$8))))</f>
        <v>1.00138908603218</v>
      </c>
      <c r="E791" s="37" t="n">
        <f aca="false">1+IF($G$9=$E$9,$F$9,IF(S791&lt;($F$9-$E$9)/($G$9-$E$9),$E$9+SQRT(S791*($G$9-$E$9)*($F$9-$E$9)),$G$9-SQRT((1-S791)*($G$9-$E$9)*($G$9-$F$9))))</f>
        <v>0.988708099910699</v>
      </c>
      <c r="F791" s="37" t="n">
        <f aca="false">1+IF($G$10=$E$10,$F$10,IF(T791&lt;($F$10-$E$10)/($G$10-$E$10),$E$10+SQRT(T791*($G$10-$E$10)*($F$10-$E$10)),$G$10-SQRT((1-T791)*($G$10-$E$10)*($G$10-$F$10))))</f>
        <v>1.06584252690124</v>
      </c>
      <c r="G791" s="38" t="n">
        <f aca="false">IF($G$11=$E$11,$F$11,IF(U791&lt;($F$11-$E$11)/($G$11-$E$11),$E$11+SQRT(U791*($G$11-$E$11)*($F$11-$E$11)),$G$11-SQRT((1-U791)*($G$11-$E$11)*($G$11-$F$11))))</f>
        <v>0.113974836902789</v>
      </c>
      <c r="H791" s="39" t="n">
        <f aca="false">(('Business Case'!B11*$C791*'Business Case'!B12*$B791)-'Business Case'!B11*$C791*'Business Case'!B13*$D791-'Business Case'!B14*$E791)-MAX(0,(('Business Case'!B11*$C791*'Business Case'!B12*$B791)-'Business Case'!B11*$C791*'Business Case'!B13*$D791-'Business Case'!B14*$E791))*'Business Case'!$B$7-'Business Case'!$B$8*('Business Case'!B11*$C791*'Business Case'!B12*$B791)-'Business Case'!B15*$F791</f>
        <v>-2131685053.80247</v>
      </c>
      <c r="I791" s="39" t="n">
        <f aca="false">(('Business Case'!C11*$C791*'Business Case'!C12*$B791)-'Business Case'!C11*$C791*'Business Case'!C13*$D791-'Business Case'!C14*$E791)-MAX(0,(('Business Case'!C11*$C791*'Business Case'!C12*$B791)-'Business Case'!C11*$C791*'Business Case'!C13*$D791-'Business Case'!C14*$E791))*'Business Case'!$B$7-'Business Case'!$B$8*(('Business Case'!C11*$C791*'Business Case'!C12*$B791)-('Business Case'!B11*$C791*'Business Case'!B12*$B791))-'Business Case'!C15*$F791</f>
        <v>20474907.3958211</v>
      </c>
      <c r="J791" s="39" t="n">
        <f aca="false">(('Business Case'!D11*$C791*'Business Case'!D12*$B791)-'Business Case'!D11*$C791*'Business Case'!D13*$D791-'Business Case'!D14*$E791)-MAX(0,(('Business Case'!D11*$C791*'Business Case'!D12*$B791)-'Business Case'!D11*$C791*'Business Case'!D13*$D791-'Business Case'!D14*$E791))*'Business Case'!$B$7-'Business Case'!$B$8*(('Business Case'!D11*$C791*'Business Case'!D12*$B791)-('Business Case'!C11*$C791*'Business Case'!C12*$B791))-'Business Case'!D15*$F791</f>
        <v>342741327.596901</v>
      </c>
      <c r="K791" s="39" t="n">
        <f aca="false">(('Business Case'!E11*$C791*'Business Case'!E12*$B791)-'Business Case'!E11*$C791*'Business Case'!E13*$D791-'Business Case'!E14*$E791)-MAX(0,(('Business Case'!E11*$C791*'Business Case'!E12*$B791)-'Business Case'!E11*$C791*'Business Case'!E13*$D791-'Business Case'!E14*$E791))*'Business Case'!$B$7-'Business Case'!$B$8*(('Business Case'!E11*$C791*'Business Case'!E12*$B791)-('Business Case'!D11*$C791*'Business Case'!D12*$B791))-'Business Case'!E15*$F791</f>
        <v>718299874.143042</v>
      </c>
      <c r="L791" s="39" t="n">
        <f aca="false">(('Business Case'!F11*$C791*'Business Case'!F12*$B791)-'Business Case'!F11*$C791*'Business Case'!F13*$D791-'Business Case'!F14*$E791)-MAX(0,(('Business Case'!F11*$C791*'Business Case'!F12*$B791)-'Business Case'!F11*$C791*'Business Case'!F13*$D791-'Business Case'!F14*$E791))*'Business Case'!$B$7-'Business Case'!$B$8*(('Business Case'!F11*$C791*'Business Case'!F12*$B791)-('Business Case'!E11*$C791*'Business Case'!E12*$B791))-'Business Case'!F15*$F791</f>
        <v>862130659.748624</v>
      </c>
      <c r="M791" s="39" t="n">
        <f aca="false">(('Business Case'!G11*$C791*'Business Case'!G12*$B791)-'Business Case'!G11*$C791*'Business Case'!G13*$D791-'Business Case'!G14*$E791)-MAX(0,(('Business Case'!G11*$C791*'Business Case'!G12*$B791)-'Business Case'!G11*$C791*'Business Case'!G13*$D791-'Business Case'!G14*$E791))*'Business Case'!$B$7-'Business Case'!$B$8*(('Business Case'!G11*$C791*'Business Case'!G12*$B791)-('Business Case'!F11*$C791*'Business Case'!F12*$B791))-'Business Case'!G15*$F791+'Business Case'!$B$8*('Business Case'!G11*$C791*'Business Case'!G12*$B791)</f>
        <v>1062378210.21068</v>
      </c>
      <c r="N791" s="39" t="n">
        <f aca="false">IF(COUNT('Business Case'!B11:G11)=0,"",H791+NPV(G791,I791:M791))</f>
        <v>-138345983.762885</v>
      </c>
      <c r="P791" s="40" t="n">
        <f aca="true">RAND()</f>
        <v>0.649323214554496</v>
      </c>
      <c r="Q791" s="40" t="n">
        <f aca="true">RAND()</f>
        <v>0.826628407265465</v>
      </c>
      <c r="R791" s="40" t="n">
        <f aca="true">RAND()</f>
        <v>0.405800404340766</v>
      </c>
      <c r="S791" s="40" t="n">
        <f aca="true">RAND()</f>
        <v>0.199775599826218</v>
      </c>
      <c r="T791" s="40" t="n">
        <f aca="true">RAND()</f>
        <v>0.640035448235087</v>
      </c>
      <c r="U791" s="40" t="n">
        <f aca="true">RAND()</f>
        <v>0.939495682753341</v>
      </c>
    </row>
    <row r="792" customFormat="false" ht="15" hidden="false" customHeight="false" outlineLevel="0" collapsed="false">
      <c r="A792" s="36" t="n">
        <v>712</v>
      </c>
      <c r="B792" s="37" t="n">
        <f aca="false">1+IF($G$6=$E$6,$F$6,IF(P792&lt;($F$6-$E$6)/($G$6-$E$6),$E$6+SQRT(P792*($G$6-$E$6)*($F$6-$E$6)),$G$6-SQRT((1-P792)*($G$6-$E$6)*($G$6-$F$6))))</f>
        <v>0.944861123983765</v>
      </c>
      <c r="C792" s="37" t="n">
        <f aca="false">1+IF($G$7=$E$7,$F$7,IF(Q792&lt;($F$7-$E$7)/($G$7-$E$7),$E$7+SQRT(Q792*($G$7-$E$7)*($F$7-$E$7)),$G$7-SQRT((1-Q792)*($G$7-$E$7)*($G$7-$F$7))))</f>
        <v>0.878656969226438</v>
      </c>
      <c r="D792" s="37" t="n">
        <f aca="false">1+IF($G$8=$E$8,$F$8,IF(R792&lt;($F$8-$E$8)/($G$8-$E$8),$E$8+SQRT(R792*($G$8-$E$8)*($F$8-$E$8)),$G$8-SQRT((1-R792)*($G$8-$E$8)*($G$8-$F$8))))</f>
        <v>1.04456235296575</v>
      </c>
      <c r="E792" s="37" t="n">
        <f aca="false">1+IF($G$9=$E$9,$F$9,IF(S792&lt;($F$9-$E$9)/($G$9-$E$9),$E$9+SQRT(S792*($G$9-$E$9)*($F$9-$E$9)),$G$9-SQRT((1-S792)*($G$9-$E$9)*($G$9-$F$9))))</f>
        <v>0.967257283562662</v>
      </c>
      <c r="F792" s="37" t="n">
        <f aca="false">1+IF($G$10=$E$10,$F$10,IF(T792&lt;($F$10-$E$10)/($G$10-$E$10),$E$10+SQRT(T792*($G$10-$E$10)*($F$10-$E$10)),$G$10-SQRT((1-T792)*($G$10-$E$10)*($G$10-$F$10))))</f>
        <v>1.09787936905941</v>
      </c>
      <c r="G792" s="38" t="n">
        <f aca="false">IF($G$11=$E$11,$F$11,IF(U792&lt;($F$11-$E$11)/($G$11-$E$11),$E$11+SQRT(U792*($G$11-$E$11)*($F$11-$E$11)),$G$11-SQRT((1-U792)*($G$11-$E$11)*($G$11-$F$11))))</f>
        <v>0.0994946331555941</v>
      </c>
      <c r="H792" s="39" t="n">
        <f aca="false">(('Business Case'!B11*$C792*'Business Case'!B12*$B792)-'Business Case'!B11*$C792*'Business Case'!B13*$D792-'Business Case'!B14*$E792)-MAX(0,(('Business Case'!B11*$C792*'Business Case'!B12*$B792)-'Business Case'!B11*$C792*'Business Case'!B13*$D792-'Business Case'!B14*$E792))*'Business Case'!$B$7-'Business Case'!$B$8*('Business Case'!B11*$C792*'Business Case'!B12*$B792)-'Business Case'!B15*$F792</f>
        <v>-2195758738.11882</v>
      </c>
      <c r="I792" s="39" t="n">
        <f aca="false">(('Business Case'!C11*$C792*'Business Case'!C12*$B792)-'Business Case'!C11*$C792*'Business Case'!C13*$D792-'Business Case'!C14*$E792)-MAX(0,(('Business Case'!C11*$C792*'Business Case'!C12*$B792)-'Business Case'!C11*$C792*'Business Case'!C13*$D792-'Business Case'!C14*$E792))*'Business Case'!$B$7-'Business Case'!$B$8*(('Business Case'!C11*$C792*'Business Case'!C12*$B792)-('Business Case'!B11*$C792*'Business Case'!B12*$B792))-'Business Case'!C15*$F792</f>
        <v>-80215470.2813701</v>
      </c>
      <c r="J792" s="39" t="n">
        <f aca="false">(('Business Case'!D11*$C792*'Business Case'!D12*$B792)-'Business Case'!D11*$C792*'Business Case'!D13*$D792-'Business Case'!D14*$E792)-MAX(0,(('Business Case'!D11*$C792*'Business Case'!D12*$B792)-'Business Case'!D11*$C792*'Business Case'!D13*$D792-'Business Case'!D14*$E792))*'Business Case'!$B$7-'Business Case'!$B$8*(('Business Case'!D11*$C792*'Business Case'!D12*$B792)-('Business Case'!C11*$C792*'Business Case'!C12*$B792))-'Business Case'!D15*$F792</f>
        <v>129939006.856017</v>
      </c>
      <c r="K792" s="39" t="n">
        <f aca="false">(('Business Case'!E11*$C792*'Business Case'!E12*$B792)-'Business Case'!E11*$C792*'Business Case'!E13*$D792-'Business Case'!E14*$E792)-MAX(0,(('Business Case'!E11*$C792*'Business Case'!E12*$B792)-'Business Case'!E11*$C792*'Business Case'!E13*$D792-'Business Case'!E14*$E792))*'Business Case'!$B$7-'Business Case'!$B$8*(('Business Case'!E11*$C792*'Business Case'!E12*$B792)-('Business Case'!D11*$C792*'Business Case'!D12*$B792))-'Business Case'!E15*$F792</f>
        <v>394987452.446375</v>
      </c>
      <c r="L792" s="39" t="n">
        <f aca="false">(('Business Case'!F11*$C792*'Business Case'!F12*$B792)-'Business Case'!F11*$C792*'Business Case'!F13*$D792-'Business Case'!F14*$E792)-MAX(0,(('Business Case'!F11*$C792*'Business Case'!F12*$B792)-'Business Case'!F11*$C792*'Business Case'!F13*$D792-'Business Case'!F14*$E792))*'Business Case'!$B$7-'Business Case'!$B$8*(('Business Case'!F11*$C792*'Business Case'!F12*$B792)-('Business Case'!E11*$C792*'Business Case'!E12*$B792))-'Business Case'!F15*$F792</f>
        <v>493730961.352308</v>
      </c>
      <c r="M792" s="39" t="n">
        <f aca="false">(('Business Case'!G11*$C792*'Business Case'!G12*$B792)-'Business Case'!G11*$C792*'Business Case'!G13*$D792-'Business Case'!G14*$E792)-MAX(0,(('Business Case'!G11*$C792*'Business Case'!G12*$B792)-'Business Case'!G11*$C792*'Business Case'!G13*$D792-'Business Case'!G14*$E792))*'Business Case'!$B$7-'Business Case'!$B$8*(('Business Case'!G11*$C792*'Business Case'!G12*$B792)-('Business Case'!F11*$C792*'Business Case'!F12*$B792))-'Business Case'!G15*$F792+'Business Case'!$B$8*('Business Case'!G11*$C792*'Business Case'!G12*$B792)</f>
        <v>651537052.249728</v>
      </c>
      <c r="N792" s="39" t="n">
        <f aca="false">IF(COUNT('Business Case'!B11:G11)=0,"",H792+NPV(G792,I792:M792))</f>
        <v>-1120730590.81105</v>
      </c>
      <c r="P792" s="40" t="n">
        <f aca="true">RAND()</f>
        <v>0.0643828630975146</v>
      </c>
      <c r="Q792" s="40" t="n">
        <f aca="true">RAND()</f>
        <v>0.0883845543984106</v>
      </c>
      <c r="R792" s="40" t="n">
        <f aca="true">RAND()</f>
        <v>0.879247420449597</v>
      </c>
      <c r="S792" s="40" t="n">
        <f aca="true">RAND()</f>
        <v>0.039708511461618</v>
      </c>
      <c r="T792" s="40" t="n">
        <f aca="true">RAND()</f>
        <v>0.791427534725923</v>
      </c>
      <c r="U792" s="40" t="n">
        <f aca="true">RAND()</f>
        <v>0.300493529197689</v>
      </c>
    </row>
    <row r="793" customFormat="false" ht="15" hidden="false" customHeight="false" outlineLevel="0" collapsed="false">
      <c r="A793" s="36" t="n">
        <v>713</v>
      </c>
      <c r="B793" s="37" t="n">
        <f aca="false">1+IF($G$6=$E$6,$F$6,IF(P793&lt;($F$6-$E$6)/($G$6-$E$6),$E$6+SQRT(P793*($G$6-$E$6)*($F$6-$E$6)),$G$6-SQRT((1-P793)*($G$6-$E$6)*($G$6-$F$6))))</f>
        <v>1.00549038676951</v>
      </c>
      <c r="C793" s="37" t="n">
        <f aca="false">1+IF($G$7=$E$7,$F$7,IF(Q793&lt;($F$7-$E$7)/($G$7-$E$7),$E$7+SQRT(Q793*($G$7-$E$7)*($F$7-$E$7)),$G$7-SQRT((1-Q793)*($G$7-$E$7)*($G$7-$F$7))))</f>
        <v>0.970585179654034</v>
      </c>
      <c r="D793" s="37" t="n">
        <f aca="false">1+IF($G$8=$E$8,$F$8,IF(R793&lt;($F$8-$E$8)/($G$8-$E$8),$E$8+SQRT(R793*($G$8-$E$8)*($F$8-$E$8)),$G$8-SQRT((1-R793)*($G$8-$E$8)*($G$8-$F$8))))</f>
        <v>1.01801948817527</v>
      </c>
      <c r="E793" s="37" t="n">
        <f aca="false">1+IF($G$9=$E$9,$F$9,IF(S793&lt;($F$9-$E$9)/($G$9-$E$9),$E$9+SQRT(S793*($G$9-$E$9)*($F$9-$E$9)),$G$9-SQRT((1-S793)*($G$9-$E$9)*($G$9-$F$9))))</f>
        <v>1.03949746438829</v>
      </c>
      <c r="F793" s="37" t="n">
        <f aca="false">1+IF($G$10=$E$10,$F$10,IF(T793&lt;($F$10-$E$10)/($G$10-$E$10),$E$10+SQRT(T793*($G$10-$E$10)*($F$10-$E$10)),$G$10-SQRT((1-T793)*($G$10-$E$10)*($G$10-$F$10))))</f>
        <v>1.00016535201644</v>
      </c>
      <c r="G793" s="38" t="n">
        <f aca="false">IF($G$11=$E$11,$F$11,IF(U793&lt;($F$11-$E$11)/($G$11-$E$11),$E$11+SQRT(U793*($G$11-$E$11)*($F$11-$E$11)),$G$11-SQRT((1-U793)*($G$11-$E$11)*($G$11-$F$11))))</f>
        <v>0.098686248635841</v>
      </c>
      <c r="H793" s="39" t="n">
        <f aca="false">(('Business Case'!B11*$C793*'Business Case'!B12*$B793)-'Business Case'!B11*$C793*'Business Case'!B13*$D793-'Business Case'!B14*$E793)-MAX(0,(('Business Case'!B11*$C793*'Business Case'!B12*$B793)-'Business Case'!B11*$C793*'Business Case'!B13*$D793-'Business Case'!B14*$E793))*'Business Case'!$B$7-'Business Case'!$B$8*('Business Case'!B11*$C793*'Business Case'!B12*$B793)-'Business Case'!B15*$F793</f>
        <v>-2000330704.03289</v>
      </c>
      <c r="I793" s="39" t="n">
        <f aca="false">(('Business Case'!C11*$C793*'Business Case'!C12*$B793)-'Business Case'!C11*$C793*'Business Case'!C13*$D793-'Business Case'!C14*$E793)-MAX(0,(('Business Case'!C11*$C793*'Business Case'!C12*$B793)-'Business Case'!C11*$C793*'Business Case'!C13*$D793-'Business Case'!C14*$E793))*'Business Case'!$B$7-'Business Case'!$B$8*(('Business Case'!C11*$C793*'Business Case'!C12*$B793)-('Business Case'!B11*$C793*'Business Case'!B12*$B793))-'Business Case'!C15*$F793</f>
        <v>-4895736.13561972</v>
      </c>
      <c r="J793" s="39" t="n">
        <f aca="false">(('Business Case'!D11*$C793*'Business Case'!D12*$B793)-'Business Case'!D11*$C793*'Business Case'!D13*$D793-'Business Case'!D14*$E793)-MAX(0,(('Business Case'!D11*$C793*'Business Case'!D12*$B793)-'Business Case'!D11*$C793*'Business Case'!D13*$D793-'Business Case'!D14*$E793))*'Business Case'!$B$7-'Business Case'!$B$8*(('Business Case'!D11*$C793*'Business Case'!D12*$B793)-('Business Case'!C11*$C793*'Business Case'!C12*$B793))-'Business Case'!D15*$F793</f>
        <v>288632987.635111</v>
      </c>
      <c r="K793" s="39" t="n">
        <f aca="false">(('Business Case'!E11*$C793*'Business Case'!E12*$B793)-'Business Case'!E11*$C793*'Business Case'!E13*$D793-'Business Case'!E14*$E793)-MAX(0,(('Business Case'!E11*$C793*'Business Case'!E12*$B793)-'Business Case'!E11*$C793*'Business Case'!E13*$D793-'Business Case'!E14*$E793))*'Business Case'!$B$7-'Business Case'!$B$8*(('Business Case'!E11*$C793*'Business Case'!E12*$B793)-('Business Case'!D11*$C793*'Business Case'!D12*$B793))-'Business Case'!E15*$F793</f>
        <v>632169979.006663</v>
      </c>
      <c r="L793" s="39" t="n">
        <f aca="false">(('Business Case'!F11*$C793*'Business Case'!F12*$B793)-'Business Case'!F11*$C793*'Business Case'!F13*$D793-'Business Case'!F14*$E793)-MAX(0,(('Business Case'!F11*$C793*'Business Case'!F12*$B793)-'Business Case'!F11*$C793*'Business Case'!F13*$D793-'Business Case'!F14*$E793))*'Business Case'!$B$7-'Business Case'!$B$8*(('Business Case'!F11*$C793*'Business Case'!F12*$B793)-('Business Case'!E11*$C793*'Business Case'!E12*$B793))-'Business Case'!F15*$F793</f>
        <v>763740477.109367</v>
      </c>
      <c r="M793" s="39" t="n">
        <f aca="false">(('Business Case'!G11*$C793*'Business Case'!G12*$B793)-'Business Case'!G11*$C793*'Business Case'!G13*$D793-'Business Case'!G14*$E793)-MAX(0,(('Business Case'!G11*$C793*'Business Case'!G12*$B793)-'Business Case'!G11*$C793*'Business Case'!G13*$D793-'Business Case'!G14*$E793))*'Business Case'!$B$7-'Business Case'!$B$8*(('Business Case'!G11*$C793*'Business Case'!G12*$B793)-('Business Case'!F11*$C793*'Business Case'!F12*$B793))-'Business Case'!G15*$F793+'Business Case'!$B$8*('Business Case'!G11*$C793*'Business Case'!G12*$B793)</f>
        <v>949242223.094568</v>
      </c>
      <c r="N793" s="39" t="n">
        <f aca="false">IF(COUNT('Business Case'!B11:G11)=0,"",H793+NPV(G793,I793:M793))</f>
        <v>-171930141.712628</v>
      </c>
      <c r="P793" s="40" t="n">
        <f aca="true">RAND()</f>
        <v>0.751893040558698</v>
      </c>
      <c r="Q793" s="40" t="n">
        <f aca="true">RAND()</f>
        <v>0.415704335965702</v>
      </c>
      <c r="R793" s="40" t="n">
        <f aca="true">RAND()</f>
        <v>0.630616937879326</v>
      </c>
      <c r="S793" s="40" t="n">
        <f aca="true">RAND()</f>
        <v>0.755962878970226</v>
      </c>
      <c r="T793" s="40" t="n">
        <f aca="true">RAND()</f>
        <v>0.201322269305769</v>
      </c>
      <c r="U793" s="40" t="n">
        <f aca="true">RAND()</f>
        <v>0.251503051212166</v>
      </c>
    </row>
    <row r="794" customFormat="false" ht="15" hidden="false" customHeight="false" outlineLevel="0" collapsed="false">
      <c r="A794" s="36" t="n">
        <v>714</v>
      </c>
      <c r="B794" s="37" t="n">
        <f aca="false">1+IF($G$6=$E$6,$F$6,IF(P794&lt;($F$6-$E$6)/($G$6-$E$6),$E$6+SQRT(P794*($G$6-$E$6)*($F$6-$E$6)),$G$6-SQRT((1-P794)*($G$6-$E$6)*($G$6-$F$6))))</f>
        <v>0.99568107653891</v>
      </c>
      <c r="C794" s="37" t="n">
        <f aca="false">1+IF($G$7=$E$7,$F$7,IF(Q794&lt;($F$7-$E$7)/($G$7-$E$7),$E$7+SQRT(Q794*($G$7-$E$7)*($F$7-$E$7)),$G$7-SQRT((1-Q794)*($G$7-$E$7)*($G$7-$F$7))))</f>
        <v>0.90618941257373</v>
      </c>
      <c r="D794" s="37" t="n">
        <f aca="false">1+IF($G$8=$E$8,$F$8,IF(R794&lt;($F$8-$E$8)/($G$8-$E$8),$E$8+SQRT(R794*($G$8-$E$8)*($F$8-$E$8)),$G$8-SQRT((1-R794)*($G$8-$E$8)*($G$8-$F$8))))</f>
        <v>1.00288950077001</v>
      </c>
      <c r="E794" s="37" t="n">
        <f aca="false">1+IF($G$9=$E$9,$F$9,IF(S794&lt;($F$9-$E$9)/($G$9-$E$9),$E$9+SQRT(S794*($G$9-$E$9)*($F$9-$E$9)),$G$9-SQRT((1-S794)*($G$9-$E$9)*($G$9-$F$9))))</f>
        <v>0.969333452968134</v>
      </c>
      <c r="F794" s="37" t="n">
        <f aca="false">1+IF($G$10=$E$10,$F$10,IF(T794&lt;($F$10-$E$10)/($G$10-$E$10),$E$10+SQRT(T794*($G$10-$E$10)*($F$10-$E$10)),$G$10-SQRT((1-T794)*($G$10-$E$10)*($G$10-$F$10))))</f>
        <v>1.00270055123781</v>
      </c>
      <c r="G794" s="38" t="n">
        <f aca="false">IF($G$11=$E$11,$F$11,IF(U794&lt;($F$11-$E$11)/($G$11-$E$11),$E$11+SQRT(U794*($G$11-$E$11)*($F$11-$E$11)),$G$11-SQRT((1-U794)*($G$11-$E$11)*($G$11-$F$11))))</f>
        <v>0.0926383247970087</v>
      </c>
      <c r="H794" s="39" t="n">
        <f aca="false">(('Business Case'!B11*$C794*'Business Case'!B12*$B794)-'Business Case'!B11*$C794*'Business Case'!B13*$D794-'Business Case'!B14*$E794)-MAX(0,(('Business Case'!B11*$C794*'Business Case'!B12*$B794)-'Business Case'!B11*$C794*'Business Case'!B13*$D794-'Business Case'!B14*$E794))*'Business Case'!$B$7-'Business Case'!$B$8*('Business Case'!B11*$C794*'Business Case'!B12*$B794)-'Business Case'!B15*$F794</f>
        <v>-2005401102.47561</v>
      </c>
      <c r="I794" s="39" t="n">
        <f aca="false">(('Business Case'!C11*$C794*'Business Case'!C12*$B794)-'Business Case'!C11*$C794*'Business Case'!C13*$D794-'Business Case'!C14*$E794)-MAX(0,(('Business Case'!C11*$C794*'Business Case'!C12*$B794)-'Business Case'!C11*$C794*'Business Case'!C13*$D794-'Business Case'!C14*$E794))*'Business Case'!$B$7-'Business Case'!$B$8*(('Business Case'!C11*$C794*'Business Case'!C12*$B794)-('Business Case'!B11*$C794*'Business Case'!B12*$B794))-'Business Case'!C15*$F794</f>
        <v>-11091434.0755005</v>
      </c>
      <c r="J794" s="39" t="n">
        <f aca="false">(('Business Case'!D11*$C794*'Business Case'!D12*$B794)-'Business Case'!D11*$C794*'Business Case'!D13*$D794-'Business Case'!D14*$E794)-MAX(0,(('Business Case'!D11*$C794*'Business Case'!D12*$B794)-'Business Case'!D11*$C794*'Business Case'!D13*$D794-'Business Case'!D14*$E794))*'Business Case'!$B$7-'Business Case'!$B$8*(('Business Case'!D11*$C794*'Business Case'!D12*$B794)-('Business Case'!C11*$C794*'Business Case'!C12*$B794))-'Business Case'!D15*$F794</f>
        <v>262700373.673569</v>
      </c>
      <c r="K794" s="39" t="n">
        <f aca="false">(('Business Case'!E11*$C794*'Business Case'!E12*$B794)-'Business Case'!E11*$C794*'Business Case'!E13*$D794-'Business Case'!E14*$E794)-MAX(0,(('Business Case'!E11*$C794*'Business Case'!E12*$B794)-'Business Case'!E11*$C794*'Business Case'!E13*$D794-'Business Case'!E14*$E794))*'Business Case'!$B$7-'Business Case'!$B$8*(('Business Case'!E11*$C794*'Business Case'!E12*$B794)-('Business Case'!D11*$C794*'Business Case'!D12*$B794))-'Business Case'!E15*$F794</f>
        <v>586627208.984528</v>
      </c>
      <c r="L794" s="39" t="n">
        <f aca="false">(('Business Case'!F11*$C794*'Business Case'!F12*$B794)-'Business Case'!F11*$C794*'Business Case'!F13*$D794-'Business Case'!F14*$E794)-MAX(0,(('Business Case'!F11*$C794*'Business Case'!F12*$B794)-'Business Case'!F11*$C794*'Business Case'!F13*$D794-'Business Case'!F14*$E794))*'Business Case'!$B$7-'Business Case'!$B$8*(('Business Case'!F11*$C794*'Business Case'!F12*$B794)-('Business Case'!E11*$C794*'Business Case'!E12*$B794))-'Business Case'!F15*$F794</f>
        <v>709073791.360031</v>
      </c>
      <c r="M794" s="39" t="n">
        <f aca="false">(('Business Case'!G11*$C794*'Business Case'!G12*$B794)-'Business Case'!G11*$C794*'Business Case'!G13*$D794-'Business Case'!G14*$E794)-MAX(0,(('Business Case'!G11*$C794*'Business Case'!G12*$B794)-'Business Case'!G11*$C794*'Business Case'!G13*$D794-'Business Case'!G14*$E794))*'Business Case'!$B$7-'Business Case'!$B$8*(('Business Case'!G11*$C794*'Business Case'!G12*$B794)-('Business Case'!F11*$C794*'Business Case'!F12*$B794))-'Business Case'!G15*$F794+'Business Case'!$B$8*('Business Case'!G11*$C794*'Business Case'!G12*$B794)</f>
        <v>880578346.885338</v>
      </c>
      <c r="N794" s="39" t="n">
        <f aca="false">IF(COUNT('Business Case'!B11:G11)=0,"",H794+NPV(G794,I794:M794))</f>
        <v>-282867957.517026</v>
      </c>
      <c r="P794" s="40" t="n">
        <f aca="true">RAND()</f>
        <v>0.596627640217532</v>
      </c>
      <c r="Q794" s="40" t="n">
        <f aca="true">RAND()</f>
        <v>0.161088447753626</v>
      </c>
      <c r="R794" s="40" t="n">
        <f aca="true">RAND()</f>
        <v>0.428266433509783</v>
      </c>
      <c r="S794" s="40" t="n">
        <f aca="true">RAND()</f>
        <v>0.0498376538228045</v>
      </c>
      <c r="T794" s="40" t="n">
        <f aca="true">RAND()</f>
        <v>0.221458550362684</v>
      </c>
      <c r="U794" s="40" t="n">
        <f aca="true">RAND()</f>
        <v>0.0232025257817027</v>
      </c>
    </row>
    <row r="795" customFormat="false" ht="15" hidden="false" customHeight="false" outlineLevel="0" collapsed="false">
      <c r="A795" s="36" t="n">
        <v>715</v>
      </c>
      <c r="B795" s="37" t="n">
        <f aca="false">1+IF($G$6=$E$6,$F$6,IF(P795&lt;($F$6-$E$6)/($G$6-$E$6),$E$6+SQRT(P795*($G$6-$E$6)*($F$6-$E$6)),$G$6-SQRT((1-P795)*($G$6-$E$6)*($G$6-$F$6))))</f>
        <v>0.965285585174984</v>
      </c>
      <c r="C795" s="37" t="n">
        <f aca="false">1+IF($G$7=$E$7,$F$7,IF(Q795&lt;($F$7-$E$7)/($G$7-$E$7),$E$7+SQRT(Q795*($G$7-$E$7)*($F$7-$E$7)),$G$7-SQRT((1-Q795)*($G$7-$E$7)*($G$7-$F$7))))</f>
        <v>0.974976591591912</v>
      </c>
      <c r="D795" s="37" t="n">
        <f aca="false">1+IF($G$8=$E$8,$F$8,IF(R795&lt;($F$8-$E$8)/($G$8-$E$8),$E$8+SQRT(R795*($G$8-$E$8)*($F$8-$E$8)),$G$8-SQRT((1-R795)*($G$8-$E$8)*($G$8-$F$8))))</f>
        <v>1.01428926761252</v>
      </c>
      <c r="E795" s="37" t="n">
        <f aca="false">1+IF($G$9=$E$9,$F$9,IF(S795&lt;($F$9-$E$9)/($G$9-$E$9),$E$9+SQRT(S795*($G$9-$E$9)*($F$9-$E$9)),$G$9-SQRT((1-S795)*($G$9-$E$9)*($G$9-$F$9))))</f>
        <v>1.05037848887023</v>
      </c>
      <c r="F795" s="37" t="n">
        <f aca="false">1+IF($G$10=$E$10,$F$10,IF(T795&lt;($F$10-$E$10)/($G$10-$E$10),$E$10+SQRT(T795*($G$10-$E$10)*($F$10-$E$10)),$G$10-SQRT((1-T795)*($G$10-$E$10)*($G$10-$F$10))))</f>
        <v>0.979839559652123</v>
      </c>
      <c r="G795" s="38" t="n">
        <f aca="false">IF($G$11=$E$11,$F$11,IF(U795&lt;($F$11-$E$11)/($G$11-$E$11),$E$11+SQRT(U795*($G$11-$E$11)*($F$11-$E$11)),$G$11-SQRT((1-U795)*($G$11-$E$11)*($G$11-$F$11))))</f>
        <v>0.09338406624111</v>
      </c>
      <c r="H795" s="39" t="n">
        <f aca="false">(('Business Case'!B11*$C795*'Business Case'!B12*$B795)-'Business Case'!B11*$C795*'Business Case'!B13*$D795-'Business Case'!B14*$E795)-MAX(0,(('Business Case'!B11*$C795*'Business Case'!B12*$B795)-'Business Case'!B11*$C795*'Business Case'!B13*$D795-'Business Case'!B14*$E795))*'Business Case'!$B$7-'Business Case'!$B$8*('Business Case'!B11*$C795*'Business Case'!B12*$B795)-'Business Case'!B15*$F795</f>
        <v>-1959679119.30425</v>
      </c>
      <c r="I795" s="39" t="n">
        <f aca="false">(('Business Case'!C11*$C795*'Business Case'!C12*$B795)-'Business Case'!C11*$C795*'Business Case'!C13*$D795-'Business Case'!C14*$E795)-MAX(0,(('Business Case'!C11*$C795*'Business Case'!C12*$B795)-'Business Case'!C11*$C795*'Business Case'!C13*$D795-'Business Case'!C14*$E795))*'Business Case'!$B$7-'Business Case'!$B$8*(('Business Case'!C11*$C795*'Business Case'!C12*$B795)-('Business Case'!B11*$C795*'Business Case'!B12*$B795))-'Business Case'!C15*$F795</f>
        <v>-31524006.3351088</v>
      </c>
      <c r="J795" s="39" t="n">
        <f aca="false">(('Business Case'!D11*$C795*'Business Case'!D12*$B795)-'Business Case'!D11*$C795*'Business Case'!D13*$D795-'Business Case'!D14*$E795)-MAX(0,(('Business Case'!D11*$C795*'Business Case'!D12*$B795)-'Business Case'!D11*$C795*'Business Case'!D13*$D795-'Business Case'!D14*$E795))*'Business Case'!$B$7-'Business Case'!$B$8*(('Business Case'!D11*$C795*'Business Case'!D12*$B795)-('Business Case'!C11*$C795*'Business Case'!C12*$B795))-'Business Case'!D15*$F795</f>
        <v>233087987.663211</v>
      </c>
      <c r="K795" s="39" t="n">
        <f aca="false">(('Business Case'!E11*$C795*'Business Case'!E12*$B795)-'Business Case'!E11*$C795*'Business Case'!E13*$D795-'Business Case'!E14*$E795)-MAX(0,(('Business Case'!E11*$C795*'Business Case'!E12*$B795)-'Business Case'!E11*$C795*'Business Case'!E13*$D795-'Business Case'!E14*$E795))*'Business Case'!$B$7-'Business Case'!$B$8*(('Business Case'!E11*$C795*'Business Case'!E12*$B795)-('Business Case'!D11*$C795*'Business Case'!D12*$B795))-'Business Case'!E15*$F795</f>
        <v>546691959.644137</v>
      </c>
      <c r="L795" s="39" t="n">
        <f aca="false">(('Business Case'!F11*$C795*'Business Case'!F12*$B795)-'Business Case'!F11*$C795*'Business Case'!F13*$D795-'Business Case'!F14*$E795)-MAX(0,(('Business Case'!F11*$C795*'Business Case'!F12*$B795)-'Business Case'!F11*$C795*'Business Case'!F13*$D795-'Business Case'!F14*$E795))*'Business Case'!$B$7-'Business Case'!$B$8*(('Business Case'!F11*$C795*'Business Case'!F12*$B795)-('Business Case'!E11*$C795*'Business Case'!E12*$B795))-'Business Case'!F15*$F795</f>
        <v>667421439.810823</v>
      </c>
      <c r="M795" s="39" t="n">
        <f aca="false">(('Business Case'!G11*$C795*'Business Case'!G12*$B795)-'Business Case'!G11*$C795*'Business Case'!G13*$D795-'Business Case'!G14*$E795)-MAX(0,(('Business Case'!G11*$C795*'Business Case'!G12*$B795)-'Business Case'!G11*$C795*'Business Case'!G13*$D795-'Business Case'!G14*$E795))*'Business Case'!$B$7-'Business Case'!$B$8*(('Business Case'!G11*$C795*'Business Case'!G12*$B795)-('Business Case'!F11*$C795*'Business Case'!F12*$B795))-'Business Case'!G15*$F795+'Business Case'!$B$8*('Business Case'!G11*$C795*'Business Case'!G12*$B795)</f>
        <v>846311591.730677</v>
      </c>
      <c r="N795" s="39" t="n">
        <f aca="false">IF(COUNT('Business Case'!B11:G11)=0,"",H795+NPV(G795,I795:M795))</f>
        <v>-366722123.423656</v>
      </c>
      <c r="P795" s="40" t="n">
        <f aca="true">RAND()</f>
        <v>0.213623356733406</v>
      </c>
      <c r="Q795" s="40" t="n">
        <f aca="true">RAND()</f>
        <v>0.437382965787467</v>
      </c>
      <c r="R795" s="40" t="n">
        <f aca="true">RAND()</f>
        <v>0.584817273952076</v>
      </c>
      <c r="S795" s="40" t="n">
        <f aca="true">RAND()</f>
        <v>0.835847042213206</v>
      </c>
      <c r="T795" s="40" t="n">
        <f aca="true">RAND()</f>
        <v>0.0712319456186104</v>
      </c>
      <c r="U795" s="40" t="n">
        <f aca="true">RAND()</f>
        <v>0.0381730144140675</v>
      </c>
    </row>
    <row r="796" customFormat="false" ht="15" hidden="false" customHeight="false" outlineLevel="0" collapsed="false">
      <c r="A796" s="36" t="n">
        <v>716</v>
      </c>
      <c r="B796" s="37" t="n">
        <f aca="false">1+IF($G$6=$E$6,$F$6,IF(P796&lt;($F$6-$E$6)/($G$6-$E$6),$E$6+SQRT(P796*($G$6-$E$6)*($F$6-$E$6)),$G$6-SQRT((1-P796)*($G$6-$E$6)*($G$6-$F$6))))</f>
        <v>1.00210558819988</v>
      </c>
      <c r="C796" s="37" t="n">
        <f aca="false">1+IF($G$7=$E$7,$F$7,IF(Q796&lt;($F$7-$E$7)/($G$7-$E$7),$E$7+SQRT(Q796*($G$7-$E$7)*($F$7-$E$7)),$G$7-SQRT((1-Q796)*($G$7-$E$7)*($G$7-$F$7))))</f>
        <v>0.964969125558122</v>
      </c>
      <c r="D796" s="37" t="n">
        <f aca="false">1+IF($G$8=$E$8,$F$8,IF(R796&lt;($F$8-$E$8)/($G$8-$E$8),$E$8+SQRT(R796*($G$8-$E$8)*($F$8-$E$8)),$G$8-SQRT((1-R796)*($G$8-$E$8)*($G$8-$F$8))))</f>
        <v>1.00551385435433</v>
      </c>
      <c r="E796" s="37" t="n">
        <f aca="false">1+IF($G$9=$E$9,$F$9,IF(S796&lt;($F$9-$E$9)/($G$9-$E$9),$E$9+SQRT(S796*($G$9-$E$9)*($F$9-$E$9)),$G$9-SQRT((1-S796)*($G$9-$E$9)*($G$9-$F$9))))</f>
        <v>1.03530472133214</v>
      </c>
      <c r="F796" s="37" t="n">
        <f aca="false">1+IF($G$10=$E$10,$F$10,IF(T796&lt;($F$10-$E$10)/($G$10-$E$10),$E$10+SQRT(T796*($G$10-$E$10)*($F$10-$E$10)),$G$10-SQRT((1-T796)*($G$10-$E$10)*($G$10-$F$10))))</f>
        <v>1.08388222457208</v>
      </c>
      <c r="G796" s="38" t="n">
        <f aca="false">IF($G$11=$E$11,$F$11,IF(U796&lt;($F$11-$E$11)/($G$11-$E$11),$E$11+SQRT(U796*($G$11-$E$11)*($F$11-$E$11)),$G$11-SQRT((1-U796)*($G$11-$E$11)*($G$11-$F$11))))</f>
        <v>0.0959212797443707</v>
      </c>
      <c r="H796" s="39" t="n">
        <f aca="false">(('Business Case'!B11*$C796*'Business Case'!B12*$B796)-'Business Case'!B11*$C796*'Business Case'!B13*$D796-'Business Case'!B14*$E796)-MAX(0,(('Business Case'!B11*$C796*'Business Case'!B12*$B796)-'Business Case'!B11*$C796*'Business Case'!B13*$D796-'Business Case'!B14*$E796))*'Business Case'!$B$7-'Business Case'!$B$8*('Business Case'!B11*$C796*'Business Case'!B12*$B796)-'Business Case'!B15*$F796</f>
        <v>-2167764449.14416</v>
      </c>
      <c r="I796" s="39" t="n">
        <f aca="false">(('Business Case'!C11*$C796*'Business Case'!C12*$B796)-'Business Case'!C11*$C796*'Business Case'!C13*$D796-'Business Case'!C14*$E796)-MAX(0,(('Business Case'!C11*$C796*'Business Case'!C12*$B796)-'Business Case'!C11*$C796*'Business Case'!C13*$D796-'Business Case'!C14*$E796))*'Business Case'!$B$7-'Business Case'!$B$8*(('Business Case'!C11*$C796*'Business Case'!C12*$B796)-('Business Case'!B11*$C796*'Business Case'!B12*$B796))-'Business Case'!C15*$F796</f>
        <v>-10405245.631869</v>
      </c>
      <c r="J796" s="39" t="n">
        <f aca="false">(('Business Case'!D11*$C796*'Business Case'!D12*$B796)-'Business Case'!D11*$C796*'Business Case'!D13*$D796-'Business Case'!D14*$E796)-MAX(0,(('Business Case'!D11*$C796*'Business Case'!D12*$B796)-'Business Case'!D11*$C796*'Business Case'!D13*$D796-'Business Case'!D14*$E796))*'Business Case'!$B$7-'Business Case'!$B$8*(('Business Case'!D11*$C796*'Business Case'!D12*$B796)-('Business Case'!C11*$C796*'Business Case'!C12*$B796))-'Business Case'!D15*$F796</f>
        <v>284927391.978826</v>
      </c>
      <c r="K796" s="39" t="n">
        <f aca="false">(('Business Case'!E11*$C796*'Business Case'!E12*$B796)-'Business Case'!E11*$C796*'Business Case'!E13*$D796-'Business Case'!E14*$E796)-MAX(0,(('Business Case'!E11*$C796*'Business Case'!E12*$B796)-'Business Case'!E11*$C796*'Business Case'!E13*$D796-'Business Case'!E14*$E796))*'Business Case'!$B$7-'Business Case'!$B$8*(('Business Case'!E11*$C796*'Business Case'!E12*$B796)-('Business Case'!D11*$C796*'Business Case'!D12*$B796))-'Business Case'!E15*$F796</f>
        <v>634454140.818126</v>
      </c>
      <c r="L796" s="39" t="n">
        <f aca="false">(('Business Case'!F11*$C796*'Business Case'!F12*$B796)-'Business Case'!F11*$C796*'Business Case'!F13*$D796-'Business Case'!F14*$E796)-MAX(0,(('Business Case'!F11*$C796*'Business Case'!F12*$B796)-'Business Case'!F11*$C796*'Business Case'!F13*$D796-'Business Case'!F14*$E796))*'Business Case'!$B$7-'Business Case'!$B$8*(('Business Case'!F11*$C796*'Business Case'!F12*$B796)-('Business Case'!E11*$C796*'Business Case'!E12*$B796))-'Business Case'!F15*$F796</f>
        <v>766317906.296308</v>
      </c>
      <c r="M796" s="39" t="n">
        <f aca="false">(('Business Case'!G11*$C796*'Business Case'!G12*$B796)-'Business Case'!G11*$C796*'Business Case'!G13*$D796-'Business Case'!G14*$E796)-MAX(0,(('Business Case'!G11*$C796*'Business Case'!G12*$B796)-'Business Case'!G11*$C796*'Business Case'!G13*$D796-'Business Case'!G14*$E796))*'Business Case'!$B$7-'Business Case'!$B$8*(('Business Case'!G11*$C796*'Business Case'!G12*$B796)-('Business Case'!F11*$C796*'Business Case'!F12*$B796))-'Business Case'!G15*$F796+'Business Case'!$B$8*('Business Case'!G11*$C796*'Business Case'!G12*$B796)</f>
        <v>950125447.47337</v>
      </c>
      <c r="N796" s="39" t="n">
        <f aca="false">IF(COUNT('Business Case'!B11:G11)=0,"",H796+NPV(G796,I796:M796))</f>
        <v>-325754647.85472</v>
      </c>
      <c r="P796" s="40" t="n">
        <f aca="true">RAND()</f>
        <v>0.700836157150651</v>
      </c>
      <c r="Q796" s="40" t="n">
        <f aca="true">RAND()</f>
        <v>0.388783034105878</v>
      </c>
      <c r="R796" s="40" t="n">
        <f aca="true">RAND()</f>
        <v>0.466520587197359</v>
      </c>
      <c r="S796" s="40" t="n">
        <f aca="true">RAND()</f>
        <v>0.720968061205868</v>
      </c>
      <c r="T796" s="40" t="n">
        <f aca="true">RAND()</f>
        <v>0.730333244593433</v>
      </c>
      <c r="U796" s="40" t="n">
        <f aca="true">RAND()</f>
        <v>0.116871846036983</v>
      </c>
    </row>
    <row r="797" customFormat="false" ht="15" hidden="false" customHeight="false" outlineLevel="0" collapsed="false">
      <c r="A797" s="36" t="n">
        <v>717</v>
      </c>
      <c r="B797" s="37" t="n">
        <f aca="false">1+IF($G$6=$E$6,$F$6,IF(P797&lt;($F$6-$E$6)/($G$6-$E$6),$E$6+SQRT(P797*($G$6-$E$6)*($F$6-$E$6)),$G$6-SQRT((1-P797)*($G$6-$E$6)*($G$6-$F$6))))</f>
        <v>0.970340039728124</v>
      </c>
      <c r="C797" s="37" t="n">
        <f aca="false">1+IF($G$7=$E$7,$F$7,IF(Q797&lt;($F$7-$E$7)/($G$7-$E$7),$E$7+SQRT(Q797*($G$7-$E$7)*($F$7-$E$7)),$G$7-SQRT((1-Q797)*($G$7-$E$7)*($G$7-$F$7))))</f>
        <v>1.02165316324706</v>
      </c>
      <c r="D797" s="37" t="n">
        <f aca="false">1+IF($G$8=$E$8,$F$8,IF(R797&lt;($F$8-$E$8)/($G$8-$E$8),$E$8+SQRT(R797*($G$8-$E$8)*($F$8-$E$8)),$G$8-SQRT((1-R797)*($G$8-$E$8)*($G$8-$F$8))))</f>
        <v>1.02421081447681</v>
      </c>
      <c r="E797" s="37" t="n">
        <f aca="false">1+IF($G$9=$E$9,$F$9,IF(S797&lt;($F$9-$E$9)/($G$9-$E$9),$E$9+SQRT(S797*($G$9-$E$9)*($F$9-$E$9)),$G$9-SQRT((1-S797)*($G$9-$E$9)*($G$9-$F$9))))</f>
        <v>1.01856000202477</v>
      </c>
      <c r="F797" s="37" t="n">
        <f aca="false">1+IF($G$10=$E$10,$F$10,IF(T797&lt;($F$10-$E$10)/($G$10-$E$10),$E$10+SQRT(T797*($G$10-$E$10)*($F$10-$E$10)),$G$10-SQRT((1-T797)*($G$10-$E$10)*($G$10-$F$10))))</f>
        <v>1.03039224842173</v>
      </c>
      <c r="G797" s="38" t="n">
        <f aca="false">IF($G$11=$E$11,$F$11,IF(U797&lt;($F$11-$E$11)/($G$11-$E$11),$E$11+SQRT(U797*($G$11-$E$11)*($F$11-$E$11)),$G$11-SQRT((1-U797)*($G$11-$E$11)*($G$11-$F$11))))</f>
        <v>0.0936963288453993</v>
      </c>
      <c r="H797" s="39" t="n">
        <f aca="false">(('Business Case'!B11*$C797*'Business Case'!B12*$B797)-'Business Case'!B11*$C797*'Business Case'!B13*$D797-'Business Case'!B14*$E797)-MAX(0,(('Business Case'!B11*$C797*'Business Case'!B12*$B797)-'Business Case'!B11*$C797*'Business Case'!B13*$D797-'Business Case'!B14*$E797))*'Business Case'!$B$7-'Business Case'!$B$8*('Business Case'!B11*$C797*'Business Case'!B12*$B797)-'Business Case'!B15*$F797</f>
        <v>-2060784496.84347</v>
      </c>
      <c r="I797" s="39" t="n">
        <f aca="false">(('Business Case'!C11*$C797*'Business Case'!C12*$B797)-'Business Case'!C11*$C797*'Business Case'!C13*$D797-'Business Case'!C14*$E797)-MAX(0,(('Business Case'!C11*$C797*'Business Case'!C12*$B797)-'Business Case'!C11*$C797*'Business Case'!C13*$D797-'Business Case'!C14*$E797))*'Business Case'!$B$7-'Business Case'!$B$8*(('Business Case'!C11*$C797*'Business Case'!C12*$B797)-('Business Case'!B11*$C797*'Business Case'!B12*$B797))-'Business Case'!C15*$F797</f>
        <v>-22949325.7223234</v>
      </c>
      <c r="J797" s="39" t="n">
        <f aca="false">(('Business Case'!D11*$C797*'Business Case'!D12*$B797)-'Business Case'!D11*$C797*'Business Case'!D13*$D797-'Business Case'!D14*$E797)-MAX(0,(('Business Case'!D11*$C797*'Business Case'!D12*$B797)-'Business Case'!D11*$C797*'Business Case'!D13*$D797-'Business Case'!D14*$E797))*'Business Case'!$B$7-'Business Case'!$B$8*(('Business Case'!D11*$C797*'Business Case'!D12*$B797)-('Business Case'!C11*$C797*'Business Case'!C12*$B797))-'Business Case'!D15*$F797</f>
        <v>253371440.02279</v>
      </c>
      <c r="K797" s="39" t="n">
        <f aca="false">(('Business Case'!E11*$C797*'Business Case'!E12*$B797)-'Business Case'!E11*$C797*'Business Case'!E13*$D797-'Business Case'!E14*$E797)-MAX(0,(('Business Case'!E11*$C797*'Business Case'!E12*$B797)-'Business Case'!E11*$C797*'Business Case'!E13*$D797-'Business Case'!E14*$E797))*'Business Case'!$B$7-'Business Case'!$B$8*(('Business Case'!E11*$C797*'Business Case'!E12*$B797)-('Business Case'!D11*$C797*'Business Case'!D12*$B797))-'Business Case'!E15*$F797</f>
        <v>581211818.188989</v>
      </c>
      <c r="L797" s="39" t="n">
        <f aca="false">(('Business Case'!F11*$C797*'Business Case'!F12*$B797)-'Business Case'!F11*$C797*'Business Case'!F13*$D797-'Business Case'!F14*$E797)-MAX(0,(('Business Case'!F11*$C797*'Business Case'!F12*$B797)-'Business Case'!F11*$C797*'Business Case'!F13*$D797-'Business Case'!F14*$E797))*'Business Case'!$B$7-'Business Case'!$B$8*(('Business Case'!F11*$C797*'Business Case'!F12*$B797)-('Business Case'!E11*$C797*'Business Case'!E12*$B797))-'Business Case'!F15*$F797</f>
        <v>707579829.662254</v>
      </c>
      <c r="M797" s="39" t="n">
        <f aca="false">(('Business Case'!G11*$C797*'Business Case'!G12*$B797)-'Business Case'!G11*$C797*'Business Case'!G13*$D797-'Business Case'!G14*$E797)-MAX(0,(('Business Case'!G11*$C797*'Business Case'!G12*$B797)-'Business Case'!G11*$C797*'Business Case'!G13*$D797-'Business Case'!G14*$E797))*'Business Case'!$B$7-'Business Case'!$B$8*(('Business Case'!G11*$C797*'Business Case'!G12*$B797)-('Business Case'!F11*$C797*'Business Case'!F12*$B797))-'Business Case'!G15*$F797+'Business Case'!$B$8*('Business Case'!G11*$C797*'Business Case'!G12*$B797)</f>
        <v>896015822.232503</v>
      </c>
      <c r="N797" s="39" t="n">
        <f aca="false">IF(COUNT('Business Case'!B11:G11)=0,"",H797+NPV(G797,I797:M797))</f>
        <v>-358582444.224099</v>
      </c>
      <c r="P797" s="40" t="n">
        <f aca="true">RAND()</f>
        <v>0.26397079164886</v>
      </c>
      <c r="Q797" s="40" t="n">
        <f aca="true">RAND()</f>
        <v>0.686230276105017</v>
      </c>
      <c r="R797" s="40" t="n">
        <f aca="true">RAND()</f>
        <v>0.700727574871029</v>
      </c>
      <c r="S797" s="40" t="n">
        <f aca="true">RAND()</f>
        <v>0.557835115319665</v>
      </c>
      <c r="T797" s="40" t="n">
        <f aca="true">RAND()</f>
        <v>0.424664212091305</v>
      </c>
      <c r="U797" s="40" t="n">
        <f aca="true">RAND()</f>
        <v>0.0455428231111031</v>
      </c>
    </row>
    <row r="798" customFormat="false" ht="15" hidden="false" customHeight="false" outlineLevel="0" collapsed="false">
      <c r="A798" s="36" t="n">
        <v>718</v>
      </c>
      <c r="B798" s="37" t="n">
        <f aca="false">1+IF($G$6=$E$6,$F$6,IF(P798&lt;($F$6-$E$6)/($G$6-$E$6),$E$6+SQRT(P798*($G$6-$E$6)*($F$6-$E$6)),$G$6-SQRT((1-P798)*($G$6-$E$6)*($G$6-$F$6))))</f>
        <v>0.994669759369167</v>
      </c>
      <c r="C798" s="37" t="n">
        <f aca="false">1+IF($G$7=$E$7,$F$7,IF(Q798&lt;($F$7-$E$7)/($G$7-$E$7),$E$7+SQRT(Q798*($G$7-$E$7)*($F$7-$E$7)),$G$7-SQRT((1-Q798)*($G$7-$E$7)*($G$7-$F$7))))</f>
        <v>0.977960239567746</v>
      </c>
      <c r="D798" s="37" t="n">
        <f aca="false">1+IF($G$8=$E$8,$F$8,IF(R798&lt;($F$8-$E$8)/($G$8-$E$8),$E$8+SQRT(R798*($G$8-$E$8)*($F$8-$E$8)),$G$8-SQRT((1-R798)*($G$8-$E$8)*($G$8-$F$8))))</f>
        <v>0.971109139330203</v>
      </c>
      <c r="E798" s="37" t="n">
        <f aca="false">1+IF($G$9=$E$9,$F$9,IF(S798&lt;($F$9-$E$9)/($G$9-$E$9),$E$9+SQRT(S798*($G$9-$E$9)*($F$9-$E$9)),$G$9-SQRT((1-S798)*($G$9-$E$9)*($G$9-$F$9))))</f>
        <v>1.02926028941742</v>
      </c>
      <c r="F798" s="37" t="n">
        <f aca="false">1+IF($G$10=$E$10,$F$10,IF(T798&lt;($F$10-$E$10)/($G$10-$E$10),$E$10+SQRT(T798*($G$10-$E$10)*($F$10-$E$10)),$G$10-SQRT((1-T798)*($G$10-$E$10)*($G$10-$F$10))))</f>
        <v>1.0388356668503</v>
      </c>
      <c r="G798" s="38" t="n">
        <f aca="false">IF($G$11=$E$11,$F$11,IF(U798&lt;($F$11-$E$11)/($G$11-$E$11),$E$11+SQRT(U798*($G$11-$E$11)*($F$11-$E$11)),$G$11-SQRT((1-U798)*($G$11-$E$11)*($G$11-$F$11))))</f>
        <v>0.108330121599383</v>
      </c>
      <c r="H798" s="39" t="n">
        <f aca="false">(('Business Case'!B11*$C798*'Business Case'!B12*$B798)-'Business Case'!B11*$C798*'Business Case'!B13*$D798-'Business Case'!B14*$E798)-MAX(0,(('Business Case'!B11*$C798*'Business Case'!B12*$B798)-'Business Case'!B11*$C798*'Business Case'!B13*$D798-'Business Case'!B14*$E798))*'Business Case'!$B$7-'Business Case'!$B$8*('Business Case'!B11*$C798*'Business Case'!B12*$B798)-'Business Case'!B15*$F798</f>
        <v>-2077671333.70061</v>
      </c>
      <c r="I798" s="39" t="n">
        <f aca="false">(('Business Case'!C11*$C798*'Business Case'!C12*$B798)-'Business Case'!C11*$C798*'Business Case'!C13*$D798-'Business Case'!C14*$E798)-MAX(0,(('Business Case'!C11*$C798*'Business Case'!C12*$B798)-'Business Case'!C11*$C798*'Business Case'!C13*$D798-'Business Case'!C14*$E798))*'Business Case'!$B$7-'Business Case'!$B$8*(('Business Case'!C11*$C798*'Business Case'!C12*$B798)-('Business Case'!B11*$C798*'Business Case'!B12*$B798))-'Business Case'!C15*$F798</f>
        <v>9905051.49033581</v>
      </c>
      <c r="J798" s="39" t="n">
        <f aca="false">(('Business Case'!D11*$C798*'Business Case'!D12*$B798)-'Business Case'!D11*$C798*'Business Case'!D13*$D798-'Business Case'!D14*$E798)-MAX(0,(('Business Case'!D11*$C798*'Business Case'!D12*$B798)-'Business Case'!D11*$C798*'Business Case'!D13*$D798-'Business Case'!D14*$E798))*'Business Case'!$B$7-'Business Case'!$B$8*(('Business Case'!D11*$C798*'Business Case'!D12*$B798)-('Business Case'!C11*$C798*'Business Case'!C12*$B798))-'Business Case'!D15*$F798</f>
        <v>320481711.985173</v>
      </c>
      <c r="K798" s="39" t="n">
        <f aca="false">(('Business Case'!E11*$C798*'Business Case'!E12*$B798)-'Business Case'!E11*$C798*'Business Case'!E13*$D798-'Business Case'!E14*$E798)-MAX(0,(('Business Case'!E11*$C798*'Business Case'!E12*$B798)-'Business Case'!E11*$C798*'Business Case'!E13*$D798-'Business Case'!E14*$E798))*'Business Case'!$B$7-'Business Case'!$B$8*(('Business Case'!E11*$C798*'Business Case'!E12*$B798)-('Business Case'!D11*$C798*'Business Case'!D12*$B798))-'Business Case'!E15*$F798</f>
        <v>683000155.822526</v>
      </c>
      <c r="L798" s="39" t="n">
        <f aca="false">(('Business Case'!F11*$C798*'Business Case'!F12*$B798)-'Business Case'!F11*$C798*'Business Case'!F13*$D798-'Business Case'!F14*$E798)-MAX(0,(('Business Case'!F11*$C798*'Business Case'!F12*$B798)-'Business Case'!F11*$C798*'Business Case'!F13*$D798-'Business Case'!F14*$E798))*'Business Case'!$B$7-'Business Case'!$B$8*(('Business Case'!F11*$C798*'Business Case'!F12*$B798)-('Business Case'!E11*$C798*'Business Case'!E12*$B798))-'Business Case'!F15*$F798</f>
        <v>820143862.097014</v>
      </c>
      <c r="M798" s="39" t="n">
        <f aca="false">(('Business Case'!G11*$C798*'Business Case'!G12*$B798)-'Business Case'!G11*$C798*'Business Case'!G13*$D798-'Business Case'!G14*$E798)-MAX(0,(('Business Case'!G11*$C798*'Business Case'!G12*$B798)-'Business Case'!G11*$C798*'Business Case'!G13*$D798-'Business Case'!G14*$E798))*'Business Case'!$B$7-'Business Case'!$B$8*(('Business Case'!G11*$C798*'Business Case'!G12*$B798)-('Business Case'!F11*$C798*'Business Case'!F12*$B798))-'Business Case'!G15*$F798+'Business Case'!$B$8*('Business Case'!G11*$C798*'Business Case'!G12*$B798)</f>
        <v>1005043702.36617</v>
      </c>
      <c r="N798" s="39" t="n">
        <f aca="false">IF(COUNT('Business Case'!B11:G11)=0,"",H798+NPV(G798,I798:M798))</f>
        <v>-161706626.537489</v>
      </c>
      <c r="P798" s="40" t="n">
        <f aca="true">RAND()</f>
        <v>0.580788850442632</v>
      </c>
      <c r="Q798" s="40" t="n">
        <f aca="true">RAND()</f>
        <v>0.452426383814424</v>
      </c>
      <c r="R798" s="40" t="n">
        <f aca="true">RAND()</f>
        <v>0.0685531943479854</v>
      </c>
      <c r="S798" s="40" t="n">
        <f aca="true">RAND()</f>
        <v>0.666392889779548</v>
      </c>
      <c r="T798" s="40" t="n">
        <f aca="true">RAND()</f>
        <v>0.480521154408277</v>
      </c>
      <c r="U798" s="40" t="n">
        <f aca="true">RAND()</f>
        <v>0.773023230191371</v>
      </c>
    </row>
    <row r="799" customFormat="false" ht="15" hidden="false" customHeight="false" outlineLevel="0" collapsed="false">
      <c r="A799" s="36" t="n">
        <v>719</v>
      </c>
      <c r="B799" s="37" t="n">
        <f aca="false">1+IF($G$6=$E$6,$F$6,IF(P799&lt;($F$6-$E$6)/($G$6-$E$6),$E$6+SQRT(P799*($G$6-$E$6)*($F$6-$E$6)),$G$6-SQRT((1-P799)*($G$6-$E$6)*($G$6-$F$6))))</f>
        <v>0.996007004290209</v>
      </c>
      <c r="C799" s="37" t="n">
        <f aca="false">1+IF($G$7=$E$7,$F$7,IF(Q799&lt;($F$7-$E$7)/($G$7-$E$7),$E$7+SQRT(Q799*($G$7-$E$7)*($F$7-$E$7)),$G$7-SQRT((1-Q799)*($G$7-$E$7)*($G$7-$F$7))))</f>
        <v>1.12704171660598</v>
      </c>
      <c r="D799" s="37" t="n">
        <f aca="false">1+IF($G$8=$E$8,$F$8,IF(R799&lt;($F$8-$E$8)/($G$8-$E$8),$E$8+SQRT(R799*($G$8-$E$8)*($F$8-$E$8)),$G$8-SQRT((1-R799)*($G$8-$E$8)*($G$8-$F$8))))</f>
        <v>1.00159000388361</v>
      </c>
      <c r="E799" s="37" t="n">
        <f aca="false">1+IF($G$9=$E$9,$F$9,IF(S799&lt;($F$9-$E$9)/($G$9-$E$9),$E$9+SQRT(S799*($G$9-$E$9)*($F$9-$E$9)),$G$9-SQRT((1-S799)*($G$9-$E$9)*($G$9-$F$9))))</f>
        <v>1.0160702472946</v>
      </c>
      <c r="F799" s="37" t="n">
        <f aca="false">1+IF($G$10=$E$10,$F$10,IF(T799&lt;($F$10-$E$10)/($G$10-$E$10),$E$10+SQRT(T799*($G$10-$E$10)*($F$10-$E$10)),$G$10-SQRT((1-T799)*($G$10-$E$10)*($G$10-$F$10))))</f>
        <v>1.10046975865939</v>
      </c>
      <c r="G799" s="38" t="n">
        <f aca="false">IF($G$11=$E$11,$F$11,IF(U799&lt;($F$11-$E$11)/($G$11-$E$11),$E$11+SQRT(U799*($G$11-$E$11)*($F$11-$E$11)),$G$11-SQRT((1-U799)*($G$11-$E$11)*($G$11-$F$11))))</f>
        <v>0.0960299870179954</v>
      </c>
      <c r="H799" s="39" t="n">
        <f aca="false">(('Business Case'!B11*$C799*'Business Case'!B12*$B799)-'Business Case'!B11*$C799*'Business Case'!B13*$D799-'Business Case'!B14*$E799)-MAX(0,(('Business Case'!B11*$C799*'Business Case'!B12*$B799)-'Business Case'!B11*$C799*'Business Case'!B13*$D799-'Business Case'!B14*$E799))*'Business Case'!$B$7-'Business Case'!$B$8*('Business Case'!B11*$C799*'Business Case'!B12*$B799)-'Business Case'!B15*$F799</f>
        <v>-2200939517.31878</v>
      </c>
      <c r="I799" s="39" t="n">
        <f aca="false">(('Business Case'!C11*$C799*'Business Case'!C12*$B799)-'Business Case'!C11*$C799*'Business Case'!C13*$D799-'Business Case'!C14*$E799)-MAX(0,(('Business Case'!C11*$C799*'Business Case'!C12*$B799)-'Business Case'!C11*$C799*'Business Case'!C13*$D799-'Business Case'!C14*$E799))*'Business Case'!$B$7-'Business Case'!$B$8*(('Business Case'!C11*$C799*'Business Case'!C12*$B799)-('Business Case'!B11*$C799*'Business Case'!B12*$B799))-'Business Case'!C15*$F799</f>
        <v>28844995.463044</v>
      </c>
      <c r="J799" s="39" t="n">
        <f aca="false">(('Business Case'!D11*$C799*'Business Case'!D12*$B799)-'Business Case'!D11*$C799*'Business Case'!D13*$D799-'Business Case'!D14*$E799)-MAX(0,(('Business Case'!D11*$C799*'Business Case'!D12*$B799)-'Business Case'!D11*$C799*'Business Case'!D13*$D799-'Business Case'!D14*$E799))*'Business Case'!$B$7-'Business Case'!$B$8*(('Business Case'!D11*$C799*'Business Case'!D12*$B799)-('Business Case'!C11*$C799*'Business Case'!C12*$B799))-'Business Case'!D15*$F799</f>
        <v>370414704.407375</v>
      </c>
      <c r="K799" s="39" t="n">
        <f aca="false">(('Business Case'!E11*$C799*'Business Case'!E12*$B799)-'Business Case'!E11*$C799*'Business Case'!E13*$D799-'Business Case'!E14*$E799)-MAX(0,(('Business Case'!E11*$C799*'Business Case'!E12*$B799)-'Business Case'!E11*$C799*'Business Case'!E13*$D799-'Business Case'!E14*$E799))*'Business Case'!$B$7-'Business Case'!$B$8*(('Business Case'!E11*$C799*'Business Case'!E12*$B799)-('Business Case'!D11*$C799*'Business Case'!D12*$B799))-'Business Case'!E15*$F799</f>
        <v>767007901.284674</v>
      </c>
      <c r="L799" s="39" t="n">
        <f aca="false">(('Business Case'!F11*$C799*'Business Case'!F12*$B799)-'Business Case'!F11*$C799*'Business Case'!F13*$D799-'Business Case'!F14*$E799)-MAX(0,(('Business Case'!F11*$C799*'Business Case'!F12*$B799)-'Business Case'!F11*$C799*'Business Case'!F13*$D799-'Business Case'!F14*$E799))*'Business Case'!$B$7-'Business Case'!$B$8*(('Business Case'!F11*$C799*'Business Case'!F12*$B799)-('Business Case'!E11*$C799*'Business Case'!E12*$B799))-'Business Case'!F15*$F799</f>
        <v>919659503.232822</v>
      </c>
      <c r="M799" s="39" t="n">
        <f aca="false">(('Business Case'!G11*$C799*'Business Case'!G12*$B799)-'Business Case'!G11*$C799*'Business Case'!G13*$D799-'Business Case'!G14*$E799)-MAX(0,(('Business Case'!G11*$C799*'Business Case'!G12*$B799)-'Business Case'!G11*$C799*'Business Case'!G13*$D799-'Business Case'!G14*$E799))*'Business Case'!$B$7-'Business Case'!$B$8*(('Business Case'!G11*$C799*'Business Case'!G12*$B799)-('Business Case'!F11*$C799*'Business Case'!F12*$B799))-'Business Case'!G15*$F799+'Business Case'!$B$8*('Business Case'!G11*$C799*'Business Case'!G12*$B799)</f>
        <v>1133032180.88303</v>
      </c>
      <c r="N799" s="39" t="n">
        <f aca="false">IF(COUNT('Business Case'!B11:G11)=0,"",H799+NPV(G799,I799:M799))</f>
        <v>69925074.7411203</v>
      </c>
      <c r="P799" s="40" t="n">
        <f aca="true">RAND()</f>
        <v>0.601777573038739</v>
      </c>
      <c r="Q799" s="40" t="n">
        <f aca="true">RAND()</f>
        <v>0.989960328068566</v>
      </c>
      <c r="R799" s="40" t="n">
        <f aca="true">RAND()</f>
        <v>0.408833895098814</v>
      </c>
      <c r="S799" s="40" t="n">
        <f aca="true">RAND()</f>
        <v>0.53038644072069</v>
      </c>
      <c r="T799" s="40" t="n">
        <f aca="true">RAND()</f>
        <v>0.801874621173591</v>
      </c>
      <c r="U799" s="40" t="n">
        <f aca="true">RAND()</f>
        <v>0.121202478123977</v>
      </c>
    </row>
    <row r="800" customFormat="false" ht="15" hidden="false" customHeight="false" outlineLevel="0" collapsed="false">
      <c r="A800" s="36" t="n">
        <v>720</v>
      </c>
      <c r="B800" s="37" t="n">
        <f aca="false">1+IF($G$6=$E$6,$F$6,IF(P800&lt;($F$6-$E$6)/($G$6-$E$6),$E$6+SQRT(P800*($G$6-$E$6)*($F$6-$E$6)),$G$6-SQRT((1-P800)*($G$6-$E$6)*($G$6-$F$6))))</f>
        <v>0.968643142151096</v>
      </c>
      <c r="C800" s="37" t="n">
        <f aca="false">1+IF($G$7=$E$7,$F$7,IF(Q800&lt;($F$7-$E$7)/($G$7-$E$7),$E$7+SQRT(Q800*($G$7-$E$7)*($F$7-$E$7)),$G$7-SQRT((1-Q800)*($G$7-$E$7)*($G$7-$F$7))))</f>
        <v>0.946576188287147</v>
      </c>
      <c r="D800" s="37" t="n">
        <f aca="false">1+IF($G$8=$E$8,$F$8,IF(R800&lt;($F$8-$E$8)/($G$8-$E$8),$E$8+SQRT(R800*($G$8-$E$8)*($F$8-$E$8)),$G$8-SQRT((1-R800)*($G$8-$E$8)*($G$8-$F$8))))</f>
        <v>0.975863087075468</v>
      </c>
      <c r="E800" s="37" t="n">
        <f aca="false">1+IF($G$9=$E$9,$F$9,IF(S800&lt;($F$9-$E$9)/($G$9-$E$9),$E$9+SQRT(S800*($G$9-$E$9)*($F$9-$E$9)),$G$9-SQRT((1-S800)*($G$9-$E$9)*($G$9-$F$9))))</f>
        <v>1.00161752457417</v>
      </c>
      <c r="F800" s="37" t="n">
        <f aca="false">1+IF($G$10=$E$10,$F$10,IF(T800&lt;($F$10-$E$10)/($G$10-$E$10),$E$10+SQRT(T800*($G$10-$E$10)*($F$10-$E$10)),$G$10-SQRT((1-T800)*($G$10-$E$10)*($G$10-$F$10))))</f>
        <v>1.06221006120765</v>
      </c>
      <c r="G800" s="38" t="n">
        <f aca="false">IF($G$11=$E$11,$F$11,IF(U800&lt;($F$11-$E$11)/($G$11-$E$11),$E$11+SQRT(U800*($G$11-$E$11)*($F$11-$E$11)),$G$11-SQRT((1-U800)*($G$11-$E$11)*($G$11-$F$11))))</f>
        <v>0.0988786970331582</v>
      </c>
      <c r="H800" s="39" t="n">
        <f aca="false">(('Business Case'!B11*$C800*'Business Case'!B12*$B800)-'Business Case'!B11*$C800*'Business Case'!B13*$D800-'Business Case'!B14*$E800)-MAX(0,(('Business Case'!B11*$C800*'Business Case'!B12*$B800)-'Business Case'!B11*$C800*'Business Case'!B13*$D800-'Business Case'!B14*$E800))*'Business Case'!$B$7-'Business Case'!$B$8*('Business Case'!B11*$C800*'Business Case'!B12*$B800)-'Business Case'!B15*$F800</f>
        <v>-2124420122.4153</v>
      </c>
      <c r="I800" s="39" t="n">
        <f aca="false">(('Business Case'!C11*$C800*'Business Case'!C12*$B800)-'Business Case'!C11*$C800*'Business Case'!C13*$D800-'Business Case'!C14*$E800)-MAX(0,(('Business Case'!C11*$C800*'Business Case'!C12*$B800)-'Business Case'!C11*$C800*'Business Case'!C13*$D800-'Business Case'!C14*$E800))*'Business Case'!$B$7-'Business Case'!$B$8*(('Business Case'!C11*$C800*'Business Case'!C12*$B800)-('Business Case'!B11*$C800*'Business Case'!B12*$B800))-'Business Case'!C15*$F800</f>
        <v>-18055418.9975095</v>
      </c>
      <c r="J800" s="39" t="n">
        <f aca="false">(('Business Case'!D11*$C800*'Business Case'!D12*$B800)-'Business Case'!D11*$C800*'Business Case'!D13*$D800-'Business Case'!D14*$E800)-MAX(0,(('Business Case'!D11*$C800*'Business Case'!D12*$B800)-'Business Case'!D11*$C800*'Business Case'!D13*$D800-'Business Case'!D14*$E800))*'Business Case'!$B$7-'Business Case'!$B$8*(('Business Case'!D11*$C800*'Business Case'!D12*$B800)-('Business Case'!C11*$C800*'Business Case'!C12*$B800))-'Business Case'!D15*$F800</f>
        <v>260071992.726873</v>
      </c>
      <c r="K800" s="39" t="n">
        <f aca="false">(('Business Case'!E11*$C800*'Business Case'!E12*$B800)-'Business Case'!E11*$C800*'Business Case'!E13*$D800-'Business Case'!E14*$E800)-MAX(0,(('Business Case'!E11*$C800*'Business Case'!E12*$B800)-'Business Case'!E11*$C800*'Business Case'!E13*$D800-'Business Case'!E14*$E800))*'Business Case'!$B$7-'Business Case'!$B$8*(('Business Case'!E11*$C800*'Business Case'!E12*$B800)-('Business Case'!D11*$C800*'Business Case'!D12*$B800))-'Business Case'!E15*$F800</f>
        <v>591309907.511638</v>
      </c>
      <c r="L800" s="39" t="n">
        <f aca="false">(('Business Case'!F11*$C800*'Business Case'!F12*$B800)-'Business Case'!F11*$C800*'Business Case'!F13*$D800-'Business Case'!F14*$E800)-MAX(0,(('Business Case'!F11*$C800*'Business Case'!F12*$B800)-'Business Case'!F11*$C800*'Business Case'!F13*$D800-'Business Case'!F14*$E800))*'Business Case'!$B$7-'Business Case'!$B$8*(('Business Case'!F11*$C800*'Business Case'!F12*$B800)-('Business Case'!E11*$C800*'Business Case'!E12*$B800))-'Business Case'!F15*$F800</f>
        <v>715706919.824219</v>
      </c>
      <c r="M800" s="39" t="n">
        <f aca="false">(('Business Case'!G11*$C800*'Business Case'!G12*$B800)-'Business Case'!G11*$C800*'Business Case'!G13*$D800-'Business Case'!G14*$E800)-MAX(0,(('Business Case'!G11*$C800*'Business Case'!G12*$B800)-'Business Case'!G11*$C800*'Business Case'!G13*$D800-'Business Case'!G14*$E800))*'Business Case'!$B$7-'Business Case'!$B$8*(('Business Case'!G11*$C800*'Business Case'!G12*$B800)-('Business Case'!F11*$C800*'Business Case'!F12*$B800))-'Business Case'!G15*$F800+'Business Case'!$B$8*('Business Case'!G11*$C800*'Business Case'!G12*$B800)</f>
        <v>889990232.715379</v>
      </c>
      <c r="N800" s="39" t="n">
        <f aca="false">IF(COUNT('Business Case'!B11:G11)=0,"",H800+NPV(G800,I800:M800))</f>
        <v>-433580348.941527</v>
      </c>
      <c r="P800" s="40" t="n">
        <f aca="true">RAND()</f>
        <v>0.246474508159552</v>
      </c>
      <c r="Q800" s="40" t="n">
        <f aca="true">RAND()</f>
        <v>0.306922556754131</v>
      </c>
      <c r="R800" s="40" t="n">
        <f aca="true">RAND()</f>
        <v>0.102907580472809</v>
      </c>
      <c r="S800" s="40" t="n">
        <f aca="true">RAND()</f>
        <v>0.354725901939093</v>
      </c>
      <c r="T800" s="40" t="n">
        <f aca="true">RAND()</f>
        <v>0.620278655352</v>
      </c>
      <c r="U800" s="40" t="n">
        <f aca="true">RAND()</f>
        <v>0.262770870022043</v>
      </c>
    </row>
    <row r="801" customFormat="false" ht="15" hidden="false" customHeight="false" outlineLevel="0" collapsed="false">
      <c r="A801" s="36" t="n">
        <v>721</v>
      </c>
      <c r="B801" s="37" t="n">
        <f aca="false">1+IF($G$6=$E$6,$F$6,IF(P801&lt;($F$6-$E$6)/($G$6-$E$6),$E$6+SQRT(P801*($G$6-$E$6)*($F$6-$E$6)),$G$6-SQRT((1-P801)*($G$6-$E$6)*($G$6-$F$6))))</f>
        <v>0.959338200792041</v>
      </c>
      <c r="C801" s="37" t="n">
        <f aca="false">1+IF($G$7=$E$7,$F$7,IF(Q801&lt;($F$7-$E$7)/($G$7-$E$7),$E$7+SQRT(Q801*($G$7-$E$7)*($F$7-$E$7)),$G$7-SQRT((1-Q801)*($G$7-$E$7)*($G$7-$F$7))))</f>
        <v>0.933873905261931</v>
      </c>
      <c r="D801" s="37" t="n">
        <f aca="false">1+IF($G$8=$E$8,$F$8,IF(R801&lt;($F$8-$E$8)/($G$8-$E$8),$E$8+SQRT(R801*($G$8-$E$8)*($F$8-$E$8)),$G$8-SQRT((1-R801)*($G$8-$E$8)*($G$8-$F$8))))</f>
        <v>1.01352422591247</v>
      </c>
      <c r="E801" s="37" t="n">
        <f aca="false">1+IF($G$9=$E$9,$F$9,IF(S801&lt;($F$9-$E$9)/($G$9-$E$9),$E$9+SQRT(S801*($G$9-$E$9)*($F$9-$E$9)),$G$9-SQRT((1-S801)*($G$9-$E$9)*($G$9-$F$9))))</f>
        <v>0.993948774286258</v>
      </c>
      <c r="F801" s="37" t="n">
        <f aca="false">1+IF($G$10=$E$10,$F$10,IF(T801&lt;($F$10-$E$10)/($G$10-$E$10),$E$10+SQRT(T801*($G$10-$E$10)*($F$10-$E$10)),$G$10-SQRT((1-T801)*($G$10-$E$10)*($G$10-$F$10))))</f>
        <v>0.969066033977031</v>
      </c>
      <c r="G801" s="38" t="n">
        <f aca="false">IF($G$11=$E$11,$F$11,IF(U801&lt;($F$11-$E$11)/($G$11-$E$11),$E$11+SQRT(U801*($G$11-$E$11)*($F$11-$E$11)),$G$11-SQRT((1-U801)*($G$11-$E$11)*($G$11-$F$11))))</f>
        <v>0.0996369523981405</v>
      </c>
      <c r="H801" s="39" t="n">
        <f aca="false">(('Business Case'!B11*$C801*'Business Case'!B12*$B801)-'Business Case'!B11*$C801*'Business Case'!B13*$D801-'Business Case'!B14*$E801)-MAX(0,(('Business Case'!B11*$C801*'Business Case'!B12*$B801)-'Business Case'!B11*$C801*'Business Case'!B13*$D801-'Business Case'!B14*$E801))*'Business Case'!$B$7-'Business Case'!$B$8*('Business Case'!B11*$C801*'Business Case'!B12*$B801)-'Business Case'!B15*$F801</f>
        <v>-1938132067.95406</v>
      </c>
      <c r="I801" s="39" t="n">
        <f aca="false">(('Business Case'!C11*$C801*'Business Case'!C12*$B801)-'Business Case'!C11*$C801*'Business Case'!C13*$D801-'Business Case'!C14*$E801)-MAX(0,(('Business Case'!C11*$C801*'Business Case'!C12*$B801)-'Business Case'!C11*$C801*'Business Case'!C13*$D801-'Business Case'!C14*$E801))*'Business Case'!$B$7-'Business Case'!$B$8*(('Business Case'!C11*$C801*'Business Case'!C12*$B801)-('Business Case'!B11*$C801*'Business Case'!B12*$B801))-'Business Case'!C15*$F801</f>
        <v>-35416509.6366995</v>
      </c>
      <c r="J801" s="39" t="n">
        <f aca="false">(('Business Case'!D11*$C801*'Business Case'!D12*$B801)-'Business Case'!D11*$C801*'Business Case'!D13*$D801-'Business Case'!D14*$E801)-MAX(0,(('Business Case'!D11*$C801*'Business Case'!D12*$B801)-'Business Case'!D11*$C801*'Business Case'!D13*$D801-'Business Case'!D14*$E801))*'Business Case'!$B$7-'Business Case'!$B$8*(('Business Case'!D11*$C801*'Business Case'!D12*$B801)-('Business Case'!C11*$C801*'Business Case'!C12*$B801))-'Business Case'!D15*$F801</f>
        <v>213856603.107996</v>
      </c>
      <c r="K801" s="39" t="n">
        <f aca="false">(('Business Case'!E11*$C801*'Business Case'!E12*$B801)-'Business Case'!E11*$C801*'Business Case'!E13*$D801-'Business Case'!E14*$E801)-MAX(0,(('Business Case'!E11*$C801*'Business Case'!E12*$B801)-'Business Case'!E11*$C801*'Business Case'!E13*$D801-'Business Case'!E14*$E801))*'Business Case'!$B$7-'Business Case'!$B$8*(('Business Case'!E11*$C801*'Business Case'!E12*$B801)-('Business Case'!D11*$C801*'Business Case'!D12*$B801))-'Business Case'!E15*$F801</f>
        <v>511583017.551543</v>
      </c>
      <c r="L801" s="39" t="n">
        <f aca="false">(('Business Case'!F11*$C801*'Business Case'!F12*$B801)-'Business Case'!F11*$C801*'Business Case'!F13*$D801-'Business Case'!F14*$E801)-MAX(0,(('Business Case'!F11*$C801*'Business Case'!F12*$B801)-'Business Case'!F11*$C801*'Business Case'!F13*$D801-'Business Case'!F14*$E801))*'Business Case'!$B$7-'Business Case'!$B$8*(('Business Case'!F11*$C801*'Business Case'!F12*$B801)-('Business Case'!E11*$C801*'Business Case'!E12*$B801))-'Business Case'!F15*$F801</f>
        <v>625636390.653232</v>
      </c>
      <c r="M801" s="39" t="n">
        <f aca="false">(('Business Case'!G11*$C801*'Business Case'!G12*$B801)-'Business Case'!G11*$C801*'Business Case'!G13*$D801-'Business Case'!G14*$E801)-MAX(0,(('Business Case'!G11*$C801*'Business Case'!G12*$B801)-'Business Case'!G11*$C801*'Business Case'!G13*$D801-'Business Case'!G14*$E801))*'Business Case'!$B$7-'Business Case'!$B$8*(('Business Case'!G11*$C801*'Business Case'!G12*$B801)-('Business Case'!F11*$C801*'Business Case'!F12*$B801))-'Business Case'!G15*$F801+'Business Case'!$B$8*('Business Case'!G11*$C801*'Business Case'!G12*$B801)</f>
        <v>795929236.013912</v>
      </c>
      <c r="N801" s="39" t="n">
        <f aca="false">IF(COUNT('Business Case'!B11:G11)=0,"",H801+NPV(G801,I801:M801))</f>
        <v>-485832630.300725</v>
      </c>
      <c r="P801" s="40" t="n">
        <f aca="true">RAND()</f>
        <v>0.161197295995306</v>
      </c>
      <c r="Q801" s="40" t="n">
        <f aca="true">RAND()</f>
        <v>0.256031750144007</v>
      </c>
      <c r="R801" s="40" t="n">
        <f aca="true">RAND()</f>
        <v>0.575093409563808</v>
      </c>
      <c r="S801" s="40" t="n">
        <f aca="true">RAND()</f>
        <v>0.257532634835264</v>
      </c>
      <c r="T801" s="40" t="n">
        <f aca="true">RAND()</f>
        <v>0.0290810921290644</v>
      </c>
      <c r="U801" s="40" t="n">
        <f aca="true">RAND()</f>
        <v>0.309569505080088</v>
      </c>
    </row>
    <row r="802" customFormat="false" ht="15" hidden="false" customHeight="false" outlineLevel="0" collapsed="false">
      <c r="A802" s="36" t="n">
        <v>722</v>
      </c>
      <c r="B802" s="37" t="n">
        <f aca="false">1+IF($G$6=$E$6,$F$6,IF(P802&lt;($F$6-$E$6)/($G$6-$E$6),$E$6+SQRT(P802*($G$6-$E$6)*($F$6-$E$6)),$G$6-SQRT((1-P802)*($G$6-$E$6)*($G$6-$F$6))))</f>
        <v>0.973526836425768</v>
      </c>
      <c r="C802" s="37" t="n">
        <f aca="false">1+IF($G$7=$E$7,$F$7,IF(Q802&lt;($F$7-$E$7)/($G$7-$E$7),$E$7+SQRT(Q802*($G$7-$E$7)*($F$7-$E$7)),$G$7-SQRT((1-Q802)*($G$7-$E$7)*($G$7-$F$7))))</f>
        <v>0.9664093568391</v>
      </c>
      <c r="D802" s="37" t="n">
        <f aca="false">1+IF($G$8=$E$8,$F$8,IF(R802&lt;($F$8-$E$8)/($G$8-$E$8),$E$8+SQRT(R802*($G$8-$E$8)*($F$8-$E$8)),$G$8-SQRT((1-R802)*($G$8-$E$8)*($G$8-$F$8))))</f>
        <v>1.07492146353314</v>
      </c>
      <c r="E802" s="37" t="n">
        <f aca="false">1+IF($G$9=$E$9,$F$9,IF(S802&lt;($F$9-$E$9)/($G$9-$E$9),$E$9+SQRT(S802*($G$9-$E$9)*($F$9-$E$9)),$G$9-SQRT((1-S802)*($G$9-$E$9)*($G$9-$F$9))))</f>
        <v>0.982147130668279</v>
      </c>
      <c r="F802" s="37" t="n">
        <f aca="false">1+IF($G$10=$E$10,$F$10,IF(T802&lt;($F$10-$E$10)/($G$10-$E$10),$E$10+SQRT(T802*($G$10-$E$10)*($F$10-$E$10)),$G$10-SQRT((1-T802)*($G$10-$E$10)*($G$10-$F$10))))</f>
        <v>0.977421494063454</v>
      </c>
      <c r="G802" s="38" t="n">
        <f aca="false">IF($G$11=$E$11,$F$11,IF(U802&lt;($F$11-$E$11)/($G$11-$E$11),$E$11+SQRT(U802*($G$11-$E$11)*($F$11-$E$11)),$G$11-SQRT((1-U802)*($G$11-$E$11)*($G$11-$F$11))))</f>
        <v>0.1007247456708</v>
      </c>
      <c r="H802" s="39" t="n">
        <f aca="false">(('Business Case'!B11*$C802*'Business Case'!B12*$B802)-'Business Case'!B11*$C802*'Business Case'!B13*$D802-'Business Case'!B14*$E802)-MAX(0,(('Business Case'!B11*$C802*'Business Case'!B12*$B802)-'Business Case'!B11*$C802*'Business Case'!B13*$D802-'Business Case'!B14*$E802))*'Business Case'!$B$7-'Business Case'!$B$8*('Business Case'!B11*$C802*'Business Case'!B12*$B802)-'Business Case'!B15*$F802</f>
        <v>-1954842988.12691</v>
      </c>
      <c r="I802" s="39" t="n">
        <f aca="false">(('Business Case'!C11*$C802*'Business Case'!C12*$B802)-'Business Case'!C11*$C802*'Business Case'!C13*$D802-'Business Case'!C14*$E802)-MAX(0,(('Business Case'!C11*$C802*'Business Case'!C12*$B802)-'Business Case'!C11*$C802*'Business Case'!C13*$D802-'Business Case'!C14*$E802))*'Business Case'!$B$7-'Business Case'!$B$8*(('Business Case'!C11*$C802*'Business Case'!C12*$B802)-('Business Case'!B11*$C802*'Business Case'!B12*$B802))-'Business Case'!C15*$F802</f>
        <v>-47361829.349672</v>
      </c>
      <c r="J802" s="39" t="n">
        <f aca="false">(('Business Case'!D11*$C802*'Business Case'!D12*$B802)-'Business Case'!D11*$C802*'Business Case'!D13*$D802-'Business Case'!D14*$E802)-MAX(0,(('Business Case'!D11*$C802*'Business Case'!D12*$B802)-'Business Case'!D11*$C802*'Business Case'!D13*$D802-'Business Case'!D14*$E802))*'Business Case'!$B$7-'Business Case'!$B$8*(('Business Case'!D11*$C802*'Business Case'!D12*$B802)-('Business Case'!C11*$C802*'Business Case'!C12*$B802))-'Business Case'!D15*$F802</f>
        <v>191452203.697517</v>
      </c>
      <c r="K802" s="39" t="n">
        <f aca="false">(('Business Case'!E11*$C802*'Business Case'!E12*$B802)-'Business Case'!E11*$C802*'Business Case'!E13*$D802-'Business Case'!E14*$E802)-MAX(0,(('Business Case'!E11*$C802*'Business Case'!E12*$B802)-'Business Case'!E11*$C802*'Business Case'!E13*$D802-'Business Case'!E14*$E802))*'Business Case'!$B$7-'Business Case'!$B$8*(('Business Case'!E11*$C802*'Business Case'!E12*$B802)-('Business Case'!D11*$C802*'Business Case'!D12*$B802))-'Business Case'!E15*$F802</f>
        <v>479137311.447879</v>
      </c>
      <c r="L802" s="39" t="n">
        <f aca="false">(('Business Case'!F11*$C802*'Business Case'!F12*$B802)-'Business Case'!F11*$C802*'Business Case'!F13*$D802-'Business Case'!F14*$E802)-MAX(0,(('Business Case'!F11*$C802*'Business Case'!F12*$B802)-'Business Case'!F11*$C802*'Business Case'!F13*$D802-'Business Case'!F14*$E802))*'Business Case'!$B$7-'Business Case'!$B$8*(('Business Case'!F11*$C802*'Business Case'!F12*$B802)-('Business Case'!E11*$C802*'Business Case'!E12*$B802))-'Business Case'!F15*$F802</f>
        <v>591256916.469932</v>
      </c>
      <c r="M802" s="39" t="n">
        <f aca="false">(('Business Case'!G11*$C802*'Business Case'!G12*$B802)-'Business Case'!G11*$C802*'Business Case'!G13*$D802-'Business Case'!G14*$E802)-MAX(0,(('Business Case'!G11*$C802*'Business Case'!G12*$B802)-'Business Case'!G11*$C802*'Business Case'!G13*$D802-'Business Case'!G14*$E802))*'Business Case'!$B$7-'Business Case'!$B$8*(('Business Case'!G11*$C802*'Business Case'!G12*$B802)-('Business Case'!F11*$C802*'Business Case'!F12*$B802))-'Business Case'!G15*$F802+'Business Case'!$B$8*('Business Case'!G11*$C802*'Business Case'!G12*$B802)</f>
        <v>770089016.838049</v>
      </c>
      <c r="N802" s="39" t="n">
        <f aca="false">IF(COUNT('Business Case'!B11:G11)=0,"",H802+NPV(G802,I802:M802))</f>
        <v>-601215343.448919</v>
      </c>
      <c r="P802" s="40" t="n">
        <f aca="true">RAND()</f>
        <v>0.298450231015718</v>
      </c>
      <c r="Q802" s="40" t="n">
        <f aca="true">RAND()</f>
        <v>0.395601057765754</v>
      </c>
      <c r="R802" s="40" t="n">
        <f aca="true">RAND()</f>
        <v>0.997520044937961</v>
      </c>
      <c r="S802" s="40" t="n">
        <f aca="true">RAND()</f>
        <v>0.137791734693785</v>
      </c>
      <c r="T802" s="40" t="n">
        <f aca="true">RAND()</f>
        <v>0.0601550669337642</v>
      </c>
      <c r="U802" s="40" t="n">
        <f aca="true">RAND()</f>
        <v>0.380774284241074</v>
      </c>
    </row>
    <row r="803" customFormat="false" ht="15" hidden="false" customHeight="false" outlineLevel="0" collapsed="false">
      <c r="A803" s="36" t="n">
        <v>723</v>
      </c>
      <c r="B803" s="37" t="n">
        <f aca="false">1+IF($G$6=$E$6,$F$6,IF(P803&lt;($F$6-$E$6)/($G$6-$E$6),$E$6+SQRT(P803*($G$6-$E$6)*($F$6-$E$6)),$G$6-SQRT((1-P803)*($G$6-$E$6)*($G$6-$F$6))))</f>
        <v>0.996679893293633</v>
      </c>
      <c r="C803" s="37" t="n">
        <f aca="false">1+IF($G$7=$E$7,$F$7,IF(Q803&lt;($F$7-$E$7)/($G$7-$E$7),$E$7+SQRT(Q803*($G$7-$E$7)*($F$7-$E$7)),$G$7-SQRT((1-Q803)*($G$7-$E$7)*($G$7-$F$7))))</f>
        <v>1.10825916911439</v>
      </c>
      <c r="D803" s="37" t="n">
        <f aca="false">1+IF($G$8=$E$8,$F$8,IF(R803&lt;($F$8-$E$8)/($G$8-$E$8),$E$8+SQRT(R803*($G$8-$E$8)*($F$8-$E$8)),$G$8-SQRT((1-R803)*($G$8-$E$8)*($G$8-$F$8))))</f>
        <v>0.999268065853955</v>
      </c>
      <c r="E803" s="37" t="n">
        <f aca="false">1+IF($G$9=$E$9,$F$9,IF(S803&lt;($F$9-$E$9)/($G$9-$E$9),$E$9+SQRT(S803*($G$9-$E$9)*($F$9-$E$9)),$G$9-SQRT((1-S803)*($G$9-$E$9)*($G$9-$F$9))))</f>
        <v>1.00805597685023</v>
      </c>
      <c r="F803" s="37" t="n">
        <f aca="false">1+IF($G$10=$E$10,$F$10,IF(T803&lt;($F$10-$E$10)/($G$10-$E$10),$E$10+SQRT(T803*($G$10-$E$10)*($F$10-$E$10)),$G$10-SQRT((1-T803)*($G$10-$E$10)*($G$10-$F$10))))</f>
        <v>1.08501456811252</v>
      </c>
      <c r="G803" s="38" t="n">
        <f aca="false">IF($G$11=$E$11,$F$11,IF(U803&lt;($F$11-$E$11)/($G$11-$E$11),$E$11+SQRT(U803*($G$11-$E$11)*($F$11-$E$11)),$G$11-SQRT((1-U803)*($G$11-$E$11)*($G$11-$F$11))))</f>
        <v>0.103463737612543</v>
      </c>
      <c r="H803" s="39" t="n">
        <f aca="false">(('Business Case'!B11*$C803*'Business Case'!B12*$B803)-'Business Case'!B11*$C803*'Business Case'!B13*$D803-'Business Case'!B14*$E803)-MAX(0,(('Business Case'!B11*$C803*'Business Case'!B12*$B803)-'Business Case'!B11*$C803*'Business Case'!B13*$D803-'Business Case'!B14*$E803))*'Business Case'!$B$7-'Business Case'!$B$8*('Business Case'!B11*$C803*'Business Case'!B12*$B803)-'Business Case'!B15*$F803</f>
        <v>-2170029136.22503</v>
      </c>
      <c r="I803" s="39" t="n">
        <f aca="false">(('Business Case'!C11*$C803*'Business Case'!C12*$B803)-'Business Case'!C11*$C803*'Business Case'!C13*$D803-'Business Case'!C14*$E803)-MAX(0,(('Business Case'!C11*$C803*'Business Case'!C12*$B803)-'Business Case'!C11*$C803*'Business Case'!C13*$D803-'Business Case'!C14*$E803))*'Business Case'!$B$7-'Business Case'!$B$8*(('Business Case'!C11*$C803*'Business Case'!C12*$B803)-('Business Case'!B11*$C803*'Business Case'!B12*$B803))-'Business Case'!C15*$F803</f>
        <v>28697043.9730728</v>
      </c>
      <c r="J803" s="39" t="n">
        <f aca="false">(('Business Case'!D11*$C803*'Business Case'!D12*$B803)-'Business Case'!D11*$C803*'Business Case'!D13*$D803-'Business Case'!D14*$E803)-MAX(0,(('Business Case'!D11*$C803*'Business Case'!D12*$B803)-'Business Case'!D11*$C803*'Business Case'!D13*$D803-'Business Case'!D14*$E803))*'Business Case'!$B$7-'Business Case'!$B$8*(('Business Case'!D11*$C803*'Business Case'!D12*$B803)-('Business Case'!C11*$C803*'Business Case'!C12*$B803))-'Business Case'!D15*$F803</f>
        <v>366502512.706194</v>
      </c>
      <c r="K803" s="39" t="n">
        <f aca="false">(('Business Case'!E11*$C803*'Business Case'!E12*$B803)-'Business Case'!E11*$C803*'Business Case'!E13*$D803-'Business Case'!E14*$E803)-MAX(0,(('Business Case'!E11*$C803*'Business Case'!E12*$B803)-'Business Case'!E11*$C803*'Business Case'!E13*$D803-'Business Case'!E14*$E803))*'Business Case'!$B$7-'Business Case'!$B$8*(('Business Case'!E11*$C803*'Business Case'!E12*$B803)-('Business Case'!D11*$C803*'Business Case'!D12*$B803))-'Business Case'!E15*$F803</f>
        <v>758558709.844941</v>
      </c>
      <c r="L803" s="39" t="n">
        <f aca="false">(('Business Case'!F11*$C803*'Business Case'!F12*$B803)-'Business Case'!F11*$C803*'Business Case'!F13*$D803-'Business Case'!F14*$E803)-MAX(0,(('Business Case'!F11*$C803*'Business Case'!F12*$B803)-'Business Case'!F11*$C803*'Business Case'!F13*$D803-'Business Case'!F14*$E803))*'Business Case'!$B$7-'Business Case'!$B$8*(('Business Case'!F11*$C803*'Business Case'!F12*$B803)-('Business Case'!E11*$C803*'Business Case'!E12*$B803))-'Business Case'!F15*$F803</f>
        <v>909334804.783111</v>
      </c>
      <c r="M803" s="39" t="n">
        <f aca="false">(('Business Case'!G11*$C803*'Business Case'!G12*$B803)-'Business Case'!G11*$C803*'Business Case'!G13*$D803-'Business Case'!G14*$E803)-MAX(0,(('Business Case'!G11*$C803*'Business Case'!G12*$B803)-'Business Case'!G11*$C803*'Business Case'!G13*$D803-'Business Case'!G14*$E803))*'Business Case'!$B$7-'Business Case'!$B$8*(('Business Case'!G11*$C803*'Business Case'!G12*$B803)-('Business Case'!F11*$C803*'Business Case'!F12*$B803))-'Business Case'!G15*$F803+'Business Case'!$B$8*('Business Case'!G11*$C803*'Business Case'!G12*$B803)</f>
        <v>1119293300.93232</v>
      </c>
      <c r="N803" s="39" t="n">
        <f aca="false">IF(COUNT('Business Case'!B11:G11)=0,"",H803+NPV(G803,I803:M803))</f>
        <v>19019414.4336052</v>
      </c>
      <c r="P803" s="40" t="n">
        <f aca="true">RAND()</f>
        <v>0.612479795366976</v>
      </c>
      <c r="Q803" s="40" t="n">
        <f aca="true">RAND()</f>
        <v>0.966813391180551</v>
      </c>
      <c r="R803" s="40" t="n">
        <f aca="true">RAND()</f>
        <v>0.373437278921487</v>
      </c>
      <c r="S803" s="40" t="n">
        <f aca="true">RAND()</f>
        <v>0.436419773802305</v>
      </c>
      <c r="T803" s="40" t="n">
        <f aca="true">RAND()</f>
        <v>0.735567009072973</v>
      </c>
      <c r="U803" s="40" t="n">
        <f aca="true">RAND()</f>
        <v>0.544253377088643</v>
      </c>
    </row>
    <row r="804" customFormat="false" ht="15" hidden="false" customHeight="false" outlineLevel="0" collapsed="false">
      <c r="A804" s="36" t="n">
        <v>724</v>
      </c>
      <c r="B804" s="37" t="n">
        <f aca="false">1+IF($G$6=$E$6,$F$6,IF(P804&lt;($F$6-$E$6)/($G$6-$E$6),$E$6+SQRT(P804*($G$6-$E$6)*($F$6-$E$6)),$G$6-SQRT((1-P804)*($G$6-$E$6)*($G$6-$F$6))))</f>
        <v>0.984002659244852</v>
      </c>
      <c r="C804" s="37" t="n">
        <f aca="false">1+IF($G$7=$E$7,$F$7,IF(Q804&lt;($F$7-$E$7)/($G$7-$E$7),$E$7+SQRT(Q804*($G$7-$E$7)*($F$7-$E$7)),$G$7-SQRT((1-Q804)*($G$7-$E$7)*($G$7-$F$7))))</f>
        <v>0.886227389777073</v>
      </c>
      <c r="D804" s="37" t="n">
        <f aca="false">1+IF($G$8=$E$8,$F$8,IF(R804&lt;($F$8-$E$8)/($G$8-$E$8),$E$8+SQRT(R804*($G$8-$E$8)*($F$8-$E$8)),$G$8-SQRT((1-R804)*($G$8-$E$8)*($G$8-$F$8))))</f>
        <v>1.01993337329815</v>
      </c>
      <c r="E804" s="37" t="n">
        <f aca="false">1+IF($G$9=$E$9,$F$9,IF(S804&lt;($F$9-$E$9)/($G$9-$E$9),$E$9+SQRT(S804*($G$9-$E$9)*($F$9-$E$9)),$G$9-SQRT((1-S804)*($G$9-$E$9)*($G$9-$F$9))))</f>
        <v>0.984545400710281</v>
      </c>
      <c r="F804" s="37" t="n">
        <f aca="false">1+IF($G$10=$E$10,$F$10,IF(T804&lt;($F$10-$E$10)/($G$10-$E$10),$E$10+SQRT(T804*($G$10-$E$10)*($F$10-$E$10)),$G$10-SQRT((1-T804)*($G$10-$E$10)*($G$10-$F$10))))</f>
        <v>1.03595616213627</v>
      </c>
      <c r="G804" s="38" t="n">
        <f aca="false">IF($G$11=$E$11,$F$11,IF(U804&lt;($F$11-$E$11)/($G$11-$E$11),$E$11+SQRT(U804*($G$11-$E$11)*($F$11-$E$11)),$G$11-SQRT((1-U804)*($G$11-$E$11)*($G$11-$F$11))))</f>
        <v>0.106987810782839</v>
      </c>
      <c r="H804" s="39" t="n">
        <f aca="false">(('Business Case'!B11*$C804*'Business Case'!B12*$B804)-'Business Case'!B11*$C804*'Business Case'!B13*$D804-'Business Case'!B14*$E804)-MAX(0,(('Business Case'!B11*$C804*'Business Case'!B12*$B804)-'Business Case'!B11*$C804*'Business Case'!B13*$D804-'Business Case'!B14*$E804))*'Business Case'!$B$7-'Business Case'!$B$8*('Business Case'!B11*$C804*'Business Case'!B12*$B804)-'Business Case'!B15*$F804</f>
        <v>-2071912324.27253</v>
      </c>
      <c r="I804" s="39" t="n">
        <f aca="false">(('Business Case'!C11*$C804*'Business Case'!C12*$B804)-'Business Case'!C11*$C804*'Business Case'!C13*$D804-'Business Case'!C14*$E804)-MAX(0,(('Business Case'!C11*$C804*'Business Case'!C12*$B804)-'Business Case'!C11*$C804*'Business Case'!C13*$D804-'Business Case'!C14*$E804))*'Business Case'!$B$7-'Business Case'!$B$8*(('Business Case'!C11*$C804*'Business Case'!C12*$B804)-('Business Case'!B11*$C804*'Business Case'!B12*$B804))-'Business Case'!C15*$F804</f>
        <v>-37254072.3972566</v>
      </c>
      <c r="J804" s="39" t="n">
        <f aca="false">(('Business Case'!D11*$C804*'Business Case'!D12*$B804)-'Business Case'!D11*$C804*'Business Case'!D13*$D804-'Business Case'!D14*$E804)-MAX(0,(('Business Case'!D11*$C804*'Business Case'!D12*$B804)-'Business Case'!D11*$C804*'Business Case'!D13*$D804-'Business Case'!D14*$E804))*'Business Case'!$B$7-'Business Case'!$B$8*(('Business Case'!D11*$C804*'Business Case'!D12*$B804)-('Business Case'!C11*$C804*'Business Case'!C12*$B804))-'Business Case'!D15*$F804</f>
        <v>214296905.011083</v>
      </c>
      <c r="K804" s="39" t="n">
        <f aca="false">(('Business Case'!E11*$C804*'Business Case'!E12*$B804)-'Business Case'!E11*$C804*'Business Case'!E13*$D804-'Business Case'!E14*$E804)-MAX(0,(('Business Case'!E11*$C804*'Business Case'!E12*$B804)-'Business Case'!E11*$C804*'Business Case'!E13*$D804-'Business Case'!E14*$E804))*'Business Case'!$B$7-'Business Case'!$B$8*(('Business Case'!E11*$C804*'Business Case'!E12*$B804)-('Business Case'!D11*$C804*'Business Case'!D12*$B804))-'Business Case'!E15*$F804</f>
        <v>517645690.526237</v>
      </c>
      <c r="L804" s="39" t="n">
        <f aca="false">(('Business Case'!F11*$C804*'Business Case'!F12*$B804)-'Business Case'!F11*$C804*'Business Case'!F13*$D804-'Business Case'!F14*$E804)-MAX(0,(('Business Case'!F11*$C804*'Business Case'!F12*$B804)-'Business Case'!F11*$C804*'Business Case'!F13*$D804-'Business Case'!F14*$E804))*'Business Case'!$B$7-'Business Case'!$B$8*(('Business Case'!F11*$C804*'Business Case'!F12*$B804)-('Business Case'!E11*$C804*'Business Case'!E12*$B804))-'Business Case'!F15*$F804</f>
        <v>631634068.069662</v>
      </c>
      <c r="M804" s="39" t="n">
        <f aca="false">(('Business Case'!G11*$C804*'Business Case'!G12*$B804)-'Business Case'!G11*$C804*'Business Case'!G13*$D804-'Business Case'!G14*$E804)-MAX(0,(('Business Case'!G11*$C804*'Business Case'!G12*$B804)-'Business Case'!G11*$C804*'Business Case'!G13*$D804-'Business Case'!G14*$E804))*'Business Case'!$B$7-'Business Case'!$B$8*(('Business Case'!G11*$C804*'Business Case'!G12*$B804)-('Business Case'!F11*$C804*'Business Case'!F12*$B804))-'Business Case'!G15*$F804+'Business Case'!$B$8*('Business Case'!G11*$C804*'Business Case'!G12*$B804)</f>
        <v>797393352.643211</v>
      </c>
      <c r="N804" s="39" t="n">
        <f aca="false">IF(COUNT('Business Case'!B11:G11)=0,"",H804+NPV(G804,I804:M804))</f>
        <v>-648781978.717849</v>
      </c>
      <c r="P804" s="40" t="n">
        <f aca="true">RAND()</f>
        <v>0.426702124001321</v>
      </c>
      <c r="Q804" s="40" t="n">
        <f aca="true">RAND()</f>
        <v>0.106216610682388</v>
      </c>
      <c r="R804" s="40" t="n">
        <f aca="true">RAND()</f>
        <v>0.653076957371205</v>
      </c>
      <c r="S804" s="40" t="n">
        <f aca="true">RAND()</f>
        <v>0.159117961364516</v>
      </c>
      <c r="T804" s="40" t="n">
        <f aca="true">RAND()</f>
        <v>0.461792385178732</v>
      </c>
      <c r="U804" s="40" t="n">
        <f aca="true">RAND()</f>
        <v>0.717804886294666</v>
      </c>
    </row>
    <row r="805" customFormat="false" ht="15" hidden="false" customHeight="false" outlineLevel="0" collapsed="false">
      <c r="A805" s="36" t="n">
        <v>725</v>
      </c>
      <c r="B805" s="37" t="n">
        <f aca="false">1+IF($G$6=$E$6,$F$6,IF(P805&lt;($F$6-$E$6)/($G$6-$E$6),$E$6+SQRT(P805*($G$6-$E$6)*($F$6-$E$6)),$G$6-SQRT((1-P805)*($G$6-$E$6)*($G$6-$F$6))))</f>
        <v>1.00168235132751</v>
      </c>
      <c r="C805" s="37" t="n">
        <f aca="false">1+IF($G$7=$E$7,$F$7,IF(Q805&lt;($F$7-$E$7)/($G$7-$E$7),$E$7+SQRT(Q805*($G$7-$E$7)*($F$7-$E$7)),$G$7-SQRT((1-Q805)*($G$7-$E$7)*($G$7-$F$7))))</f>
        <v>0.930006908050448</v>
      </c>
      <c r="D805" s="37" t="n">
        <f aca="false">1+IF($G$8=$E$8,$F$8,IF(R805&lt;($F$8-$E$8)/($G$8-$E$8),$E$8+SQRT(R805*($G$8-$E$8)*($F$8-$E$8)),$G$8-SQRT((1-R805)*($G$8-$E$8)*($G$8-$F$8))))</f>
        <v>1.05063307411461</v>
      </c>
      <c r="E805" s="37" t="n">
        <f aca="false">1+IF($G$9=$E$9,$F$9,IF(S805&lt;($F$9-$E$9)/($G$9-$E$9),$E$9+SQRT(S805*($G$9-$E$9)*($F$9-$E$9)),$G$9-SQRT((1-S805)*($G$9-$E$9)*($G$9-$F$9))))</f>
        <v>1.04286067576255</v>
      </c>
      <c r="F805" s="37" t="n">
        <f aca="false">1+IF($G$10=$E$10,$F$10,IF(T805&lt;($F$10-$E$10)/($G$10-$E$10),$E$10+SQRT(T805*($G$10-$E$10)*($F$10-$E$10)),$G$10-SQRT((1-T805)*($G$10-$E$10)*($G$10-$F$10))))</f>
        <v>1.05200192359295</v>
      </c>
      <c r="G805" s="38" t="n">
        <f aca="false">IF($G$11=$E$11,$F$11,IF(U805&lt;($F$11-$E$11)/($G$11-$E$11),$E$11+SQRT(U805*($G$11-$E$11)*($F$11-$E$11)),$G$11-SQRT((1-U805)*($G$11-$E$11)*($G$11-$F$11))))</f>
        <v>0.100315239211641</v>
      </c>
      <c r="H805" s="39" t="n">
        <f aca="false">(('Business Case'!B11*$C805*'Business Case'!B12*$B805)-'Business Case'!B11*$C805*'Business Case'!B13*$D805-'Business Case'!B14*$E805)-MAX(0,(('Business Case'!B11*$C805*'Business Case'!B12*$B805)-'Business Case'!B11*$C805*'Business Case'!B13*$D805-'Business Case'!B14*$E805))*'Business Case'!$B$7-'Business Case'!$B$8*('Business Case'!B11*$C805*'Business Case'!B12*$B805)-'Business Case'!B15*$F805</f>
        <v>-2104003847.1859</v>
      </c>
      <c r="I805" s="39" t="n">
        <f aca="false">(('Business Case'!C11*$C805*'Business Case'!C12*$B805)-'Business Case'!C11*$C805*'Business Case'!C13*$D805-'Business Case'!C14*$E805)-MAX(0,(('Business Case'!C11*$C805*'Business Case'!C12*$B805)-'Business Case'!C11*$C805*'Business Case'!C13*$D805-'Business Case'!C14*$E805))*'Business Case'!$B$7-'Business Case'!$B$8*(('Business Case'!C11*$C805*'Business Case'!C12*$B805)-('Business Case'!B11*$C805*'Business Case'!B12*$B805))-'Business Case'!C15*$F805</f>
        <v>-38958503.3453534</v>
      </c>
      <c r="J805" s="39" t="n">
        <f aca="false">(('Business Case'!D11*$C805*'Business Case'!D12*$B805)-'Business Case'!D11*$C805*'Business Case'!D13*$D805-'Business Case'!D14*$E805)-MAX(0,(('Business Case'!D11*$C805*'Business Case'!D12*$B805)-'Business Case'!D11*$C805*'Business Case'!D13*$D805-'Business Case'!D14*$E805))*'Business Case'!$B$7-'Business Case'!$B$8*(('Business Case'!D11*$C805*'Business Case'!D12*$B805)-('Business Case'!C11*$C805*'Business Case'!C12*$B805))-'Business Case'!D15*$F805</f>
        <v>223870640.654151</v>
      </c>
      <c r="K805" s="39" t="n">
        <f aca="false">(('Business Case'!E11*$C805*'Business Case'!E12*$B805)-'Business Case'!E11*$C805*'Business Case'!E13*$D805-'Business Case'!E14*$E805)-MAX(0,(('Business Case'!E11*$C805*'Business Case'!E12*$B805)-'Business Case'!E11*$C805*'Business Case'!E13*$D805-'Business Case'!E14*$E805))*'Business Case'!$B$7-'Business Case'!$B$8*(('Business Case'!E11*$C805*'Business Case'!E12*$B805)-('Business Case'!D11*$C805*'Business Case'!D12*$B805))-'Business Case'!E15*$F805</f>
        <v>539299880.833303</v>
      </c>
      <c r="L805" s="39" t="n">
        <f aca="false">(('Business Case'!F11*$C805*'Business Case'!F12*$B805)-'Business Case'!F11*$C805*'Business Case'!F13*$D805-'Business Case'!F14*$E805)-MAX(0,(('Business Case'!F11*$C805*'Business Case'!F12*$B805)-'Business Case'!F11*$C805*'Business Case'!F13*$D805-'Business Case'!F14*$E805))*'Business Case'!$B$7-'Business Case'!$B$8*(('Business Case'!F11*$C805*'Business Case'!F12*$B805)-('Business Case'!E11*$C805*'Business Case'!E12*$B805))-'Business Case'!F15*$F805</f>
        <v>659104706.761224</v>
      </c>
      <c r="M805" s="39" t="n">
        <f aca="false">(('Business Case'!G11*$C805*'Business Case'!G12*$B805)-'Business Case'!G11*$C805*'Business Case'!G13*$D805-'Business Case'!G14*$E805)-MAX(0,(('Business Case'!G11*$C805*'Business Case'!G12*$B805)-'Business Case'!G11*$C805*'Business Case'!G13*$D805-'Business Case'!G14*$E805))*'Business Case'!$B$7-'Business Case'!$B$8*(('Business Case'!G11*$C805*'Business Case'!G12*$B805)-('Business Case'!F11*$C805*'Business Case'!F12*$B805))-'Business Case'!G15*$F805+'Business Case'!$B$8*('Business Case'!G11*$C805*'Business Case'!G12*$B805)</f>
        <v>836177818.699029</v>
      </c>
      <c r="N805" s="39" t="n">
        <f aca="false">IF(COUNT('Business Case'!B11:G11)=0,"",H805+NPV(G805,I805:M805))</f>
        <v>-581544619.761</v>
      </c>
      <c r="P805" s="40" t="n">
        <f aca="true">RAND()</f>
        <v>0.694116208377466</v>
      </c>
      <c r="Q805" s="40" t="n">
        <f aca="true">RAND()</f>
        <v>0.241454230583394</v>
      </c>
      <c r="R805" s="40" t="n">
        <f aca="true">RAND()</f>
        <v>0.917075352311747</v>
      </c>
      <c r="S805" s="40" t="n">
        <f aca="true">RAND()</f>
        <v>0.78233984171248</v>
      </c>
      <c r="T805" s="40" t="n">
        <f aca="true">RAND()</f>
        <v>0.561931387596261</v>
      </c>
      <c r="U805" s="40" t="n">
        <f aca="true">RAND()</f>
        <v>0.354183654508448</v>
      </c>
    </row>
    <row r="806" customFormat="false" ht="15" hidden="false" customHeight="false" outlineLevel="0" collapsed="false">
      <c r="A806" s="36" t="n">
        <v>726</v>
      </c>
      <c r="B806" s="37" t="n">
        <f aca="false">1+IF($G$6=$E$6,$F$6,IF(P806&lt;($F$6-$E$6)/($G$6-$E$6),$E$6+SQRT(P806*($G$6-$E$6)*($F$6-$E$6)),$G$6-SQRT((1-P806)*($G$6-$E$6)*($G$6-$F$6))))</f>
        <v>1.00064679867684</v>
      </c>
      <c r="C806" s="37" t="n">
        <f aca="false">1+IF($G$7=$E$7,$F$7,IF(Q806&lt;($F$7-$E$7)/($G$7-$E$7),$E$7+SQRT(Q806*($G$7-$E$7)*($F$7-$E$7)),$G$7-SQRT((1-Q806)*($G$7-$E$7)*($G$7-$F$7))))</f>
        <v>0.917303525864988</v>
      </c>
      <c r="D806" s="37" t="n">
        <f aca="false">1+IF($G$8=$E$8,$F$8,IF(R806&lt;($F$8-$E$8)/($G$8-$E$8),$E$8+SQRT(R806*($G$8-$E$8)*($F$8-$E$8)),$G$8-SQRT((1-R806)*($G$8-$E$8)*($G$8-$F$8))))</f>
        <v>1.00216831590696</v>
      </c>
      <c r="E806" s="37" t="n">
        <f aca="false">1+IF($G$9=$E$9,$F$9,IF(S806&lt;($F$9-$E$9)/($G$9-$E$9),$E$9+SQRT(S806*($G$9-$E$9)*($F$9-$E$9)),$G$9-SQRT((1-S806)*($G$9-$E$9)*($G$9-$F$9))))</f>
        <v>0.975720356327312</v>
      </c>
      <c r="F806" s="37" t="n">
        <f aca="false">1+IF($G$10=$E$10,$F$10,IF(T806&lt;($F$10-$E$10)/($G$10-$E$10),$E$10+SQRT(T806*($G$10-$E$10)*($F$10-$E$10)),$G$10-SQRT((1-T806)*($G$10-$E$10)*($G$10-$F$10))))</f>
        <v>0.957630981292754</v>
      </c>
      <c r="G806" s="38" t="n">
        <f aca="false">IF($G$11=$E$11,$F$11,IF(U806&lt;($F$11-$E$11)/($G$11-$E$11),$E$11+SQRT(U806*($G$11-$E$11)*($F$11-$E$11)),$G$11-SQRT((1-U806)*($G$11-$E$11)*($G$11-$F$11))))</f>
        <v>0.0968418922024233</v>
      </c>
      <c r="H806" s="39" t="n">
        <f aca="false">(('Business Case'!B11*$C806*'Business Case'!B12*$B806)-'Business Case'!B11*$C806*'Business Case'!B13*$D806-'Business Case'!B14*$E806)-MAX(0,(('Business Case'!B11*$C806*'Business Case'!B12*$B806)-'Business Case'!B11*$C806*'Business Case'!B13*$D806-'Business Case'!B14*$E806))*'Business Case'!$B$7-'Business Case'!$B$8*('Business Case'!B11*$C806*'Business Case'!B12*$B806)-'Business Case'!B15*$F806</f>
        <v>-1915261962.58551</v>
      </c>
      <c r="I806" s="39" t="n">
        <f aca="false">(('Business Case'!C11*$C806*'Business Case'!C12*$B806)-'Business Case'!C11*$C806*'Business Case'!C13*$D806-'Business Case'!C14*$E806)-MAX(0,(('Business Case'!C11*$C806*'Business Case'!C12*$B806)-'Business Case'!C11*$C806*'Business Case'!C13*$D806-'Business Case'!C14*$E806))*'Business Case'!$B$7-'Business Case'!$B$8*(('Business Case'!C11*$C806*'Business Case'!C12*$B806)-('Business Case'!B11*$C806*'Business Case'!B12*$B806))-'Business Case'!C15*$F806</f>
        <v>-874938.882118389</v>
      </c>
      <c r="J806" s="39" t="n">
        <f aca="false">(('Business Case'!D11*$C806*'Business Case'!D12*$B806)-'Business Case'!D11*$C806*'Business Case'!D13*$D806-'Business Case'!D14*$E806)-MAX(0,(('Business Case'!D11*$C806*'Business Case'!D12*$B806)-'Business Case'!D11*$C806*'Business Case'!D13*$D806-'Business Case'!D14*$E806))*'Business Case'!$B$7-'Business Case'!$B$8*(('Business Case'!D11*$C806*'Business Case'!D12*$B806)-('Business Case'!C11*$C806*'Business Case'!C12*$B806))-'Business Case'!D15*$F806</f>
        <v>280344427.042663</v>
      </c>
      <c r="K806" s="39" t="n">
        <f aca="false">(('Business Case'!E11*$C806*'Business Case'!E12*$B806)-'Business Case'!E11*$C806*'Business Case'!E13*$D806-'Business Case'!E14*$E806)-MAX(0,(('Business Case'!E11*$C806*'Business Case'!E12*$B806)-'Business Case'!E11*$C806*'Business Case'!E13*$D806-'Business Case'!E14*$E806))*'Business Case'!$B$7-'Business Case'!$B$8*(('Business Case'!E11*$C806*'Business Case'!E12*$B806)-('Business Case'!D11*$C806*'Business Case'!D12*$B806))-'Business Case'!E15*$F806</f>
        <v>609445342.032082</v>
      </c>
      <c r="L806" s="39" t="n">
        <f aca="false">(('Business Case'!F11*$C806*'Business Case'!F12*$B806)-'Business Case'!F11*$C806*'Business Case'!F13*$D806-'Business Case'!F14*$E806)-MAX(0,(('Business Case'!F11*$C806*'Business Case'!F12*$B806)-'Business Case'!F11*$C806*'Business Case'!F13*$D806-'Business Case'!F14*$E806))*'Business Case'!$B$7-'Business Case'!$B$8*(('Business Case'!F11*$C806*'Business Case'!F12*$B806)-('Business Case'!E11*$C806*'Business Case'!E12*$B806))-'Business Case'!F15*$F806</f>
        <v>734907645.345597</v>
      </c>
      <c r="M806" s="39" t="n">
        <f aca="false">(('Business Case'!G11*$C806*'Business Case'!G12*$B806)-'Business Case'!G11*$C806*'Business Case'!G13*$D806-'Business Case'!G14*$E806)-MAX(0,(('Business Case'!G11*$C806*'Business Case'!G12*$B806)-'Business Case'!G11*$C806*'Business Case'!G13*$D806-'Business Case'!G14*$E806))*'Business Case'!$B$7-'Business Case'!$B$8*(('Business Case'!G11*$C806*'Business Case'!G12*$B806)-('Business Case'!F11*$C806*'Business Case'!F12*$B806))-'Business Case'!G15*$F806+'Business Case'!$B$8*('Business Case'!G11*$C806*'Business Case'!G12*$B806)</f>
        <v>909381476.041161</v>
      </c>
      <c r="N806" s="39" t="n">
        <f aca="false">IF(COUNT('Business Case'!B11:G11)=0,"",H806+NPV(G806,I806:M806))</f>
        <v>-140593971.677943</v>
      </c>
      <c r="P806" s="40" t="n">
        <f aca="true">RAND()</f>
        <v>0.677359488670602</v>
      </c>
      <c r="Q806" s="40" t="n">
        <f aca="true">RAND()</f>
        <v>0.196573102576541</v>
      </c>
      <c r="R806" s="40" t="n">
        <f aca="true">RAND()</f>
        <v>0.417522014542368</v>
      </c>
      <c r="S806" s="40" t="n">
        <f aca="true">RAND()</f>
        <v>0.0882048972805181</v>
      </c>
      <c r="T806" s="40" t="n">
        <f aca="true">RAND()</f>
        <v>0.00465855003922835</v>
      </c>
      <c r="U806" s="40" t="n">
        <f aca="true">RAND()</f>
        <v>0.156038296365267</v>
      </c>
    </row>
    <row r="807" customFormat="false" ht="15" hidden="false" customHeight="false" outlineLevel="0" collapsed="false">
      <c r="A807" s="36" t="n">
        <v>727</v>
      </c>
      <c r="B807" s="37" t="n">
        <f aca="false">1+IF($G$6=$E$6,$F$6,IF(P807&lt;($F$6-$E$6)/($G$6-$E$6),$E$6+SQRT(P807*($G$6-$E$6)*($F$6-$E$6)),$G$6-SQRT((1-P807)*($G$6-$E$6)*($G$6-$F$6))))</f>
        <v>0.985055876675974</v>
      </c>
      <c r="C807" s="37" t="n">
        <f aca="false">1+IF($G$7=$E$7,$F$7,IF(Q807&lt;($F$7-$E$7)/($G$7-$E$7),$E$7+SQRT(Q807*($G$7-$E$7)*($F$7-$E$7)),$G$7-SQRT((1-Q807)*($G$7-$E$7)*($G$7-$F$7))))</f>
        <v>0.937891518973734</v>
      </c>
      <c r="D807" s="37" t="n">
        <f aca="false">1+IF($G$8=$E$8,$F$8,IF(R807&lt;($F$8-$E$8)/($G$8-$E$8),$E$8+SQRT(R807*($G$8-$E$8)*($F$8-$E$8)),$G$8-SQRT((1-R807)*($G$8-$E$8)*($G$8-$F$8))))</f>
        <v>0.96991863646365</v>
      </c>
      <c r="E807" s="37" t="n">
        <f aca="false">1+IF($G$9=$E$9,$F$9,IF(S807&lt;($F$9-$E$9)/($G$9-$E$9),$E$9+SQRT(S807*($G$9-$E$9)*($F$9-$E$9)),$G$9-SQRT((1-S807)*($G$9-$E$9)*($G$9-$F$9))))</f>
        <v>1.00199103532218</v>
      </c>
      <c r="F807" s="37" t="n">
        <f aca="false">1+IF($G$10=$E$10,$F$10,IF(T807&lt;($F$10-$E$10)/($G$10-$E$10),$E$10+SQRT(T807*($G$10-$E$10)*($F$10-$E$10)),$G$10-SQRT((1-T807)*($G$10-$E$10)*($G$10-$F$10))))</f>
        <v>1.04379668127604</v>
      </c>
      <c r="G807" s="38" t="n">
        <f aca="false">IF($G$11=$E$11,$F$11,IF(U807&lt;($F$11-$E$11)/($G$11-$E$11),$E$11+SQRT(U807*($G$11-$E$11)*($F$11-$E$11)),$G$11-SQRT((1-U807)*($G$11-$E$11)*($G$11-$F$11))))</f>
        <v>0.100548185822299</v>
      </c>
      <c r="H807" s="39" t="n">
        <f aca="false">(('Business Case'!B11*$C807*'Business Case'!B12*$B807)-'Business Case'!B11*$C807*'Business Case'!B13*$D807-'Business Case'!B14*$E807)-MAX(0,(('Business Case'!B11*$C807*'Business Case'!B12*$B807)-'Business Case'!B11*$C807*'Business Case'!B13*$D807-'Business Case'!B14*$E807))*'Business Case'!$B$7-'Business Case'!$B$8*('Business Case'!B11*$C807*'Business Case'!B12*$B807)-'Business Case'!B15*$F807</f>
        <v>-2087593362.55207</v>
      </c>
      <c r="I807" s="39" t="n">
        <f aca="false">(('Business Case'!C11*$C807*'Business Case'!C12*$B807)-'Business Case'!C11*$C807*'Business Case'!C13*$D807-'Business Case'!C14*$E807)-MAX(0,(('Business Case'!C11*$C807*'Business Case'!C12*$B807)-'Business Case'!C11*$C807*'Business Case'!C13*$D807-'Business Case'!C14*$E807))*'Business Case'!$B$7-'Business Case'!$B$8*(('Business Case'!C11*$C807*'Business Case'!C12*$B807)-('Business Case'!B11*$C807*'Business Case'!B12*$B807))-'Business Case'!C15*$F807</f>
        <v>-3718504.39204218</v>
      </c>
      <c r="J807" s="39" t="n">
        <f aca="false">(('Business Case'!D11*$C807*'Business Case'!D12*$B807)-'Business Case'!D11*$C807*'Business Case'!D13*$D807-'Business Case'!D14*$E807)-MAX(0,(('Business Case'!D11*$C807*'Business Case'!D12*$B807)-'Business Case'!D11*$C807*'Business Case'!D13*$D807-'Business Case'!D14*$E807))*'Business Case'!$B$7-'Business Case'!$B$8*(('Business Case'!D11*$C807*'Business Case'!D12*$B807)-('Business Case'!C11*$C807*'Business Case'!C12*$B807))-'Business Case'!D15*$F807</f>
        <v>287319493.205323</v>
      </c>
      <c r="K807" s="39" t="n">
        <f aca="false">(('Business Case'!E11*$C807*'Business Case'!E12*$B807)-'Business Case'!E11*$C807*'Business Case'!E13*$D807-'Business Case'!E14*$E807)-MAX(0,(('Business Case'!E11*$C807*'Business Case'!E12*$B807)-'Business Case'!E11*$C807*'Business Case'!E13*$D807-'Business Case'!E14*$E807))*'Business Case'!$B$7-'Business Case'!$B$8*(('Business Case'!E11*$C807*'Business Case'!E12*$B807)-('Business Case'!D11*$C807*'Business Case'!D12*$B807))-'Business Case'!E15*$F807</f>
        <v>630547324.866489</v>
      </c>
      <c r="L807" s="39" t="n">
        <f aca="false">(('Business Case'!F11*$C807*'Business Case'!F12*$B807)-'Business Case'!F11*$C807*'Business Case'!F13*$D807-'Business Case'!F14*$E807)-MAX(0,(('Business Case'!F11*$C807*'Business Case'!F12*$B807)-'Business Case'!F11*$C807*'Business Case'!F13*$D807-'Business Case'!F14*$E807))*'Business Case'!$B$7-'Business Case'!$B$8*(('Business Case'!F11*$C807*'Business Case'!F12*$B807)-('Business Case'!E11*$C807*'Business Case'!E12*$B807))-'Business Case'!F15*$F807</f>
        <v>759489129.824937</v>
      </c>
      <c r="M807" s="39" t="n">
        <f aca="false">(('Business Case'!G11*$C807*'Business Case'!G12*$B807)-'Business Case'!G11*$C807*'Business Case'!G13*$D807-'Business Case'!G14*$E807)-MAX(0,(('Business Case'!G11*$C807*'Business Case'!G12*$B807)-'Business Case'!G11*$C807*'Business Case'!G13*$D807-'Business Case'!G14*$E807))*'Business Case'!$B$7-'Business Case'!$B$8*(('Business Case'!G11*$C807*'Business Case'!G12*$B807)-('Business Case'!F11*$C807*'Business Case'!F12*$B807))-'Business Case'!G15*$F807+'Business Case'!$B$8*('Business Case'!G11*$C807*'Business Case'!G12*$B807)</f>
        <v>935099394.834563</v>
      </c>
      <c r="N807" s="39" t="n">
        <f aca="false">IF(COUNT('Business Case'!B11:G11)=0,"",H807+NPV(G807,I807:M807))</f>
        <v>-283835461.458069</v>
      </c>
      <c r="P807" s="40" t="n">
        <f aca="true">RAND()</f>
        <v>0.440861155216614</v>
      </c>
      <c r="Q807" s="40" t="n">
        <f aca="true">RAND()</f>
        <v>0.271629585784051</v>
      </c>
      <c r="R807" s="40" t="n">
        <f aca="true">RAND()</f>
        <v>0.0610387813186242</v>
      </c>
      <c r="S807" s="40" t="n">
        <f aca="true">RAND()</f>
        <v>0.359616189518835</v>
      </c>
      <c r="T807" s="40" t="n">
        <f aca="true">RAND()</f>
        <v>0.512010464392398</v>
      </c>
      <c r="U807" s="40" t="n">
        <f aca="true">RAND()</f>
        <v>0.369378208660314</v>
      </c>
    </row>
    <row r="808" customFormat="false" ht="15" hidden="false" customHeight="false" outlineLevel="0" collapsed="false">
      <c r="A808" s="36" t="n">
        <v>728</v>
      </c>
      <c r="B808" s="37" t="n">
        <f aca="false">1+IF($G$6=$E$6,$F$6,IF(P808&lt;($F$6-$E$6)/($G$6-$E$6),$E$6+SQRT(P808*($G$6-$E$6)*($F$6-$E$6)),$G$6-SQRT((1-P808)*($G$6-$E$6)*($G$6-$F$6))))</f>
        <v>0.972718160376647</v>
      </c>
      <c r="C808" s="37" t="n">
        <f aca="false">1+IF($G$7=$E$7,$F$7,IF(Q808&lt;($F$7-$E$7)/($G$7-$E$7),$E$7+SQRT(Q808*($G$7-$E$7)*($F$7-$E$7)),$G$7-SQRT((1-Q808)*($G$7-$E$7)*($G$7-$F$7))))</f>
        <v>1.0085725571822</v>
      </c>
      <c r="D808" s="37" t="n">
        <f aca="false">1+IF($G$8=$E$8,$F$8,IF(R808&lt;($F$8-$E$8)/($G$8-$E$8),$E$8+SQRT(R808*($G$8-$E$8)*($F$8-$E$8)),$G$8-SQRT((1-R808)*($G$8-$E$8)*($G$8-$F$8))))</f>
        <v>0.984726819382993</v>
      </c>
      <c r="E808" s="37" t="n">
        <f aca="false">1+IF($G$9=$E$9,$F$9,IF(S808&lt;($F$9-$E$9)/($G$9-$E$9),$E$9+SQRT(S808*($G$9-$E$9)*($F$9-$E$9)),$G$9-SQRT((1-S808)*($G$9-$E$9)*($G$9-$F$9))))</f>
        <v>1.01657077045778</v>
      </c>
      <c r="F808" s="37" t="n">
        <f aca="false">1+IF($G$10=$E$10,$F$10,IF(T808&lt;($F$10-$E$10)/($G$10-$E$10),$E$10+SQRT(T808*($G$10-$E$10)*($F$10-$E$10)),$G$10-SQRT((1-T808)*($G$10-$E$10)*($G$10-$F$10))))</f>
        <v>0.976114221862227</v>
      </c>
      <c r="G808" s="38" t="n">
        <f aca="false">IF($G$11=$E$11,$F$11,IF(U808&lt;($F$11-$E$11)/($G$11-$E$11),$E$11+SQRT(U808*($G$11-$E$11)*($F$11-$E$11)),$G$11-SQRT((1-U808)*($G$11-$E$11)*($G$11-$F$11))))</f>
        <v>0.108178559066536</v>
      </c>
      <c r="H808" s="39" t="n">
        <f aca="false">(('Business Case'!B11*$C808*'Business Case'!B12*$B808)-'Business Case'!B11*$C808*'Business Case'!B13*$D808-'Business Case'!B14*$E808)-MAX(0,(('Business Case'!B11*$C808*'Business Case'!B12*$B808)-'Business Case'!B11*$C808*'Business Case'!B13*$D808-'Business Case'!B14*$E808))*'Business Case'!$B$7-'Business Case'!$B$8*('Business Case'!B11*$C808*'Business Case'!B12*$B808)-'Business Case'!B15*$F808</f>
        <v>-1952228443.72445</v>
      </c>
      <c r="I808" s="39" t="n">
        <f aca="false">(('Business Case'!C11*$C808*'Business Case'!C12*$B808)-'Business Case'!C11*$C808*'Business Case'!C13*$D808-'Business Case'!C14*$E808)-MAX(0,(('Business Case'!C11*$C808*'Business Case'!C12*$B808)-'Business Case'!C11*$C808*'Business Case'!C13*$D808-'Business Case'!C14*$E808))*'Business Case'!$B$7-'Business Case'!$B$8*(('Business Case'!C11*$C808*'Business Case'!C12*$B808)-('Business Case'!B11*$C808*'Business Case'!B12*$B808))-'Business Case'!C15*$F808</f>
        <v>2107626.52888858</v>
      </c>
      <c r="J808" s="39" t="n">
        <f aca="false">(('Business Case'!D11*$C808*'Business Case'!D12*$B808)-'Business Case'!D11*$C808*'Business Case'!D13*$D808-'Business Case'!D14*$E808)-MAX(0,(('Business Case'!D11*$C808*'Business Case'!D12*$B808)-'Business Case'!D11*$C808*'Business Case'!D13*$D808-'Business Case'!D14*$E808))*'Business Case'!$B$7-'Business Case'!$B$8*(('Business Case'!D11*$C808*'Business Case'!D12*$B808)-('Business Case'!C11*$C808*'Business Case'!C12*$B808))-'Business Case'!D15*$F808</f>
        <v>297241025.514597</v>
      </c>
      <c r="K808" s="39" t="n">
        <f aca="false">(('Business Case'!E11*$C808*'Business Case'!E12*$B808)-'Business Case'!E11*$C808*'Business Case'!E13*$D808-'Business Case'!E14*$E808)-MAX(0,(('Business Case'!E11*$C808*'Business Case'!E12*$B808)-'Business Case'!E11*$C808*'Business Case'!E13*$D808-'Business Case'!E14*$E808))*'Business Case'!$B$7-'Business Case'!$B$8*(('Business Case'!E11*$C808*'Business Case'!E12*$B808)-('Business Case'!D11*$C808*'Business Case'!D12*$B808))-'Business Case'!E15*$F808</f>
        <v>641180135.593418</v>
      </c>
      <c r="L808" s="39" t="n">
        <f aca="false">(('Business Case'!F11*$C808*'Business Case'!F12*$B808)-'Business Case'!F11*$C808*'Business Case'!F13*$D808-'Business Case'!F14*$E808)-MAX(0,(('Business Case'!F11*$C808*'Business Case'!F12*$B808)-'Business Case'!F11*$C808*'Business Case'!F13*$D808-'Business Case'!F14*$E808))*'Business Case'!$B$7-'Business Case'!$B$8*(('Business Case'!F11*$C808*'Business Case'!F12*$B808)-('Business Case'!E11*$C808*'Business Case'!E12*$B808))-'Business Case'!F15*$F808</f>
        <v>773463259.729655</v>
      </c>
      <c r="M808" s="39" t="n">
        <f aca="false">(('Business Case'!G11*$C808*'Business Case'!G12*$B808)-'Business Case'!G11*$C808*'Business Case'!G13*$D808-'Business Case'!G14*$E808)-MAX(0,(('Business Case'!G11*$C808*'Business Case'!G12*$B808)-'Business Case'!G11*$C808*'Business Case'!G13*$D808-'Business Case'!G14*$E808))*'Business Case'!$B$7-'Business Case'!$B$8*(('Business Case'!G11*$C808*'Business Case'!G12*$B808)-('Business Case'!F11*$C808*'Business Case'!F12*$B808))-'Business Case'!G15*$F808+'Business Case'!$B$8*('Business Case'!G11*$C808*'Business Case'!G12*$B808)</f>
        <v>959942544.338491</v>
      </c>
      <c r="N808" s="39" t="n">
        <f aca="false">IF(COUNT('Business Case'!B11:G11)=0,"",H808+NPV(G808,I808:M808))</f>
        <v>-149905908.663204</v>
      </c>
      <c r="P808" s="40" t="n">
        <f aca="true">RAND()</f>
        <v>0.289500461822695</v>
      </c>
      <c r="Q808" s="40" t="n">
        <f aca="true">RAND()</f>
        <v>0.619014827009887</v>
      </c>
      <c r="R808" s="40" t="n">
        <f aca="true">RAND()</f>
        <v>0.185531074532154</v>
      </c>
      <c r="S808" s="40" t="n">
        <f aca="true">RAND()</f>
        <v>0.535970910532793</v>
      </c>
      <c r="T808" s="40" t="n">
        <f aca="true">RAND()</f>
        <v>0.0545562066775695</v>
      </c>
      <c r="U808" s="40" t="n">
        <f aca="true">RAND()</f>
        <v>0.767089223761033</v>
      </c>
    </row>
    <row r="809" customFormat="false" ht="15" hidden="false" customHeight="false" outlineLevel="0" collapsed="false">
      <c r="A809" s="36" t="n">
        <v>729</v>
      </c>
      <c r="B809" s="37" t="n">
        <f aca="false">1+IF($G$6=$E$6,$F$6,IF(P809&lt;($F$6-$E$6)/($G$6-$E$6),$E$6+SQRT(P809*($G$6-$E$6)*($F$6-$E$6)),$G$6-SQRT((1-P809)*($G$6-$E$6)*($G$6-$F$6))))</f>
        <v>0.937387295640038</v>
      </c>
      <c r="C809" s="37" t="n">
        <f aca="false">1+IF($G$7=$E$7,$F$7,IF(Q809&lt;($F$7-$E$7)/($G$7-$E$7),$E$7+SQRT(Q809*($G$7-$E$7)*($F$7-$E$7)),$G$7-SQRT((1-Q809)*($G$7-$E$7)*($G$7-$F$7))))</f>
        <v>1.05865045778501</v>
      </c>
      <c r="D809" s="37" t="n">
        <f aca="false">1+IF($G$8=$E$8,$F$8,IF(R809&lt;($F$8-$E$8)/($G$8-$E$8),$E$8+SQRT(R809*($G$8-$E$8)*($F$8-$E$8)),$G$8-SQRT((1-R809)*($G$8-$E$8)*($G$8-$F$8))))</f>
        <v>0.993132445754587</v>
      </c>
      <c r="E809" s="37" t="n">
        <f aca="false">1+IF($G$9=$E$9,$F$9,IF(S809&lt;($F$9-$E$9)/($G$9-$E$9),$E$9+SQRT(S809*($G$9-$E$9)*($F$9-$E$9)),$G$9-SQRT((1-S809)*($G$9-$E$9)*($G$9-$F$9))))</f>
        <v>1.0296245416127</v>
      </c>
      <c r="F809" s="37" t="n">
        <f aca="false">1+IF($G$10=$E$10,$F$10,IF(T809&lt;($F$10-$E$10)/($G$10-$E$10),$E$10+SQRT(T809*($G$10-$E$10)*($F$10-$E$10)),$G$10-SQRT((1-T809)*($G$10-$E$10)*($G$10-$F$10))))</f>
        <v>0.99948227079979</v>
      </c>
      <c r="G809" s="38" t="n">
        <f aca="false">IF($G$11=$E$11,$F$11,IF(U809&lt;($F$11-$E$11)/($G$11-$E$11),$E$11+SQRT(U809*($G$11-$E$11)*($F$11-$E$11)),$G$11-SQRT((1-U809)*($G$11-$E$11)*($G$11-$F$11))))</f>
        <v>0.107138934636762</v>
      </c>
      <c r="H809" s="39" t="n">
        <f aca="false">(('Business Case'!B11*$C809*'Business Case'!B12*$B809)-'Business Case'!B11*$C809*'Business Case'!B13*$D809-'Business Case'!B14*$E809)-MAX(0,(('Business Case'!B11*$C809*'Business Case'!B12*$B809)-'Business Case'!B11*$C809*'Business Case'!B13*$D809-'Business Case'!B14*$E809))*'Business Case'!$B$7-'Business Case'!$B$8*('Business Case'!B11*$C809*'Business Case'!B12*$B809)-'Business Case'!B15*$F809</f>
        <v>-1998964541.59958</v>
      </c>
      <c r="I809" s="39" t="n">
        <f aca="false">(('Business Case'!C11*$C809*'Business Case'!C12*$B809)-'Business Case'!C11*$C809*'Business Case'!C13*$D809-'Business Case'!C14*$E809)-MAX(0,(('Business Case'!C11*$C809*'Business Case'!C12*$B809)-'Business Case'!C11*$C809*'Business Case'!C13*$D809-'Business Case'!C14*$E809))*'Business Case'!$B$7-'Business Case'!$B$8*(('Business Case'!C11*$C809*'Business Case'!C12*$B809)-('Business Case'!B11*$C809*'Business Case'!B12*$B809))-'Business Case'!C15*$F809</f>
        <v>-23208787.7214762</v>
      </c>
      <c r="J809" s="39" t="n">
        <f aca="false">(('Business Case'!D11*$C809*'Business Case'!D12*$B809)-'Business Case'!D11*$C809*'Business Case'!D13*$D809-'Business Case'!D14*$E809)-MAX(0,(('Business Case'!D11*$C809*'Business Case'!D12*$B809)-'Business Case'!D11*$C809*'Business Case'!D13*$D809-'Business Case'!D14*$E809))*'Business Case'!$B$7-'Business Case'!$B$8*(('Business Case'!D11*$C809*'Business Case'!D12*$B809)-('Business Case'!C11*$C809*'Business Case'!C12*$B809))-'Business Case'!D15*$F809</f>
        <v>251387488.43787</v>
      </c>
      <c r="K809" s="39" t="n">
        <f aca="false">(('Business Case'!E11*$C809*'Business Case'!E12*$B809)-'Business Case'!E11*$C809*'Business Case'!E13*$D809-'Business Case'!E14*$E809)-MAX(0,(('Business Case'!E11*$C809*'Business Case'!E12*$B809)-'Business Case'!E11*$C809*'Business Case'!E13*$D809-'Business Case'!E14*$E809))*'Business Case'!$B$7-'Business Case'!$B$8*(('Business Case'!E11*$C809*'Business Case'!E12*$B809)-('Business Case'!D11*$C809*'Business Case'!D12*$B809))-'Business Case'!E15*$F809</f>
        <v>575957878.137204</v>
      </c>
      <c r="L809" s="39" t="n">
        <f aca="false">(('Business Case'!F11*$C809*'Business Case'!F12*$B809)-'Business Case'!F11*$C809*'Business Case'!F13*$D809-'Business Case'!F14*$E809)-MAX(0,(('Business Case'!F11*$C809*'Business Case'!F12*$B809)-'Business Case'!F11*$C809*'Business Case'!F13*$D809-'Business Case'!F14*$E809))*'Business Case'!$B$7-'Business Case'!$B$8*(('Business Case'!F11*$C809*'Business Case'!F12*$B809)-('Business Case'!E11*$C809*'Business Case'!E12*$B809))-'Business Case'!F15*$F809</f>
        <v>701786121.512664</v>
      </c>
      <c r="M809" s="39" t="n">
        <f aca="false">(('Business Case'!G11*$C809*'Business Case'!G12*$B809)-'Business Case'!G11*$C809*'Business Case'!G13*$D809-'Business Case'!G14*$E809)-MAX(0,(('Business Case'!G11*$C809*'Business Case'!G12*$B809)-'Business Case'!G11*$C809*'Business Case'!G13*$D809-'Business Case'!G14*$E809))*'Business Case'!$B$7-'Business Case'!$B$8*(('Business Case'!G11*$C809*'Business Case'!G12*$B809)-('Business Case'!F11*$C809*'Business Case'!F12*$B809))-'Business Case'!G15*$F809+'Business Case'!$B$8*('Business Case'!G11*$C809*'Business Case'!G12*$B809)</f>
        <v>890414953.78556</v>
      </c>
      <c r="N809" s="39" t="n">
        <f aca="false">IF(COUNT('Business Case'!B11:G11)=0,"",H809+NPV(G809,I809:M809))</f>
        <v>-388064632.073978</v>
      </c>
      <c r="P809" s="40" t="n">
        <f aca="true">RAND()</f>
        <v>0.0314914635077161</v>
      </c>
      <c r="Q809" s="40" t="n">
        <f aca="true">RAND()</f>
        <v>0.841052593087831</v>
      </c>
      <c r="R809" s="40" t="n">
        <f aca="true">RAND()</f>
        <v>0.286216596426516</v>
      </c>
      <c r="S809" s="40" t="n">
        <f aca="true">RAND()</f>
        <v>0.669819657118495</v>
      </c>
      <c r="T809" s="40" t="n">
        <f aca="true">RAND()</f>
        <v>0.1958796098803</v>
      </c>
      <c r="U809" s="40" t="n">
        <f aca="true">RAND()</f>
        <v>0.724321662870845</v>
      </c>
    </row>
    <row r="810" customFormat="false" ht="15" hidden="false" customHeight="false" outlineLevel="0" collapsed="false">
      <c r="A810" s="36" t="n">
        <v>730</v>
      </c>
      <c r="B810" s="37" t="n">
        <f aca="false">1+IF($G$6=$E$6,$F$6,IF(P810&lt;($F$6-$E$6)/($G$6-$E$6),$E$6+SQRT(P810*($G$6-$E$6)*($F$6-$E$6)),$G$6-SQRT((1-P810)*($G$6-$E$6)*($G$6-$F$6))))</f>
        <v>1.00806150904367</v>
      </c>
      <c r="C810" s="37" t="n">
        <f aca="false">1+IF($G$7=$E$7,$F$7,IF(Q810&lt;($F$7-$E$7)/($G$7-$E$7),$E$7+SQRT(Q810*($G$7-$E$7)*($F$7-$E$7)),$G$7-SQRT((1-Q810)*($G$7-$E$7)*($G$7-$F$7))))</f>
        <v>0.988239822973426</v>
      </c>
      <c r="D810" s="37" t="n">
        <f aca="false">1+IF($G$8=$E$8,$F$8,IF(R810&lt;($F$8-$E$8)/($G$8-$E$8),$E$8+SQRT(R810*($G$8-$E$8)*($F$8-$E$8)),$G$8-SQRT((1-R810)*($G$8-$E$8)*($G$8-$F$8))))</f>
        <v>1.02512612681772</v>
      </c>
      <c r="E810" s="37" t="n">
        <f aca="false">1+IF($G$9=$E$9,$F$9,IF(S810&lt;($F$9-$E$9)/($G$9-$E$9),$E$9+SQRT(S810*($G$9-$E$9)*($F$9-$E$9)),$G$9-SQRT((1-S810)*($G$9-$E$9)*($G$9-$F$9))))</f>
        <v>0.968278882871257</v>
      </c>
      <c r="F810" s="37" t="n">
        <f aca="false">1+IF($G$10=$E$10,$F$10,IF(T810&lt;($F$10-$E$10)/($G$10-$E$10),$E$10+SQRT(T810*($G$10-$E$10)*($F$10-$E$10)),$G$10-SQRT((1-T810)*($G$10-$E$10)*($G$10-$F$10))))</f>
        <v>1.00407084871891</v>
      </c>
      <c r="G810" s="38" t="n">
        <f aca="false">IF($G$11=$E$11,$F$11,IF(U810&lt;($F$11-$E$11)/($G$11-$E$11),$E$11+SQRT(U810*($G$11-$E$11)*($F$11-$E$11)),$G$11-SQRT((1-U810)*($G$11-$E$11)*($G$11-$F$11))))</f>
        <v>0.105954812454304</v>
      </c>
      <c r="H810" s="39" t="n">
        <f aca="false">(('Business Case'!B11*$C810*'Business Case'!B12*$B810)-'Business Case'!B11*$C810*'Business Case'!B13*$D810-'Business Case'!B14*$E810)-MAX(0,(('Business Case'!B11*$C810*'Business Case'!B12*$B810)-'Business Case'!B11*$C810*'Business Case'!B13*$D810-'Business Case'!B14*$E810))*'Business Case'!$B$7-'Business Case'!$B$8*('Business Case'!B11*$C810*'Business Case'!B12*$B810)-'Business Case'!B15*$F810</f>
        <v>-2008141697.43782</v>
      </c>
      <c r="I810" s="39" t="n">
        <f aca="false">(('Business Case'!C11*$C810*'Business Case'!C12*$B810)-'Business Case'!C11*$C810*'Business Case'!C13*$D810-'Business Case'!C14*$E810)-MAX(0,(('Business Case'!C11*$C810*'Business Case'!C12*$B810)-'Business Case'!C11*$C810*'Business Case'!C13*$D810-'Business Case'!C14*$E810))*'Business Case'!$B$7-'Business Case'!$B$8*(('Business Case'!C11*$C810*'Business Case'!C12*$B810)-('Business Case'!B11*$C810*'Business Case'!B12*$B810))-'Business Case'!C15*$F810</f>
        <v>7614153.33998483</v>
      </c>
      <c r="J810" s="39" t="n">
        <f aca="false">(('Business Case'!D11*$C810*'Business Case'!D12*$B810)-'Business Case'!D11*$C810*'Business Case'!D13*$D810-'Business Case'!D14*$E810)-MAX(0,(('Business Case'!D11*$C810*'Business Case'!D12*$B810)-'Business Case'!D11*$C810*'Business Case'!D13*$D810-'Business Case'!D14*$E810))*'Business Case'!$B$7-'Business Case'!$B$8*(('Business Case'!D11*$C810*'Business Case'!D12*$B810)-('Business Case'!C11*$C810*'Business Case'!C12*$B810))-'Business Case'!D15*$F810</f>
        <v>304967995.068463</v>
      </c>
      <c r="K810" s="39" t="n">
        <f aca="false">(('Business Case'!E11*$C810*'Business Case'!E12*$B810)-'Business Case'!E11*$C810*'Business Case'!E13*$D810-'Business Case'!E14*$E810)-MAX(0,(('Business Case'!E11*$C810*'Business Case'!E12*$B810)-'Business Case'!E11*$C810*'Business Case'!E13*$D810-'Business Case'!E14*$E810))*'Business Case'!$B$7-'Business Case'!$B$8*(('Business Case'!E11*$C810*'Business Case'!E12*$B810)-('Business Case'!D11*$C810*'Business Case'!D12*$B810))-'Business Case'!E15*$F810</f>
        <v>652525379.232888</v>
      </c>
      <c r="L810" s="39" t="n">
        <f aca="false">(('Business Case'!F11*$C810*'Business Case'!F12*$B810)-'Business Case'!F11*$C810*'Business Case'!F13*$D810-'Business Case'!F14*$E810)-MAX(0,(('Business Case'!F11*$C810*'Business Case'!F12*$B810)-'Business Case'!F11*$C810*'Business Case'!F13*$D810-'Business Case'!F14*$E810))*'Business Case'!$B$7-'Business Case'!$B$8*(('Business Case'!F11*$C810*'Business Case'!F12*$B810)-('Business Case'!E11*$C810*'Business Case'!E12*$B810))-'Business Case'!F15*$F810</f>
        <v>786072224.057254</v>
      </c>
      <c r="M810" s="39" t="n">
        <f aca="false">(('Business Case'!G11*$C810*'Business Case'!G12*$B810)-'Business Case'!G11*$C810*'Business Case'!G13*$D810-'Business Case'!G14*$E810)-MAX(0,(('Business Case'!G11*$C810*'Business Case'!G12*$B810)-'Business Case'!G11*$C810*'Business Case'!G13*$D810-'Business Case'!G14*$E810))*'Business Case'!$B$7-'Business Case'!$B$8*(('Business Case'!G11*$C810*'Business Case'!G12*$B810)-('Business Case'!F11*$C810*'Business Case'!F12*$B810))-'Business Case'!G15*$F810+'Business Case'!$B$8*('Business Case'!G11*$C810*'Business Case'!G12*$B810)</f>
        <v>975431160.755725</v>
      </c>
      <c r="N810" s="39" t="n">
        <f aca="false">IF(COUNT('Business Case'!B11:G11)=0,"",H810+NPV(G810,I810:M810))</f>
        <v>-154585835.890663</v>
      </c>
      <c r="P810" s="40" t="n">
        <f aca="true">RAND()</f>
        <v>0.787485999048367</v>
      </c>
      <c r="Q810" s="40" t="n">
        <f aca="true">RAND()</f>
        <v>0.506203299329523</v>
      </c>
      <c r="R810" s="40" t="n">
        <f aca="true">RAND()</f>
        <v>0.710467119420648</v>
      </c>
      <c r="S810" s="40" t="n">
        <f aca="true">RAND()</f>
        <v>0.0445490078694828</v>
      </c>
      <c r="T810" s="40" t="n">
        <f aca="true">RAND()</f>
        <v>0.232235353565432</v>
      </c>
      <c r="U810" s="40" t="n">
        <f aca="true">RAND()</f>
        <v>0.671221178010386</v>
      </c>
    </row>
    <row r="811" customFormat="false" ht="15" hidden="false" customHeight="false" outlineLevel="0" collapsed="false">
      <c r="A811" s="36" t="n">
        <v>731</v>
      </c>
      <c r="B811" s="37" t="n">
        <f aca="false">1+IF($G$6=$E$6,$F$6,IF(P811&lt;($F$6-$E$6)/($G$6-$E$6),$E$6+SQRT(P811*($G$6-$E$6)*($F$6-$E$6)),$G$6-SQRT((1-P811)*($G$6-$E$6)*($G$6-$F$6))))</f>
        <v>0.98028458996995</v>
      </c>
      <c r="C811" s="37" t="n">
        <f aca="false">1+IF($G$7=$E$7,$F$7,IF(Q811&lt;($F$7-$E$7)/($G$7-$E$7),$E$7+SQRT(Q811*($G$7-$E$7)*($F$7-$E$7)),$G$7-SQRT((1-Q811)*($G$7-$E$7)*($G$7-$F$7))))</f>
        <v>1.05933403563707</v>
      </c>
      <c r="D811" s="37" t="n">
        <f aca="false">1+IF($G$8=$E$8,$F$8,IF(R811&lt;($F$8-$E$8)/($G$8-$E$8),$E$8+SQRT(R811*($G$8-$E$8)*($F$8-$E$8)),$G$8-SQRT((1-R811)*($G$8-$E$8)*($G$8-$F$8))))</f>
        <v>1.03698825428554</v>
      </c>
      <c r="E811" s="37" t="n">
        <f aca="false">1+IF($G$9=$E$9,$F$9,IF(S811&lt;($F$9-$E$9)/($G$9-$E$9),$E$9+SQRT(S811*($G$9-$E$9)*($F$9-$E$9)),$G$9-SQRT((1-S811)*($G$9-$E$9)*($G$9-$F$9))))</f>
        <v>1.02450345603068</v>
      </c>
      <c r="F811" s="37" t="n">
        <f aca="false">1+IF($G$10=$E$10,$F$10,IF(T811&lt;($F$10-$E$10)/($G$10-$E$10),$E$10+SQRT(T811*($G$10-$E$10)*($F$10-$E$10)),$G$10-SQRT((1-T811)*($G$10-$E$10)*($G$10-$F$10))))</f>
        <v>1.08097234874233</v>
      </c>
      <c r="G811" s="38" t="n">
        <f aca="false">IF($G$11=$E$11,$F$11,IF(U811&lt;($F$11-$E$11)/($G$11-$E$11),$E$11+SQRT(U811*($G$11-$E$11)*($F$11-$E$11)),$G$11-SQRT((1-U811)*($G$11-$E$11)*($G$11-$F$11))))</f>
        <v>0.0990036663580625</v>
      </c>
      <c r="H811" s="39" t="n">
        <f aca="false">(('Business Case'!B11*$C811*'Business Case'!B12*$B811)-'Business Case'!B11*$C811*'Business Case'!B13*$D811-'Business Case'!B14*$E811)-MAX(0,(('Business Case'!B11*$C811*'Business Case'!B12*$B811)-'Business Case'!B11*$C811*'Business Case'!B13*$D811-'Business Case'!B14*$E811))*'Business Case'!$B$7-'Business Case'!$B$8*('Business Case'!B11*$C811*'Business Case'!B12*$B811)-'Business Case'!B15*$F811</f>
        <v>-2161944697.48466</v>
      </c>
      <c r="I811" s="39" t="n">
        <f aca="false">(('Business Case'!C11*$C811*'Business Case'!C12*$B811)-'Business Case'!C11*$C811*'Business Case'!C13*$D811-'Business Case'!C14*$E811)-MAX(0,(('Business Case'!C11*$C811*'Business Case'!C12*$B811)-'Business Case'!C11*$C811*'Business Case'!C13*$D811-'Business Case'!C14*$E811))*'Business Case'!$B$7-'Business Case'!$B$8*(('Business Case'!C11*$C811*'Business Case'!C12*$B811)-('Business Case'!B11*$C811*'Business Case'!B12*$B811))-'Business Case'!C15*$F811</f>
        <v>-19403251.2277</v>
      </c>
      <c r="J811" s="39" t="n">
        <f aca="false">(('Business Case'!D11*$C811*'Business Case'!D12*$B811)-'Business Case'!D11*$C811*'Business Case'!D13*$D811-'Business Case'!D14*$E811)-MAX(0,(('Business Case'!D11*$C811*'Business Case'!D12*$B811)-'Business Case'!D11*$C811*'Business Case'!D13*$D811-'Business Case'!D14*$E811))*'Business Case'!$B$7-'Business Case'!$B$8*(('Business Case'!D11*$C811*'Business Case'!D12*$B811)-('Business Case'!C11*$C811*'Business Case'!C12*$B811))-'Business Case'!D15*$F811</f>
        <v>268808311.253289</v>
      </c>
      <c r="K811" s="39" t="n">
        <f aca="false">(('Business Case'!E11*$C811*'Business Case'!E12*$B811)-'Business Case'!E11*$C811*'Business Case'!E13*$D811-'Business Case'!E14*$E811)-MAX(0,(('Business Case'!E11*$C811*'Business Case'!E12*$B811)-'Business Case'!E11*$C811*'Business Case'!E13*$D811-'Business Case'!E14*$E811))*'Business Case'!$B$7-'Business Case'!$B$8*(('Business Case'!E11*$C811*'Business Case'!E12*$B811)-('Business Case'!D11*$C811*'Business Case'!D12*$B811))-'Business Case'!E15*$F811</f>
        <v>611068491.171396</v>
      </c>
      <c r="L811" s="39" t="n">
        <f aca="false">(('Business Case'!F11*$C811*'Business Case'!F12*$B811)-'Business Case'!F11*$C811*'Business Case'!F13*$D811-'Business Case'!F14*$E811)-MAX(0,(('Business Case'!F11*$C811*'Business Case'!F12*$B811)-'Business Case'!F11*$C811*'Business Case'!F13*$D811-'Business Case'!F14*$E811))*'Business Case'!$B$7-'Business Case'!$B$8*(('Business Case'!F11*$C811*'Business Case'!F12*$B811)-('Business Case'!E11*$C811*'Business Case'!E12*$B811))-'Business Case'!F15*$F811</f>
        <v>743027803.589655</v>
      </c>
      <c r="M811" s="39" t="n">
        <f aca="false">(('Business Case'!G11*$C811*'Business Case'!G12*$B811)-'Business Case'!G11*$C811*'Business Case'!G13*$D811-'Business Case'!G14*$E811)-MAX(0,(('Business Case'!G11*$C811*'Business Case'!G12*$B811)-'Business Case'!G11*$C811*'Business Case'!G13*$D811-'Business Case'!G14*$E811))*'Business Case'!$B$7-'Business Case'!$B$8*(('Business Case'!G11*$C811*'Business Case'!G12*$B811)-('Business Case'!F11*$C811*'Business Case'!F12*$B811))-'Business Case'!G15*$F811+'Business Case'!$B$8*('Business Case'!G11*$C811*'Business Case'!G12*$B811)</f>
        <v>940416157.341599</v>
      </c>
      <c r="N811" s="39" t="n">
        <f aca="false">IF(COUNT('Business Case'!B11:G11)=0,"",H811+NPV(G811,I811:M811))</f>
        <v>-400769858.664601</v>
      </c>
      <c r="P811" s="40" t="n">
        <f aca="true">RAND()</f>
        <v>0.378565811233851</v>
      </c>
      <c r="Q811" s="40" t="n">
        <f aca="true">RAND()</f>
        <v>0.843422531545533</v>
      </c>
      <c r="R811" s="40" t="n">
        <f aca="true">RAND()</f>
        <v>0.822114397172578</v>
      </c>
      <c r="S811" s="40" t="n">
        <f aca="true">RAND()</f>
        <v>0.620018123245867</v>
      </c>
      <c r="T811" s="40" t="n">
        <f aca="true">RAND()</f>
        <v>0.716648364721659</v>
      </c>
      <c r="U811" s="40" t="n">
        <f aca="true">RAND()</f>
        <v>0.270220026291023</v>
      </c>
    </row>
    <row r="812" customFormat="false" ht="15" hidden="false" customHeight="false" outlineLevel="0" collapsed="false">
      <c r="A812" s="36" t="n">
        <v>732</v>
      </c>
      <c r="B812" s="37" t="n">
        <f aca="false">1+IF($G$6=$E$6,$F$6,IF(P812&lt;($F$6-$E$6)/($G$6-$E$6),$E$6+SQRT(P812*($G$6-$E$6)*($F$6-$E$6)),$G$6-SQRT((1-P812)*($G$6-$E$6)*($G$6-$F$6))))</f>
        <v>1.01143353451598</v>
      </c>
      <c r="C812" s="37" t="n">
        <f aca="false">1+IF($G$7=$E$7,$F$7,IF(Q812&lt;($F$7-$E$7)/($G$7-$E$7),$E$7+SQRT(Q812*($G$7-$E$7)*($F$7-$E$7)),$G$7-SQRT((1-Q812)*($G$7-$E$7)*($G$7-$F$7))))</f>
        <v>0.835291486989745</v>
      </c>
      <c r="D812" s="37" t="n">
        <f aca="false">1+IF($G$8=$E$8,$F$8,IF(R812&lt;($F$8-$E$8)/($G$8-$E$8),$E$8+SQRT(R812*($G$8-$E$8)*($F$8-$E$8)),$G$8-SQRT((1-R812)*($G$8-$E$8)*($G$8-$F$8))))</f>
        <v>1.03525388015775</v>
      </c>
      <c r="E812" s="37" t="n">
        <f aca="false">1+IF($G$9=$E$9,$F$9,IF(S812&lt;($F$9-$E$9)/($G$9-$E$9),$E$9+SQRT(S812*($G$9-$E$9)*($F$9-$E$9)),$G$9-SQRT((1-S812)*($G$9-$E$9)*($G$9-$F$9))))</f>
        <v>1.00022580192459</v>
      </c>
      <c r="F812" s="37" t="n">
        <f aca="false">1+IF($G$10=$E$10,$F$10,IF(T812&lt;($F$10-$E$10)/($G$10-$E$10),$E$10+SQRT(T812*($G$10-$E$10)*($F$10-$E$10)),$G$10-SQRT((1-T812)*($G$10-$E$10)*($G$10-$F$10))))</f>
        <v>0.967166533884648</v>
      </c>
      <c r="G812" s="38" t="n">
        <f aca="false">IF($G$11=$E$11,$F$11,IF(U812&lt;($F$11-$E$11)/($G$11-$E$11),$E$11+SQRT(U812*($G$11-$E$11)*($F$11-$E$11)),$G$11-SQRT((1-U812)*($G$11-$E$11)*($G$11-$F$11))))</f>
        <v>0.103981230030987</v>
      </c>
      <c r="H812" s="39" t="n">
        <f aca="false">(('Business Case'!B11*$C812*'Business Case'!B12*$B812)-'Business Case'!B11*$C812*'Business Case'!B13*$D812-'Business Case'!B14*$E812)-MAX(0,(('Business Case'!B11*$C812*'Business Case'!B12*$B812)-'Business Case'!B11*$C812*'Business Case'!B13*$D812-'Business Case'!B14*$E812))*'Business Case'!$B$7-'Business Case'!$B$8*('Business Case'!B11*$C812*'Business Case'!B12*$B812)-'Business Case'!B15*$F812</f>
        <v>-1934333067.7693</v>
      </c>
      <c r="I812" s="39" t="n">
        <f aca="false">(('Business Case'!C11*$C812*'Business Case'!C12*$B812)-'Business Case'!C11*$C812*'Business Case'!C13*$D812-'Business Case'!C14*$E812)-MAX(0,(('Business Case'!C11*$C812*'Business Case'!C12*$B812)-'Business Case'!C11*$C812*'Business Case'!C13*$D812-'Business Case'!C14*$E812))*'Business Case'!$B$7-'Business Case'!$B$8*(('Business Case'!C11*$C812*'Business Case'!C12*$B812)-('Business Case'!B11*$C812*'Business Case'!B12*$B812))-'Business Case'!C15*$F812</f>
        <v>-33436144.8039889</v>
      </c>
      <c r="J812" s="39" t="n">
        <f aca="false">(('Business Case'!D11*$C812*'Business Case'!D12*$B812)-'Business Case'!D11*$C812*'Business Case'!D13*$D812-'Business Case'!D14*$E812)-MAX(0,(('Business Case'!D11*$C812*'Business Case'!D12*$B812)-'Business Case'!D11*$C812*'Business Case'!D13*$D812-'Business Case'!D14*$E812))*'Business Case'!$B$7-'Business Case'!$B$8*(('Business Case'!D11*$C812*'Business Case'!D12*$B812)-('Business Case'!C11*$C812*'Business Case'!C12*$B812))-'Business Case'!D15*$F812</f>
        <v>215873072.816729</v>
      </c>
      <c r="K812" s="39" t="n">
        <f aca="false">(('Business Case'!E11*$C812*'Business Case'!E12*$B812)-'Business Case'!E11*$C812*'Business Case'!E13*$D812-'Business Case'!E14*$E812)-MAX(0,(('Business Case'!E11*$C812*'Business Case'!E12*$B812)-'Business Case'!E11*$C812*'Business Case'!E13*$D812-'Business Case'!E14*$E812))*'Business Case'!$B$7-'Business Case'!$B$8*(('Business Case'!E11*$C812*'Business Case'!E12*$B812)-('Business Case'!D11*$C812*'Business Case'!D12*$B812))-'Business Case'!E15*$F812</f>
        <v>513540617.131679</v>
      </c>
      <c r="L812" s="39" t="n">
        <f aca="false">(('Business Case'!F11*$C812*'Business Case'!F12*$B812)-'Business Case'!F11*$C812*'Business Case'!F13*$D812-'Business Case'!F14*$E812)-MAX(0,(('Business Case'!F11*$C812*'Business Case'!F12*$B812)-'Business Case'!F11*$C812*'Business Case'!F13*$D812-'Business Case'!F14*$E812))*'Business Case'!$B$7-'Business Case'!$B$8*(('Business Case'!F11*$C812*'Business Case'!F12*$B812)-('Business Case'!E11*$C812*'Business Case'!E12*$B812))-'Business Case'!F15*$F812</f>
        <v>625841423.006962</v>
      </c>
      <c r="M812" s="39" t="n">
        <f aca="false">(('Business Case'!G11*$C812*'Business Case'!G12*$B812)-'Business Case'!G11*$C812*'Business Case'!G13*$D812-'Business Case'!G14*$E812)-MAX(0,(('Business Case'!G11*$C812*'Business Case'!G12*$B812)-'Business Case'!G11*$C812*'Business Case'!G13*$D812-'Business Case'!G14*$E812))*'Business Case'!$B$7-'Business Case'!$B$8*(('Business Case'!G11*$C812*'Business Case'!G12*$B812)-('Business Case'!F11*$C812*'Business Case'!F12*$B812))-'Business Case'!G15*$F812+'Business Case'!$B$8*('Business Case'!G11*$C812*'Business Case'!G12*$B812)</f>
        <v>786428956.349704</v>
      </c>
      <c r="N812" s="39" t="n">
        <f aca="false">IF(COUNT('Business Case'!B11:G11)=0,"",H812+NPV(G812,I812:M812))</f>
        <v>-504931144.050862</v>
      </c>
      <c r="P812" s="40" t="n">
        <f aca="true">RAND()</f>
        <v>0.829991052031356</v>
      </c>
      <c r="Q812" s="40" t="n">
        <f aca="true">RAND()</f>
        <v>0.017792700770676</v>
      </c>
      <c r="R812" s="40" t="n">
        <f aca="true">RAND()</f>
        <v>0.807479303756022</v>
      </c>
      <c r="S812" s="40" t="n">
        <f aca="true">RAND()</f>
        <v>0.336340626560542</v>
      </c>
      <c r="T812" s="40" t="n">
        <f aca="true">RAND()</f>
        <v>0.0235751908490202</v>
      </c>
      <c r="U812" s="40" t="n">
        <f aca="true">RAND()</f>
        <v>0.572331681133061</v>
      </c>
    </row>
    <row r="813" customFormat="false" ht="15" hidden="false" customHeight="false" outlineLevel="0" collapsed="false">
      <c r="A813" s="36" t="n">
        <v>733</v>
      </c>
      <c r="B813" s="37" t="n">
        <f aca="false">1+IF($G$6=$E$6,$F$6,IF(P813&lt;($F$6-$E$6)/($G$6-$E$6),$E$6+SQRT(P813*($G$6-$E$6)*($F$6-$E$6)),$G$6-SQRT((1-P813)*($G$6-$E$6)*($G$6-$F$6))))</f>
        <v>0.999493536353912</v>
      </c>
      <c r="C813" s="37" t="n">
        <f aca="false">1+IF($G$7=$E$7,$F$7,IF(Q813&lt;($F$7-$E$7)/($G$7-$E$7),$E$7+SQRT(Q813*($G$7-$E$7)*($F$7-$E$7)),$G$7-SQRT((1-Q813)*($G$7-$E$7)*($G$7-$F$7))))</f>
        <v>0.968676232755695</v>
      </c>
      <c r="D813" s="37" t="n">
        <f aca="false">1+IF($G$8=$E$8,$F$8,IF(R813&lt;($F$8-$E$8)/($G$8-$E$8),$E$8+SQRT(R813*($G$8-$E$8)*($F$8-$E$8)),$G$8-SQRT((1-R813)*($G$8-$E$8)*($G$8-$F$8))))</f>
        <v>1.02315736579997</v>
      </c>
      <c r="E813" s="37" t="n">
        <f aca="false">1+IF($G$9=$E$9,$F$9,IF(S813&lt;($F$9-$E$9)/($G$9-$E$9),$E$9+SQRT(S813*($G$9-$E$9)*($F$9-$E$9)),$G$9-SQRT((1-S813)*($G$9-$E$9)*($G$9-$F$9))))</f>
        <v>1.05403593662841</v>
      </c>
      <c r="F813" s="37" t="n">
        <f aca="false">1+IF($G$10=$E$10,$F$10,IF(T813&lt;($F$10-$E$10)/($G$10-$E$10),$E$10+SQRT(T813*($G$10-$E$10)*($F$10-$E$10)),$G$10-SQRT((1-T813)*($G$10-$E$10)*($G$10-$F$10))))</f>
        <v>1.0383921357353</v>
      </c>
      <c r="G813" s="38" t="n">
        <f aca="false">IF($G$11=$E$11,$F$11,IF(U813&lt;($F$11-$E$11)/($G$11-$E$11),$E$11+SQRT(U813*($G$11-$E$11)*($F$11-$E$11)),$G$11-SQRT((1-U813)*($G$11-$E$11)*($G$11-$F$11))))</f>
        <v>0.0974532385980697</v>
      </c>
      <c r="H813" s="39" t="n">
        <f aca="false">(('Business Case'!B11*$C813*'Business Case'!B12*$B813)-'Business Case'!B11*$C813*'Business Case'!B13*$D813-'Business Case'!B14*$E813)-MAX(0,(('Business Case'!B11*$C813*'Business Case'!B12*$B813)-'Business Case'!B11*$C813*'Business Case'!B13*$D813-'Business Case'!B14*$E813))*'Business Case'!$B$7-'Business Case'!$B$8*('Business Case'!B11*$C813*'Business Case'!B12*$B813)-'Business Case'!B15*$F813</f>
        <v>-2076784271.47059</v>
      </c>
      <c r="I813" s="39" t="n">
        <f aca="false">(('Business Case'!C11*$C813*'Business Case'!C12*$B813)-'Business Case'!C11*$C813*'Business Case'!C13*$D813-'Business Case'!C14*$E813)-MAX(0,(('Business Case'!C11*$C813*'Business Case'!C12*$B813)-'Business Case'!C11*$C813*'Business Case'!C13*$D813-'Business Case'!C14*$E813))*'Business Case'!$B$7-'Business Case'!$B$8*(('Business Case'!C11*$C813*'Business Case'!C12*$B813)-('Business Case'!B11*$C813*'Business Case'!B12*$B813))-'Business Case'!C15*$F813</f>
        <v>-18268245.1553937</v>
      </c>
      <c r="J813" s="39" t="n">
        <f aca="false">(('Business Case'!D11*$C813*'Business Case'!D12*$B813)-'Business Case'!D11*$C813*'Business Case'!D13*$D813-'Business Case'!D14*$E813)-MAX(0,(('Business Case'!D11*$C813*'Business Case'!D12*$B813)-'Business Case'!D11*$C813*'Business Case'!D13*$D813-'Business Case'!D14*$E813))*'Business Case'!$B$7-'Business Case'!$B$8*(('Business Case'!D11*$C813*'Business Case'!D12*$B813)-('Business Case'!C11*$C813*'Business Case'!C12*$B813))-'Business Case'!D15*$F813</f>
        <v>267377376.689815</v>
      </c>
      <c r="K813" s="39" t="n">
        <f aca="false">(('Business Case'!E11*$C813*'Business Case'!E12*$B813)-'Business Case'!E11*$C813*'Business Case'!E13*$D813-'Business Case'!E14*$E813)-MAX(0,(('Business Case'!E11*$C813*'Business Case'!E12*$B813)-'Business Case'!E11*$C813*'Business Case'!E13*$D813-'Business Case'!E14*$E813))*'Business Case'!$B$7-'Business Case'!$B$8*(('Business Case'!E11*$C813*'Business Case'!E12*$B813)-('Business Case'!D11*$C813*'Business Case'!D12*$B813))-'Business Case'!E15*$F813</f>
        <v>604942605.321789</v>
      </c>
      <c r="L813" s="39" t="n">
        <f aca="false">(('Business Case'!F11*$C813*'Business Case'!F12*$B813)-'Business Case'!F11*$C813*'Business Case'!F13*$D813-'Business Case'!F14*$E813)-MAX(0,(('Business Case'!F11*$C813*'Business Case'!F12*$B813)-'Business Case'!F11*$C813*'Business Case'!F13*$D813-'Business Case'!F14*$E813))*'Business Case'!$B$7-'Business Case'!$B$8*(('Business Case'!F11*$C813*'Business Case'!F12*$B813)-('Business Case'!E11*$C813*'Business Case'!E12*$B813))-'Business Case'!F15*$F813</f>
        <v>733618308.095867</v>
      </c>
      <c r="M813" s="39" t="n">
        <f aca="false">(('Business Case'!G11*$C813*'Business Case'!G12*$B813)-'Business Case'!G11*$C813*'Business Case'!G13*$D813-'Business Case'!G14*$E813)-MAX(0,(('Business Case'!G11*$C813*'Business Case'!G12*$B813)-'Business Case'!G11*$C813*'Business Case'!G13*$D813-'Business Case'!G14*$E813))*'Business Case'!$B$7-'Business Case'!$B$8*(('Business Case'!G11*$C813*'Business Case'!G12*$B813)-('Business Case'!F11*$C813*'Business Case'!F12*$B813))-'Business Case'!G15*$F813+'Business Case'!$B$8*('Business Case'!G11*$C813*'Business Case'!G12*$B813)</f>
        <v>917651033.303749</v>
      </c>
      <c r="N813" s="39" t="n">
        <f aca="false">IF(COUNT('Business Case'!B11:G11)=0,"",H813+NPV(G813,I813:M813))</f>
        <v>-331586946.481844</v>
      </c>
      <c r="P813" s="40" t="n">
        <f aca="true">RAND()</f>
        <v>0.658252325213608</v>
      </c>
      <c r="Q813" s="40" t="n">
        <f aca="true">RAND()</f>
        <v>0.40645244995219</v>
      </c>
      <c r="R813" s="40" t="n">
        <f aca="true">RAND()</f>
        <v>0.689318743961681</v>
      </c>
      <c r="S813" s="40" t="n">
        <f aca="true">RAND()</f>
        <v>0.859153658558159</v>
      </c>
      <c r="T813" s="40" t="n">
        <f aca="true">RAND()</f>
        <v>0.477657964156014</v>
      </c>
      <c r="U813" s="40" t="n">
        <f aca="true">RAND()</f>
        <v>0.185169218665854</v>
      </c>
    </row>
    <row r="814" customFormat="false" ht="15" hidden="false" customHeight="false" outlineLevel="0" collapsed="false">
      <c r="A814" s="36" t="n">
        <v>734</v>
      </c>
      <c r="B814" s="37" t="n">
        <f aca="false">1+IF($G$6=$E$6,$F$6,IF(P814&lt;($F$6-$E$6)/($G$6-$E$6),$E$6+SQRT(P814*($G$6-$E$6)*($F$6-$E$6)),$G$6-SQRT((1-P814)*($G$6-$E$6)*($G$6-$F$6))))</f>
        <v>0.987378784981453</v>
      </c>
      <c r="C814" s="37" t="n">
        <f aca="false">1+IF($G$7=$E$7,$F$7,IF(Q814&lt;($F$7-$E$7)/($G$7-$E$7),$E$7+SQRT(Q814*($G$7-$E$7)*($F$7-$E$7)),$G$7-SQRT((1-Q814)*($G$7-$E$7)*($G$7-$F$7))))</f>
        <v>0.851590227528766</v>
      </c>
      <c r="D814" s="37" t="n">
        <f aca="false">1+IF($G$8=$E$8,$F$8,IF(R814&lt;($F$8-$E$8)/($G$8-$E$8),$E$8+SQRT(R814*($G$8-$E$8)*($F$8-$E$8)),$G$8-SQRT((1-R814)*($G$8-$E$8)*($G$8-$F$8))))</f>
        <v>0.997863801336232</v>
      </c>
      <c r="E814" s="37" t="n">
        <f aca="false">1+IF($G$9=$E$9,$F$9,IF(S814&lt;($F$9-$E$9)/($G$9-$E$9),$E$9+SQRT(S814*($G$9-$E$9)*($F$9-$E$9)),$G$9-SQRT((1-S814)*($G$9-$E$9)*($G$9-$F$9))))</f>
        <v>1.01124689601125</v>
      </c>
      <c r="F814" s="37" t="n">
        <f aca="false">1+IF($G$10=$E$10,$F$10,IF(T814&lt;($F$10-$E$10)/($G$10-$E$10),$E$10+SQRT(T814*($G$10-$E$10)*($F$10-$E$10)),$G$10-SQRT((1-T814)*($G$10-$E$10)*($G$10-$F$10))))</f>
        <v>1.00356465454214</v>
      </c>
      <c r="G814" s="38" t="n">
        <f aca="false">IF($G$11=$E$11,$F$11,IF(U814&lt;($F$11-$E$11)/($G$11-$E$11),$E$11+SQRT(U814*($G$11-$E$11)*($F$11-$E$11)),$G$11-SQRT((1-U814)*($G$11-$E$11)*($G$11-$F$11))))</f>
        <v>0.111441339157622</v>
      </c>
      <c r="H814" s="39" t="n">
        <f aca="false">(('Business Case'!B11*$C814*'Business Case'!B12*$B814)-'Business Case'!B11*$C814*'Business Case'!B13*$D814-'Business Case'!B14*$E814)-MAX(0,(('Business Case'!B11*$C814*'Business Case'!B12*$B814)-'Business Case'!B11*$C814*'Business Case'!B13*$D814-'Business Case'!B14*$E814))*'Business Case'!$B$7-'Business Case'!$B$8*('Business Case'!B11*$C814*'Business Case'!B12*$B814)-'Business Case'!B15*$F814</f>
        <v>-2007129309.08427</v>
      </c>
      <c r="I814" s="39" t="n">
        <f aca="false">(('Business Case'!C11*$C814*'Business Case'!C12*$B814)-'Business Case'!C11*$C814*'Business Case'!C13*$D814-'Business Case'!C14*$E814)-MAX(0,(('Business Case'!C11*$C814*'Business Case'!C12*$B814)-'Business Case'!C11*$C814*'Business Case'!C13*$D814-'Business Case'!C14*$E814))*'Business Case'!$B$7-'Business Case'!$B$8*(('Business Case'!C11*$C814*'Business Case'!C12*$B814)-('Business Case'!B11*$C814*'Business Case'!B12*$B814))-'Business Case'!C15*$F814</f>
        <v>-34049591.3297867</v>
      </c>
      <c r="J814" s="39" t="n">
        <f aca="false">(('Business Case'!D11*$C814*'Business Case'!D12*$B814)-'Business Case'!D11*$C814*'Business Case'!D13*$D814-'Business Case'!D14*$E814)-MAX(0,(('Business Case'!D11*$C814*'Business Case'!D12*$B814)-'Business Case'!D11*$C814*'Business Case'!D13*$D814-'Business Case'!D14*$E814))*'Business Case'!$B$7-'Business Case'!$B$8*(('Business Case'!D11*$C814*'Business Case'!D12*$B814)-('Business Case'!C11*$C814*'Business Case'!C12*$B814))-'Business Case'!D15*$F814</f>
        <v>219645847.123865</v>
      </c>
      <c r="K814" s="39" t="n">
        <f aca="false">(('Business Case'!E11*$C814*'Business Case'!E12*$B814)-'Business Case'!E11*$C814*'Business Case'!E13*$D814-'Business Case'!E14*$E814)-MAX(0,(('Business Case'!E11*$C814*'Business Case'!E12*$B814)-'Business Case'!E11*$C814*'Business Case'!E13*$D814-'Business Case'!E14*$E814))*'Business Case'!$B$7-'Business Case'!$B$8*(('Business Case'!E11*$C814*'Business Case'!E12*$B814)-('Business Case'!D11*$C814*'Business Case'!D12*$B814))-'Business Case'!E15*$F814</f>
        <v>523519518.304623</v>
      </c>
      <c r="L814" s="39" t="n">
        <f aca="false">(('Business Case'!F11*$C814*'Business Case'!F12*$B814)-'Business Case'!F11*$C814*'Business Case'!F13*$D814-'Business Case'!F14*$E814)-MAX(0,(('Business Case'!F11*$C814*'Business Case'!F12*$B814)-'Business Case'!F11*$C814*'Business Case'!F13*$D814-'Business Case'!F14*$E814))*'Business Case'!$B$7-'Business Case'!$B$8*(('Business Case'!F11*$C814*'Business Case'!F12*$B814)-('Business Case'!E11*$C814*'Business Case'!E12*$B814))-'Business Case'!F15*$F814</f>
        <v>637144168.26679</v>
      </c>
      <c r="M814" s="39" t="n">
        <f aca="false">(('Business Case'!G11*$C814*'Business Case'!G12*$B814)-'Business Case'!G11*$C814*'Business Case'!G13*$D814-'Business Case'!G14*$E814)-MAX(0,(('Business Case'!G11*$C814*'Business Case'!G12*$B814)-'Business Case'!G11*$C814*'Business Case'!G13*$D814-'Business Case'!G14*$E814))*'Business Case'!$B$7-'Business Case'!$B$8*(('Business Case'!G11*$C814*'Business Case'!G12*$B814)-('Business Case'!F11*$C814*'Business Case'!F12*$B814))-'Business Case'!G15*$F814+'Business Case'!$B$8*('Business Case'!G11*$C814*'Business Case'!G12*$B814)</f>
        <v>796971439.227015</v>
      </c>
      <c r="N814" s="39" t="n">
        <f aca="false">IF(COUNT('Business Case'!B11:G11)=0,"",H814+NPV(G814,I814:M814))</f>
        <v>-591213103.172763</v>
      </c>
      <c r="P814" s="40" t="n">
        <f aca="true">RAND()</f>
        <v>0.472906319330919</v>
      </c>
      <c r="Q814" s="40" t="n">
        <f aca="true">RAND()</f>
        <v>0.0380221653781404</v>
      </c>
      <c r="R814" s="40" t="n">
        <f aca="true">RAND()</f>
        <v>0.352452842823737</v>
      </c>
      <c r="S814" s="40" t="n">
        <f aca="true">RAND()</f>
        <v>0.474859102157467</v>
      </c>
      <c r="T814" s="40" t="n">
        <f aca="true">RAND()</f>
        <v>0.228263101097001</v>
      </c>
      <c r="U814" s="40" t="n">
        <f aca="true">RAND()</f>
        <v>0.877915540975243</v>
      </c>
    </row>
    <row r="815" customFormat="false" ht="15" hidden="false" customHeight="false" outlineLevel="0" collapsed="false">
      <c r="A815" s="36" t="n">
        <v>735</v>
      </c>
      <c r="B815" s="37" t="n">
        <f aca="false">1+IF($G$6=$E$6,$F$6,IF(P815&lt;($F$6-$E$6)/($G$6-$E$6),$E$6+SQRT(P815*($G$6-$E$6)*($F$6-$E$6)),$G$6-SQRT((1-P815)*($G$6-$E$6)*($G$6-$F$6))))</f>
        <v>0.969194284993103</v>
      </c>
      <c r="C815" s="37" t="n">
        <f aca="false">1+IF($G$7=$E$7,$F$7,IF(Q815&lt;($F$7-$E$7)/($G$7-$E$7),$E$7+SQRT(Q815*($G$7-$E$7)*($F$7-$E$7)),$G$7-SQRT((1-Q815)*($G$7-$E$7)*($G$7-$F$7))))</f>
        <v>1.07486345597048</v>
      </c>
      <c r="D815" s="37" t="n">
        <f aca="false">1+IF($G$8=$E$8,$F$8,IF(R815&lt;($F$8-$E$8)/($G$8-$E$8),$E$8+SQRT(R815*($G$8-$E$8)*($F$8-$E$8)),$G$8-SQRT((1-R815)*($G$8-$E$8)*($G$8-$F$8))))</f>
        <v>1.00812482788348</v>
      </c>
      <c r="E815" s="37" t="n">
        <f aca="false">1+IF($G$9=$E$9,$F$9,IF(S815&lt;($F$9-$E$9)/($G$9-$E$9),$E$9+SQRT(S815*($G$9-$E$9)*($F$9-$E$9)),$G$9-SQRT((1-S815)*($G$9-$E$9)*($G$9-$F$9))))</f>
        <v>0.956530687868378</v>
      </c>
      <c r="F815" s="37" t="n">
        <f aca="false">1+IF($G$10=$E$10,$F$10,IF(T815&lt;($F$10-$E$10)/($G$10-$E$10),$E$10+SQRT(T815*($G$10-$E$10)*($F$10-$E$10)),$G$10-SQRT((1-T815)*($G$10-$E$10)*($G$10-$F$10))))</f>
        <v>0.983691794503218</v>
      </c>
      <c r="G815" s="38" t="n">
        <f aca="false">IF($G$11=$E$11,$F$11,IF(U815&lt;($F$11-$E$11)/($G$11-$E$11),$E$11+SQRT(U815*($G$11-$E$11)*($F$11-$E$11)),$G$11-SQRT((1-U815)*($G$11-$E$11)*($G$11-$F$11))))</f>
        <v>0.100295180275041</v>
      </c>
      <c r="H815" s="39" t="n">
        <f aca="false">(('Business Case'!B11*$C815*'Business Case'!B12*$B815)-'Business Case'!B11*$C815*'Business Case'!B13*$D815-'Business Case'!B14*$E815)-MAX(0,(('Business Case'!B11*$C815*'Business Case'!B12*$B815)-'Business Case'!B11*$C815*'Business Case'!B13*$D815-'Business Case'!B14*$E815))*'Business Case'!$B$7-'Business Case'!$B$8*('Business Case'!B11*$C815*'Business Case'!B12*$B815)-'Business Case'!B15*$F815</f>
        <v>-1967383589.00644</v>
      </c>
      <c r="I815" s="39" t="n">
        <f aca="false">(('Business Case'!C11*$C815*'Business Case'!C12*$B815)-'Business Case'!C11*$C815*'Business Case'!C13*$D815-'Business Case'!C14*$E815)-MAX(0,(('Business Case'!C11*$C815*'Business Case'!C12*$B815)-'Business Case'!C11*$C815*'Business Case'!C13*$D815-'Business Case'!C14*$E815))*'Business Case'!$B$7-'Business Case'!$B$8*(('Business Case'!C11*$C815*'Business Case'!C12*$B815)-('Business Case'!B11*$C815*'Business Case'!B12*$B815))-'Business Case'!C15*$F815</f>
        <v>10162518.9205865</v>
      </c>
      <c r="J815" s="39" t="n">
        <f aca="false">(('Business Case'!D11*$C815*'Business Case'!D12*$B815)-'Business Case'!D11*$C815*'Business Case'!D13*$D815-'Business Case'!D14*$E815)-MAX(0,(('Business Case'!D11*$C815*'Business Case'!D12*$B815)-'Business Case'!D11*$C815*'Business Case'!D13*$D815-'Business Case'!D14*$E815))*'Business Case'!$B$7-'Business Case'!$B$8*(('Business Case'!D11*$C815*'Business Case'!D12*$B815)-('Business Case'!C11*$C815*'Business Case'!C12*$B815))-'Business Case'!D15*$F815</f>
        <v>308717279.834465</v>
      </c>
      <c r="K815" s="39" t="n">
        <f aca="false">(('Business Case'!E11*$C815*'Business Case'!E12*$B815)-'Business Case'!E11*$C815*'Business Case'!E13*$D815-'Business Case'!E14*$E815)-MAX(0,(('Business Case'!E11*$C815*'Business Case'!E12*$B815)-'Business Case'!E11*$C815*'Business Case'!E13*$D815-'Business Case'!E14*$E815))*'Business Case'!$B$7-'Business Case'!$B$8*(('Business Case'!E11*$C815*'Business Case'!E12*$B815)-('Business Case'!D11*$C815*'Business Case'!D12*$B815))-'Business Case'!E15*$F815</f>
        <v>656456630.473505</v>
      </c>
      <c r="L815" s="39" t="n">
        <f aca="false">(('Business Case'!F11*$C815*'Business Case'!F12*$B815)-'Business Case'!F11*$C815*'Business Case'!F13*$D815-'Business Case'!F14*$E815)-MAX(0,(('Business Case'!F11*$C815*'Business Case'!F12*$B815)-'Business Case'!F11*$C815*'Business Case'!F13*$D815-'Business Case'!F14*$E815))*'Business Case'!$B$7-'Business Case'!$B$8*(('Business Case'!F11*$C815*'Business Case'!F12*$B815)-('Business Case'!E11*$C815*'Business Case'!E12*$B815))-'Business Case'!F15*$F815</f>
        <v>791977816.596856</v>
      </c>
      <c r="M815" s="39" t="n">
        <f aca="false">(('Business Case'!G11*$C815*'Business Case'!G12*$B815)-'Business Case'!G11*$C815*'Business Case'!G13*$D815-'Business Case'!G14*$E815)-MAX(0,(('Business Case'!G11*$C815*'Business Case'!G12*$B815)-'Business Case'!G11*$C815*'Business Case'!G13*$D815-'Business Case'!G14*$E815))*'Business Case'!$B$7-'Business Case'!$B$8*(('Business Case'!G11*$C815*'Business Case'!G12*$B815)-('Business Case'!F11*$C815*'Business Case'!F12*$B815))-'Business Case'!G15*$F815+'Business Case'!$B$8*('Business Case'!G11*$C815*'Business Case'!G12*$B815)</f>
        <v>989993945.266509</v>
      </c>
      <c r="N815" s="39" t="n">
        <f aca="false">IF(COUNT('Business Case'!B11:G11)=0,"",H815+NPV(G815,I815:M815))</f>
        <v>-56101784.7576733</v>
      </c>
      <c r="P815" s="40" t="n">
        <f aca="true">RAND()</f>
        <v>0.252091424581525</v>
      </c>
      <c r="Q815" s="40" t="n">
        <f aca="true">RAND()</f>
        <v>0.892466661929514</v>
      </c>
      <c r="R815" s="40" t="n">
        <f aca="true">RAND()</f>
        <v>0.50326534934818</v>
      </c>
      <c r="S815" s="40" t="n">
        <f aca="true">RAND()</f>
        <v>0.00568665120455709</v>
      </c>
      <c r="T815" s="40" t="n">
        <f aca="true">RAND()</f>
        <v>0.0908109613477653</v>
      </c>
      <c r="U815" s="40" t="n">
        <f aca="true">RAND()</f>
        <v>0.352866799344777</v>
      </c>
    </row>
    <row r="816" customFormat="false" ht="15" hidden="false" customHeight="false" outlineLevel="0" collapsed="false">
      <c r="A816" s="36" t="n">
        <v>736</v>
      </c>
      <c r="B816" s="37" t="n">
        <f aca="false">1+IF($G$6=$E$6,$F$6,IF(P816&lt;($F$6-$E$6)/($G$6-$E$6),$E$6+SQRT(P816*($G$6-$E$6)*($F$6-$E$6)),$G$6-SQRT((1-P816)*($G$6-$E$6)*($G$6-$F$6))))</f>
        <v>0.979678568166743</v>
      </c>
      <c r="C816" s="37" t="n">
        <f aca="false">1+IF($G$7=$E$7,$F$7,IF(Q816&lt;($F$7-$E$7)/($G$7-$E$7),$E$7+SQRT(Q816*($G$7-$E$7)*($F$7-$E$7)),$G$7-SQRT((1-Q816)*($G$7-$E$7)*($G$7-$F$7))))</f>
        <v>1.00500950012537</v>
      </c>
      <c r="D816" s="37" t="n">
        <f aca="false">1+IF($G$8=$E$8,$F$8,IF(R816&lt;($F$8-$E$8)/($G$8-$E$8),$E$8+SQRT(R816*($G$8-$E$8)*($F$8-$E$8)),$G$8-SQRT((1-R816)*($G$8-$E$8)*($G$8-$F$8))))</f>
        <v>1.00258980567996</v>
      </c>
      <c r="E816" s="37" t="n">
        <f aca="false">1+IF($G$9=$E$9,$F$9,IF(S816&lt;($F$9-$E$9)/($G$9-$E$9),$E$9+SQRT(S816*($G$9-$E$9)*($F$9-$E$9)),$G$9-SQRT((1-S816)*($G$9-$E$9)*($G$9-$F$9))))</f>
        <v>1.05382986303914</v>
      </c>
      <c r="F816" s="37" t="n">
        <f aca="false">1+IF($G$10=$E$10,$F$10,IF(T816&lt;($F$10-$E$10)/($G$10-$E$10),$E$10+SQRT(T816*($G$10-$E$10)*($F$10-$E$10)),$G$10-SQRT((1-T816)*($G$10-$E$10)*($G$10-$F$10))))</f>
        <v>1.00658854909594</v>
      </c>
      <c r="G816" s="38" t="n">
        <f aca="false">IF($G$11=$E$11,$F$11,IF(U816&lt;($F$11-$E$11)/($G$11-$E$11),$E$11+SQRT(U816*($G$11-$E$11)*($F$11-$E$11)),$G$11-SQRT((1-U816)*($G$11-$E$11)*($G$11-$F$11))))</f>
        <v>0.103133846480532</v>
      </c>
      <c r="H816" s="39" t="n">
        <f aca="false">(('Business Case'!B11*$C816*'Business Case'!B12*$B816)-'Business Case'!B11*$C816*'Business Case'!B13*$D816-'Business Case'!B14*$E816)-MAX(0,(('Business Case'!B11*$C816*'Business Case'!B12*$B816)-'Business Case'!B11*$C816*'Business Case'!B13*$D816-'Business Case'!B14*$E816))*'Business Case'!$B$7-'Business Case'!$B$8*('Business Case'!B11*$C816*'Business Case'!B12*$B816)-'Business Case'!B15*$F816</f>
        <v>-2013177098.19188</v>
      </c>
      <c r="I816" s="39" t="n">
        <f aca="false">(('Business Case'!C11*$C816*'Business Case'!C12*$B816)-'Business Case'!C11*$C816*'Business Case'!C13*$D816-'Business Case'!C14*$E816)-MAX(0,(('Business Case'!C11*$C816*'Business Case'!C12*$B816)-'Business Case'!C11*$C816*'Business Case'!C13*$D816-'Business Case'!C14*$E816))*'Business Case'!$B$7-'Business Case'!$B$8*(('Business Case'!C11*$C816*'Business Case'!C12*$B816)-('Business Case'!B11*$C816*'Business Case'!B12*$B816))-'Business Case'!C15*$F816</f>
        <v>-10924247.8941582</v>
      </c>
      <c r="J816" s="39" t="n">
        <f aca="false">(('Business Case'!D11*$C816*'Business Case'!D12*$B816)-'Business Case'!D11*$C816*'Business Case'!D13*$D816-'Business Case'!D14*$E816)-MAX(0,(('Business Case'!D11*$C816*'Business Case'!D12*$B816)-'Business Case'!D11*$C816*'Business Case'!D13*$D816-'Business Case'!D14*$E816))*'Business Case'!$B$7-'Business Case'!$B$8*(('Business Case'!D11*$C816*'Business Case'!D12*$B816)-('Business Case'!C11*$C816*'Business Case'!C12*$B816))-'Business Case'!D15*$F816</f>
        <v>279705917.782544</v>
      </c>
      <c r="K816" s="39" t="n">
        <f aca="false">(('Business Case'!E11*$C816*'Business Case'!E12*$B816)-'Business Case'!E11*$C816*'Business Case'!E13*$D816-'Business Case'!E14*$E816)-MAX(0,(('Business Case'!E11*$C816*'Business Case'!E12*$B816)-'Business Case'!E11*$C816*'Business Case'!E13*$D816-'Business Case'!E14*$E816))*'Business Case'!$B$7-'Business Case'!$B$8*(('Business Case'!E11*$C816*'Business Case'!E12*$B816)-('Business Case'!D11*$C816*'Business Case'!D12*$B816))-'Business Case'!E15*$F816</f>
        <v>620665510.914044</v>
      </c>
      <c r="L816" s="39" t="n">
        <f aca="false">(('Business Case'!F11*$C816*'Business Case'!F12*$B816)-'Business Case'!F11*$C816*'Business Case'!F13*$D816-'Business Case'!F14*$E816)-MAX(0,(('Business Case'!F11*$C816*'Business Case'!F12*$B816)-'Business Case'!F11*$C816*'Business Case'!F13*$D816-'Business Case'!F14*$E816))*'Business Case'!$B$7-'Business Case'!$B$8*(('Business Case'!F11*$C816*'Business Case'!F12*$B816)-('Business Case'!E11*$C816*'Business Case'!E12*$B816))-'Business Case'!F15*$F816</f>
        <v>751569534.231012</v>
      </c>
      <c r="M816" s="39" t="n">
        <f aca="false">(('Business Case'!G11*$C816*'Business Case'!G12*$B816)-'Business Case'!G11*$C816*'Business Case'!G13*$D816-'Business Case'!G14*$E816)-MAX(0,(('Business Case'!G11*$C816*'Business Case'!G12*$B816)-'Business Case'!G11*$C816*'Business Case'!G13*$D816-'Business Case'!G14*$E816))*'Business Case'!$B$7-'Business Case'!$B$8*(('Business Case'!G11*$C816*'Business Case'!G12*$B816)-('Business Case'!F11*$C816*'Business Case'!F12*$B816))-'Business Case'!G15*$F816+'Business Case'!$B$8*('Business Case'!G11*$C816*'Business Case'!G12*$B816)</f>
        <v>938719692.067049</v>
      </c>
      <c r="N816" s="39" t="n">
        <f aca="false">IF(COUNT('Business Case'!B11:G11)=0,"",H816+NPV(G816,I816:M816))</f>
        <v>-248714965.125999</v>
      </c>
      <c r="P816" s="40" t="n">
        <f aca="true">RAND()</f>
        <v>0.370992864420066</v>
      </c>
      <c r="Q816" s="40" t="n">
        <f aca="true">RAND()</f>
        <v>0.59957628468772</v>
      </c>
      <c r="R816" s="40" t="n">
        <f aca="true">RAND()</f>
        <v>0.42381363608979</v>
      </c>
      <c r="S816" s="40" t="n">
        <f aca="true">RAND()</f>
        <v>0.85788789686767</v>
      </c>
      <c r="T816" s="40" t="n">
        <f aca="true">RAND()</f>
        <v>0.251840213183727</v>
      </c>
      <c r="U816" s="40" t="n">
        <f aca="true">RAND()</f>
        <v>0.525888109096219</v>
      </c>
    </row>
    <row r="817" customFormat="false" ht="15" hidden="false" customHeight="false" outlineLevel="0" collapsed="false">
      <c r="A817" s="36" t="n">
        <v>737</v>
      </c>
      <c r="B817" s="37" t="n">
        <f aca="false">1+IF($G$6=$E$6,$F$6,IF(P817&lt;($F$6-$E$6)/($G$6-$E$6),$E$6+SQRT(P817*($G$6-$E$6)*($F$6-$E$6)),$G$6-SQRT((1-P817)*($G$6-$E$6)*($G$6-$F$6))))</f>
        <v>0.938609908764096</v>
      </c>
      <c r="C817" s="37" t="n">
        <f aca="false">1+IF($G$7=$E$7,$F$7,IF(Q817&lt;($F$7-$E$7)/($G$7-$E$7),$E$7+SQRT(Q817*($G$7-$E$7)*($F$7-$E$7)),$G$7-SQRT((1-Q817)*($G$7-$E$7)*($G$7-$F$7))))</f>
        <v>0.899029126330193</v>
      </c>
      <c r="D817" s="37" t="n">
        <f aca="false">1+IF($G$8=$E$8,$F$8,IF(R817&lt;($F$8-$E$8)/($G$8-$E$8),$E$8+SQRT(R817*($G$8-$E$8)*($F$8-$E$8)),$G$8-SQRT((1-R817)*($G$8-$E$8)*($G$8-$F$8))))</f>
        <v>1.05167027469044</v>
      </c>
      <c r="E817" s="37" t="n">
        <f aca="false">1+IF($G$9=$E$9,$F$9,IF(S817&lt;($F$9-$E$9)/($G$9-$E$9),$E$9+SQRT(S817*($G$9-$E$9)*($F$9-$E$9)),$G$9-SQRT((1-S817)*($G$9-$E$9)*($G$9-$F$9))))</f>
        <v>0.971525451006431</v>
      </c>
      <c r="F817" s="37" t="n">
        <f aca="false">1+IF($G$10=$E$10,$F$10,IF(T817&lt;($F$10-$E$10)/($G$10-$E$10),$E$10+SQRT(T817*($G$10-$E$10)*($F$10-$E$10)),$G$10-SQRT((1-T817)*($G$10-$E$10)*($G$10-$F$10))))</f>
        <v>1.09022571317611</v>
      </c>
      <c r="G817" s="38" t="n">
        <f aca="false">IF($G$11=$E$11,$F$11,IF(U817&lt;($F$11-$E$11)/($G$11-$E$11),$E$11+SQRT(U817*($G$11-$E$11)*($F$11-$E$11)),$G$11-SQRT((1-U817)*($G$11-$E$11)*($G$11-$F$11))))</f>
        <v>0.0962975661851667</v>
      </c>
      <c r="H817" s="39" t="n">
        <f aca="false">(('Business Case'!B11*$C817*'Business Case'!B12*$B817)-'Business Case'!B11*$C817*'Business Case'!B13*$D817-'Business Case'!B14*$E817)-MAX(0,(('Business Case'!B11*$C817*'Business Case'!B12*$B817)-'Business Case'!B11*$C817*'Business Case'!B13*$D817-'Business Case'!B14*$E817))*'Business Case'!$B$7-'Business Case'!$B$8*('Business Case'!B11*$C817*'Business Case'!B12*$B817)-'Business Case'!B15*$F817</f>
        <v>-2180451426.35221</v>
      </c>
      <c r="I817" s="39" t="n">
        <f aca="false">(('Business Case'!C11*$C817*'Business Case'!C12*$B817)-'Business Case'!C11*$C817*'Business Case'!C13*$D817-'Business Case'!C14*$E817)-MAX(0,(('Business Case'!C11*$C817*'Business Case'!C12*$B817)-'Business Case'!C11*$C817*'Business Case'!C13*$D817-'Business Case'!C14*$E817))*'Business Case'!$B$7-'Business Case'!$B$8*(('Business Case'!C11*$C817*'Business Case'!C12*$B817)-('Business Case'!B11*$C817*'Business Case'!B12*$B817))-'Business Case'!C15*$F817</f>
        <v>-83765497.4933528</v>
      </c>
      <c r="J817" s="39" t="n">
        <f aca="false">(('Business Case'!D11*$C817*'Business Case'!D12*$B817)-'Business Case'!D11*$C817*'Business Case'!D13*$D817-'Business Case'!D14*$E817)-MAX(0,(('Business Case'!D11*$C817*'Business Case'!D12*$B817)-'Business Case'!D11*$C817*'Business Case'!D13*$D817-'Business Case'!D14*$E817))*'Business Case'!$B$7-'Business Case'!$B$8*(('Business Case'!D11*$C817*'Business Case'!D12*$B817)-('Business Case'!C11*$C817*'Business Case'!C12*$B817))-'Business Case'!D15*$F817</f>
        <v>123387039.045156</v>
      </c>
      <c r="K817" s="39" t="n">
        <f aca="false">(('Business Case'!E11*$C817*'Business Case'!E12*$B817)-'Business Case'!E11*$C817*'Business Case'!E13*$D817-'Business Case'!E14*$E817)-MAX(0,(('Business Case'!E11*$C817*'Business Case'!E12*$B817)-'Business Case'!E11*$C817*'Business Case'!E13*$D817-'Business Case'!E14*$E817))*'Business Case'!$B$7-'Business Case'!$B$8*(('Business Case'!E11*$C817*'Business Case'!E12*$B817)-('Business Case'!D11*$C817*'Business Case'!D12*$B817))-'Business Case'!E15*$F817</f>
        <v>385050861.242469</v>
      </c>
      <c r="L817" s="39" t="n">
        <f aca="false">(('Business Case'!F11*$C817*'Business Case'!F12*$B817)-'Business Case'!F11*$C817*'Business Case'!F13*$D817-'Business Case'!F14*$E817)-MAX(0,(('Business Case'!F11*$C817*'Business Case'!F12*$B817)-'Business Case'!F11*$C817*'Business Case'!F13*$D817-'Business Case'!F14*$E817))*'Business Case'!$B$7-'Business Case'!$B$8*(('Business Case'!F11*$C817*'Business Case'!F12*$B817)-('Business Case'!E11*$C817*'Business Case'!E12*$B817))-'Business Case'!F15*$F817</f>
        <v>483264735.809396</v>
      </c>
      <c r="M817" s="39" t="n">
        <f aca="false">(('Business Case'!G11*$C817*'Business Case'!G12*$B817)-'Business Case'!G11*$C817*'Business Case'!G13*$D817-'Business Case'!G14*$E817)-MAX(0,(('Business Case'!G11*$C817*'Business Case'!G12*$B817)-'Business Case'!G11*$C817*'Business Case'!G13*$D817-'Business Case'!G14*$E817))*'Business Case'!$B$7-'Business Case'!$B$8*(('Business Case'!G11*$C817*'Business Case'!G12*$B817)-('Business Case'!F11*$C817*'Business Case'!F12*$B817))-'Business Case'!G15*$F817+'Business Case'!$B$8*('Business Case'!G11*$C817*'Business Case'!G12*$B817)</f>
        <v>643661395.606894</v>
      </c>
      <c r="N817" s="39" t="n">
        <f aca="false">IF(COUNT('Business Case'!B11:G11)=0,"",H817+NPV(G817,I817:M817))</f>
        <v>-1120945535.13611</v>
      </c>
      <c r="P817" s="40" t="n">
        <f aca="true">RAND()</f>
        <v>0.0360759066883296</v>
      </c>
      <c r="Q817" s="40" t="n">
        <f aca="true">RAND()</f>
        <v>0.140096683738876</v>
      </c>
      <c r="R817" s="40" t="n">
        <f aca="true">RAND()</f>
        <v>0.922829486911998</v>
      </c>
      <c r="S817" s="40" t="n">
        <f aca="true">RAND()</f>
        <v>0.0617793388040369</v>
      </c>
      <c r="T817" s="40" t="n">
        <f aca="true">RAND()</f>
        <v>0.758992119046113</v>
      </c>
      <c r="U817" s="40" t="n">
        <f aca="true">RAND()</f>
        <v>0.132197799521852</v>
      </c>
    </row>
    <row r="818" customFormat="false" ht="15" hidden="false" customHeight="false" outlineLevel="0" collapsed="false">
      <c r="A818" s="36" t="n">
        <v>738</v>
      </c>
      <c r="B818" s="37" t="n">
        <f aca="false">1+IF($G$6=$E$6,$F$6,IF(P818&lt;($F$6-$E$6)/($G$6-$E$6),$E$6+SQRT(P818*($G$6-$E$6)*($F$6-$E$6)),$G$6-SQRT((1-P818)*($G$6-$E$6)*($G$6-$F$6))))</f>
        <v>0.970531565663785</v>
      </c>
      <c r="C818" s="37" t="n">
        <f aca="false">1+IF($G$7=$E$7,$F$7,IF(Q818&lt;($F$7-$E$7)/($G$7-$E$7),$E$7+SQRT(Q818*($G$7-$E$7)*($F$7-$E$7)),$G$7-SQRT((1-Q818)*($G$7-$E$7)*($G$7-$F$7))))</f>
        <v>1.04932779520108</v>
      </c>
      <c r="D818" s="37" t="n">
        <f aca="false">1+IF($G$8=$E$8,$F$8,IF(R818&lt;($F$8-$E$8)/($G$8-$E$8),$E$8+SQRT(R818*($G$8-$E$8)*($F$8-$E$8)),$G$8-SQRT((1-R818)*($G$8-$E$8)*($G$8-$F$8))))</f>
        <v>0.982195279649289</v>
      </c>
      <c r="E818" s="37" t="n">
        <f aca="false">1+IF($G$9=$E$9,$F$9,IF(S818&lt;($F$9-$E$9)/($G$9-$E$9),$E$9+SQRT(S818*($G$9-$E$9)*($F$9-$E$9)),$G$9-SQRT((1-S818)*($G$9-$E$9)*($G$9-$F$9))))</f>
        <v>1.06796381287115</v>
      </c>
      <c r="F818" s="37" t="n">
        <f aca="false">1+IF($G$10=$E$10,$F$10,IF(T818&lt;($F$10-$E$10)/($G$10-$E$10),$E$10+SQRT(T818*($G$10-$E$10)*($F$10-$E$10)),$G$10-SQRT((1-T818)*($G$10-$E$10)*($G$10-$F$10))))</f>
        <v>1.00084935992193</v>
      </c>
      <c r="G818" s="38" t="n">
        <f aca="false">IF($G$11=$E$11,$F$11,IF(U818&lt;($F$11-$E$11)/($G$11-$E$11),$E$11+SQRT(U818*($G$11-$E$11)*($F$11-$E$11)),$G$11-SQRT((1-U818)*($G$11-$E$11)*($G$11-$F$11))))</f>
        <v>0.0987716149721907</v>
      </c>
      <c r="H818" s="39" t="n">
        <f aca="false">(('Business Case'!B11*$C818*'Business Case'!B12*$B818)-'Business Case'!B11*$C818*'Business Case'!B13*$D818-'Business Case'!B14*$E818)-MAX(0,(('Business Case'!B11*$C818*'Business Case'!B12*$B818)-'Business Case'!B11*$C818*'Business Case'!B13*$D818-'Business Case'!B14*$E818))*'Business Case'!$B$7-'Business Case'!$B$8*('Business Case'!B11*$C818*'Business Case'!B12*$B818)-'Business Case'!B15*$F818</f>
        <v>-2001698719.84387</v>
      </c>
      <c r="I818" s="39" t="n">
        <f aca="false">(('Business Case'!C11*$C818*'Business Case'!C12*$B818)-'Business Case'!C11*$C818*'Business Case'!C13*$D818-'Business Case'!C14*$E818)-MAX(0,(('Business Case'!C11*$C818*'Business Case'!C12*$B818)-'Business Case'!C11*$C818*'Business Case'!C13*$D818-'Business Case'!C14*$E818))*'Business Case'!$B$7-'Business Case'!$B$8*(('Business Case'!C11*$C818*'Business Case'!C12*$B818)-('Business Case'!B11*$C818*'Business Case'!B12*$B818))-'Business Case'!C15*$F818</f>
        <v>1796398.91675557</v>
      </c>
      <c r="J818" s="39" t="n">
        <f aca="false">(('Business Case'!D11*$C818*'Business Case'!D12*$B818)-'Business Case'!D11*$C818*'Business Case'!D13*$D818-'Business Case'!D14*$E818)-MAX(0,(('Business Case'!D11*$C818*'Business Case'!D12*$B818)-'Business Case'!D11*$C818*'Business Case'!D13*$D818-'Business Case'!D14*$E818))*'Business Case'!$B$7-'Business Case'!$B$8*(('Business Case'!D11*$C818*'Business Case'!D12*$B818)-('Business Case'!C11*$C818*'Business Case'!C12*$B818))-'Business Case'!D15*$F818</f>
        <v>308336341.990801</v>
      </c>
      <c r="K818" s="39" t="n">
        <f aca="false">(('Business Case'!E11*$C818*'Business Case'!E12*$B818)-'Business Case'!E11*$C818*'Business Case'!E13*$D818-'Business Case'!E14*$E818)-MAX(0,(('Business Case'!E11*$C818*'Business Case'!E12*$B818)-'Business Case'!E11*$C818*'Business Case'!E13*$D818-'Business Case'!E14*$E818))*'Business Case'!$B$7-'Business Case'!$B$8*(('Business Case'!E11*$C818*'Business Case'!E12*$B818)-('Business Case'!D11*$C818*'Business Case'!D12*$B818))-'Business Case'!E15*$F818</f>
        <v>664918753.060942</v>
      </c>
      <c r="L818" s="39" t="n">
        <f aca="false">(('Business Case'!F11*$C818*'Business Case'!F12*$B818)-'Business Case'!F11*$C818*'Business Case'!F13*$D818-'Business Case'!F14*$E818)-MAX(0,(('Business Case'!F11*$C818*'Business Case'!F12*$B818)-'Business Case'!F11*$C818*'Business Case'!F13*$D818-'Business Case'!F14*$E818))*'Business Case'!$B$7-'Business Case'!$B$8*(('Business Case'!F11*$C818*'Business Case'!F12*$B818)-('Business Case'!E11*$C818*'Business Case'!E12*$B818))-'Business Case'!F15*$F818</f>
        <v>802294836.735503</v>
      </c>
      <c r="M818" s="39" t="n">
        <f aca="false">(('Business Case'!G11*$C818*'Business Case'!G12*$B818)-'Business Case'!G11*$C818*'Business Case'!G13*$D818-'Business Case'!G14*$E818)-MAX(0,(('Business Case'!G11*$C818*'Business Case'!G12*$B818)-'Business Case'!G11*$C818*'Business Case'!G13*$D818-'Business Case'!G14*$E818))*'Business Case'!$B$7-'Business Case'!$B$8*(('Business Case'!G11*$C818*'Business Case'!G12*$B818)-('Business Case'!F11*$C818*'Business Case'!F12*$B818))-'Business Case'!G15*$F818+'Business Case'!$B$8*('Business Case'!G11*$C818*'Business Case'!G12*$B818)</f>
        <v>995873401.309836</v>
      </c>
      <c r="N818" s="39" t="n">
        <f aca="false">IF(COUNT('Business Case'!B11:G11)=0,"",H818+NPV(G818,I818:M818))</f>
        <v>-71173610.5618386</v>
      </c>
      <c r="P818" s="40" t="n">
        <f aca="true">RAND()</f>
        <v>0.265983242545147</v>
      </c>
      <c r="Q818" s="40" t="n">
        <f aca="true">RAND()</f>
        <v>0.806954422493792</v>
      </c>
      <c r="R818" s="40" t="n">
        <f aca="true">RAND()</f>
        <v>0.15946708179937</v>
      </c>
      <c r="S818" s="40" t="n">
        <f aca="true">RAND()</f>
        <v>0.931578847616357</v>
      </c>
      <c r="T818" s="40" t="n">
        <f aca="true">RAND()</f>
        <v>0.206780451129938</v>
      </c>
      <c r="U818" s="40" t="n">
        <f aca="true">RAND()</f>
        <v>0.256470764067865</v>
      </c>
    </row>
    <row r="819" customFormat="false" ht="15" hidden="false" customHeight="false" outlineLevel="0" collapsed="false">
      <c r="A819" s="36" t="n">
        <v>739</v>
      </c>
      <c r="B819" s="37" t="n">
        <f aca="false">1+IF($G$6=$E$6,$F$6,IF(P819&lt;($F$6-$E$6)/($G$6-$E$6),$E$6+SQRT(P819*($G$6-$E$6)*($F$6-$E$6)),$G$6-SQRT((1-P819)*($G$6-$E$6)*($G$6-$F$6))))</f>
        <v>0.987521957534239</v>
      </c>
      <c r="C819" s="37" t="n">
        <f aca="false">1+IF($G$7=$E$7,$F$7,IF(Q819&lt;($F$7-$E$7)/($G$7-$E$7),$E$7+SQRT(Q819*($G$7-$E$7)*($F$7-$E$7)),$G$7-SQRT((1-Q819)*($G$7-$E$7)*($G$7-$F$7))))</f>
        <v>0.991997196176917</v>
      </c>
      <c r="D819" s="37" t="n">
        <f aca="false">1+IF($G$8=$E$8,$F$8,IF(R819&lt;($F$8-$E$8)/($G$8-$E$8),$E$8+SQRT(R819*($G$8-$E$8)*($F$8-$E$8)),$G$8-SQRT((1-R819)*($G$8-$E$8)*($G$8-$F$8))))</f>
        <v>1.02462498443835</v>
      </c>
      <c r="E819" s="37" t="n">
        <f aca="false">1+IF($G$9=$E$9,$F$9,IF(S819&lt;($F$9-$E$9)/($G$9-$E$9),$E$9+SQRT(S819*($G$9-$E$9)*($F$9-$E$9)),$G$9-SQRT((1-S819)*($G$9-$E$9)*($G$9-$F$9))))</f>
        <v>1.02413717309579</v>
      </c>
      <c r="F819" s="37" t="n">
        <f aca="false">1+IF($G$10=$E$10,$F$10,IF(T819&lt;($F$10-$E$10)/($G$10-$E$10),$E$10+SQRT(T819*($G$10-$E$10)*($F$10-$E$10)),$G$10-SQRT((1-T819)*($G$10-$E$10)*($G$10-$F$10))))</f>
        <v>1.13320120911917</v>
      </c>
      <c r="G819" s="38" t="n">
        <f aca="false">IF($G$11=$E$11,$F$11,IF(U819&lt;($F$11-$E$11)/($G$11-$E$11),$E$11+SQRT(U819*($G$11-$E$11)*($F$11-$E$11)),$G$11-SQRT((1-U819)*($G$11-$E$11)*($G$11-$F$11))))</f>
        <v>0.0986249519893578</v>
      </c>
      <c r="H819" s="39" t="n">
        <f aca="false">(('Business Case'!B11*$C819*'Business Case'!B12*$B819)-'Business Case'!B11*$C819*'Business Case'!B13*$D819-'Business Case'!B14*$E819)-MAX(0,(('Business Case'!B11*$C819*'Business Case'!B12*$B819)-'Business Case'!B11*$C819*'Business Case'!B13*$D819-'Business Case'!B14*$E819))*'Business Case'!$B$7-'Business Case'!$B$8*('Business Case'!B11*$C819*'Business Case'!B12*$B819)-'Business Case'!B15*$F819</f>
        <v>-2266402418.23834</v>
      </c>
      <c r="I819" s="39" t="n">
        <f aca="false">(('Business Case'!C11*$C819*'Business Case'!C12*$B819)-'Business Case'!C11*$C819*'Business Case'!C13*$D819-'Business Case'!C14*$E819)-MAX(0,(('Business Case'!C11*$C819*'Business Case'!C12*$B819)-'Business Case'!C11*$C819*'Business Case'!C13*$D819-'Business Case'!C14*$E819))*'Business Case'!$B$7-'Business Case'!$B$8*(('Business Case'!C11*$C819*'Business Case'!C12*$B819)-('Business Case'!B11*$C819*'Business Case'!B12*$B819))-'Business Case'!C15*$F819</f>
        <v>-27685715.494897</v>
      </c>
      <c r="J819" s="39" t="n">
        <f aca="false">(('Business Case'!D11*$C819*'Business Case'!D12*$B819)-'Business Case'!D11*$C819*'Business Case'!D13*$D819-'Business Case'!D14*$E819)-MAX(0,(('Business Case'!D11*$C819*'Business Case'!D12*$B819)-'Business Case'!D11*$C819*'Business Case'!D13*$D819-'Business Case'!D14*$E819))*'Business Case'!$B$7-'Business Case'!$B$8*(('Business Case'!D11*$C819*'Business Case'!D12*$B819)-('Business Case'!C11*$C819*'Business Case'!C12*$B819))-'Business Case'!D15*$F819</f>
        <v>254364445.572188</v>
      </c>
      <c r="K819" s="39" t="n">
        <f aca="false">(('Business Case'!E11*$C819*'Business Case'!E12*$B819)-'Business Case'!E11*$C819*'Business Case'!E13*$D819-'Business Case'!E14*$E819)-MAX(0,(('Business Case'!E11*$C819*'Business Case'!E12*$B819)-'Business Case'!E11*$C819*'Business Case'!E13*$D819-'Business Case'!E14*$E819))*'Business Case'!$B$7-'Business Case'!$B$8*(('Business Case'!E11*$C819*'Business Case'!E12*$B819)-('Business Case'!D11*$C819*'Business Case'!D12*$B819))-'Business Case'!E15*$F819</f>
        <v>593074667.095231</v>
      </c>
      <c r="L819" s="39" t="n">
        <f aca="false">(('Business Case'!F11*$C819*'Business Case'!F12*$B819)-'Business Case'!F11*$C819*'Business Case'!F13*$D819-'Business Case'!F14*$E819)-MAX(0,(('Business Case'!F11*$C819*'Business Case'!F12*$B819)-'Business Case'!F11*$C819*'Business Case'!F13*$D819-'Business Case'!F14*$E819))*'Business Case'!$B$7-'Business Case'!$B$8*(('Business Case'!F11*$C819*'Business Case'!F12*$B819)-('Business Case'!E11*$C819*'Business Case'!E12*$B819))-'Business Case'!F15*$F819</f>
        <v>720947020.541488</v>
      </c>
      <c r="M819" s="39" t="n">
        <f aca="false">(('Business Case'!G11*$C819*'Business Case'!G12*$B819)-'Business Case'!G11*$C819*'Business Case'!G13*$D819-'Business Case'!G14*$E819)-MAX(0,(('Business Case'!G11*$C819*'Business Case'!G12*$B819)-'Business Case'!G11*$C819*'Business Case'!G13*$D819-'Business Case'!G14*$E819))*'Business Case'!$B$7-'Business Case'!$B$8*(('Business Case'!G11*$C819*'Business Case'!G12*$B819)-('Business Case'!F11*$C819*'Business Case'!F12*$B819))-'Business Case'!G15*$F819+'Business Case'!$B$8*('Business Case'!G11*$C819*'Business Case'!G12*$B819)</f>
        <v>907153002.539581</v>
      </c>
      <c r="N819" s="39" t="n">
        <f aca="false">IF(COUNT('Business Case'!B11:G11)=0,"",H819+NPV(G819,I819:M819))</f>
        <v>-571905837.134446</v>
      </c>
      <c r="P819" s="40" t="n">
        <f aca="true">RAND()</f>
        <v>0.474918203047451</v>
      </c>
      <c r="Q819" s="40" t="n">
        <f aca="true">RAND()</f>
        <v>0.526613190568534</v>
      </c>
      <c r="R819" s="40" t="n">
        <f aca="true">RAND()</f>
        <v>0.705154581879535</v>
      </c>
      <c r="S819" s="40" t="n">
        <f aca="true">RAND()</f>
        <v>0.616322099606787</v>
      </c>
      <c r="T819" s="40" t="n">
        <f aca="true">RAND()</f>
        <v>0.910758430737177</v>
      </c>
      <c r="U819" s="40" t="n">
        <f aca="true">RAND()</f>
        <v>0.247965989395754</v>
      </c>
    </row>
    <row r="820" customFormat="false" ht="15" hidden="false" customHeight="false" outlineLevel="0" collapsed="false">
      <c r="A820" s="36" t="n">
        <v>740</v>
      </c>
      <c r="B820" s="37" t="n">
        <f aca="false">1+IF($G$6=$E$6,$F$6,IF(P820&lt;($F$6-$E$6)/($G$6-$E$6),$E$6+SQRT(P820*($G$6-$E$6)*($F$6-$E$6)),$G$6-SQRT((1-P820)*($G$6-$E$6)*($G$6-$F$6))))</f>
        <v>1.01073040281434</v>
      </c>
      <c r="C820" s="37" t="n">
        <f aca="false">1+IF($G$7=$E$7,$F$7,IF(Q820&lt;($F$7-$E$7)/($G$7-$E$7),$E$7+SQRT(Q820*($G$7-$E$7)*($F$7-$E$7)),$G$7-SQRT((1-Q820)*($G$7-$E$7)*($G$7-$F$7))))</f>
        <v>0.907237226373892</v>
      </c>
      <c r="D820" s="37" t="n">
        <f aca="false">1+IF($G$8=$E$8,$F$8,IF(R820&lt;($F$8-$E$8)/($G$8-$E$8),$E$8+SQRT(R820*($G$8-$E$8)*($F$8-$E$8)),$G$8-SQRT((1-R820)*($G$8-$E$8)*($G$8-$F$8))))</f>
        <v>1.01544627529814</v>
      </c>
      <c r="E820" s="37" t="n">
        <f aca="false">1+IF($G$9=$E$9,$F$9,IF(S820&lt;($F$9-$E$9)/($G$9-$E$9),$E$9+SQRT(S820*($G$9-$E$9)*($F$9-$E$9)),$G$9-SQRT((1-S820)*($G$9-$E$9)*($G$9-$F$9))))</f>
        <v>1.01828319298715</v>
      </c>
      <c r="F820" s="37" t="n">
        <f aca="false">1+IF($G$10=$E$10,$F$10,IF(T820&lt;($F$10-$E$10)/($G$10-$E$10),$E$10+SQRT(T820*($G$10-$E$10)*($F$10-$E$10)),$G$10-SQRT((1-T820)*($G$10-$E$10)*($G$10-$F$10))))</f>
        <v>1.08934701742265</v>
      </c>
      <c r="G820" s="38" t="n">
        <f aca="false">IF($G$11=$E$11,$F$11,IF(U820&lt;($F$11-$E$11)/($G$11-$E$11),$E$11+SQRT(U820*($G$11-$E$11)*($F$11-$E$11)),$G$11-SQRT((1-U820)*($G$11-$E$11)*($G$11-$F$11))))</f>
        <v>0.109861858664764</v>
      </c>
      <c r="H820" s="39" t="n">
        <f aca="false">(('Business Case'!B11*$C820*'Business Case'!B12*$B820)-'Business Case'!B11*$C820*'Business Case'!B13*$D820-'Business Case'!B14*$E820)-MAX(0,(('Business Case'!B11*$C820*'Business Case'!B12*$B820)-'Business Case'!B11*$C820*'Business Case'!B13*$D820-'Business Case'!B14*$E820))*'Business Case'!$B$7-'Business Case'!$B$8*('Business Case'!B11*$C820*'Business Case'!B12*$B820)-'Business Case'!B15*$F820</f>
        <v>-2178694034.8453</v>
      </c>
      <c r="I820" s="39" t="n">
        <f aca="false">(('Business Case'!C11*$C820*'Business Case'!C12*$B820)-'Business Case'!C11*$C820*'Business Case'!C13*$D820-'Business Case'!C14*$E820)-MAX(0,(('Business Case'!C11*$C820*'Business Case'!C12*$B820)-'Business Case'!C11*$C820*'Business Case'!C13*$D820-'Business Case'!C14*$E820))*'Business Case'!$B$7-'Business Case'!$B$8*(('Business Case'!C11*$C820*'Business Case'!C12*$B820)-('Business Case'!B11*$C820*'Business Case'!B12*$B820))-'Business Case'!C15*$F820</f>
        <v>-21810759.6360536</v>
      </c>
      <c r="J820" s="39" t="n">
        <f aca="false">(('Business Case'!D11*$C820*'Business Case'!D12*$B820)-'Business Case'!D11*$C820*'Business Case'!D13*$D820-'Business Case'!D14*$E820)-MAX(0,(('Business Case'!D11*$C820*'Business Case'!D12*$B820)-'Business Case'!D11*$C820*'Business Case'!D13*$D820-'Business Case'!D14*$E820))*'Business Case'!$B$7-'Business Case'!$B$8*(('Business Case'!D11*$C820*'Business Case'!D12*$B820)-('Business Case'!C11*$C820*'Business Case'!C12*$B820))-'Business Case'!D15*$F820</f>
        <v>257648893.810944</v>
      </c>
      <c r="K820" s="39" t="n">
        <f aca="false">(('Business Case'!E11*$C820*'Business Case'!E12*$B820)-'Business Case'!E11*$C820*'Business Case'!E13*$D820-'Business Case'!E14*$E820)-MAX(0,(('Business Case'!E11*$C820*'Business Case'!E12*$B820)-'Business Case'!E11*$C820*'Business Case'!E13*$D820-'Business Case'!E14*$E820))*'Business Case'!$B$7-'Business Case'!$B$8*(('Business Case'!E11*$C820*'Business Case'!E12*$B820)-('Business Case'!D11*$C820*'Business Case'!D12*$B820))-'Business Case'!E15*$F820</f>
        <v>591575898.129074</v>
      </c>
      <c r="L820" s="39" t="n">
        <f aca="false">(('Business Case'!F11*$C820*'Business Case'!F12*$B820)-'Business Case'!F11*$C820*'Business Case'!F13*$D820-'Business Case'!F14*$E820)-MAX(0,(('Business Case'!F11*$C820*'Business Case'!F12*$B820)-'Business Case'!F11*$C820*'Business Case'!F13*$D820-'Business Case'!F14*$E820))*'Business Case'!$B$7-'Business Case'!$B$8*(('Business Case'!F11*$C820*'Business Case'!F12*$B820)-('Business Case'!E11*$C820*'Business Case'!E12*$B820))-'Business Case'!F15*$F820</f>
        <v>716419676.810082</v>
      </c>
      <c r="M820" s="39" t="n">
        <f aca="false">(('Business Case'!G11*$C820*'Business Case'!G12*$B820)-'Business Case'!G11*$C820*'Business Case'!G13*$D820-'Business Case'!G14*$E820)-MAX(0,(('Business Case'!G11*$C820*'Business Case'!G12*$B820)-'Business Case'!G11*$C820*'Business Case'!G13*$D820-'Business Case'!G14*$E820))*'Business Case'!$B$7-'Business Case'!$B$8*(('Business Case'!G11*$C820*'Business Case'!G12*$B820)-('Business Case'!F11*$C820*'Business Case'!F12*$B820))-'Business Case'!G15*$F820+'Business Case'!$B$8*('Business Case'!G11*$C820*'Business Case'!G12*$B820)</f>
        <v>890717761.569462</v>
      </c>
      <c r="N820" s="39" t="n">
        <f aca="false">IF(COUNT('Business Case'!B11:G11)=0,"",H820+NPV(G820,I820:M820))</f>
        <v>-555373878.579037</v>
      </c>
      <c r="P820" s="40" t="n">
        <f aca="true">RAND()</f>
        <v>0.821518891789414</v>
      </c>
      <c r="Q820" s="40" t="n">
        <f aca="true">RAND()</f>
        <v>0.164283181719504</v>
      </c>
      <c r="R820" s="40" t="n">
        <f aca="true">RAND()</f>
        <v>0.599309291068892</v>
      </c>
      <c r="S820" s="40" t="n">
        <f aca="true">RAND()</f>
        <v>0.554824230108343</v>
      </c>
      <c r="T820" s="40" t="n">
        <f aca="true">RAND()</f>
        <v>0.755118348934743</v>
      </c>
      <c r="U820" s="40" t="n">
        <f aca="true">RAND()</f>
        <v>0.828696817111284</v>
      </c>
    </row>
    <row r="821" customFormat="false" ht="15" hidden="false" customHeight="false" outlineLevel="0" collapsed="false">
      <c r="A821" s="36" t="n">
        <v>741</v>
      </c>
      <c r="B821" s="37" t="n">
        <f aca="false">1+IF($G$6=$E$6,$F$6,IF(P821&lt;($F$6-$E$6)/($G$6-$E$6),$E$6+SQRT(P821*($G$6-$E$6)*($F$6-$E$6)),$G$6-SQRT((1-P821)*($G$6-$E$6)*($G$6-$F$6))))</f>
        <v>0.982696397734099</v>
      </c>
      <c r="C821" s="37" t="n">
        <f aca="false">1+IF($G$7=$E$7,$F$7,IF(Q821&lt;($F$7-$E$7)/($G$7-$E$7),$E$7+SQRT(Q821*($G$7-$E$7)*($F$7-$E$7)),$G$7-SQRT((1-Q821)*($G$7-$E$7)*($G$7-$F$7))))</f>
        <v>1.02713137337643</v>
      </c>
      <c r="D821" s="37" t="n">
        <f aca="false">1+IF($G$8=$E$8,$F$8,IF(R821&lt;($F$8-$E$8)/($G$8-$E$8),$E$8+SQRT(R821*($G$8-$E$8)*($F$8-$E$8)),$G$8-SQRT((1-R821)*($G$8-$E$8)*($G$8-$F$8))))</f>
        <v>0.998469569763831</v>
      </c>
      <c r="E821" s="37" t="n">
        <f aca="false">1+IF($G$9=$E$9,$F$9,IF(S821&lt;($F$9-$E$9)/($G$9-$E$9),$E$9+SQRT(S821*($G$9-$E$9)*($F$9-$E$9)),$G$9-SQRT((1-S821)*($G$9-$E$9)*($G$9-$F$9))))</f>
        <v>1.04513199644144</v>
      </c>
      <c r="F821" s="37" t="n">
        <f aca="false">1+IF($G$10=$E$10,$F$10,IF(T821&lt;($F$10-$E$10)/($G$10-$E$10),$E$10+SQRT(T821*($G$10-$E$10)*($F$10-$E$10)),$G$10-SQRT((1-T821)*($G$10-$E$10)*($G$10-$F$10))))</f>
        <v>1.01157178829024</v>
      </c>
      <c r="G821" s="38" t="n">
        <f aca="false">IF($G$11=$E$11,$F$11,IF(U821&lt;($F$11-$E$11)/($G$11-$E$11),$E$11+SQRT(U821*($G$11-$E$11)*($F$11-$E$11)),$G$11-SQRT((1-U821)*($G$11-$E$11)*($G$11-$F$11))))</f>
        <v>0.108701618696445</v>
      </c>
      <c r="H821" s="39" t="n">
        <f aca="false">(('Business Case'!B11*$C821*'Business Case'!B12*$B821)-'Business Case'!B11*$C821*'Business Case'!B13*$D821-'Business Case'!B14*$E821)-MAX(0,(('Business Case'!B11*$C821*'Business Case'!B12*$B821)-'Business Case'!B11*$C821*'Business Case'!B13*$D821-'Business Case'!B14*$E821))*'Business Case'!$B$7-'Business Case'!$B$8*('Business Case'!B11*$C821*'Business Case'!B12*$B821)-'Business Case'!B15*$F821</f>
        <v>-2023143576.58049</v>
      </c>
      <c r="I821" s="39" t="n">
        <f aca="false">(('Business Case'!C11*$C821*'Business Case'!C12*$B821)-'Business Case'!C11*$C821*'Business Case'!C13*$D821-'Business Case'!C14*$E821)-MAX(0,(('Business Case'!C11*$C821*'Business Case'!C12*$B821)-'Business Case'!C11*$C821*'Business Case'!C13*$D821-'Business Case'!C14*$E821))*'Business Case'!$B$7-'Business Case'!$B$8*(('Business Case'!C11*$C821*'Business Case'!C12*$B821)-('Business Case'!B11*$C821*'Business Case'!B12*$B821))-'Business Case'!C15*$F821</f>
        <v>-367339.549252346</v>
      </c>
      <c r="J821" s="39" t="n">
        <f aca="false">(('Business Case'!D11*$C821*'Business Case'!D12*$B821)-'Business Case'!D11*$C821*'Business Case'!D13*$D821-'Business Case'!D14*$E821)-MAX(0,(('Business Case'!D11*$C821*'Business Case'!D12*$B821)-'Business Case'!D11*$C821*'Business Case'!D13*$D821-'Business Case'!D14*$E821))*'Business Case'!$B$7-'Business Case'!$B$8*(('Business Case'!D11*$C821*'Business Case'!D12*$B821)-('Business Case'!C11*$C821*'Business Case'!C12*$B821))-'Business Case'!D15*$F821</f>
        <v>301365403.928462</v>
      </c>
      <c r="K821" s="39" t="n">
        <f aca="false">(('Business Case'!E11*$C821*'Business Case'!E12*$B821)-'Business Case'!E11*$C821*'Business Case'!E13*$D821-'Business Case'!E14*$E821)-MAX(0,(('Business Case'!E11*$C821*'Business Case'!E12*$B821)-'Business Case'!E11*$C821*'Business Case'!E13*$D821-'Business Case'!E14*$E821))*'Business Case'!$B$7-'Business Case'!$B$8*(('Business Case'!E11*$C821*'Business Case'!E12*$B821)-('Business Case'!D11*$C821*'Business Case'!D12*$B821))-'Business Case'!E15*$F821</f>
        <v>653676736.820688</v>
      </c>
      <c r="L821" s="39" t="n">
        <f aca="false">(('Business Case'!F11*$C821*'Business Case'!F12*$B821)-'Business Case'!F11*$C821*'Business Case'!F13*$D821-'Business Case'!F14*$E821)-MAX(0,(('Business Case'!F11*$C821*'Business Case'!F12*$B821)-'Business Case'!F11*$C821*'Business Case'!F13*$D821-'Business Case'!F14*$E821))*'Business Case'!$B$7-'Business Case'!$B$8*(('Business Case'!F11*$C821*'Business Case'!F12*$B821)-('Business Case'!E11*$C821*'Business Case'!E12*$B821))-'Business Case'!F15*$F821</f>
        <v>789137740.849239</v>
      </c>
      <c r="M821" s="39" t="n">
        <f aca="false">(('Business Case'!G11*$C821*'Business Case'!G12*$B821)-'Business Case'!G11*$C821*'Business Case'!G13*$D821-'Business Case'!G14*$E821)-MAX(0,(('Business Case'!G11*$C821*'Business Case'!G12*$B821)-'Business Case'!G11*$C821*'Business Case'!G13*$D821-'Business Case'!G14*$E821))*'Business Case'!$B$7-'Business Case'!$B$8*(('Business Case'!G11*$C821*'Business Case'!G12*$B821)-('Business Case'!F11*$C821*'Business Case'!F12*$B821))-'Business Case'!G15*$F821+'Business Case'!$B$8*('Business Case'!G11*$C821*'Business Case'!G12*$B821)</f>
        <v>980996566.63046</v>
      </c>
      <c r="N821" s="39" t="n">
        <f aca="false">IF(COUNT('Business Case'!B11:G11)=0,"",H821+NPV(G821,I821:M821))</f>
        <v>-190803412.255087</v>
      </c>
      <c r="P821" s="40" t="n">
        <f aca="true">RAND()</f>
        <v>0.409462321753368</v>
      </c>
      <c r="Q821" s="40" t="n">
        <f aca="true">RAND()</f>
        <v>0.712443820793099</v>
      </c>
      <c r="R821" s="40" t="n">
        <f aca="true">RAND()</f>
        <v>0.361430645090903</v>
      </c>
      <c r="S821" s="40" t="n">
        <f aca="true">RAND()</f>
        <v>0.799300145699835</v>
      </c>
      <c r="T821" s="40" t="n">
        <f aca="true">RAND()</f>
        <v>0.289896180637269</v>
      </c>
      <c r="U821" s="40" t="n">
        <f aca="true">RAND()</f>
        <v>0.787244299865804</v>
      </c>
    </row>
    <row r="822" customFormat="false" ht="15" hidden="false" customHeight="false" outlineLevel="0" collapsed="false">
      <c r="A822" s="36" t="n">
        <v>742</v>
      </c>
      <c r="B822" s="37" t="n">
        <f aca="false">1+IF($G$6=$E$6,$F$6,IF(P822&lt;($F$6-$E$6)/($G$6-$E$6),$E$6+SQRT(P822*($G$6-$E$6)*($F$6-$E$6)),$G$6-SQRT((1-P822)*($G$6-$E$6)*($G$6-$F$6))))</f>
        <v>0.989524630091027</v>
      </c>
      <c r="C822" s="37" t="n">
        <f aca="false">1+IF($G$7=$E$7,$F$7,IF(Q822&lt;($F$7-$E$7)/($G$7-$E$7),$E$7+SQRT(Q822*($G$7-$E$7)*($F$7-$E$7)),$G$7-SQRT((1-Q822)*($G$7-$E$7)*($G$7-$F$7))))</f>
        <v>0.897506782748586</v>
      </c>
      <c r="D822" s="37" t="n">
        <f aca="false">1+IF($G$8=$E$8,$F$8,IF(R822&lt;($F$8-$E$8)/($G$8-$E$8),$E$8+SQRT(R822*($G$8-$E$8)*($F$8-$E$8)),$G$8-SQRT((1-R822)*($G$8-$E$8)*($G$8-$F$8))))</f>
        <v>0.966568384257167</v>
      </c>
      <c r="E822" s="37" t="n">
        <f aca="false">1+IF($G$9=$E$9,$F$9,IF(S822&lt;($F$9-$E$9)/($G$9-$E$9),$E$9+SQRT(S822*($G$9-$E$9)*($F$9-$E$9)),$G$9-SQRT((1-S822)*($G$9-$E$9)*($G$9-$F$9))))</f>
        <v>1.00586584968415</v>
      </c>
      <c r="F822" s="37" t="n">
        <f aca="false">1+IF($G$10=$E$10,$F$10,IF(T822&lt;($F$10-$E$10)/($G$10-$E$10),$E$10+SQRT(T822*($G$10-$E$10)*($F$10-$E$10)),$G$10-SQRT((1-T822)*($G$10-$E$10)*($G$10-$F$10))))</f>
        <v>1.00344394239344</v>
      </c>
      <c r="G822" s="38" t="n">
        <f aca="false">IF($G$11=$E$11,$F$11,IF(U822&lt;($F$11-$E$11)/($G$11-$E$11),$E$11+SQRT(U822*($G$11-$E$11)*($F$11-$E$11)),$G$11-SQRT((1-U822)*($G$11-$E$11)*($G$11-$F$11))))</f>
        <v>0.101019660277141</v>
      </c>
      <c r="H822" s="39" t="n">
        <f aca="false">(('Business Case'!B11*$C822*'Business Case'!B12*$B822)-'Business Case'!B11*$C822*'Business Case'!B13*$D822-'Business Case'!B14*$E822)-MAX(0,(('Business Case'!B11*$C822*'Business Case'!B12*$B822)-'Business Case'!B11*$C822*'Business Case'!B13*$D822-'Business Case'!B14*$E822))*'Business Case'!$B$7-'Business Case'!$B$8*('Business Case'!B11*$C822*'Business Case'!B12*$B822)-'Business Case'!B15*$F822</f>
        <v>-2006887884.78687</v>
      </c>
      <c r="I822" s="39" t="n">
        <f aca="false">(('Business Case'!C11*$C822*'Business Case'!C12*$B822)-'Business Case'!C11*$C822*'Business Case'!C13*$D822-'Business Case'!C14*$E822)-MAX(0,(('Business Case'!C11*$C822*'Business Case'!C12*$B822)-'Business Case'!C11*$C822*'Business Case'!C13*$D822-'Business Case'!C14*$E822))*'Business Case'!$B$7-'Business Case'!$B$8*(('Business Case'!C11*$C822*'Business Case'!C12*$B822)-('Business Case'!B11*$C822*'Business Case'!B12*$B822))-'Business Case'!C15*$F822</f>
        <v>-6087351.61020623</v>
      </c>
      <c r="J822" s="39" t="n">
        <f aca="false">(('Business Case'!D11*$C822*'Business Case'!D12*$B822)-'Business Case'!D11*$C822*'Business Case'!D13*$D822-'Business Case'!D14*$E822)-MAX(0,(('Business Case'!D11*$C822*'Business Case'!D12*$B822)-'Business Case'!D11*$C822*'Business Case'!D13*$D822-'Business Case'!D14*$E822))*'Business Case'!$B$7-'Business Case'!$B$8*(('Business Case'!D11*$C822*'Business Case'!D12*$B822)-('Business Case'!C11*$C822*'Business Case'!C12*$B822))-'Business Case'!D15*$F822</f>
        <v>277243181.527845</v>
      </c>
      <c r="K822" s="39" t="n">
        <f aca="false">(('Business Case'!E11*$C822*'Business Case'!E12*$B822)-'Business Case'!E11*$C822*'Business Case'!E13*$D822-'Business Case'!E14*$E822)-MAX(0,(('Business Case'!E11*$C822*'Business Case'!E12*$B822)-'Business Case'!E11*$C822*'Business Case'!E13*$D822-'Business Case'!E14*$E822))*'Business Case'!$B$7-'Business Case'!$B$8*(('Business Case'!E11*$C822*'Business Case'!E12*$B822)-('Business Case'!D11*$C822*'Business Case'!D12*$B822))-'Business Case'!E15*$F822</f>
        <v>610745911.785569</v>
      </c>
      <c r="L822" s="39" t="n">
        <f aca="false">(('Business Case'!F11*$C822*'Business Case'!F12*$B822)-'Business Case'!F11*$C822*'Business Case'!F13*$D822-'Business Case'!F14*$E822)-MAX(0,(('Business Case'!F11*$C822*'Business Case'!F12*$B822)-'Business Case'!F11*$C822*'Business Case'!F13*$D822-'Business Case'!F14*$E822))*'Business Case'!$B$7-'Business Case'!$B$8*(('Business Case'!F11*$C822*'Business Case'!F12*$B822)-('Business Case'!E11*$C822*'Business Case'!E12*$B822))-'Business Case'!F15*$F822</f>
        <v>735882333.954138</v>
      </c>
      <c r="M822" s="39" t="n">
        <f aca="false">(('Business Case'!G11*$C822*'Business Case'!G12*$B822)-'Business Case'!G11*$C822*'Business Case'!G13*$D822-'Business Case'!G14*$E822)-MAX(0,(('Business Case'!G11*$C822*'Business Case'!G12*$B822)-'Business Case'!G11*$C822*'Business Case'!G13*$D822-'Business Case'!G14*$E822))*'Business Case'!$B$7-'Business Case'!$B$8*(('Business Case'!G11*$C822*'Business Case'!G12*$B822)-('Business Case'!F11*$C822*'Business Case'!F12*$B822))-'Business Case'!G15*$F822+'Business Case'!$B$8*('Business Case'!G11*$C822*'Business Case'!G12*$B822)</f>
        <v>904693345.128176</v>
      </c>
      <c r="N822" s="39" t="n">
        <f aca="false">IF(COUNT('Business Case'!B11:G11)=0,"",H822+NPV(G822,I822:M822))</f>
        <v>-266220307.772571</v>
      </c>
      <c r="P822" s="40" t="n">
        <f aca="true">RAND()</f>
        <v>0.503507728051478</v>
      </c>
      <c r="Q822" s="40" t="n">
        <f aca="true">RAND()</f>
        <v>0.135822466885427</v>
      </c>
      <c r="R822" s="40" t="n">
        <f aca="true">RAND()</f>
        <v>0.0422325164450964</v>
      </c>
      <c r="S822" s="40" t="n">
        <f aca="true">RAND()</f>
        <v>0.409250782954148</v>
      </c>
      <c r="T822" s="40" t="n">
        <f aca="true">RAND()</f>
        <v>0.227314324363307</v>
      </c>
      <c r="U822" s="40" t="n">
        <f aca="true">RAND()</f>
        <v>0.399577840008106</v>
      </c>
    </row>
    <row r="823" customFormat="false" ht="15" hidden="false" customHeight="false" outlineLevel="0" collapsed="false">
      <c r="A823" s="36" t="n">
        <v>743</v>
      </c>
      <c r="B823" s="37" t="n">
        <f aca="false">1+IF($G$6=$E$6,$F$6,IF(P823&lt;($F$6-$E$6)/($G$6-$E$6),$E$6+SQRT(P823*($G$6-$E$6)*($F$6-$E$6)),$G$6-SQRT((1-P823)*($G$6-$E$6)*($G$6-$F$6))))</f>
        <v>0.993040024542136</v>
      </c>
      <c r="C823" s="37" t="n">
        <f aca="false">1+IF($G$7=$E$7,$F$7,IF(Q823&lt;($F$7-$E$7)/($G$7-$E$7),$E$7+SQRT(Q823*($G$7-$E$7)*($F$7-$E$7)),$G$7-SQRT((1-Q823)*($G$7-$E$7)*($G$7-$F$7))))</f>
        <v>1.06719684238728</v>
      </c>
      <c r="D823" s="37" t="n">
        <f aca="false">1+IF($G$8=$E$8,$F$8,IF(R823&lt;($F$8-$E$8)/($G$8-$E$8),$E$8+SQRT(R823*($G$8-$E$8)*($F$8-$E$8)),$G$8-SQRT((1-R823)*($G$8-$E$8)*($G$8-$F$8))))</f>
        <v>1.02264879276466</v>
      </c>
      <c r="E823" s="37" t="n">
        <f aca="false">1+IF($G$9=$E$9,$F$9,IF(S823&lt;($F$9-$E$9)/($G$9-$E$9),$E$9+SQRT(S823*($G$9-$E$9)*($F$9-$E$9)),$G$9-SQRT((1-S823)*($G$9-$E$9)*($G$9-$F$9))))</f>
        <v>1.00753742680682</v>
      </c>
      <c r="F823" s="37" t="n">
        <f aca="false">1+IF($G$10=$E$10,$F$10,IF(T823&lt;($F$10-$E$10)/($G$10-$E$10),$E$10+SQRT(T823*($G$10-$E$10)*($F$10-$E$10)),$G$10-SQRT((1-T823)*($G$10-$E$10)*($G$10-$F$10))))</f>
        <v>0.968406301399361</v>
      </c>
      <c r="G823" s="38" t="n">
        <f aca="false">IF($G$11=$E$11,$F$11,IF(U823&lt;($F$11-$E$11)/($G$11-$E$11),$E$11+SQRT(U823*($G$11-$E$11)*($F$11-$E$11)),$G$11-SQRT((1-U823)*($G$11-$E$11)*($G$11-$F$11))))</f>
        <v>0.0979673503820991</v>
      </c>
      <c r="H823" s="39" t="n">
        <f aca="false">(('Business Case'!B11*$C823*'Business Case'!B12*$B823)-'Business Case'!B11*$C823*'Business Case'!B13*$D823-'Business Case'!B14*$E823)-MAX(0,(('Business Case'!B11*$C823*'Business Case'!B12*$B823)-'Business Case'!B11*$C823*'Business Case'!B13*$D823-'Business Case'!B14*$E823))*'Business Case'!$B$7-'Business Case'!$B$8*('Business Case'!B11*$C823*'Business Case'!B12*$B823)-'Business Case'!B15*$F823</f>
        <v>-1936812602.79872</v>
      </c>
      <c r="I823" s="39" t="n">
        <f aca="false">(('Business Case'!C11*$C823*'Business Case'!C12*$B823)-'Business Case'!C11*$C823*'Business Case'!C13*$D823-'Business Case'!C14*$E823)-MAX(0,(('Business Case'!C11*$C823*'Business Case'!C12*$B823)-'Business Case'!C11*$C823*'Business Case'!C13*$D823-'Business Case'!C14*$E823))*'Business Case'!$B$7-'Business Case'!$B$8*(('Business Case'!C11*$C823*'Business Case'!C12*$B823)-('Business Case'!B11*$C823*'Business Case'!B12*$B823))-'Business Case'!C15*$F823</f>
        <v>14283491.5697471</v>
      </c>
      <c r="J823" s="39" t="n">
        <f aca="false">(('Business Case'!D11*$C823*'Business Case'!D12*$B823)-'Business Case'!D11*$C823*'Business Case'!D13*$D823-'Business Case'!D14*$E823)-MAX(0,(('Business Case'!D11*$C823*'Business Case'!D12*$B823)-'Business Case'!D11*$C823*'Business Case'!D13*$D823-'Business Case'!D14*$E823))*'Business Case'!$B$7-'Business Case'!$B$8*(('Business Case'!D11*$C823*'Business Case'!D12*$B823)-('Business Case'!C11*$C823*'Business Case'!C12*$B823))-'Business Case'!D15*$F823</f>
        <v>323617869.587681</v>
      </c>
      <c r="K823" s="39" t="n">
        <f aca="false">(('Business Case'!E11*$C823*'Business Case'!E12*$B823)-'Business Case'!E11*$C823*'Business Case'!E13*$D823-'Business Case'!E14*$E823)-MAX(0,(('Business Case'!E11*$C823*'Business Case'!E12*$B823)-'Business Case'!E11*$C823*'Business Case'!E13*$D823-'Business Case'!E14*$E823))*'Business Case'!$B$7-'Business Case'!$B$8*(('Business Case'!E11*$C823*'Business Case'!E12*$B823)-('Business Case'!D11*$C823*'Business Case'!D12*$B823))-'Business Case'!E15*$F823</f>
        <v>681372562.675582</v>
      </c>
      <c r="L823" s="39" t="n">
        <f aca="false">(('Business Case'!F11*$C823*'Business Case'!F12*$B823)-'Business Case'!F11*$C823*'Business Case'!F13*$D823-'Business Case'!F14*$E823)-MAX(0,(('Business Case'!F11*$C823*'Business Case'!F12*$B823)-'Business Case'!F11*$C823*'Business Case'!F13*$D823-'Business Case'!F14*$E823))*'Business Case'!$B$7-'Business Case'!$B$8*(('Business Case'!F11*$C823*'Business Case'!F12*$B823)-('Business Case'!E11*$C823*'Business Case'!E12*$B823))-'Business Case'!F15*$F823</f>
        <v>821109644.825774</v>
      </c>
      <c r="M823" s="39" t="n">
        <f aca="false">(('Business Case'!G11*$C823*'Business Case'!G12*$B823)-'Business Case'!G11*$C823*'Business Case'!G13*$D823-'Business Case'!G14*$E823)-MAX(0,(('Business Case'!G11*$C823*'Business Case'!G12*$B823)-'Business Case'!G11*$C823*'Business Case'!G13*$D823-'Business Case'!G14*$E823))*'Business Case'!$B$7-'Business Case'!$B$8*(('Business Case'!G11*$C823*'Business Case'!G12*$B823)-('Business Case'!F11*$C823*'Business Case'!F12*$B823))-'Business Case'!G15*$F823+'Business Case'!$B$8*('Business Case'!G11*$C823*'Business Case'!G12*$B823)</f>
        <v>1022550570.28561</v>
      </c>
      <c r="N823" s="39" t="n">
        <f aca="false">IF(COUNT('Business Case'!B11:G11)=0,"",H823+NPV(G823,I823:M823))</f>
        <v>65229977.9055185</v>
      </c>
      <c r="P823" s="40" t="n">
        <f aca="true">RAND()</f>
        <v>0.55571304011623</v>
      </c>
      <c r="Q823" s="40" t="n">
        <f aca="true">RAND()</f>
        <v>0.869402611225962</v>
      </c>
      <c r="R823" s="40" t="n">
        <f aca="true">RAND()</f>
        <v>0.683734521985539</v>
      </c>
      <c r="S823" s="40" t="n">
        <f aca="true">RAND()</f>
        <v>0.430044837233112</v>
      </c>
      <c r="T823" s="40" t="n">
        <f aca="true">RAND()</f>
        <v>0.0271033544963278</v>
      </c>
      <c r="U823" s="40" t="n">
        <f aca="true">RAND()</f>
        <v>0.211595573703782</v>
      </c>
    </row>
    <row r="824" customFormat="false" ht="15" hidden="false" customHeight="false" outlineLevel="0" collapsed="false">
      <c r="A824" s="36" t="n">
        <v>744</v>
      </c>
      <c r="B824" s="37" t="n">
        <f aca="false">1+IF($G$6=$E$6,$F$6,IF(P824&lt;($F$6-$E$6)/($G$6-$E$6),$E$6+SQRT(P824*($G$6-$E$6)*($F$6-$E$6)),$G$6-SQRT((1-P824)*($G$6-$E$6)*($G$6-$F$6))))</f>
        <v>1.00895848402395</v>
      </c>
      <c r="C824" s="37" t="n">
        <f aca="false">1+IF($G$7=$E$7,$F$7,IF(Q824&lt;($F$7-$E$7)/($G$7-$E$7),$E$7+SQRT(Q824*($G$7-$E$7)*($F$7-$E$7)),$G$7-SQRT((1-Q824)*($G$7-$E$7)*($G$7-$F$7))))</f>
        <v>0.990808350937374</v>
      </c>
      <c r="D824" s="37" t="n">
        <f aca="false">1+IF($G$8=$E$8,$F$8,IF(R824&lt;($F$8-$E$8)/($G$8-$E$8),$E$8+SQRT(R824*($G$8-$E$8)*($F$8-$E$8)),$G$8-SQRT((1-R824)*($G$8-$E$8)*($G$8-$F$8))))</f>
        <v>1.01993743564338</v>
      </c>
      <c r="E824" s="37" t="n">
        <f aca="false">1+IF($G$9=$E$9,$F$9,IF(S824&lt;($F$9-$E$9)/($G$9-$E$9),$E$9+SQRT(S824*($G$9-$E$9)*($F$9-$E$9)),$G$9-SQRT((1-S824)*($G$9-$E$9)*($G$9-$F$9))))</f>
        <v>1.05739820562902</v>
      </c>
      <c r="F824" s="37" t="n">
        <f aca="false">1+IF($G$10=$E$10,$F$10,IF(T824&lt;($F$10-$E$10)/($G$10-$E$10),$E$10+SQRT(T824*($G$10-$E$10)*($F$10-$E$10)),$G$10-SQRT((1-T824)*($G$10-$E$10)*($G$10-$F$10))))</f>
        <v>1.0770628656979</v>
      </c>
      <c r="G824" s="38" t="n">
        <f aca="false">IF($G$11=$E$11,$F$11,IF(U824&lt;($F$11-$E$11)/($G$11-$E$11),$E$11+SQRT(U824*($G$11-$E$11)*($F$11-$E$11)),$G$11-SQRT((1-U824)*($G$11-$E$11)*($G$11-$F$11))))</f>
        <v>0.103665898616601</v>
      </c>
      <c r="H824" s="39" t="n">
        <f aca="false">(('Business Case'!B11*$C824*'Business Case'!B12*$B824)-'Business Case'!B11*$C824*'Business Case'!B13*$D824-'Business Case'!B14*$E824)-MAX(0,(('Business Case'!B11*$C824*'Business Case'!B12*$B824)-'Business Case'!B11*$C824*'Business Case'!B13*$D824-'Business Case'!B14*$E824))*'Business Case'!$B$7-'Business Case'!$B$8*('Business Case'!B11*$C824*'Business Case'!B12*$B824)-'Business Case'!B15*$F824</f>
        <v>-2154125731.39579</v>
      </c>
      <c r="I824" s="39" t="n">
        <f aca="false">(('Business Case'!C11*$C824*'Business Case'!C12*$B824)-'Business Case'!C11*$C824*'Business Case'!C13*$D824-'Business Case'!C14*$E824)-MAX(0,(('Business Case'!C11*$C824*'Business Case'!C12*$B824)-'Business Case'!C11*$C824*'Business Case'!C13*$D824-'Business Case'!C14*$E824))*'Business Case'!$B$7-'Business Case'!$B$8*(('Business Case'!C11*$C824*'Business Case'!C12*$B824)-('Business Case'!B11*$C824*'Business Case'!B12*$B824))-'Business Case'!C15*$F824</f>
        <v>-8405549.13517559</v>
      </c>
      <c r="J824" s="39" t="n">
        <f aca="false">(('Business Case'!D11*$C824*'Business Case'!D12*$B824)-'Business Case'!D11*$C824*'Business Case'!D13*$D824-'Business Case'!D14*$E824)-MAX(0,(('Business Case'!D11*$C824*'Business Case'!D12*$B824)-'Business Case'!D11*$C824*'Business Case'!D13*$D824-'Business Case'!D14*$E824))*'Business Case'!$B$7-'Business Case'!$B$8*(('Business Case'!D11*$C824*'Business Case'!D12*$B824)-('Business Case'!C11*$C824*'Business Case'!C12*$B824))-'Business Case'!D15*$F824</f>
        <v>293080857.190652</v>
      </c>
      <c r="K824" s="39" t="n">
        <f aca="false">(('Business Case'!E11*$C824*'Business Case'!E12*$B824)-'Business Case'!E11*$C824*'Business Case'!E13*$D824-'Business Case'!E14*$E824)-MAX(0,(('Business Case'!E11*$C824*'Business Case'!E12*$B824)-'Business Case'!E11*$C824*'Business Case'!E13*$D824-'Business Case'!E14*$E824))*'Business Case'!$B$7-'Business Case'!$B$8*(('Business Case'!E11*$C824*'Business Case'!E12*$B824)-('Business Case'!D11*$C824*'Business Case'!D12*$B824))-'Business Case'!E15*$F824</f>
        <v>648420406.801374</v>
      </c>
      <c r="L824" s="39" t="n">
        <f aca="false">(('Business Case'!F11*$C824*'Business Case'!F12*$B824)-'Business Case'!F11*$C824*'Business Case'!F13*$D824-'Business Case'!F14*$E824)-MAX(0,(('Business Case'!F11*$C824*'Business Case'!F12*$B824)-'Business Case'!F11*$C824*'Business Case'!F13*$D824-'Business Case'!F14*$E824))*'Business Case'!$B$7-'Business Case'!$B$8*(('Business Case'!F11*$C824*'Business Case'!F12*$B824)-('Business Case'!E11*$C824*'Business Case'!E12*$B824))-'Business Case'!F15*$F824</f>
        <v>783464971.610494</v>
      </c>
      <c r="M824" s="39" t="n">
        <f aca="false">(('Business Case'!G11*$C824*'Business Case'!G12*$B824)-'Business Case'!G11*$C824*'Business Case'!G13*$D824-'Business Case'!G14*$E824)-MAX(0,(('Business Case'!G11*$C824*'Business Case'!G12*$B824)-'Business Case'!G11*$C824*'Business Case'!G13*$D824-'Business Case'!G14*$E824))*'Business Case'!$B$7-'Business Case'!$B$8*(('Business Case'!G11*$C824*'Business Case'!G12*$B824)-('Business Case'!F11*$C824*'Business Case'!F12*$B824))-'Business Case'!G15*$F824+'Business Case'!$B$8*('Business Case'!G11*$C824*'Business Case'!G12*$B824)</f>
        <v>973484999.79664</v>
      </c>
      <c r="N824" s="39" t="n">
        <f aca="false">IF(COUNT('Business Case'!B11:G11)=0,"",H824+NPV(G824,I824:M824))</f>
        <v>-316275006.043646</v>
      </c>
      <c r="P824" s="40" t="n">
        <f aca="true">RAND()</f>
        <v>0.799255059564267</v>
      </c>
      <c r="Q824" s="40" t="n">
        <f aca="true">RAND()</f>
        <v>0.520111811249143</v>
      </c>
      <c r="R824" s="40" t="n">
        <f aca="true">RAND()</f>
        <v>0.653123881048689</v>
      </c>
      <c r="S824" s="40" t="n">
        <f aca="true">RAND()</f>
        <v>0.879005807758187</v>
      </c>
      <c r="T824" s="40" t="n">
        <f aca="true">RAND()</f>
        <v>0.697729220191725</v>
      </c>
      <c r="U824" s="40" t="n">
        <f aca="true">RAND()</f>
        <v>0.555328553328065</v>
      </c>
    </row>
    <row r="825" customFormat="false" ht="15" hidden="false" customHeight="false" outlineLevel="0" collapsed="false">
      <c r="A825" s="36" t="n">
        <v>745</v>
      </c>
      <c r="B825" s="37" t="n">
        <f aca="false">1+IF($G$6=$E$6,$F$6,IF(P825&lt;($F$6-$E$6)/($G$6-$E$6),$E$6+SQRT(P825*($G$6-$E$6)*($F$6-$E$6)),$G$6-SQRT((1-P825)*($G$6-$E$6)*($G$6-$F$6))))</f>
        <v>0.965385817480996</v>
      </c>
      <c r="C825" s="37" t="n">
        <f aca="false">1+IF($G$7=$E$7,$F$7,IF(Q825&lt;($F$7-$E$7)/($G$7-$E$7),$E$7+SQRT(Q825*($G$7-$E$7)*($F$7-$E$7)),$G$7-SQRT((1-Q825)*($G$7-$E$7)*($G$7-$F$7))))</f>
        <v>0.9534905007271</v>
      </c>
      <c r="D825" s="37" t="n">
        <f aca="false">1+IF($G$8=$E$8,$F$8,IF(R825&lt;($F$8-$E$8)/($G$8-$E$8),$E$8+SQRT(R825*($G$8-$E$8)*($F$8-$E$8)),$G$8-SQRT((1-R825)*($G$8-$E$8)*($G$8-$F$8))))</f>
        <v>0.991886221332827</v>
      </c>
      <c r="E825" s="37" t="n">
        <f aca="false">1+IF($G$9=$E$9,$F$9,IF(S825&lt;($F$9-$E$9)/($G$9-$E$9),$E$9+SQRT(S825*($G$9-$E$9)*($F$9-$E$9)),$G$9-SQRT((1-S825)*($G$9-$E$9)*($G$9-$F$9))))</f>
        <v>1.01907970412325</v>
      </c>
      <c r="F825" s="37" t="n">
        <f aca="false">1+IF($G$10=$E$10,$F$10,IF(T825&lt;($F$10-$E$10)/($G$10-$E$10),$E$10+SQRT(T825*($G$10-$E$10)*($F$10-$E$10)),$G$10-SQRT((1-T825)*($G$10-$E$10)*($G$10-$F$10))))</f>
        <v>1.10360458881952</v>
      </c>
      <c r="G825" s="38" t="n">
        <f aca="false">IF($G$11=$E$11,$F$11,IF(U825&lt;($F$11-$E$11)/($G$11-$E$11),$E$11+SQRT(U825*($G$11-$E$11)*($F$11-$E$11)),$G$11-SQRT((1-U825)*($G$11-$E$11)*($G$11-$F$11))))</f>
        <v>0.106380907489462</v>
      </c>
      <c r="H825" s="39" t="n">
        <f aca="false">(('Business Case'!B11*$C825*'Business Case'!B12*$B825)-'Business Case'!B11*$C825*'Business Case'!B13*$D825-'Business Case'!B14*$E825)-MAX(0,(('Business Case'!B11*$C825*'Business Case'!B12*$B825)-'Business Case'!B11*$C825*'Business Case'!B13*$D825-'Business Case'!B14*$E825))*'Business Case'!$B$7-'Business Case'!$B$8*('Business Case'!B11*$C825*'Business Case'!B12*$B825)-'Business Case'!B15*$F825</f>
        <v>-2207209177.63904</v>
      </c>
      <c r="I825" s="39" t="n">
        <f aca="false">(('Business Case'!C11*$C825*'Business Case'!C12*$B825)-'Business Case'!C11*$C825*'Business Case'!C13*$D825-'Business Case'!C14*$E825)-MAX(0,(('Business Case'!C11*$C825*'Business Case'!C12*$B825)-'Business Case'!C11*$C825*'Business Case'!C13*$D825-'Business Case'!C14*$E825))*'Business Case'!$B$7-'Business Case'!$B$8*(('Business Case'!C11*$C825*'Business Case'!C12*$B825)-('Business Case'!B11*$C825*'Business Case'!B12*$B825))-'Business Case'!C15*$F825</f>
        <v>-33197553.2915925</v>
      </c>
      <c r="J825" s="39" t="n">
        <f aca="false">(('Business Case'!D11*$C825*'Business Case'!D12*$B825)-'Business Case'!D11*$C825*'Business Case'!D13*$D825-'Business Case'!D14*$E825)-MAX(0,(('Business Case'!D11*$C825*'Business Case'!D12*$B825)-'Business Case'!D11*$C825*'Business Case'!D13*$D825-'Business Case'!D14*$E825))*'Business Case'!$B$7-'Business Case'!$B$8*(('Business Case'!D11*$C825*'Business Case'!D12*$B825)-('Business Case'!C11*$C825*'Business Case'!C12*$B825))-'Business Case'!D15*$F825</f>
        <v>236596491.170301</v>
      </c>
      <c r="K825" s="39" t="n">
        <f aca="false">(('Business Case'!E11*$C825*'Business Case'!E12*$B825)-'Business Case'!E11*$C825*'Business Case'!E13*$D825-'Business Case'!E14*$E825)-MAX(0,(('Business Case'!E11*$C825*'Business Case'!E12*$B825)-'Business Case'!E11*$C825*'Business Case'!E13*$D825-'Business Case'!E14*$E825))*'Business Case'!$B$7-'Business Case'!$B$8*(('Business Case'!E11*$C825*'Business Case'!E12*$B825)-('Business Case'!D11*$C825*'Business Case'!D12*$B825))-'Business Case'!E15*$F825</f>
        <v>561570765.073171</v>
      </c>
      <c r="L825" s="39" t="n">
        <f aca="false">(('Business Case'!F11*$C825*'Business Case'!F12*$B825)-'Business Case'!F11*$C825*'Business Case'!F13*$D825-'Business Case'!F14*$E825)-MAX(0,(('Business Case'!F11*$C825*'Business Case'!F12*$B825)-'Business Case'!F11*$C825*'Business Case'!F13*$D825-'Business Case'!F14*$E825))*'Business Case'!$B$7-'Business Case'!$B$8*(('Business Case'!F11*$C825*'Business Case'!F12*$B825)-('Business Case'!E11*$C825*'Business Case'!E12*$B825))-'Business Case'!F15*$F825</f>
        <v>683314116.523942</v>
      </c>
      <c r="M825" s="39" t="n">
        <f aca="false">(('Business Case'!G11*$C825*'Business Case'!G12*$B825)-'Business Case'!G11*$C825*'Business Case'!G13*$D825-'Business Case'!G14*$E825)-MAX(0,(('Business Case'!G11*$C825*'Business Case'!G12*$B825)-'Business Case'!G11*$C825*'Business Case'!G13*$D825-'Business Case'!G14*$E825))*'Business Case'!$B$7-'Business Case'!$B$8*(('Business Case'!G11*$C825*'Business Case'!G12*$B825)-('Business Case'!F11*$C825*'Business Case'!F12*$B825))-'Business Case'!G15*$F825+'Business Case'!$B$8*('Business Case'!G11*$C825*'Business Case'!G12*$B825)</f>
        <v>858280134.656373</v>
      </c>
      <c r="N825" s="39" t="n">
        <f aca="false">IF(COUNT('Business Case'!B11:G11)=0,"",H825+NPV(G825,I825:M825))</f>
        <v>-655499428.291638</v>
      </c>
      <c r="P825" s="40" t="n">
        <f aca="true">RAND()</f>
        <v>0.214570044626905</v>
      </c>
      <c r="Q825" s="40" t="n">
        <f aca="true">RAND()</f>
        <v>0.336561911620797</v>
      </c>
      <c r="R825" s="40" t="n">
        <f aca="true">RAND()</f>
        <v>0.269916236545009</v>
      </c>
      <c r="S825" s="40" t="n">
        <f aca="true">RAND()</f>
        <v>0.563460381014598</v>
      </c>
      <c r="T825" s="40" t="n">
        <f aca="true">RAND()</f>
        <v>0.814158494066921</v>
      </c>
      <c r="U825" s="40" t="n">
        <f aca="true">RAND()</f>
        <v>0.690867198649029</v>
      </c>
    </row>
    <row r="826" customFormat="false" ht="15" hidden="false" customHeight="false" outlineLevel="0" collapsed="false">
      <c r="A826" s="36" t="n">
        <v>746</v>
      </c>
      <c r="B826" s="37" t="n">
        <f aca="false">1+IF($G$6=$E$6,$F$6,IF(P826&lt;($F$6-$E$6)/($G$6-$E$6),$E$6+SQRT(P826*($G$6-$E$6)*($F$6-$E$6)),$G$6-SQRT((1-P826)*($G$6-$E$6)*($G$6-$F$6))))</f>
        <v>1.02570952353911</v>
      </c>
      <c r="C826" s="37" t="n">
        <f aca="false">1+IF($G$7=$E$7,$F$7,IF(Q826&lt;($F$7-$E$7)/($G$7-$E$7),$E$7+SQRT(Q826*($G$7-$E$7)*($F$7-$E$7)),$G$7-SQRT((1-Q826)*($G$7-$E$7)*($G$7-$F$7))))</f>
        <v>1.0446636112494</v>
      </c>
      <c r="D826" s="37" t="n">
        <f aca="false">1+IF($G$8=$E$8,$F$8,IF(R826&lt;($F$8-$E$8)/($G$8-$E$8),$E$8+SQRT(R826*($G$8-$E$8)*($F$8-$E$8)),$G$8-SQRT((1-R826)*($G$8-$E$8)*($G$8-$F$8))))</f>
        <v>0.976462427188569</v>
      </c>
      <c r="E826" s="37" t="n">
        <f aca="false">1+IF($G$9=$E$9,$F$9,IF(S826&lt;($F$9-$E$9)/($G$9-$E$9),$E$9+SQRT(S826*($G$9-$E$9)*($F$9-$E$9)),$G$9-SQRT((1-S826)*($G$9-$E$9)*($G$9-$F$9))))</f>
        <v>0.973526642636851</v>
      </c>
      <c r="F826" s="37" t="n">
        <f aca="false">1+IF($G$10=$E$10,$F$10,IF(T826&lt;($F$10-$E$10)/($G$10-$E$10),$E$10+SQRT(T826*($G$10-$E$10)*($F$10-$E$10)),$G$10-SQRT((1-T826)*($G$10-$E$10)*($G$10-$F$10))))</f>
        <v>1.05244824669499</v>
      </c>
      <c r="G826" s="38" t="n">
        <f aca="false">IF($G$11=$E$11,$F$11,IF(U826&lt;($F$11-$E$11)/($G$11-$E$11),$E$11+SQRT(U826*($G$11-$E$11)*($F$11-$E$11)),$G$11-SQRT((1-U826)*($G$11-$E$11)*($G$11-$F$11))))</f>
        <v>0.104202492408185</v>
      </c>
      <c r="H826" s="39" t="n">
        <f aca="false">(('Business Case'!B11*$C826*'Business Case'!B12*$B826)-'Business Case'!B11*$C826*'Business Case'!B13*$D826-'Business Case'!B14*$E826)-MAX(0,(('Business Case'!B11*$C826*'Business Case'!B12*$B826)-'Business Case'!B11*$C826*'Business Case'!B13*$D826-'Business Case'!B14*$E826))*'Business Case'!$B$7-'Business Case'!$B$8*('Business Case'!B11*$C826*'Business Case'!B12*$B826)-'Business Case'!B15*$F826</f>
        <v>-2104896493.38998</v>
      </c>
      <c r="I826" s="39" t="n">
        <f aca="false">(('Business Case'!C11*$C826*'Business Case'!C12*$B826)-'Business Case'!C11*$C826*'Business Case'!C13*$D826-'Business Case'!C14*$E826)-MAX(0,(('Business Case'!C11*$C826*'Business Case'!C12*$B826)-'Business Case'!C11*$C826*'Business Case'!C13*$D826-'Business Case'!C14*$E826))*'Business Case'!$B$7-'Business Case'!$B$8*(('Business Case'!C11*$C826*'Business Case'!C12*$B826)-('Business Case'!B11*$C826*'Business Case'!B12*$B826))-'Business Case'!C15*$F826</f>
        <v>56228531.0628808</v>
      </c>
      <c r="J826" s="39" t="n">
        <f aca="false">(('Business Case'!D11*$C826*'Business Case'!D12*$B826)-'Business Case'!D11*$C826*'Business Case'!D13*$D826-'Business Case'!D14*$E826)-MAX(0,(('Business Case'!D11*$C826*'Business Case'!D12*$B826)-'Business Case'!D11*$C826*'Business Case'!D13*$D826-'Business Case'!D14*$E826))*'Business Case'!$B$7-'Business Case'!$B$8*(('Business Case'!D11*$C826*'Business Case'!D12*$B826)-('Business Case'!C11*$C826*'Business Case'!C12*$B826))-'Business Case'!D15*$F826</f>
        <v>411685045.529398</v>
      </c>
      <c r="K826" s="39" t="n">
        <f aca="false">(('Business Case'!E11*$C826*'Business Case'!E12*$B826)-'Business Case'!E11*$C826*'Business Case'!E13*$D826-'Business Case'!E14*$E826)-MAX(0,(('Business Case'!E11*$C826*'Business Case'!E12*$B826)-'Business Case'!E11*$C826*'Business Case'!E13*$D826-'Business Case'!E14*$E826))*'Business Case'!$B$7-'Business Case'!$B$8*(('Business Case'!E11*$C826*'Business Case'!E12*$B826)-('Business Case'!D11*$C826*'Business Case'!D12*$B826))-'Business Case'!E15*$F826</f>
        <v>819763972.330664</v>
      </c>
      <c r="L826" s="39" t="n">
        <f aca="false">(('Business Case'!F11*$C826*'Business Case'!F12*$B826)-'Business Case'!F11*$C826*'Business Case'!F13*$D826-'Business Case'!F14*$E826)-MAX(0,(('Business Case'!F11*$C826*'Business Case'!F12*$B826)-'Business Case'!F11*$C826*'Business Case'!F13*$D826-'Business Case'!F14*$E826))*'Business Case'!$B$7-'Business Case'!$B$8*(('Business Case'!F11*$C826*'Business Case'!F12*$B826)-('Business Case'!E11*$C826*'Business Case'!E12*$B826))-'Business Case'!F15*$F826</f>
        <v>975281257.253621</v>
      </c>
      <c r="M826" s="39" t="n">
        <f aca="false">(('Business Case'!G11*$C826*'Business Case'!G12*$B826)-'Business Case'!G11*$C826*'Business Case'!G13*$D826-'Business Case'!G14*$E826)-MAX(0,(('Business Case'!G11*$C826*'Business Case'!G12*$B826)-'Business Case'!G11*$C826*'Business Case'!G13*$D826-'Business Case'!G14*$E826))*'Business Case'!$B$7-'Business Case'!$B$8*(('Business Case'!G11*$C826*'Business Case'!G12*$B826)-('Business Case'!F11*$C826*'Business Case'!F12*$B826))-'Business Case'!G15*$F826+'Business Case'!$B$8*('Business Case'!G11*$C826*'Business Case'!G12*$B826)</f>
        <v>1178956047.80794</v>
      </c>
      <c r="N826" s="39" t="n">
        <f aca="false">IF(COUNT('Business Case'!B11:G11)=0,"",H826+NPV(G826,I826:M826))</f>
        <v>266833118.819518</v>
      </c>
      <c r="P826" s="40" t="n">
        <f aca="true">RAND()</f>
        <v>0.9574546421918</v>
      </c>
      <c r="Q826" s="40" t="n">
        <f aca="true">RAND()</f>
        <v>0.788652289618693</v>
      </c>
      <c r="R826" s="40" t="n">
        <f aca="true">RAND()</f>
        <v>0.107732315801584</v>
      </c>
      <c r="S826" s="40" t="n">
        <f aca="true">RAND()</f>
        <v>0.0738003885016126</v>
      </c>
      <c r="T826" s="40" t="n">
        <f aca="true">RAND()</f>
        <v>0.564569601932347</v>
      </c>
      <c r="U826" s="40" t="n">
        <f aca="true">RAND()</f>
        <v>0.584064589810899</v>
      </c>
    </row>
    <row r="827" customFormat="false" ht="15" hidden="false" customHeight="false" outlineLevel="0" collapsed="false">
      <c r="A827" s="36" t="n">
        <v>747</v>
      </c>
      <c r="B827" s="37" t="n">
        <f aca="false">1+IF($G$6=$E$6,$F$6,IF(P827&lt;($F$6-$E$6)/($G$6-$E$6),$E$6+SQRT(P827*($G$6-$E$6)*($F$6-$E$6)),$G$6-SQRT((1-P827)*($G$6-$E$6)*($G$6-$F$6))))</f>
        <v>0.965452939071795</v>
      </c>
      <c r="C827" s="37" t="n">
        <f aca="false">1+IF($G$7=$E$7,$F$7,IF(Q827&lt;($F$7-$E$7)/($G$7-$E$7),$E$7+SQRT(Q827*($G$7-$E$7)*($F$7-$E$7)),$G$7-SQRT((1-Q827)*($G$7-$E$7)*($G$7-$F$7))))</f>
        <v>1.00773347492298</v>
      </c>
      <c r="D827" s="37" t="n">
        <f aca="false">1+IF($G$8=$E$8,$F$8,IF(R827&lt;($F$8-$E$8)/($G$8-$E$8),$E$8+SQRT(R827*($G$8-$E$8)*($F$8-$E$8)),$G$8-SQRT((1-R827)*($G$8-$E$8)*($G$8-$F$8))))</f>
        <v>0.986403417119321</v>
      </c>
      <c r="E827" s="37" t="n">
        <f aca="false">1+IF($G$9=$E$9,$F$9,IF(S827&lt;($F$9-$E$9)/($G$9-$E$9),$E$9+SQRT(S827*($G$9-$E$9)*($F$9-$E$9)),$G$9-SQRT((1-S827)*($G$9-$E$9)*($G$9-$F$9))))</f>
        <v>0.974127990013253</v>
      </c>
      <c r="F827" s="37" t="n">
        <f aca="false">1+IF($G$10=$E$10,$F$10,IF(T827&lt;($F$10-$E$10)/($G$10-$E$10),$E$10+SQRT(T827*($G$10-$E$10)*($F$10-$E$10)),$G$10-SQRT((1-T827)*($G$10-$E$10)*($G$10-$F$10))))</f>
        <v>1.09346728440996</v>
      </c>
      <c r="G827" s="38" t="n">
        <f aca="false">IF($G$11=$E$11,$F$11,IF(U827&lt;($F$11-$E$11)/($G$11-$E$11),$E$11+SQRT(U827*($G$11-$E$11)*($F$11-$E$11)),$G$11-SQRT((1-U827)*($G$11-$E$11)*($G$11-$F$11))))</f>
        <v>0.104025605542086</v>
      </c>
      <c r="H827" s="39" t="n">
        <f aca="false">(('Business Case'!B11*$C827*'Business Case'!B12*$B827)-'Business Case'!B11*$C827*'Business Case'!B13*$D827-'Business Case'!B14*$E827)-MAX(0,(('Business Case'!B11*$C827*'Business Case'!B12*$B827)-'Business Case'!B11*$C827*'Business Case'!B13*$D827-'Business Case'!B14*$E827))*'Business Case'!$B$7-'Business Case'!$B$8*('Business Case'!B11*$C827*'Business Case'!B12*$B827)-'Business Case'!B15*$F827</f>
        <v>-2186934568.81991</v>
      </c>
      <c r="I827" s="39" t="n">
        <f aca="false">(('Business Case'!C11*$C827*'Business Case'!C12*$B827)-'Business Case'!C11*$C827*'Business Case'!C13*$D827-'Business Case'!C14*$E827)-MAX(0,(('Business Case'!C11*$C827*'Business Case'!C12*$B827)-'Business Case'!C11*$C827*'Business Case'!C13*$D827-'Business Case'!C14*$E827))*'Business Case'!$B$7-'Business Case'!$B$8*(('Business Case'!C11*$C827*'Business Case'!C12*$B827)-('Business Case'!B11*$C827*'Business Case'!B12*$B827))-'Business Case'!C15*$F827</f>
        <v>-10277680.2979577</v>
      </c>
      <c r="J827" s="39" t="n">
        <f aca="false">(('Business Case'!D11*$C827*'Business Case'!D12*$B827)-'Business Case'!D11*$C827*'Business Case'!D13*$D827-'Business Case'!D14*$E827)-MAX(0,(('Business Case'!D11*$C827*'Business Case'!D12*$B827)-'Business Case'!D11*$C827*'Business Case'!D13*$D827-'Business Case'!D14*$E827))*'Business Case'!$B$7-'Business Case'!$B$8*(('Business Case'!D11*$C827*'Business Case'!D12*$B827)-('Business Case'!C11*$C827*'Business Case'!C12*$B827))-'Business Case'!D15*$F827</f>
        <v>277748501.69434</v>
      </c>
      <c r="K827" s="39" t="n">
        <f aca="false">(('Business Case'!E11*$C827*'Business Case'!E12*$B827)-'Business Case'!E11*$C827*'Business Case'!E13*$D827-'Business Case'!E14*$E827)-MAX(0,(('Business Case'!E11*$C827*'Business Case'!E12*$B827)-'Business Case'!E11*$C827*'Business Case'!E13*$D827-'Business Case'!E14*$E827))*'Business Case'!$B$7-'Business Case'!$B$8*(('Business Case'!E11*$C827*'Business Case'!E12*$B827)-('Business Case'!D11*$C827*'Business Case'!D12*$B827))-'Business Case'!E15*$F827</f>
        <v>620448047.907136</v>
      </c>
      <c r="L827" s="39" t="n">
        <f aca="false">(('Business Case'!F11*$C827*'Business Case'!F12*$B827)-'Business Case'!F11*$C827*'Business Case'!F13*$D827-'Business Case'!F14*$E827)-MAX(0,(('Business Case'!F11*$C827*'Business Case'!F12*$B827)-'Business Case'!F11*$C827*'Business Case'!F13*$D827-'Business Case'!F14*$E827))*'Business Case'!$B$7-'Business Case'!$B$8*(('Business Case'!F11*$C827*'Business Case'!F12*$B827)-('Business Case'!E11*$C827*'Business Case'!E12*$B827))-'Business Case'!F15*$F827</f>
        <v>750080864.350819</v>
      </c>
      <c r="M827" s="39" t="n">
        <f aca="false">(('Business Case'!G11*$C827*'Business Case'!G12*$B827)-'Business Case'!G11*$C827*'Business Case'!G13*$D827-'Business Case'!G14*$E827)-MAX(0,(('Business Case'!G11*$C827*'Business Case'!G12*$B827)-'Business Case'!G11*$C827*'Business Case'!G13*$D827-'Business Case'!G14*$E827))*'Business Case'!$B$7-'Business Case'!$B$8*(('Business Case'!G11*$C827*'Business Case'!G12*$B827)-('Business Case'!F11*$C827*'Business Case'!F12*$B827))-'Business Case'!G15*$F827+'Business Case'!$B$8*('Business Case'!G11*$C827*'Business Case'!G12*$B827)</f>
        <v>935013354.471862</v>
      </c>
      <c r="N827" s="39" t="n">
        <f aca="false">IF(COUNT('Business Case'!B11:G11)=0,"",H827+NPV(G827,I827:M827))</f>
        <v>-432353497.202308</v>
      </c>
      <c r="P827" s="40" t="n">
        <f aca="true">RAND()</f>
        <v>0.215205173985865</v>
      </c>
      <c r="Q827" s="40" t="n">
        <f aca="true">RAND()</f>
        <v>0.614480682714457</v>
      </c>
      <c r="R827" s="40" t="n">
        <f aca="true">RAND()</f>
        <v>0.203878273532817</v>
      </c>
      <c r="S827" s="40" t="n">
        <f aca="true">RAND()</f>
        <v>0.0776213202772866</v>
      </c>
      <c r="T827" s="40" t="n">
        <f aca="true">RAND()</f>
        <v>0.773015610180217</v>
      </c>
      <c r="U827" s="40" t="n">
        <f aca="true">RAND()</f>
        <v>0.574697869504932</v>
      </c>
    </row>
    <row r="828" customFormat="false" ht="15" hidden="false" customHeight="false" outlineLevel="0" collapsed="false">
      <c r="A828" s="36" t="n">
        <v>748</v>
      </c>
      <c r="B828" s="37" t="n">
        <f aca="false">1+IF($G$6=$E$6,$F$6,IF(P828&lt;($F$6-$E$6)/($G$6-$E$6),$E$6+SQRT(P828*($G$6-$E$6)*($F$6-$E$6)),$G$6-SQRT((1-P828)*($G$6-$E$6)*($G$6-$F$6))))</f>
        <v>0.998796911505586</v>
      </c>
      <c r="C828" s="37" t="n">
        <f aca="false">1+IF($G$7=$E$7,$F$7,IF(Q828&lt;($F$7-$E$7)/($G$7-$E$7),$E$7+SQRT(Q828*($G$7-$E$7)*($F$7-$E$7)),$G$7-SQRT((1-Q828)*($G$7-$E$7)*($G$7-$F$7))))</f>
        <v>0.944078431409393</v>
      </c>
      <c r="D828" s="37" t="n">
        <f aca="false">1+IF($G$8=$E$8,$F$8,IF(R828&lt;($F$8-$E$8)/($G$8-$E$8),$E$8+SQRT(R828*($G$8-$E$8)*($F$8-$E$8)),$G$8-SQRT((1-R828)*($G$8-$E$8)*($G$8-$F$8))))</f>
        <v>0.958116460818613</v>
      </c>
      <c r="E828" s="37" t="n">
        <f aca="false">1+IF($G$9=$E$9,$F$9,IF(S828&lt;($F$9-$E$9)/($G$9-$E$9),$E$9+SQRT(S828*($G$9-$E$9)*($F$9-$E$9)),$G$9-SQRT((1-S828)*($G$9-$E$9)*($G$9-$F$9))))</f>
        <v>0.97135432978366</v>
      </c>
      <c r="F828" s="37" t="n">
        <f aca="false">1+IF($G$10=$E$10,$F$10,IF(T828&lt;($F$10-$E$10)/($G$10-$E$10),$E$10+SQRT(T828*($G$10-$E$10)*($F$10-$E$10)),$G$10-SQRT((1-T828)*($G$10-$E$10)*($G$10-$F$10))))</f>
        <v>1.05001991653879</v>
      </c>
      <c r="G828" s="38" t="n">
        <f aca="false">IF($G$11=$E$11,$F$11,IF(U828&lt;($F$11-$E$11)/($G$11-$E$11),$E$11+SQRT(U828*($G$11-$E$11)*($F$11-$E$11)),$G$11-SQRT((1-U828)*($G$11-$E$11)*($G$11-$F$11))))</f>
        <v>0.106068302458462</v>
      </c>
      <c r="H828" s="39" t="n">
        <f aca="false">(('Business Case'!B11*$C828*'Business Case'!B12*$B828)-'Business Case'!B11*$C828*'Business Case'!B13*$D828-'Business Case'!B14*$E828)-MAX(0,(('Business Case'!B11*$C828*'Business Case'!B12*$B828)-'Business Case'!B11*$C828*'Business Case'!B13*$D828-'Business Case'!B14*$E828))*'Business Case'!$B$7-'Business Case'!$B$8*('Business Case'!B11*$C828*'Business Case'!B12*$B828)-'Business Case'!B15*$F828</f>
        <v>-2100039833.07758</v>
      </c>
      <c r="I828" s="39" t="n">
        <f aca="false">(('Business Case'!C11*$C828*'Business Case'!C12*$B828)-'Business Case'!C11*$C828*'Business Case'!C13*$D828-'Business Case'!C14*$E828)-MAX(0,(('Business Case'!C11*$C828*'Business Case'!C12*$B828)-'Business Case'!C11*$C828*'Business Case'!C13*$D828-'Business Case'!C14*$E828))*'Business Case'!$B$7-'Business Case'!$B$8*(('Business Case'!C11*$C828*'Business Case'!C12*$B828)-('Business Case'!B11*$C828*'Business Case'!B12*$B828))-'Business Case'!C15*$F828</f>
        <v>17276551.2608244</v>
      </c>
      <c r="J828" s="39" t="n">
        <f aca="false">(('Business Case'!D11*$C828*'Business Case'!D12*$B828)-'Business Case'!D11*$C828*'Business Case'!D13*$D828-'Business Case'!D14*$E828)-MAX(0,(('Business Case'!D11*$C828*'Business Case'!D12*$B828)-'Business Case'!D11*$C828*'Business Case'!D13*$D828-'Business Case'!D14*$E828))*'Business Case'!$B$7-'Business Case'!$B$8*(('Business Case'!D11*$C828*'Business Case'!D12*$B828)-('Business Case'!C11*$C828*'Business Case'!C12*$B828))-'Business Case'!D15*$F828</f>
        <v>326563825.369881</v>
      </c>
      <c r="K828" s="39" t="n">
        <f aca="false">(('Business Case'!E11*$C828*'Business Case'!E12*$B828)-'Business Case'!E11*$C828*'Business Case'!E13*$D828-'Business Case'!E14*$E828)-MAX(0,(('Business Case'!E11*$C828*'Business Case'!E12*$B828)-'Business Case'!E11*$C828*'Business Case'!E13*$D828-'Business Case'!E14*$E828))*'Business Case'!$B$7-'Business Case'!$B$8*(('Business Case'!E11*$C828*'Business Case'!E12*$B828)-('Business Case'!D11*$C828*'Business Case'!D12*$B828))-'Business Case'!E15*$F828</f>
        <v>688352095.305877</v>
      </c>
      <c r="L828" s="39" t="n">
        <f aca="false">(('Business Case'!F11*$C828*'Business Case'!F12*$B828)-'Business Case'!F11*$C828*'Business Case'!F13*$D828-'Business Case'!F14*$E828)-MAX(0,(('Business Case'!F11*$C828*'Business Case'!F12*$B828)-'Business Case'!F11*$C828*'Business Case'!F13*$D828-'Business Case'!F14*$E828))*'Business Case'!$B$7-'Business Case'!$B$8*(('Business Case'!F11*$C828*'Business Case'!F12*$B828)-('Business Case'!E11*$C828*'Business Case'!E12*$B828))-'Business Case'!F15*$F828</f>
        <v>824035950.341641</v>
      </c>
      <c r="M828" s="39" t="n">
        <f aca="false">(('Business Case'!G11*$C828*'Business Case'!G12*$B828)-'Business Case'!G11*$C828*'Business Case'!G13*$D828-'Business Case'!G14*$E828)-MAX(0,(('Business Case'!G11*$C828*'Business Case'!G12*$B828)-'Business Case'!G11*$C828*'Business Case'!G13*$D828-'Business Case'!G14*$E828))*'Business Case'!$B$7-'Business Case'!$B$8*(('Business Case'!G11*$C828*'Business Case'!G12*$B828)-('Business Case'!F11*$C828*'Business Case'!F12*$B828))-'Business Case'!G15*$F828+'Business Case'!$B$8*('Business Case'!G11*$C828*'Business Case'!G12*$B828)</f>
        <v>1003270483.8384</v>
      </c>
      <c r="N828" s="39" t="n">
        <f aca="false">IF(COUNT('Business Case'!B11:G11)=0,"",H828+NPV(G828,I828:M828))</f>
        <v>-152155106.650676</v>
      </c>
      <c r="P828" s="40" t="n">
        <f aca="true">RAND()</f>
        <v>0.646765964877002</v>
      </c>
      <c r="Q828" s="40" t="n">
        <f aca="true">RAND()</f>
        <v>0.29655134853416</v>
      </c>
      <c r="R828" s="40" t="n">
        <f aca="true">RAND()</f>
        <v>0.0101349132646272</v>
      </c>
      <c r="S828" s="40" t="n">
        <f aca="true">RAND()</f>
        <v>0.0608009867345756</v>
      </c>
      <c r="T828" s="40" t="n">
        <f aca="true">RAND()</f>
        <v>0.550119491299373</v>
      </c>
      <c r="U828" s="40" t="n">
        <f aca="true">RAND()</f>
        <v>0.676513006018496</v>
      </c>
    </row>
    <row r="829" customFormat="false" ht="15" hidden="false" customHeight="false" outlineLevel="0" collapsed="false">
      <c r="A829" s="36" t="n">
        <v>749</v>
      </c>
      <c r="B829" s="37" t="n">
        <f aca="false">1+IF($G$6=$E$6,$F$6,IF(P829&lt;($F$6-$E$6)/($G$6-$E$6),$E$6+SQRT(P829*($G$6-$E$6)*($F$6-$E$6)),$G$6-SQRT((1-P829)*($G$6-$E$6)*($G$6-$F$6))))</f>
        <v>1.03511899397655</v>
      </c>
      <c r="C829" s="37" t="n">
        <f aca="false">1+IF($G$7=$E$7,$F$7,IF(Q829&lt;($F$7-$E$7)/($G$7-$E$7),$E$7+SQRT(Q829*($G$7-$E$7)*($F$7-$E$7)),$G$7-SQRT((1-Q829)*($G$7-$E$7)*($G$7-$F$7))))</f>
        <v>1.04825817512487</v>
      </c>
      <c r="D829" s="37" t="n">
        <f aca="false">1+IF($G$8=$E$8,$F$8,IF(R829&lt;($F$8-$E$8)/($G$8-$E$8),$E$8+SQRT(R829*($G$8-$E$8)*($F$8-$E$8)),$G$8-SQRT((1-R829)*($G$8-$E$8)*($G$8-$F$8))))</f>
        <v>0.989618606938382</v>
      </c>
      <c r="E829" s="37" t="n">
        <f aca="false">1+IF($G$9=$E$9,$F$9,IF(S829&lt;($F$9-$E$9)/($G$9-$E$9),$E$9+SQRT(S829*($G$9-$E$9)*($F$9-$E$9)),$G$9-SQRT((1-S829)*($G$9-$E$9)*($G$9-$F$9))))</f>
        <v>0.986768704439585</v>
      </c>
      <c r="F829" s="37" t="n">
        <f aca="false">1+IF($G$10=$E$10,$F$10,IF(T829&lt;($F$10-$E$10)/($G$10-$E$10),$E$10+SQRT(T829*($G$10-$E$10)*($F$10-$E$10)),$G$10-SQRT((1-T829)*($G$10-$E$10)*($G$10-$F$10))))</f>
        <v>1.05272749577075</v>
      </c>
      <c r="G829" s="38" t="n">
        <f aca="false">IF($G$11=$E$11,$F$11,IF(U829&lt;($F$11-$E$11)/($G$11-$E$11),$E$11+SQRT(U829*($G$11-$E$11)*($F$11-$E$11)),$G$11-SQRT((1-U829)*($G$11-$E$11)*($G$11-$F$11))))</f>
        <v>0.103429672803287</v>
      </c>
      <c r="H829" s="39" t="n">
        <f aca="false">(('Business Case'!B11*$C829*'Business Case'!B12*$B829)-'Business Case'!B11*$C829*'Business Case'!B13*$D829-'Business Case'!B14*$E829)-MAX(0,(('Business Case'!B11*$C829*'Business Case'!B12*$B829)-'Business Case'!B11*$C829*'Business Case'!B13*$D829-'Business Case'!B14*$E829))*'Business Case'!$B$7-'Business Case'!$B$8*('Business Case'!B11*$C829*'Business Case'!B12*$B829)-'Business Case'!B15*$F829</f>
        <v>-2105454991.54149</v>
      </c>
      <c r="I829" s="39" t="n">
        <f aca="false">(('Business Case'!C11*$C829*'Business Case'!C12*$B829)-'Business Case'!C11*$C829*'Business Case'!C13*$D829-'Business Case'!C14*$E829)-MAX(0,(('Business Case'!C11*$C829*'Business Case'!C12*$B829)-'Business Case'!C11*$C829*'Business Case'!C13*$D829-'Business Case'!C14*$E829))*'Business Case'!$B$7-'Business Case'!$B$8*(('Business Case'!C11*$C829*'Business Case'!C12*$B829)-('Business Case'!B11*$C829*'Business Case'!B12*$B829))-'Business Case'!C15*$F829</f>
        <v>55857244.2353861</v>
      </c>
      <c r="J829" s="39" t="n">
        <f aca="false">(('Business Case'!D11*$C829*'Business Case'!D12*$B829)-'Business Case'!D11*$C829*'Business Case'!D13*$D829-'Business Case'!D14*$E829)-MAX(0,(('Business Case'!D11*$C829*'Business Case'!D12*$B829)-'Business Case'!D11*$C829*'Business Case'!D13*$D829-'Business Case'!D14*$E829))*'Business Case'!$B$7-'Business Case'!$B$8*(('Business Case'!D11*$C829*'Business Case'!D12*$B829)-('Business Case'!C11*$C829*'Business Case'!C12*$B829))-'Business Case'!D15*$F829</f>
        <v>413555877.586003</v>
      </c>
      <c r="K829" s="39" t="n">
        <f aca="false">(('Business Case'!E11*$C829*'Business Case'!E12*$B829)-'Business Case'!E11*$C829*'Business Case'!E13*$D829-'Business Case'!E14*$E829)-MAX(0,(('Business Case'!E11*$C829*'Business Case'!E12*$B829)-'Business Case'!E11*$C829*'Business Case'!E13*$D829-'Business Case'!E14*$E829))*'Business Case'!$B$7-'Business Case'!$B$8*(('Business Case'!E11*$C829*'Business Case'!E12*$B829)-('Business Case'!D11*$C829*'Business Case'!D12*$B829))-'Business Case'!E15*$F829</f>
        <v>823890885.725157</v>
      </c>
      <c r="L829" s="39" t="n">
        <f aca="false">(('Business Case'!F11*$C829*'Business Case'!F12*$B829)-'Business Case'!F11*$C829*'Business Case'!F13*$D829-'Business Case'!F14*$E829)-MAX(0,(('Business Case'!F11*$C829*'Business Case'!F12*$B829)-'Business Case'!F11*$C829*'Business Case'!F13*$D829-'Business Case'!F14*$E829))*'Business Case'!$B$7-'Business Case'!$B$8*(('Business Case'!F11*$C829*'Business Case'!F12*$B829)-('Business Case'!E11*$C829*'Business Case'!E12*$B829))-'Business Case'!F15*$F829</f>
        <v>980623850.019927</v>
      </c>
      <c r="M829" s="39" t="n">
        <f aca="false">(('Business Case'!G11*$C829*'Business Case'!G12*$B829)-'Business Case'!G11*$C829*'Business Case'!G13*$D829-'Business Case'!G14*$E829)-MAX(0,(('Business Case'!G11*$C829*'Business Case'!G12*$B829)-'Business Case'!G11*$C829*'Business Case'!G13*$D829-'Business Case'!G14*$E829))*'Business Case'!$B$7-'Business Case'!$B$8*(('Business Case'!G11*$C829*'Business Case'!G12*$B829)-('Business Case'!F11*$C829*'Business Case'!F12*$B829))-'Business Case'!G15*$F829+'Business Case'!$B$8*('Business Case'!G11*$C829*'Business Case'!G12*$B829)</f>
        <v>1186874325.8317</v>
      </c>
      <c r="N829" s="39" t="n">
        <f aca="false">IF(COUNT('Business Case'!B11:G11)=0,"",H829+NPV(G829,I829:M829))</f>
        <v>285138634.589686</v>
      </c>
      <c r="P829" s="40" t="n">
        <f aca="true">RAND()</f>
        <v>0.995036620874802</v>
      </c>
      <c r="Q829" s="40" t="n">
        <f aca="true">RAND()</f>
        <v>0.802830496591954</v>
      </c>
      <c r="R829" s="40" t="n">
        <f aca="true">RAND()</f>
        <v>0.241482156267385</v>
      </c>
      <c r="S829" s="40" t="n">
        <f aca="true">RAND()</f>
        <v>0.180258350155406</v>
      </c>
      <c r="T829" s="40" t="n">
        <f aca="true">RAND()</f>
        <v>0.566216189960889</v>
      </c>
      <c r="U829" s="40" t="n">
        <f aca="true">RAND()</f>
        <v>0.542373760989813</v>
      </c>
    </row>
    <row r="830" customFormat="false" ht="15" hidden="false" customHeight="false" outlineLevel="0" collapsed="false">
      <c r="A830" s="36" t="n">
        <v>750</v>
      </c>
      <c r="B830" s="37" t="n">
        <f aca="false">1+IF($G$6=$E$6,$F$6,IF(P830&lt;($F$6-$E$6)/($G$6-$E$6),$E$6+SQRT(P830*($G$6-$E$6)*($F$6-$E$6)),$G$6-SQRT((1-P830)*($G$6-$E$6)*($G$6-$F$6))))</f>
        <v>0.94658332743112</v>
      </c>
      <c r="C830" s="37" t="n">
        <f aca="false">1+IF($G$7=$E$7,$F$7,IF(Q830&lt;($F$7-$E$7)/($G$7-$E$7),$E$7+SQRT(Q830*($G$7-$E$7)*($F$7-$E$7)),$G$7-SQRT((1-Q830)*($G$7-$E$7)*($G$7-$F$7))))</f>
        <v>0.977799277105357</v>
      </c>
      <c r="D830" s="37" t="n">
        <f aca="false">1+IF($G$8=$E$8,$F$8,IF(R830&lt;($F$8-$E$8)/($G$8-$E$8),$E$8+SQRT(R830*($G$8-$E$8)*($F$8-$E$8)),$G$8-SQRT((1-R830)*($G$8-$E$8)*($G$8-$F$8))))</f>
        <v>1.02313335824223</v>
      </c>
      <c r="E830" s="37" t="n">
        <f aca="false">1+IF($G$9=$E$9,$F$9,IF(S830&lt;($F$9-$E$9)/($G$9-$E$9),$E$9+SQRT(S830*($G$9-$E$9)*($F$9-$E$9)),$G$9-SQRT((1-S830)*($G$9-$E$9)*($G$9-$F$9))))</f>
        <v>1.04379853307035</v>
      </c>
      <c r="F830" s="37" t="n">
        <f aca="false">1+IF($G$10=$E$10,$F$10,IF(T830&lt;($F$10-$E$10)/($G$10-$E$10),$E$10+SQRT(T830*($G$10-$E$10)*($F$10-$E$10)),$G$10-SQRT((1-T830)*($G$10-$E$10)*($G$10-$F$10))))</f>
        <v>1.08404594605044</v>
      </c>
      <c r="G830" s="38" t="n">
        <f aca="false">IF($G$11=$E$11,$F$11,IF(U830&lt;($F$11-$E$11)/($G$11-$E$11),$E$11+SQRT(U830*($G$11-$E$11)*($F$11-$E$11)),$G$11-SQRT((1-U830)*($G$11-$E$11)*($G$11-$F$11))))</f>
        <v>0.107360799238972</v>
      </c>
      <c r="H830" s="39" t="n">
        <f aca="false">(('Business Case'!B11*$C830*'Business Case'!B12*$B830)-'Business Case'!B11*$C830*'Business Case'!B13*$D830-'Business Case'!B14*$E830)-MAX(0,(('Business Case'!B11*$C830*'Business Case'!B12*$B830)-'Business Case'!B11*$C830*'Business Case'!B13*$D830-'Business Case'!B14*$E830))*'Business Case'!$B$7-'Business Case'!$B$8*('Business Case'!B11*$C830*'Business Case'!B12*$B830)-'Business Case'!B15*$F830</f>
        <v>-2168091892.10087</v>
      </c>
      <c r="I830" s="39" t="n">
        <f aca="false">(('Business Case'!C11*$C830*'Business Case'!C12*$B830)-'Business Case'!C11*$C830*'Business Case'!C13*$D830-'Business Case'!C14*$E830)-MAX(0,(('Business Case'!C11*$C830*'Business Case'!C12*$B830)-'Business Case'!C11*$C830*'Business Case'!C13*$D830-'Business Case'!C14*$E830))*'Business Case'!$B$7-'Business Case'!$B$8*(('Business Case'!C11*$C830*'Business Case'!C12*$B830)-('Business Case'!B11*$C830*'Business Case'!B12*$B830))-'Business Case'!C15*$F830</f>
        <v>-58841503.977838</v>
      </c>
      <c r="J830" s="39" t="n">
        <f aca="false">(('Business Case'!D11*$C830*'Business Case'!D12*$B830)-'Business Case'!D11*$C830*'Business Case'!D13*$D830-'Business Case'!D14*$E830)-MAX(0,(('Business Case'!D11*$C830*'Business Case'!D12*$B830)-'Business Case'!D11*$C830*'Business Case'!D13*$D830-'Business Case'!D14*$E830))*'Business Case'!$B$7-'Business Case'!$B$8*(('Business Case'!D11*$C830*'Business Case'!D12*$B830)-('Business Case'!C11*$C830*'Business Case'!C12*$B830))-'Business Case'!D15*$F830</f>
        <v>187131208.743717</v>
      </c>
      <c r="K830" s="39" t="n">
        <f aca="false">(('Business Case'!E11*$C830*'Business Case'!E12*$B830)-'Business Case'!E11*$C830*'Business Case'!E13*$D830-'Business Case'!E14*$E830)-MAX(0,(('Business Case'!E11*$C830*'Business Case'!E12*$B830)-'Business Case'!E11*$C830*'Business Case'!E13*$D830-'Business Case'!E14*$E830))*'Business Case'!$B$7-'Business Case'!$B$8*(('Business Case'!E11*$C830*'Business Case'!E12*$B830)-('Business Case'!D11*$C830*'Business Case'!D12*$B830))-'Business Case'!E15*$F830</f>
        <v>487306218.767794</v>
      </c>
      <c r="L830" s="39" t="n">
        <f aca="false">(('Business Case'!F11*$C830*'Business Case'!F12*$B830)-'Business Case'!F11*$C830*'Business Case'!F13*$D830-'Business Case'!F14*$E830)-MAX(0,(('Business Case'!F11*$C830*'Business Case'!F12*$B830)-'Business Case'!F11*$C830*'Business Case'!F13*$D830-'Business Case'!F14*$E830))*'Business Case'!$B$7-'Business Case'!$B$8*(('Business Case'!F11*$C830*'Business Case'!F12*$B830)-('Business Case'!E11*$C830*'Business Case'!E12*$B830))-'Business Case'!F15*$F830</f>
        <v>601284770.136143</v>
      </c>
      <c r="M830" s="39" t="n">
        <f aca="false">(('Business Case'!G11*$C830*'Business Case'!G12*$B830)-'Business Case'!G11*$C830*'Business Case'!G13*$D830-'Business Case'!G14*$E830)-MAX(0,(('Business Case'!G11*$C830*'Business Case'!G12*$B830)-'Business Case'!G11*$C830*'Business Case'!G13*$D830-'Business Case'!G14*$E830))*'Business Case'!$B$7-'Business Case'!$B$8*(('Business Case'!G11*$C830*'Business Case'!G12*$B830)-('Business Case'!F11*$C830*'Business Case'!F12*$B830))-'Business Case'!G15*$F830+'Business Case'!$B$8*('Business Case'!G11*$C830*'Business Case'!G12*$B830)</f>
        <v>777216829.33921</v>
      </c>
      <c r="N830" s="39" t="n">
        <f aca="false">IF(COUNT('Business Case'!B11:G11)=0,"",H830+NPV(G830,I830:M830))</f>
        <v>-843118598.572966</v>
      </c>
      <c r="P830" s="40" t="n">
        <f aca="true">RAND()</f>
        <v>0.0736118018031384</v>
      </c>
      <c r="Q830" s="40" t="n">
        <f aca="true">RAND()</f>
        <v>0.45160832770268</v>
      </c>
      <c r="R830" s="40" t="n">
        <f aca="true">RAND()</f>
        <v>0.689056255307057</v>
      </c>
      <c r="S830" s="40" t="n">
        <f aca="true">RAND()</f>
        <v>0.78942634099701</v>
      </c>
      <c r="T830" s="40" t="n">
        <f aca="true">RAND()</f>
        <v>0.731093147453237</v>
      </c>
      <c r="U830" s="40" t="n">
        <f aca="true">RAND()</f>
        <v>0.733751006870728</v>
      </c>
    </row>
    <row r="831" customFormat="false" ht="15" hidden="false" customHeight="false" outlineLevel="0" collapsed="false">
      <c r="A831" s="36" t="n">
        <v>751</v>
      </c>
      <c r="B831" s="37" t="n">
        <f aca="false">1+IF($G$6=$E$6,$F$6,IF(P831&lt;($F$6-$E$6)/($G$6-$E$6),$E$6+SQRT(P831*($G$6-$E$6)*($F$6-$E$6)),$G$6-SQRT((1-P831)*($G$6-$E$6)*($G$6-$F$6))))</f>
        <v>0.996805713575767</v>
      </c>
      <c r="C831" s="37" t="n">
        <f aca="false">1+IF($G$7=$E$7,$F$7,IF(Q831&lt;($F$7-$E$7)/($G$7-$E$7),$E$7+SQRT(Q831*($G$7-$E$7)*($F$7-$E$7)),$G$7-SQRT((1-Q831)*($G$7-$E$7)*($G$7-$F$7))))</f>
        <v>0.967220049127971</v>
      </c>
      <c r="D831" s="37" t="n">
        <f aca="false">1+IF($G$8=$E$8,$F$8,IF(R831&lt;($F$8-$E$8)/($G$8-$E$8),$E$8+SQRT(R831*($G$8-$E$8)*($F$8-$E$8)),$G$8-SQRT((1-R831)*($G$8-$E$8)*($G$8-$F$8))))</f>
        <v>1.00107278259665</v>
      </c>
      <c r="E831" s="37" t="n">
        <f aca="false">1+IF($G$9=$E$9,$F$9,IF(S831&lt;($F$9-$E$9)/($G$9-$E$9),$E$9+SQRT(S831*($G$9-$E$9)*($F$9-$E$9)),$G$9-SQRT((1-S831)*($G$9-$E$9)*($G$9-$F$9))))</f>
        <v>1.04420168693024</v>
      </c>
      <c r="F831" s="37" t="n">
        <f aca="false">1+IF($G$10=$E$10,$F$10,IF(T831&lt;($F$10-$E$10)/($G$10-$E$10),$E$10+SQRT(T831*($G$10-$E$10)*($F$10-$E$10)),$G$10-SQRT((1-T831)*($G$10-$E$10)*($G$10-$F$10))))</f>
        <v>1.10782515254335</v>
      </c>
      <c r="G831" s="38" t="n">
        <f aca="false">IF($G$11=$E$11,$F$11,IF(U831&lt;($F$11-$E$11)/($G$11-$E$11),$E$11+SQRT(U831*($G$11-$E$11)*($F$11-$E$11)),$G$11-SQRT((1-U831)*($G$11-$E$11)*($G$11-$F$11))))</f>
        <v>0.101948799928106</v>
      </c>
      <c r="H831" s="39" t="n">
        <f aca="false">(('Business Case'!B11*$C831*'Business Case'!B12*$B831)-'Business Case'!B11*$C831*'Business Case'!B13*$D831-'Business Case'!B14*$E831)-MAX(0,(('Business Case'!B11*$C831*'Business Case'!B12*$B831)-'Business Case'!B11*$C831*'Business Case'!B13*$D831-'Business Case'!B14*$E831))*'Business Case'!$B$7-'Business Case'!$B$8*('Business Case'!B11*$C831*'Business Case'!B12*$B831)-'Business Case'!B15*$F831</f>
        <v>-2215650305.0867</v>
      </c>
      <c r="I831" s="39" t="n">
        <f aca="false">(('Business Case'!C11*$C831*'Business Case'!C12*$B831)-'Business Case'!C11*$C831*'Business Case'!C13*$D831-'Business Case'!C14*$E831)-MAX(0,(('Business Case'!C11*$C831*'Business Case'!C12*$B831)-'Business Case'!C11*$C831*'Business Case'!C13*$D831-'Business Case'!C14*$E831))*'Business Case'!$B$7-'Business Case'!$B$8*(('Business Case'!C11*$C831*'Business Case'!C12*$B831)-('Business Case'!B11*$C831*'Business Case'!B12*$B831))-'Business Case'!C15*$F831</f>
        <v>-15226709.7734807</v>
      </c>
      <c r="J831" s="39" t="n">
        <f aca="false">(('Business Case'!D11*$C831*'Business Case'!D12*$B831)-'Business Case'!D11*$C831*'Business Case'!D13*$D831-'Business Case'!D14*$E831)-MAX(0,(('Business Case'!D11*$C831*'Business Case'!D12*$B831)-'Business Case'!D11*$C831*'Business Case'!D13*$D831-'Business Case'!D14*$E831))*'Business Case'!$B$7-'Business Case'!$B$8*(('Business Case'!D11*$C831*'Business Case'!D12*$B831)-('Business Case'!C11*$C831*'Business Case'!C12*$B831))-'Business Case'!D15*$F831</f>
        <v>278795099.218755</v>
      </c>
      <c r="K831" s="39" t="n">
        <f aca="false">(('Business Case'!E11*$C831*'Business Case'!E12*$B831)-'Business Case'!E11*$C831*'Business Case'!E13*$D831-'Business Case'!E14*$E831)-MAX(0,(('Business Case'!E11*$C831*'Business Case'!E12*$B831)-'Business Case'!E11*$C831*'Business Case'!E13*$D831-'Business Case'!E14*$E831))*'Business Case'!$B$7-'Business Case'!$B$8*(('Business Case'!E11*$C831*'Business Case'!E12*$B831)-('Business Case'!D11*$C831*'Business Case'!D12*$B831))-'Business Case'!E15*$F831</f>
        <v>628208165.838158</v>
      </c>
      <c r="L831" s="39" t="n">
        <f aca="false">(('Business Case'!F11*$C831*'Business Case'!F12*$B831)-'Business Case'!F11*$C831*'Business Case'!F13*$D831-'Business Case'!F14*$E831)-MAX(0,(('Business Case'!F11*$C831*'Business Case'!F12*$B831)-'Business Case'!F11*$C831*'Business Case'!F13*$D831-'Business Case'!F14*$E831))*'Business Case'!$B$7-'Business Case'!$B$8*(('Business Case'!F11*$C831*'Business Case'!F12*$B831)-('Business Case'!E11*$C831*'Business Case'!E12*$B831))-'Business Case'!F15*$F831</f>
        <v>759535784.588836</v>
      </c>
      <c r="M831" s="39" t="n">
        <f aca="false">(('Business Case'!G11*$C831*'Business Case'!G12*$B831)-'Business Case'!G11*$C831*'Business Case'!G13*$D831-'Business Case'!G14*$E831)-MAX(0,(('Business Case'!G11*$C831*'Business Case'!G12*$B831)-'Business Case'!G11*$C831*'Business Case'!G13*$D831-'Business Case'!G14*$E831))*'Business Case'!$B$7-'Business Case'!$B$8*(('Business Case'!G11*$C831*'Business Case'!G12*$B831)-('Business Case'!F11*$C831*'Business Case'!F12*$B831))-'Business Case'!G15*$F831+'Business Case'!$B$8*('Business Case'!G11*$C831*'Business Case'!G12*$B831)</f>
        <v>942797704.565138</v>
      </c>
      <c r="N831" s="39" t="n">
        <f aca="false">IF(COUNT('Business Case'!B11:G11)=0,"",H831+NPV(G831,I831:M831))</f>
        <v>-435032825.475507</v>
      </c>
      <c r="P831" s="40" t="n">
        <f aca="true">RAND()</f>
        <v>0.614491420612787</v>
      </c>
      <c r="Q831" s="40" t="n">
        <f aca="true">RAND()</f>
        <v>0.399464926148016</v>
      </c>
      <c r="R831" s="40" t="n">
        <f aca="true">RAND()</f>
        <v>0.401009072400413</v>
      </c>
      <c r="S831" s="40" t="n">
        <f aca="true">RAND()</f>
        <v>0.792436550571283</v>
      </c>
      <c r="T831" s="40" t="n">
        <f aca="true">RAND()</f>
        <v>0.830075949926871</v>
      </c>
      <c r="U831" s="40" t="n">
        <f aca="true">RAND()</f>
        <v>0.456923626607429</v>
      </c>
    </row>
    <row r="832" customFormat="false" ht="15" hidden="false" customHeight="false" outlineLevel="0" collapsed="false">
      <c r="A832" s="36" t="n">
        <v>752</v>
      </c>
      <c r="B832" s="37" t="n">
        <f aca="false">1+IF($G$6=$E$6,$F$6,IF(P832&lt;($F$6-$E$6)/($G$6-$E$6),$E$6+SQRT(P832*($G$6-$E$6)*($F$6-$E$6)),$G$6-SQRT((1-P832)*($G$6-$E$6)*($G$6-$F$6))))</f>
        <v>0.9848219157554</v>
      </c>
      <c r="C832" s="37" t="n">
        <f aca="false">1+IF($G$7=$E$7,$F$7,IF(Q832&lt;($F$7-$E$7)/($G$7-$E$7),$E$7+SQRT(Q832*($G$7-$E$7)*($F$7-$E$7)),$G$7-SQRT((1-Q832)*($G$7-$E$7)*($G$7-$F$7))))</f>
        <v>0.856343245195283</v>
      </c>
      <c r="D832" s="37" t="n">
        <f aca="false">1+IF($G$8=$E$8,$F$8,IF(R832&lt;($F$8-$E$8)/($G$8-$E$8),$E$8+SQRT(R832*($G$8-$E$8)*($F$8-$E$8)),$G$8-SQRT((1-R832)*($G$8-$E$8)*($G$8-$F$8))))</f>
        <v>1.02728540265194</v>
      </c>
      <c r="E832" s="37" t="n">
        <f aca="false">1+IF($G$9=$E$9,$F$9,IF(S832&lt;($F$9-$E$9)/($G$9-$E$9),$E$9+SQRT(S832*($G$9-$E$9)*($F$9-$E$9)),$G$9-SQRT((1-S832)*($G$9-$E$9)*($G$9-$F$9))))</f>
        <v>1.04276695428847</v>
      </c>
      <c r="F832" s="37" t="n">
        <f aca="false">1+IF($G$10=$E$10,$F$10,IF(T832&lt;($F$10-$E$10)/($G$10-$E$10),$E$10+SQRT(T832*($G$10-$E$10)*($F$10-$E$10)),$G$10-SQRT((1-T832)*($G$10-$E$10)*($G$10-$F$10))))</f>
        <v>1.00669247651456</v>
      </c>
      <c r="G832" s="38" t="n">
        <f aca="false">IF($G$11=$E$11,$F$11,IF(U832&lt;($F$11-$E$11)/($G$11-$E$11),$E$11+SQRT(U832*($G$11-$E$11)*($F$11-$E$11)),$G$11-SQRT((1-U832)*($G$11-$E$11)*($G$11-$F$11))))</f>
        <v>0.112342961752683</v>
      </c>
      <c r="H832" s="39" t="n">
        <f aca="false">(('Business Case'!B11*$C832*'Business Case'!B12*$B832)-'Business Case'!B11*$C832*'Business Case'!B13*$D832-'Business Case'!B14*$E832)-MAX(0,(('Business Case'!B11*$C832*'Business Case'!B12*$B832)-'Business Case'!B11*$C832*'Business Case'!B13*$D832-'Business Case'!B14*$E832))*'Business Case'!$B$7-'Business Case'!$B$8*('Business Case'!B11*$C832*'Business Case'!B12*$B832)-'Business Case'!B15*$F832</f>
        <v>-2013384953.02912</v>
      </c>
      <c r="I832" s="39" t="n">
        <f aca="false">(('Business Case'!C11*$C832*'Business Case'!C12*$B832)-'Business Case'!C11*$C832*'Business Case'!C13*$D832-'Business Case'!C14*$E832)-MAX(0,(('Business Case'!C11*$C832*'Business Case'!C12*$B832)-'Business Case'!C11*$C832*'Business Case'!C13*$D832-'Business Case'!C14*$E832))*'Business Case'!$B$7-'Business Case'!$B$8*(('Business Case'!C11*$C832*'Business Case'!C12*$B832)-('Business Case'!B11*$C832*'Business Case'!B12*$B832))-'Business Case'!C15*$F832</f>
        <v>-52249568.7918962</v>
      </c>
      <c r="J832" s="39" t="n">
        <f aca="false">(('Business Case'!D11*$C832*'Business Case'!D12*$B832)-'Business Case'!D11*$C832*'Business Case'!D13*$D832-'Business Case'!D14*$E832)-MAX(0,(('Business Case'!D11*$C832*'Business Case'!D12*$B832)-'Business Case'!D11*$C832*'Business Case'!D13*$D832-'Business Case'!D14*$E832))*'Business Case'!$B$7-'Business Case'!$B$8*(('Business Case'!D11*$C832*'Business Case'!D12*$B832)-('Business Case'!C11*$C832*'Business Case'!C12*$B832))-'Business Case'!D15*$F832</f>
        <v>188170606.626665</v>
      </c>
      <c r="K832" s="39" t="n">
        <f aca="false">(('Business Case'!E11*$C832*'Business Case'!E12*$B832)-'Business Case'!E11*$C832*'Business Case'!E13*$D832-'Business Case'!E14*$E832)-MAX(0,(('Business Case'!E11*$C832*'Business Case'!E12*$B832)-'Business Case'!E11*$C832*'Business Case'!E13*$D832-'Business Case'!E14*$E832))*'Business Case'!$B$7-'Business Case'!$B$8*(('Business Case'!E11*$C832*'Business Case'!E12*$B832)-('Business Case'!D11*$C832*'Business Case'!D12*$B832))-'Business Case'!E15*$F832</f>
        <v>478925405.870955</v>
      </c>
      <c r="L832" s="39" t="n">
        <f aca="false">(('Business Case'!F11*$C832*'Business Case'!F12*$B832)-'Business Case'!F11*$C832*'Business Case'!F13*$D832-'Business Case'!F14*$E832)-MAX(0,(('Business Case'!F11*$C832*'Business Case'!F12*$B832)-'Business Case'!F11*$C832*'Business Case'!F13*$D832-'Business Case'!F14*$E832))*'Business Case'!$B$7-'Business Case'!$B$8*(('Business Case'!F11*$C832*'Business Case'!F12*$B832)-('Business Case'!E11*$C832*'Business Case'!E12*$B832))-'Business Case'!F15*$F832</f>
        <v>588211488.116597</v>
      </c>
      <c r="M832" s="39" t="n">
        <f aca="false">(('Business Case'!G11*$C832*'Business Case'!G12*$B832)-'Business Case'!G11*$C832*'Business Case'!G13*$D832-'Business Case'!G14*$E832)-MAX(0,(('Business Case'!G11*$C832*'Business Case'!G12*$B832)-'Business Case'!G11*$C832*'Business Case'!G13*$D832-'Business Case'!G14*$E832))*'Business Case'!$B$7-'Business Case'!$B$8*(('Business Case'!G11*$C832*'Business Case'!G12*$B832)-('Business Case'!F11*$C832*'Business Case'!F12*$B832))-'Business Case'!G15*$F832+'Business Case'!$B$8*('Business Case'!G11*$C832*'Business Case'!G12*$B832)</f>
        <v>748514618.866928</v>
      </c>
      <c r="N832" s="39" t="n">
        <f aca="false">IF(COUNT('Business Case'!B11:G11)=0,"",H832+NPV(G832,I832:M832))</f>
        <v>-736531464.972873</v>
      </c>
      <c r="P832" s="40" t="n">
        <f aca="true">RAND()</f>
        <v>0.437695912729185</v>
      </c>
      <c r="Q832" s="40" t="n">
        <f aca="true">RAND()</f>
        <v>0.0453508754162256</v>
      </c>
      <c r="R832" s="40" t="n">
        <f aca="true">RAND()</f>
        <v>0.732804925618448</v>
      </c>
      <c r="S832" s="40" t="n">
        <f aca="true">RAND()</f>
        <v>0.781625231905472</v>
      </c>
      <c r="T832" s="40" t="n">
        <f aca="true">RAND()</f>
        <v>0.252644027278522</v>
      </c>
      <c r="U832" s="40" t="n">
        <f aca="true">RAND()</f>
        <v>0.902282942131871</v>
      </c>
    </row>
    <row r="833" customFormat="false" ht="15" hidden="false" customHeight="false" outlineLevel="0" collapsed="false">
      <c r="A833" s="36" t="n">
        <v>753</v>
      </c>
      <c r="B833" s="37" t="n">
        <f aca="false">1+IF($G$6=$E$6,$F$6,IF(P833&lt;($F$6-$E$6)/($G$6-$E$6),$E$6+SQRT(P833*($G$6-$E$6)*($F$6-$E$6)),$G$6-SQRT((1-P833)*($G$6-$E$6)*($G$6-$F$6))))</f>
        <v>0.997676332990713</v>
      </c>
      <c r="C833" s="37" t="n">
        <f aca="false">1+IF($G$7=$E$7,$F$7,IF(Q833&lt;($F$7-$E$7)/($G$7-$E$7),$E$7+SQRT(Q833*($G$7-$E$7)*($F$7-$E$7)),$G$7-SQRT((1-Q833)*($G$7-$E$7)*($G$7-$F$7))))</f>
        <v>1.12024067786135</v>
      </c>
      <c r="D833" s="37" t="n">
        <f aca="false">1+IF($G$8=$E$8,$F$8,IF(R833&lt;($F$8-$E$8)/($G$8-$E$8),$E$8+SQRT(R833*($G$8-$E$8)*($F$8-$E$8)),$G$8-SQRT((1-R833)*($G$8-$E$8)*($G$8-$F$8))))</f>
        <v>1.01336340668791</v>
      </c>
      <c r="E833" s="37" t="n">
        <f aca="false">1+IF($G$9=$E$9,$F$9,IF(S833&lt;($F$9-$E$9)/($G$9-$E$9),$E$9+SQRT(S833*($G$9-$E$9)*($F$9-$E$9)),$G$9-SQRT((1-S833)*($G$9-$E$9)*($G$9-$F$9))))</f>
        <v>1.02416466653654</v>
      </c>
      <c r="F833" s="37" t="n">
        <f aca="false">1+IF($G$10=$E$10,$F$10,IF(T833&lt;($F$10-$E$10)/($G$10-$E$10),$E$10+SQRT(T833*($G$10-$E$10)*($F$10-$E$10)),$G$10-SQRT((1-T833)*($G$10-$E$10)*($G$10-$F$10))))</f>
        <v>1.14435014218739</v>
      </c>
      <c r="G833" s="38" t="n">
        <f aca="false">IF($G$11=$E$11,$F$11,IF(U833&lt;($F$11-$E$11)/($G$11-$E$11),$E$11+SQRT(U833*($G$11-$E$11)*($F$11-$E$11)),$G$11-SQRT((1-U833)*($G$11-$E$11)*($G$11-$F$11))))</f>
        <v>0.10258513700596</v>
      </c>
      <c r="H833" s="39" t="n">
        <f aca="false">(('Business Case'!B11*$C833*'Business Case'!B12*$B833)-'Business Case'!B11*$C833*'Business Case'!B13*$D833-'Business Case'!B14*$E833)-MAX(0,(('Business Case'!B11*$C833*'Business Case'!B12*$B833)-'Business Case'!B11*$C833*'Business Case'!B13*$D833-'Business Case'!B14*$E833))*'Business Case'!$B$7-'Business Case'!$B$8*('Business Case'!B11*$C833*'Business Case'!B12*$B833)-'Business Case'!B15*$F833</f>
        <v>-2288700284.37478</v>
      </c>
      <c r="I833" s="39" t="n">
        <f aca="false">(('Business Case'!C11*$C833*'Business Case'!C12*$B833)-'Business Case'!C11*$C833*'Business Case'!C13*$D833-'Business Case'!C14*$E833)-MAX(0,(('Business Case'!C11*$C833*'Business Case'!C12*$B833)-'Business Case'!C11*$C833*'Business Case'!C13*$D833-'Business Case'!C14*$E833))*'Business Case'!$B$7-'Business Case'!$B$8*(('Business Case'!C11*$C833*'Business Case'!C12*$B833)-('Business Case'!B11*$C833*'Business Case'!B12*$B833))-'Business Case'!C15*$F833</f>
        <v>16278941.3321587</v>
      </c>
      <c r="J833" s="39" t="n">
        <f aca="false">(('Business Case'!D11*$C833*'Business Case'!D12*$B833)-'Business Case'!D11*$C833*'Business Case'!D13*$D833-'Business Case'!D14*$E833)-MAX(0,(('Business Case'!D11*$C833*'Business Case'!D12*$B833)-'Business Case'!D11*$C833*'Business Case'!D13*$D833-'Business Case'!D14*$E833))*'Business Case'!$B$7-'Business Case'!$B$8*(('Business Case'!D11*$C833*'Business Case'!D12*$B833)-('Business Case'!C11*$C833*'Business Case'!C12*$B833))-'Business Case'!D15*$F833</f>
        <v>350567446.247602</v>
      </c>
      <c r="K833" s="39" t="n">
        <f aca="false">(('Business Case'!E11*$C833*'Business Case'!E12*$B833)-'Business Case'!E11*$C833*'Business Case'!E13*$D833-'Business Case'!E14*$E833)-MAX(0,(('Business Case'!E11*$C833*'Business Case'!E12*$B833)-'Business Case'!E11*$C833*'Business Case'!E13*$D833-'Business Case'!E14*$E833))*'Business Case'!$B$7-'Business Case'!$B$8*(('Business Case'!E11*$C833*'Business Case'!E12*$B833)-('Business Case'!D11*$C833*'Business Case'!D12*$B833))-'Business Case'!E15*$F833</f>
        <v>742073458.272415</v>
      </c>
      <c r="L833" s="39" t="n">
        <f aca="false">(('Business Case'!F11*$C833*'Business Case'!F12*$B833)-'Business Case'!F11*$C833*'Business Case'!F13*$D833-'Business Case'!F14*$E833)-MAX(0,(('Business Case'!F11*$C833*'Business Case'!F12*$B833)-'Business Case'!F11*$C833*'Business Case'!F13*$D833-'Business Case'!F14*$E833))*'Business Case'!$B$7-'Business Case'!$B$8*(('Business Case'!F11*$C833*'Business Case'!F12*$B833)-('Business Case'!E11*$C833*'Business Case'!E12*$B833))-'Business Case'!F15*$F833</f>
        <v>892128515.766263</v>
      </c>
      <c r="M833" s="39" t="n">
        <f aca="false">(('Business Case'!G11*$C833*'Business Case'!G12*$B833)-'Business Case'!G11*$C833*'Business Case'!G13*$D833-'Business Case'!G14*$E833)-MAX(0,(('Business Case'!G11*$C833*'Business Case'!G12*$B833)-'Business Case'!G11*$C833*'Business Case'!G13*$D833-'Business Case'!G14*$E833))*'Business Case'!$B$7-'Business Case'!$B$8*(('Business Case'!G11*$C833*'Business Case'!G12*$B833)-('Business Case'!F11*$C833*'Business Case'!F12*$B833))-'Business Case'!G15*$F833+'Business Case'!$B$8*('Business Case'!G11*$C833*'Business Case'!G12*$B833)</f>
        <v>1104569072.97078</v>
      </c>
      <c r="N833" s="39" t="n">
        <f aca="false">IF(COUNT('Business Case'!B11:G11)=0,"",H833+NPV(G833,I833:M833))</f>
        <v>-150460354.895046</v>
      </c>
      <c r="P833" s="40" t="n">
        <f aca="true">RAND()</f>
        <v>0.628501323633761</v>
      </c>
      <c r="Q833" s="40" t="n">
        <f aca="true">RAND()</f>
        <v>0.98313109992091</v>
      </c>
      <c r="R833" s="40" t="n">
        <f aca="true">RAND()</f>
        <v>0.573035041515281</v>
      </c>
      <c r="S833" s="40" t="n">
        <f aca="true">RAND()</f>
        <v>0.61660014656575</v>
      </c>
      <c r="T833" s="40" t="n">
        <f aca="true">RAND()</f>
        <v>0.938061866508726</v>
      </c>
      <c r="U833" s="40" t="n">
        <f aca="true">RAND()</f>
        <v>0.49453757816468</v>
      </c>
    </row>
    <row r="834" customFormat="false" ht="15" hidden="false" customHeight="false" outlineLevel="0" collapsed="false">
      <c r="A834" s="36" t="n">
        <v>754</v>
      </c>
      <c r="B834" s="37" t="n">
        <f aca="false">1+IF($G$6=$E$6,$F$6,IF(P834&lt;($F$6-$E$6)/($G$6-$E$6),$E$6+SQRT(P834*($G$6-$E$6)*($F$6-$E$6)),$G$6-SQRT((1-P834)*($G$6-$E$6)*($G$6-$F$6))))</f>
        <v>1.01257144718356</v>
      </c>
      <c r="C834" s="37" t="n">
        <f aca="false">1+IF($G$7=$E$7,$F$7,IF(Q834&lt;($F$7-$E$7)/($G$7-$E$7),$E$7+SQRT(Q834*($G$7-$E$7)*($F$7-$E$7)),$G$7-SQRT((1-Q834)*($G$7-$E$7)*($G$7-$F$7))))</f>
        <v>1.08869443767247</v>
      </c>
      <c r="D834" s="37" t="n">
        <f aca="false">1+IF($G$8=$E$8,$F$8,IF(R834&lt;($F$8-$E$8)/($G$8-$E$8),$E$8+SQRT(R834*($G$8-$E$8)*($F$8-$E$8)),$G$8-SQRT((1-R834)*($G$8-$E$8)*($G$8-$F$8))))</f>
        <v>0.99578560588333</v>
      </c>
      <c r="E834" s="37" t="n">
        <f aca="false">1+IF($G$9=$E$9,$F$9,IF(S834&lt;($F$9-$E$9)/($G$9-$E$9),$E$9+SQRT(S834*($G$9-$E$9)*($F$9-$E$9)),$G$9-SQRT((1-S834)*($G$9-$E$9)*($G$9-$F$9))))</f>
        <v>1.00129110827041</v>
      </c>
      <c r="F834" s="37" t="n">
        <f aca="false">1+IF($G$10=$E$10,$F$10,IF(T834&lt;($F$10-$E$10)/($G$10-$E$10),$E$10+SQRT(T834*($G$10-$E$10)*($F$10-$E$10)),$G$10-SQRT((1-T834)*($G$10-$E$10)*($G$10-$F$10))))</f>
        <v>1.01948168053979</v>
      </c>
      <c r="G834" s="38" t="n">
        <f aca="false">IF($G$11=$E$11,$F$11,IF(U834&lt;($F$11-$E$11)/($G$11-$E$11),$E$11+SQRT(U834*($G$11-$E$11)*($F$11-$E$11)),$G$11-SQRT((1-U834)*($G$11-$E$11)*($G$11-$F$11))))</f>
        <v>0.11747110201066</v>
      </c>
      <c r="H834" s="39" t="n">
        <f aca="false">(('Business Case'!B11*$C834*'Business Case'!B12*$B834)-'Business Case'!B11*$C834*'Business Case'!B13*$D834-'Business Case'!B14*$E834)-MAX(0,(('Business Case'!B11*$C834*'Business Case'!B12*$B834)-'Business Case'!B11*$C834*'Business Case'!B13*$D834-'Business Case'!B14*$E834))*'Business Case'!$B$7-'Business Case'!$B$8*('Business Case'!B11*$C834*'Business Case'!B12*$B834)-'Business Case'!B15*$F834</f>
        <v>-2038963361.07958</v>
      </c>
      <c r="I834" s="39" t="n">
        <f aca="false">(('Business Case'!C11*$C834*'Business Case'!C12*$B834)-'Business Case'!C11*$C834*'Business Case'!C13*$D834-'Business Case'!C14*$E834)-MAX(0,(('Business Case'!C11*$C834*'Business Case'!C12*$B834)-'Business Case'!C11*$C834*'Business Case'!C13*$D834-'Business Case'!C14*$E834))*'Business Case'!$B$7-'Business Case'!$B$8*(('Business Case'!C11*$C834*'Business Case'!C12*$B834)-('Business Case'!B11*$C834*'Business Case'!B12*$B834))-'Business Case'!C15*$F834</f>
        <v>46474469.1567397</v>
      </c>
      <c r="J834" s="39" t="n">
        <f aca="false">(('Business Case'!D11*$C834*'Business Case'!D12*$B834)-'Business Case'!D11*$C834*'Business Case'!D13*$D834-'Business Case'!D14*$E834)-MAX(0,(('Business Case'!D11*$C834*'Business Case'!D12*$B834)-'Business Case'!D11*$C834*'Business Case'!D13*$D834-'Business Case'!D14*$E834))*'Business Case'!$B$7-'Business Case'!$B$8*(('Business Case'!D11*$C834*'Business Case'!D12*$B834)-('Business Case'!C11*$C834*'Business Case'!C12*$B834))-'Business Case'!D15*$F834</f>
        <v>394428127.938468</v>
      </c>
      <c r="K834" s="39" t="n">
        <f aca="false">(('Business Case'!E11*$C834*'Business Case'!E12*$B834)-'Business Case'!E11*$C834*'Business Case'!E13*$D834-'Business Case'!E14*$E834)-MAX(0,(('Business Case'!E11*$C834*'Business Case'!E12*$B834)-'Business Case'!E11*$C834*'Business Case'!E13*$D834-'Business Case'!E14*$E834))*'Business Case'!$B$7-'Business Case'!$B$8*(('Business Case'!E11*$C834*'Business Case'!E12*$B834)-('Business Case'!D11*$C834*'Business Case'!D12*$B834))-'Business Case'!E15*$F834</f>
        <v>793355870.747185</v>
      </c>
      <c r="L834" s="39" t="n">
        <f aca="false">(('Business Case'!F11*$C834*'Business Case'!F12*$B834)-'Business Case'!F11*$C834*'Business Case'!F13*$D834-'Business Case'!F14*$E834)-MAX(0,(('Business Case'!F11*$C834*'Business Case'!F12*$B834)-'Business Case'!F11*$C834*'Business Case'!F13*$D834-'Business Case'!F14*$E834))*'Business Case'!$B$7-'Business Case'!$B$8*(('Business Case'!F11*$C834*'Business Case'!F12*$B834)-('Business Case'!E11*$C834*'Business Case'!E12*$B834))-'Business Case'!F15*$F834</f>
        <v>947438707.657733</v>
      </c>
      <c r="M834" s="39" t="n">
        <f aca="false">(('Business Case'!G11*$C834*'Business Case'!G12*$B834)-'Business Case'!G11*$C834*'Business Case'!G13*$D834-'Business Case'!G14*$E834)-MAX(0,(('Business Case'!G11*$C834*'Business Case'!G12*$B834)-'Business Case'!G11*$C834*'Business Case'!G13*$D834-'Business Case'!G14*$E834))*'Business Case'!$B$7-'Business Case'!$B$8*(('Business Case'!G11*$C834*'Business Case'!G12*$B834)-('Business Case'!F11*$C834*'Business Case'!F12*$B834))-'Business Case'!G15*$F834+'Business Case'!$B$8*('Business Case'!G11*$C834*'Business Case'!G12*$B834)</f>
        <v>1156979269.56591</v>
      </c>
      <c r="N834" s="39" t="n">
        <f aca="false">IF(COUNT('Business Case'!B11:G11)=0,"",H834+NPV(G834,I834:M834))</f>
        <v>158570327.58395</v>
      </c>
      <c r="P834" s="40" t="n">
        <f aca="true">RAND()</f>
        <v>0.84326551883244</v>
      </c>
      <c r="Q834" s="40" t="n">
        <f aca="true">RAND()</f>
        <v>0.928411962432488</v>
      </c>
      <c r="R834" s="40" t="n">
        <f aca="true">RAND()</f>
        <v>0.322511031708252</v>
      </c>
      <c r="S834" s="40" t="n">
        <f aca="true">RAND()</f>
        <v>0.350436979567698</v>
      </c>
      <c r="T834" s="40" t="n">
        <f aca="true">RAND()</f>
        <v>0.348262726785224</v>
      </c>
      <c r="U834" s="40" t="n">
        <f aca="true">RAND()</f>
        <v>0.98934112493252</v>
      </c>
    </row>
    <row r="835" customFormat="false" ht="15" hidden="false" customHeight="false" outlineLevel="0" collapsed="false">
      <c r="A835" s="36" t="n">
        <v>755</v>
      </c>
      <c r="B835" s="37" t="n">
        <f aca="false">1+IF($G$6=$E$6,$F$6,IF(P835&lt;($F$6-$E$6)/($G$6-$E$6),$E$6+SQRT(P835*($G$6-$E$6)*($F$6-$E$6)),$G$6-SQRT((1-P835)*($G$6-$E$6)*($G$6-$F$6))))</f>
        <v>0.963578744850708</v>
      </c>
      <c r="C835" s="37" t="n">
        <f aca="false">1+IF($G$7=$E$7,$F$7,IF(Q835&lt;($F$7-$E$7)/($G$7-$E$7),$E$7+SQRT(Q835*($G$7-$E$7)*($F$7-$E$7)),$G$7-SQRT((1-Q835)*($G$7-$E$7)*($G$7-$F$7))))</f>
        <v>1.08159204960827</v>
      </c>
      <c r="D835" s="37" t="n">
        <f aca="false">1+IF($G$8=$E$8,$F$8,IF(R835&lt;($F$8-$E$8)/($G$8-$E$8),$E$8+SQRT(R835*($G$8-$E$8)*($F$8-$E$8)),$G$8-SQRT((1-R835)*($G$8-$E$8)*($G$8-$F$8))))</f>
        <v>0.998060519562584</v>
      </c>
      <c r="E835" s="37" t="n">
        <f aca="false">1+IF($G$9=$E$9,$F$9,IF(S835&lt;($F$9-$E$9)/($G$9-$E$9),$E$9+SQRT(S835*($G$9-$E$9)*($F$9-$E$9)),$G$9-SQRT((1-S835)*($G$9-$E$9)*($G$9-$F$9))))</f>
        <v>1.01948069519273</v>
      </c>
      <c r="F835" s="37" t="n">
        <f aca="false">1+IF($G$10=$E$10,$F$10,IF(T835&lt;($F$10-$E$10)/($G$10-$E$10),$E$10+SQRT(T835*($G$10-$E$10)*($F$10-$E$10)),$G$10-SQRT((1-T835)*($G$10-$E$10)*($G$10-$F$10))))</f>
        <v>1.03100653739328</v>
      </c>
      <c r="G835" s="38" t="n">
        <f aca="false">IF($G$11=$E$11,$F$11,IF(U835&lt;($F$11-$E$11)/($G$11-$E$11),$E$11+SQRT(U835*($G$11-$E$11)*($F$11-$E$11)),$G$11-SQRT((1-U835)*($G$11-$E$11)*($G$11-$F$11))))</f>
        <v>0.0960556552095089</v>
      </c>
      <c r="H835" s="39" t="n">
        <f aca="false">(('Business Case'!B11*$C835*'Business Case'!B12*$B835)-'Business Case'!B11*$C835*'Business Case'!B13*$D835-'Business Case'!B14*$E835)-MAX(0,(('Business Case'!B11*$C835*'Business Case'!B12*$B835)-'Business Case'!B11*$C835*'Business Case'!B13*$D835-'Business Case'!B14*$E835))*'Business Case'!$B$7-'Business Case'!$B$8*('Business Case'!B11*$C835*'Business Case'!B12*$B835)-'Business Case'!B15*$F835</f>
        <v>-2062013074.78655</v>
      </c>
      <c r="I835" s="39" t="n">
        <f aca="false">(('Business Case'!C11*$C835*'Business Case'!C12*$B835)-'Business Case'!C11*$C835*'Business Case'!C13*$D835-'Business Case'!C14*$E835)-MAX(0,(('Business Case'!C11*$C835*'Business Case'!C12*$B835)-'Business Case'!C11*$C835*'Business Case'!C13*$D835-'Business Case'!C14*$E835))*'Business Case'!$B$7-'Business Case'!$B$8*(('Business Case'!C11*$C835*'Business Case'!C12*$B835)-('Business Case'!B11*$C835*'Business Case'!B12*$B835))-'Business Case'!C15*$F835</f>
        <v>-1077035.1609388</v>
      </c>
      <c r="J835" s="39" t="n">
        <f aca="false">(('Business Case'!D11*$C835*'Business Case'!D12*$B835)-'Business Case'!D11*$C835*'Business Case'!D13*$D835-'Business Case'!D14*$E835)-MAX(0,(('Business Case'!D11*$C835*'Business Case'!D12*$B835)-'Business Case'!D11*$C835*'Business Case'!D13*$D835-'Business Case'!D14*$E835))*'Business Case'!$B$7-'Business Case'!$B$8*(('Business Case'!D11*$C835*'Business Case'!D12*$B835)-('Business Case'!C11*$C835*'Business Case'!C12*$B835))-'Business Case'!D15*$F835</f>
        <v>299944340.115626</v>
      </c>
      <c r="K835" s="39" t="n">
        <f aca="false">(('Business Case'!E11*$C835*'Business Case'!E12*$B835)-'Business Case'!E11*$C835*'Business Case'!E13*$D835-'Business Case'!E14*$E835)-MAX(0,(('Business Case'!E11*$C835*'Business Case'!E12*$B835)-'Business Case'!E11*$C835*'Business Case'!E13*$D835-'Business Case'!E14*$E835))*'Business Case'!$B$7-'Business Case'!$B$8*(('Business Case'!E11*$C835*'Business Case'!E12*$B835)-('Business Case'!D11*$C835*'Business Case'!D12*$B835))-'Business Case'!E15*$F835</f>
        <v>652516042.261855</v>
      </c>
      <c r="L835" s="39" t="n">
        <f aca="false">(('Business Case'!F11*$C835*'Business Case'!F12*$B835)-'Business Case'!F11*$C835*'Business Case'!F13*$D835-'Business Case'!F14*$E835)-MAX(0,(('Business Case'!F11*$C835*'Business Case'!F12*$B835)-'Business Case'!F11*$C835*'Business Case'!F13*$D835-'Business Case'!F14*$E835))*'Business Case'!$B$7-'Business Case'!$B$8*(('Business Case'!F11*$C835*'Business Case'!F12*$B835)-('Business Case'!E11*$C835*'Business Case'!E12*$B835))-'Business Case'!F15*$F835</f>
        <v>788874901.915223</v>
      </c>
      <c r="M835" s="39" t="n">
        <f aca="false">(('Business Case'!G11*$C835*'Business Case'!G12*$B835)-'Business Case'!G11*$C835*'Business Case'!G13*$D835-'Business Case'!G14*$E835)-MAX(0,(('Business Case'!G11*$C835*'Business Case'!G12*$B835)-'Business Case'!G11*$C835*'Business Case'!G13*$D835-'Business Case'!G14*$E835))*'Business Case'!$B$7-'Business Case'!$B$8*(('Business Case'!G11*$C835*'Business Case'!G12*$B835)-('Business Case'!F11*$C835*'Business Case'!F12*$B835))-'Business Case'!G15*$F835+'Business Case'!$B$8*('Business Case'!G11*$C835*'Business Case'!G12*$B835)</f>
        <v>986976108.668379</v>
      </c>
      <c r="N835" s="39" t="n">
        <f aca="false">IF(COUNT('Business Case'!B11:G11)=0,"",H835+NPV(G835,I835:M835))</f>
        <v>-147212482.413659</v>
      </c>
      <c r="P835" s="40" t="n">
        <f aca="true">RAND()</f>
        <v>0.19782364612116</v>
      </c>
      <c r="Q835" s="40" t="n">
        <f aca="true">RAND()</f>
        <v>0.910863853775279</v>
      </c>
      <c r="R835" s="40" t="n">
        <f aca="true">RAND()</f>
        <v>0.355355929327006</v>
      </c>
      <c r="S835" s="40" t="n">
        <f aca="true">RAND()</f>
        <v>0.567776103556952</v>
      </c>
      <c r="T835" s="40" t="n">
        <f aca="true">RAND()</f>
        <v>0.4288241919238</v>
      </c>
      <c r="U835" s="40" t="n">
        <f aca="true">RAND()</f>
        <v>0.122236533388176</v>
      </c>
    </row>
    <row r="836" customFormat="false" ht="15" hidden="false" customHeight="false" outlineLevel="0" collapsed="false">
      <c r="A836" s="36" t="n">
        <v>756</v>
      </c>
      <c r="B836" s="37" t="n">
        <f aca="false">1+IF($G$6=$E$6,$F$6,IF(P836&lt;($F$6-$E$6)/($G$6-$E$6),$E$6+SQRT(P836*($G$6-$E$6)*($F$6-$E$6)),$G$6-SQRT((1-P836)*($G$6-$E$6)*($G$6-$F$6))))</f>
        <v>0.999208384129151</v>
      </c>
      <c r="C836" s="37" t="n">
        <f aca="false">1+IF($G$7=$E$7,$F$7,IF(Q836&lt;($F$7-$E$7)/($G$7-$E$7),$E$7+SQRT(Q836*($G$7-$E$7)*($F$7-$E$7)),$G$7-SQRT((1-Q836)*($G$7-$E$7)*($G$7-$F$7))))</f>
        <v>0.839029032104432</v>
      </c>
      <c r="D836" s="37" t="n">
        <f aca="false">1+IF($G$8=$E$8,$F$8,IF(R836&lt;($F$8-$E$8)/($G$8-$E$8),$E$8+SQRT(R836*($G$8-$E$8)*($F$8-$E$8)),$G$8-SQRT((1-R836)*($G$8-$E$8)*($G$8-$F$8))))</f>
        <v>1.01492933585248</v>
      </c>
      <c r="E836" s="37" t="n">
        <f aca="false">1+IF($G$9=$E$9,$F$9,IF(S836&lt;($F$9-$E$9)/($G$9-$E$9),$E$9+SQRT(S836*($G$9-$E$9)*($F$9-$E$9)),$G$9-SQRT((1-S836)*($G$9-$E$9)*($G$9-$F$9))))</f>
        <v>0.959727716105758</v>
      </c>
      <c r="F836" s="37" t="n">
        <f aca="false">1+IF($G$10=$E$10,$F$10,IF(T836&lt;($F$10-$E$10)/($G$10-$E$10),$E$10+SQRT(T836*($G$10-$E$10)*($F$10-$E$10)),$G$10-SQRT((1-T836)*($G$10-$E$10)*($G$10-$F$10))))</f>
        <v>1.13907772537609</v>
      </c>
      <c r="G836" s="38" t="n">
        <f aca="false">IF($G$11=$E$11,$F$11,IF(U836&lt;($F$11-$E$11)/($G$11-$E$11),$E$11+SQRT(U836*($G$11-$E$11)*($F$11-$E$11)),$G$11-SQRT((1-U836)*($G$11-$E$11)*($G$11-$F$11))))</f>
        <v>0.0982583642628443</v>
      </c>
      <c r="H836" s="39" t="n">
        <f aca="false">(('Business Case'!B11*$C836*'Business Case'!B12*$B836)-'Business Case'!B11*$C836*'Business Case'!B13*$D836-'Business Case'!B14*$E836)-MAX(0,(('Business Case'!B11*$C836*'Business Case'!B12*$B836)-'Business Case'!B11*$C836*'Business Case'!B13*$D836-'Business Case'!B14*$E836))*'Business Case'!$B$7-'Business Case'!$B$8*('Business Case'!B11*$C836*'Business Case'!B12*$B836)-'Business Case'!B15*$F836</f>
        <v>-2278155450.75218</v>
      </c>
      <c r="I836" s="39" t="n">
        <f aca="false">(('Business Case'!C11*$C836*'Business Case'!C12*$B836)-'Business Case'!C11*$C836*'Business Case'!C13*$D836-'Business Case'!C14*$E836)-MAX(0,(('Business Case'!C11*$C836*'Business Case'!C12*$B836)-'Business Case'!C11*$C836*'Business Case'!C13*$D836-'Business Case'!C14*$E836))*'Business Case'!$B$7-'Business Case'!$B$8*(('Business Case'!C11*$C836*'Business Case'!C12*$B836)-('Business Case'!B11*$C836*'Business Case'!B12*$B836))-'Business Case'!C15*$F836</f>
        <v>-43088845.1142407</v>
      </c>
      <c r="J836" s="39" t="n">
        <f aca="false">(('Business Case'!D11*$C836*'Business Case'!D12*$B836)-'Business Case'!D11*$C836*'Business Case'!D13*$D836-'Business Case'!D14*$E836)-MAX(0,(('Business Case'!D11*$C836*'Business Case'!D12*$B836)-'Business Case'!D11*$C836*'Business Case'!D13*$D836-'Business Case'!D14*$E836))*'Business Case'!$B$7-'Business Case'!$B$8*(('Business Case'!D11*$C836*'Business Case'!D12*$B836)-('Business Case'!C11*$C836*'Business Case'!C12*$B836))-'Business Case'!D15*$F836</f>
        <v>207664197.02156</v>
      </c>
      <c r="K836" s="39" t="n">
        <f aca="false">(('Business Case'!E11*$C836*'Business Case'!E12*$B836)-'Business Case'!E11*$C836*'Business Case'!E13*$D836-'Business Case'!E14*$E836)-MAX(0,(('Business Case'!E11*$C836*'Business Case'!E12*$B836)-'Business Case'!E11*$C836*'Business Case'!E13*$D836-'Business Case'!E14*$E836))*'Business Case'!$B$7-'Business Case'!$B$8*(('Business Case'!E11*$C836*'Business Case'!E12*$B836)-('Business Case'!D11*$C836*'Business Case'!D12*$B836))-'Business Case'!E15*$F836</f>
        <v>515371125.426166</v>
      </c>
      <c r="L836" s="39" t="n">
        <f aca="false">(('Business Case'!F11*$C836*'Business Case'!F12*$B836)-'Business Case'!F11*$C836*'Business Case'!F13*$D836-'Business Case'!F14*$E836)-MAX(0,(('Business Case'!F11*$C836*'Business Case'!F12*$B836)-'Business Case'!F11*$C836*'Business Case'!F13*$D836-'Business Case'!F14*$E836))*'Business Case'!$B$7-'Business Case'!$B$8*(('Business Case'!F11*$C836*'Business Case'!F12*$B836)-('Business Case'!E11*$C836*'Business Case'!E12*$B836))-'Business Case'!F15*$F836</f>
        <v>627929361.792895</v>
      </c>
      <c r="M836" s="39" t="n">
        <f aca="false">(('Business Case'!G11*$C836*'Business Case'!G12*$B836)-'Business Case'!G11*$C836*'Business Case'!G13*$D836-'Business Case'!G14*$E836)-MAX(0,(('Business Case'!G11*$C836*'Business Case'!G12*$B836)-'Business Case'!G11*$C836*'Business Case'!G13*$D836-'Business Case'!G14*$E836))*'Business Case'!$B$7-'Business Case'!$B$8*(('Business Case'!G11*$C836*'Business Case'!G12*$B836)-('Business Case'!F11*$C836*'Business Case'!F12*$B836))-'Business Case'!G15*$F836+'Business Case'!$B$8*('Business Case'!G11*$C836*'Business Case'!G12*$B836)</f>
        <v>787285751.227606</v>
      </c>
      <c r="N836" s="39" t="n">
        <f aca="false">IF(COUNT('Business Case'!B11:G11)=0,"",H836+NPV(G836,I836:M836))</f>
        <v>-831828094.870132</v>
      </c>
      <c r="P836" s="40" t="n">
        <f aca="true">RAND()</f>
        <v>0.653538345453238</v>
      </c>
      <c r="Q836" s="40" t="n">
        <f aca="true">RAND()</f>
        <v>0.0217609335286966</v>
      </c>
      <c r="R836" s="40" t="n">
        <f aca="true">RAND()</f>
        <v>0.592866218019251</v>
      </c>
      <c r="S836" s="40" t="n">
        <f aca="true">RAND()</f>
        <v>0.012617128084562</v>
      </c>
      <c r="T836" s="40" t="n">
        <f aca="true">RAND()</f>
        <v>0.925769529092982</v>
      </c>
      <c r="U836" s="40" t="n">
        <f aca="true">RAND()</f>
        <v>0.22733526765941</v>
      </c>
    </row>
    <row r="837" customFormat="false" ht="15" hidden="false" customHeight="false" outlineLevel="0" collapsed="false">
      <c r="A837" s="36" t="n">
        <v>757</v>
      </c>
      <c r="B837" s="37" t="n">
        <f aca="false">1+IF($G$6=$E$6,$F$6,IF(P837&lt;($F$6-$E$6)/($G$6-$E$6),$E$6+SQRT(P837*($G$6-$E$6)*($F$6-$E$6)),$G$6-SQRT((1-P837)*($G$6-$E$6)*($G$6-$F$6))))</f>
        <v>0.957246193854076</v>
      </c>
      <c r="C837" s="37" t="n">
        <f aca="false">1+IF($G$7=$E$7,$F$7,IF(Q837&lt;($F$7-$E$7)/($G$7-$E$7),$E$7+SQRT(Q837*($G$7-$E$7)*($F$7-$E$7)),$G$7-SQRT((1-Q837)*($G$7-$E$7)*($G$7-$F$7))))</f>
        <v>0.861930980375699</v>
      </c>
      <c r="D837" s="37" t="n">
        <f aca="false">1+IF($G$8=$E$8,$F$8,IF(R837&lt;($F$8-$E$8)/($G$8-$E$8),$E$8+SQRT(R837*($G$8-$E$8)*($F$8-$E$8)),$G$8-SQRT((1-R837)*($G$8-$E$8)*($G$8-$F$8))))</f>
        <v>0.999348332470544</v>
      </c>
      <c r="E837" s="37" t="n">
        <f aca="false">1+IF($G$9=$E$9,$F$9,IF(S837&lt;($F$9-$E$9)/($G$9-$E$9),$E$9+SQRT(S837*($G$9-$E$9)*($F$9-$E$9)),$G$9-SQRT((1-S837)*($G$9-$E$9)*($G$9-$F$9))))</f>
        <v>0.977197440437559</v>
      </c>
      <c r="F837" s="37" t="n">
        <f aca="false">1+IF($G$10=$E$10,$F$10,IF(T837&lt;($F$10-$E$10)/($G$10-$E$10),$E$10+SQRT(T837*($G$10-$E$10)*($F$10-$E$10)),$G$10-SQRT((1-T837)*($G$10-$E$10)*($G$10-$F$10))))</f>
        <v>1.09881924305701</v>
      </c>
      <c r="G837" s="38" t="n">
        <f aca="false">IF($G$11=$E$11,$F$11,IF(U837&lt;($F$11-$E$11)/($G$11-$E$11),$E$11+SQRT(U837*($G$11-$E$11)*($F$11-$E$11)),$G$11-SQRT((1-U837)*($G$11-$E$11)*($G$11-$F$11))))</f>
        <v>0.115251361751486</v>
      </c>
      <c r="H837" s="39" t="n">
        <f aca="false">(('Business Case'!B11*$C837*'Business Case'!B12*$B837)-'Business Case'!B11*$C837*'Business Case'!B13*$D837-'Business Case'!B14*$E837)-MAX(0,(('Business Case'!B11*$C837*'Business Case'!B12*$B837)-'Business Case'!B11*$C837*'Business Case'!B13*$D837-'Business Case'!B14*$E837))*'Business Case'!$B$7-'Business Case'!$B$8*('Business Case'!B11*$C837*'Business Case'!B12*$B837)-'Business Case'!B15*$F837</f>
        <v>-2197638486.11402</v>
      </c>
      <c r="I837" s="39" t="n">
        <f aca="false">(('Business Case'!C11*$C837*'Business Case'!C12*$B837)-'Business Case'!C11*$C837*'Business Case'!C13*$D837-'Business Case'!C14*$E837)-MAX(0,(('Business Case'!C11*$C837*'Business Case'!C12*$B837)-'Business Case'!C11*$C837*'Business Case'!C13*$D837-'Business Case'!C14*$E837))*'Business Case'!$B$7-'Business Case'!$B$8*(('Business Case'!C11*$C837*'Business Case'!C12*$B837)-('Business Case'!B11*$C837*'Business Case'!B12*$B837))-'Business Case'!C15*$F837</f>
        <v>-56763672.3221413</v>
      </c>
      <c r="J837" s="39" t="n">
        <f aca="false">(('Business Case'!D11*$C837*'Business Case'!D12*$B837)-'Business Case'!D11*$C837*'Business Case'!D13*$D837-'Business Case'!D14*$E837)-MAX(0,(('Business Case'!D11*$C837*'Business Case'!D12*$B837)-'Business Case'!D11*$C837*'Business Case'!D13*$D837-'Business Case'!D14*$E837))*'Business Case'!$B$7-'Business Case'!$B$8*(('Business Case'!D11*$C837*'Business Case'!D12*$B837)-('Business Case'!C11*$C837*'Business Case'!C12*$B837))-'Business Case'!D15*$F837</f>
        <v>178084210.684723</v>
      </c>
      <c r="K837" s="39" t="n">
        <f aca="false">(('Business Case'!E11*$C837*'Business Case'!E12*$B837)-'Business Case'!E11*$C837*'Business Case'!E13*$D837-'Business Case'!E14*$E837)-MAX(0,(('Business Case'!E11*$C837*'Business Case'!E12*$B837)-'Business Case'!E11*$C837*'Business Case'!E13*$D837-'Business Case'!E14*$E837))*'Business Case'!$B$7-'Business Case'!$B$8*(('Business Case'!E11*$C837*'Business Case'!E12*$B837)-('Business Case'!D11*$C837*'Business Case'!D12*$B837))-'Business Case'!E15*$F837</f>
        <v>467873055.844438</v>
      </c>
      <c r="L837" s="39" t="n">
        <f aca="false">(('Business Case'!F11*$C837*'Business Case'!F12*$B837)-'Business Case'!F11*$C837*'Business Case'!F13*$D837-'Business Case'!F14*$E837)-MAX(0,(('Business Case'!F11*$C837*'Business Case'!F12*$B837)-'Business Case'!F11*$C837*'Business Case'!F13*$D837-'Business Case'!F14*$E837))*'Business Case'!$B$7-'Business Case'!$B$8*(('Business Case'!F11*$C837*'Business Case'!F12*$B837)-('Business Case'!E11*$C837*'Business Case'!E12*$B837))-'Business Case'!F15*$F837</f>
        <v>574670453.508783</v>
      </c>
      <c r="M837" s="39" t="n">
        <f aca="false">(('Business Case'!G11*$C837*'Business Case'!G12*$B837)-'Business Case'!G11*$C837*'Business Case'!G13*$D837-'Business Case'!G14*$E837)-MAX(0,(('Business Case'!G11*$C837*'Business Case'!G12*$B837)-'Business Case'!G11*$C837*'Business Case'!G13*$D837-'Business Case'!G14*$E837))*'Business Case'!$B$7-'Business Case'!$B$8*(('Business Case'!G11*$C837*'Business Case'!G12*$B837)-('Business Case'!F11*$C837*'Business Case'!F12*$B837))-'Business Case'!G15*$F837+'Business Case'!$B$8*('Business Case'!G11*$C837*'Business Case'!G12*$B837)</f>
        <v>731501688.483424</v>
      </c>
      <c r="N837" s="39" t="n">
        <f aca="false">IF(COUNT('Business Case'!B11:G11)=0,"",H837+NPV(G837,I837:M837))</f>
        <v>-972602578.234471</v>
      </c>
      <c r="P837" s="40" t="n">
        <f aca="true">RAND()</f>
        <v>0.144508224647436</v>
      </c>
      <c r="Q837" s="40" t="n">
        <f aca="true">RAND()</f>
        <v>0.0547920904327883</v>
      </c>
      <c r="R837" s="40" t="n">
        <f aca="true">RAND()</f>
        <v>0.374655064249748</v>
      </c>
      <c r="S837" s="40" t="n">
        <f aca="true">RAND()</f>
        <v>0.0986267688472772</v>
      </c>
      <c r="T837" s="40" t="n">
        <f aca="true">RAND()</f>
        <v>0.795249088488877</v>
      </c>
      <c r="U837" s="40" t="n">
        <f aca="true">RAND()</f>
        <v>0.96241739130791</v>
      </c>
    </row>
    <row r="838" customFormat="false" ht="15" hidden="false" customHeight="false" outlineLevel="0" collapsed="false">
      <c r="A838" s="36" t="n">
        <v>758</v>
      </c>
      <c r="B838" s="37" t="n">
        <f aca="false">1+IF($G$6=$E$6,$F$6,IF(P838&lt;($F$6-$E$6)/($G$6-$E$6),$E$6+SQRT(P838*($G$6-$E$6)*($F$6-$E$6)),$G$6-SQRT((1-P838)*($G$6-$E$6)*($G$6-$F$6))))</f>
        <v>0.994062412922539</v>
      </c>
      <c r="C838" s="37" t="n">
        <f aca="false">1+IF($G$7=$E$7,$F$7,IF(Q838&lt;($F$7-$E$7)/($G$7-$E$7),$E$7+SQRT(Q838*($G$7-$E$7)*($F$7-$E$7)),$G$7-SQRT((1-Q838)*($G$7-$E$7)*($G$7-$F$7))))</f>
        <v>0.888593245755646</v>
      </c>
      <c r="D838" s="37" t="n">
        <f aca="false">1+IF($G$8=$E$8,$F$8,IF(R838&lt;($F$8-$E$8)/($G$8-$E$8),$E$8+SQRT(R838*($G$8-$E$8)*($F$8-$E$8)),$G$8-SQRT((1-R838)*($G$8-$E$8)*($G$8-$F$8))))</f>
        <v>1.05899677521748</v>
      </c>
      <c r="E838" s="37" t="n">
        <f aca="false">1+IF($G$9=$E$9,$F$9,IF(S838&lt;($F$9-$E$9)/($G$9-$E$9),$E$9+SQRT(S838*($G$9-$E$9)*($F$9-$E$9)),$G$9-SQRT((1-S838)*($G$9-$E$9)*($G$9-$F$9))))</f>
        <v>1.0541357704817</v>
      </c>
      <c r="F838" s="37" t="n">
        <f aca="false">1+IF($G$10=$E$10,$F$10,IF(T838&lt;($F$10-$E$10)/($G$10-$E$10),$E$10+SQRT(T838*($G$10-$E$10)*($F$10-$E$10)),$G$10-SQRT((1-T838)*($G$10-$E$10)*($G$10-$F$10))))</f>
        <v>1.03070707290942</v>
      </c>
      <c r="G838" s="38" t="n">
        <f aca="false">IF($G$11=$E$11,$F$11,IF(U838&lt;($F$11-$E$11)/($G$11-$E$11),$E$11+SQRT(U838*($G$11-$E$11)*($F$11-$E$11)),$G$11-SQRT((1-U838)*($G$11-$E$11)*($G$11-$F$11))))</f>
        <v>0.102087129309466</v>
      </c>
      <c r="H838" s="39" t="n">
        <f aca="false">(('Business Case'!B11*$C838*'Business Case'!B12*$B838)-'Business Case'!B11*$C838*'Business Case'!B13*$D838-'Business Case'!B14*$E838)-MAX(0,(('Business Case'!B11*$C838*'Business Case'!B12*$B838)-'Business Case'!B11*$C838*'Business Case'!B13*$D838-'Business Case'!B14*$E838))*'Business Case'!$B$7-'Business Case'!$B$8*('Business Case'!B11*$C838*'Business Case'!B12*$B838)-'Business Case'!B15*$F838</f>
        <v>-2061414145.81885</v>
      </c>
      <c r="I838" s="39" t="n">
        <f aca="false">(('Business Case'!C11*$C838*'Business Case'!C12*$B838)-'Business Case'!C11*$C838*'Business Case'!C13*$D838-'Business Case'!C14*$E838)-MAX(0,(('Business Case'!C11*$C838*'Business Case'!C12*$B838)-'Business Case'!C11*$C838*'Business Case'!C13*$D838-'Business Case'!C14*$E838))*'Business Case'!$B$7-'Business Case'!$B$8*(('Business Case'!C11*$C838*'Business Case'!C12*$B838)-('Business Case'!B11*$C838*'Business Case'!B12*$B838))-'Business Case'!C15*$F838</f>
        <v>-56985251.3648889</v>
      </c>
      <c r="J838" s="39" t="n">
        <f aca="false">(('Business Case'!D11*$C838*'Business Case'!D12*$B838)-'Business Case'!D11*$C838*'Business Case'!D13*$D838-'Business Case'!D14*$E838)-MAX(0,(('Business Case'!D11*$C838*'Business Case'!D12*$B838)-'Business Case'!D11*$C838*'Business Case'!D13*$D838-'Business Case'!D14*$E838))*'Business Case'!$B$7-'Business Case'!$B$8*(('Business Case'!D11*$C838*'Business Case'!D12*$B838)-('Business Case'!C11*$C838*'Business Case'!C12*$B838))-'Business Case'!D15*$F838</f>
        <v>184789471.971396</v>
      </c>
      <c r="K838" s="39" t="n">
        <f aca="false">(('Business Case'!E11*$C838*'Business Case'!E12*$B838)-'Business Case'!E11*$C838*'Business Case'!E13*$D838-'Business Case'!E14*$E838)-MAX(0,(('Business Case'!E11*$C838*'Business Case'!E12*$B838)-'Business Case'!E11*$C838*'Business Case'!E13*$D838-'Business Case'!E14*$E838))*'Business Case'!$B$7-'Business Case'!$B$8*(('Business Case'!E11*$C838*'Business Case'!E12*$B838)-('Business Case'!D11*$C838*'Business Case'!D12*$B838))-'Business Case'!E15*$F838</f>
        <v>478099548.953153</v>
      </c>
      <c r="L838" s="39" t="n">
        <f aca="false">(('Business Case'!F11*$C838*'Business Case'!F12*$B838)-'Business Case'!F11*$C838*'Business Case'!F13*$D838-'Business Case'!F14*$E838)-MAX(0,(('Business Case'!F11*$C838*'Business Case'!F12*$B838)-'Business Case'!F11*$C838*'Business Case'!F13*$D838-'Business Case'!F14*$E838))*'Business Case'!$B$7-'Business Case'!$B$8*(('Business Case'!F11*$C838*'Business Case'!F12*$B838)-('Business Case'!E11*$C838*'Business Case'!E12*$B838))-'Business Case'!F15*$F838</f>
        <v>589218563.963738</v>
      </c>
      <c r="M838" s="39" t="n">
        <f aca="false">(('Business Case'!G11*$C838*'Business Case'!G12*$B838)-'Business Case'!G11*$C838*'Business Case'!G13*$D838-'Business Case'!G14*$E838)-MAX(0,(('Business Case'!G11*$C838*'Business Case'!G12*$B838)-'Business Case'!G11*$C838*'Business Case'!G13*$D838-'Business Case'!G14*$E838))*'Business Case'!$B$7-'Business Case'!$B$8*(('Business Case'!G11*$C838*'Business Case'!G12*$B838)-('Business Case'!F11*$C838*'Business Case'!F12*$B838))-'Business Case'!G15*$F838+'Business Case'!$B$8*('Business Case'!G11*$C838*'Business Case'!G12*$B838)</f>
        <v>757119487.072097</v>
      </c>
      <c r="N838" s="39" t="n">
        <f aca="false">IF(COUNT('Business Case'!B11:G11)=0,"",H838+NPV(G838,I838:M838))</f>
        <v>-738732524.749548</v>
      </c>
      <c r="P838" s="40" t="n">
        <f aca="true">RAND()</f>
        <v>0.571379271657147</v>
      </c>
      <c r="Q838" s="40" t="n">
        <f aca="true">RAND()</f>
        <v>0.112125188478862</v>
      </c>
      <c r="R838" s="40" t="n">
        <f aca="true">RAND()</f>
        <v>0.957583129686052</v>
      </c>
      <c r="S838" s="40" t="n">
        <f aca="true">RAND()</f>
        <v>0.859764830046172</v>
      </c>
      <c r="T838" s="40" t="n">
        <f aca="true">RAND()</f>
        <v>0.426798096742095</v>
      </c>
      <c r="U838" s="40" t="n">
        <f aca="true">RAND()</f>
        <v>0.465215106040348</v>
      </c>
    </row>
    <row r="839" customFormat="false" ht="15" hidden="false" customHeight="false" outlineLevel="0" collapsed="false">
      <c r="A839" s="36" t="n">
        <v>759</v>
      </c>
      <c r="B839" s="37" t="n">
        <f aca="false">1+IF($G$6=$E$6,$F$6,IF(P839&lt;($F$6-$E$6)/($G$6-$E$6),$E$6+SQRT(P839*($G$6-$E$6)*($F$6-$E$6)),$G$6-SQRT((1-P839)*($G$6-$E$6)*($G$6-$F$6))))</f>
        <v>1.00958288588753</v>
      </c>
      <c r="C839" s="37" t="n">
        <f aca="false">1+IF($G$7=$E$7,$F$7,IF(Q839&lt;($F$7-$E$7)/($G$7-$E$7),$E$7+SQRT(Q839*($G$7-$E$7)*($F$7-$E$7)),$G$7-SQRT((1-Q839)*($G$7-$E$7)*($G$7-$F$7))))</f>
        <v>0.994318773777256</v>
      </c>
      <c r="D839" s="37" t="n">
        <f aca="false">1+IF($G$8=$E$8,$F$8,IF(R839&lt;($F$8-$E$8)/($G$8-$E$8),$E$8+SQRT(R839*($G$8-$E$8)*($F$8-$E$8)),$G$8-SQRT((1-R839)*($G$8-$E$8)*($G$8-$F$8))))</f>
        <v>0.979113102290284</v>
      </c>
      <c r="E839" s="37" t="n">
        <f aca="false">1+IF($G$9=$E$9,$F$9,IF(S839&lt;($F$9-$E$9)/($G$9-$E$9),$E$9+SQRT(S839*($G$9-$E$9)*($F$9-$E$9)),$G$9-SQRT((1-S839)*($G$9-$E$9)*($G$9-$F$9))))</f>
        <v>1.05031779465915</v>
      </c>
      <c r="F839" s="37" t="n">
        <f aca="false">1+IF($G$10=$E$10,$F$10,IF(T839&lt;($F$10-$E$10)/($G$10-$E$10),$E$10+SQRT(T839*($G$10-$E$10)*($F$10-$E$10)),$G$10-SQRT((1-T839)*($G$10-$E$10)*($G$10-$F$10))))</f>
        <v>0.968333357358035</v>
      </c>
      <c r="G839" s="38" t="n">
        <f aca="false">IF($G$11=$E$11,$F$11,IF(U839&lt;($F$11-$E$11)/($G$11-$E$11),$E$11+SQRT(U839*($G$11-$E$11)*($F$11-$E$11)),$G$11-SQRT((1-U839)*($G$11-$E$11)*($G$11-$F$11))))</f>
        <v>0.0962647573949587</v>
      </c>
      <c r="H839" s="39" t="n">
        <f aca="false">(('Business Case'!B11*$C839*'Business Case'!B12*$B839)-'Business Case'!B11*$C839*'Business Case'!B13*$D839-'Business Case'!B14*$E839)-MAX(0,(('Business Case'!B11*$C839*'Business Case'!B12*$B839)-'Business Case'!B11*$C839*'Business Case'!B13*$D839-'Business Case'!B14*$E839))*'Business Case'!$B$7-'Business Case'!$B$8*('Business Case'!B11*$C839*'Business Case'!B12*$B839)-'Business Case'!B15*$F839</f>
        <v>-1936666714.71607</v>
      </c>
      <c r="I839" s="39" t="n">
        <f aca="false">(('Business Case'!C11*$C839*'Business Case'!C12*$B839)-'Business Case'!C11*$C839*'Business Case'!C13*$D839-'Business Case'!C14*$E839)-MAX(0,(('Business Case'!C11*$C839*'Business Case'!C12*$B839)-'Business Case'!C11*$C839*'Business Case'!C13*$D839-'Business Case'!C14*$E839))*'Business Case'!$B$7-'Business Case'!$B$8*(('Business Case'!C11*$C839*'Business Case'!C12*$B839)-('Business Case'!B11*$C839*'Business Case'!B12*$B839))-'Business Case'!C15*$F839</f>
        <v>25615189.8935351</v>
      </c>
      <c r="J839" s="39" t="n">
        <f aca="false">(('Business Case'!D11*$C839*'Business Case'!D12*$B839)-'Business Case'!D11*$C839*'Business Case'!D13*$D839-'Business Case'!D14*$E839)-MAX(0,(('Business Case'!D11*$C839*'Business Case'!D12*$B839)-'Business Case'!D11*$C839*'Business Case'!D13*$D839-'Business Case'!D14*$E839))*'Business Case'!$B$7-'Business Case'!$B$8*(('Business Case'!D11*$C839*'Business Case'!D12*$B839)-('Business Case'!C11*$C839*'Business Case'!C12*$B839))-'Business Case'!D15*$F839</f>
        <v>349458345.65902</v>
      </c>
      <c r="K839" s="39" t="n">
        <f aca="false">(('Business Case'!E11*$C839*'Business Case'!E12*$B839)-'Business Case'!E11*$C839*'Business Case'!E13*$D839-'Business Case'!E14*$E839)-MAX(0,(('Business Case'!E11*$C839*'Business Case'!E12*$B839)-'Business Case'!E11*$C839*'Business Case'!E13*$D839-'Business Case'!E14*$E839))*'Business Case'!$B$7-'Business Case'!$B$8*(('Business Case'!E11*$C839*'Business Case'!E12*$B839)-('Business Case'!D11*$C839*'Business Case'!D12*$B839))-'Business Case'!E15*$F839</f>
        <v>721718169.292406</v>
      </c>
      <c r="L839" s="39" t="n">
        <f aca="false">(('Business Case'!F11*$C839*'Business Case'!F12*$B839)-'Business Case'!F11*$C839*'Business Case'!F13*$D839-'Business Case'!F14*$E839)-MAX(0,(('Business Case'!F11*$C839*'Business Case'!F12*$B839)-'Business Case'!F11*$C839*'Business Case'!F13*$D839-'Business Case'!F14*$E839))*'Business Case'!$B$7-'Business Case'!$B$8*(('Business Case'!F11*$C839*'Business Case'!F12*$B839)-('Business Case'!E11*$C839*'Business Case'!E12*$B839))-'Business Case'!F15*$F839</f>
        <v>864358847.704643</v>
      </c>
      <c r="M839" s="39" t="n">
        <f aca="false">(('Business Case'!G11*$C839*'Business Case'!G12*$B839)-'Business Case'!G11*$C839*'Business Case'!G13*$D839-'Business Case'!G14*$E839)-MAX(0,(('Business Case'!G11*$C839*'Business Case'!G12*$B839)-'Business Case'!G11*$C839*'Business Case'!G13*$D839-'Business Case'!G14*$E839))*'Business Case'!$B$7-'Business Case'!$B$8*(('Business Case'!G11*$C839*'Business Case'!G12*$B839)-('Business Case'!F11*$C839*'Business Case'!F12*$B839))-'Business Case'!G15*$F839+'Business Case'!$B$8*('Business Case'!G11*$C839*'Business Case'!G12*$B839)</f>
        <v>1055170126.73523</v>
      </c>
      <c r="N839" s="39" t="n">
        <f aca="false">IF(COUNT('Business Case'!B11:G11)=0,"",H839+NPV(G839,I839:M839))</f>
        <v>190149976.887692</v>
      </c>
      <c r="P839" s="40" t="n">
        <f aca="true">RAND()</f>
        <v>0.807249826889343</v>
      </c>
      <c r="Q839" s="40" t="n">
        <f aca="true">RAND()</f>
        <v>0.539425512032803</v>
      </c>
      <c r="R839" s="40" t="n">
        <f aca="true">RAND()</f>
        <v>0.130395803840702</v>
      </c>
      <c r="S839" s="40" t="n">
        <f aca="true">RAND()</f>
        <v>0.835445231497989</v>
      </c>
      <c r="T839" s="40" t="n">
        <f aca="true">RAND()</f>
        <v>0.0268889593613944</v>
      </c>
      <c r="U839" s="40" t="n">
        <f aca="true">RAND()</f>
        <v>0.130823950725633</v>
      </c>
    </row>
    <row r="840" customFormat="false" ht="15" hidden="false" customHeight="false" outlineLevel="0" collapsed="false">
      <c r="A840" s="36" t="n">
        <v>760</v>
      </c>
      <c r="B840" s="37" t="n">
        <f aca="false">1+IF($G$6=$E$6,$F$6,IF(P840&lt;($F$6-$E$6)/($G$6-$E$6),$E$6+SQRT(P840*($G$6-$E$6)*($F$6-$E$6)),$G$6-SQRT((1-P840)*($G$6-$E$6)*($G$6-$F$6))))</f>
        <v>1.0045578178187</v>
      </c>
      <c r="C840" s="37" t="n">
        <f aca="false">1+IF($G$7=$E$7,$F$7,IF(Q840&lt;($F$7-$E$7)/($G$7-$E$7),$E$7+SQRT(Q840*($G$7-$E$7)*($F$7-$E$7)),$G$7-SQRT((1-Q840)*($G$7-$E$7)*($G$7-$F$7))))</f>
        <v>1.12328774220923</v>
      </c>
      <c r="D840" s="37" t="n">
        <f aca="false">1+IF($G$8=$E$8,$F$8,IF(R840&lt;($F$8-$E$8)/($G$8-$E$8),$E$8+SQRT(R840*($G$8-$E$8)*($F$8-$E$8)),$G$8-SQRT((1-R840)*($G$8-$E$8)*($G$8-$F$8))))</f>
        <v>0.992871363807975</v>
      </c>
      <c r="E840" s="37" t="n">
        <f aca="false">1+IF($G$9=$E$9,$F$9,IF(S840&lt;($F$9-$E$9)/($G$9-$E$9),$E$9+SQRT(S840*($G$9-$E$9)*($F$9-$E$9)),$G$9-SQRT((1-S840)*($G$9-$E$9)*($G$9-$F$9))))</f>
        <v>1.0609073585666</v>
      </c>
      <c r="F840" s="37" t="n">
        <f aca="false">1+IF($G$10=$E$10,$F$10,IF(T840&lt;($F$10-$E$10)/($G$10-$E$10),$E$10+SQRT(T840*($G$10-$E$10)*($F$10-$E$10)),$G$10-SQRT((1-T840)*($G$10-$E$10)*($G$10-$F$10))))</f>
        <v>1.18405510921839</v>
      </c>
      <c r="G840" s="38" t="n">
        <f aca="false">IF($G$11=$E$11,$F$11,IF(U840&lt;($F$11-$E$11)/($G$11-$E$11),$E$11+SQRT(U840*($G$11-$E$11)*($F$11-$E$11)),$G$11-SQRT((1-U840)*($G$11-$E$11)*($G$11-$F$11))))</f>
        <v>0.114410717463715</v>
      </c>
      <c r="H840" s="39" t="n">
        <f aca="false">(('Business Case'!B11*$C840*'Business Case'!B12*$B840)-'Business Case'!B11*$C840*'Business Case'!B13*$D840-'Business Case'!B14*$E840)-MAX(0,(('Business Case'!B11*$C840*'Business Case'!B12*$B840)-'Business Case'!B11*$C840*'Business Case'!B13*$D840-'Business Case'!B14*$E840))*'Business Case'!$B$7-'Business Case'!$B$8*('Business Case'!B11*$C840*'Business Case'!B12*$B840)-'Business Case'!B15*$F840</f>
        <v>-2368110218.43678</v>
      </c>
      <c r="I840" s="39" t="n">
        <f aca="false">(('Business Case'!C11*$C840*'Business Case'!C12*$B840)-'Business Case'!C11*$C840*'Business Case'!C13*$D840-'Business Case'!C14*$E840)-MAX(0,(('Business Case'!C11*$C840*'Business Case'!C12*$B840)-'Business Case'!C11*$C840*'Business Case'!C13*$D840-'Business Case'!C14*$E840))*'Business Case'!$B$7-'Business Case'!$B$8*(('Business Case'!C11*$C840*'Business Case'!C12*$B840)-('Business Case'!B11*$C840*'Business Case'!B12*$B840))-'Business Case'!C15*$F840</f>
        <v>25549536.110751</v>
      </c>
      <c r="J840" s="39" t="n">
        <f aca="false">(('Business Case'!D11*$C840*'Business Case'!D12*$B840)-'Business Case'!D11*$C840*'Business Case'!D13*$D840-'Business Case'!D14*$E840)-MAX(0,(('Business Case'!D11*$C840*'Business Case'!D12*$B840)-'Business Case'!D11*$C840*'Business Case'!D13*$D840-'Business Case'!D14*$E840))*'Business Case'!$B$7-'Business Case'!$B$8*(('Business Case'!D11*$C840*'Business Case'!D12*$B840)-('Business Case'!C11*$C840*'Business Case'!C12*$B840))-'Business Case'!D15*$F840</f>
        <v>378862253.455218</v>
      </c>
      <c r="K840" s="39" t="n">
        <f aca="false">(('Business Case'!E11*$C840*'Business Case'!E12*$B840)-'Business Case'!E11*$C840*'Business Case'!E13*$D840-'Business Case'!E14*$E840)-MAX(0,(('Business Case'!E11*$C840*'Business Case'!E12*$B840)-'Business Case'!E11*$C840*'Business Case'!E13*$D840-'Business Case'!E14*$E840))*'Business Case'!$B$7-'Business Case'!$B$8*(('Business Case'!E11*$C840*'Business Case'!E12*$B840)-('Business Case'!D11*$C840*'Business Case'!D12*$B840))-'Business Case'!E15*$F840</f>
        <v>791377726.260606</v>
      </c>
      <c r="L840" s="39" t="n">
        <f aca="false">(('Business Case'!F11*$C840*'Business Case'!F12*$B840)-'Business Case'!F11*$C840*'Business Case'!F13*$D840-'Business Case'!F14*$E840)-MAX(0,(('Business Case'!F11*$C840*'Business Case'!F12*$B840)-'Business Case'!F11*$C840*'Business Case'!F13*$D840-'Business Case'!F14*$E840))*'Business Case'!$B$7-'Business Case'!$B$8*(('Business Case'!F11*$C840*'Business Case'!F12*$B840)-('Business Case'!E11*$C840*'Business Case'!E12*$B840))-'Business Case'!F15*$F840</f>
        <v>948146394.6579</v>
      </c>
      <c r="M840" s="39" t="n">
        <f aca="false">(('Business Case'!G11*$C840*'Business Case'!G12*$B840)-'Business Case'!G11*$C840*'Business Case'!G13*$D840-'Business Case'!G14*$E840)-MAX(0,(('Business Case'!G11*$C840*'Business Case'!G12*$B840)-'Business Case'!G11*$C840*'Business Case'!G13*$D840-'Business Case'!G14*$E840))*'Business Case'!$B$7-'Business Case'!$B$8*(('Business Case'!G11*$C840*'Business Case'!G12*$B840)-('Business Case'!F11*$C840*'Business Case'!F12*$B840))-'Business Case'!G15*$F840+'Business Case'!$B$8*('Business Case'!G11*$C840*'Business Case'!G12*$B840)</f>
        <v>1162634089.04482</v>
      </c>
      <c r="N840" s="39" t="n">
        <f aca="false">IF(COUNT('Business Case'!B11:G11)=0,"",H840+NPV(G840,I840:M840))</f>
        <v>-177150503.271874</v>
      </c>
      <c r="P840" s="40" t="n">
        <f aca="true">RAND()</f>
        <v>0.73830244213067</v>
      </c>
      <c r="Q840" s="40" t="n">
        <f aca="true">RAND()</f>
        <v>0.986408672070846</v>
      </c>
      <c r="R840" s="40" t="n">
        <f aca="true">RAND()</f>
        <v>0.282762128423955</v>
      </c>
      <c r="S840" s="40" t="n">
        <f aca="true">RAND()</f>
        <v>0.898117692383984</v>
      </c>
      <c r="T840" s="40" t="n">
        <f aca="true">RAND()</f>
        <v>0.99491520915925</v>
      </c>
      <c r="U840" s="40" t="n">
        <f aca="true">RAND()</f>
        <v>0.947933201215966</v>
      </c>
    </row>
    <row r="841" customFormat="false" ht="15" hidden="false" customHeight="false" outlineLevel="0" collapsed="false">
      <c r="A841" s="36" t="n">
        <v>761</v>
      </c>
      <c r="B841" s="37" t="n">
        <f aca="false">1+IF($G$6=$E$6,$F$6,IF(P841&lt;($F$6-$E$6)/($G$6-$E$6),$E$6+SQRT(P841*($G$6-$E$6)*($F$6-$E$6)),$G$6-SQRT((1-P841)*($G$6-$E$6)*($G$6-$F$6))))</f>
        <v>1.01113907239616</v>
      </c>
      <c r="C841" s="37" t="n">
        <f aca="false">1+IF($G$7=$E$7,$F$7,IF(Q841&lt;($F$7-$E$7)/($G$7-$E$7),$E$7+SQRT(Q841*($G$7-$E$7)*($F$7-$E$7)),$G$7-SQRT((1-Q841)*($G$7-$E$7)*($G$7-$F$7))))</f>
        <v>1.10671417511403</v>
      </c>
      <c r="D841" s="37" t="n">
        <f aca="false">1+IF($G$8=$E$8,$F$8,IF(R841&lt;($F$8-$E$8)/($G$8-$E$8),$E$8+SQRT(R841*($G$8-$E$8)*($F$8-$E$8)),$G$8-SQRT((1-R841)*($G$8-$E$8)*($G$8-$F$8))))</f>
        <v>1.03977368646211</v>
      </c>
      <c r="E841" s="37" t="n">
        <f aca="false">1+IF($G$9=$E$9,$F$9,IF(S841&lt;($F$9-$E$9)/($G$9-$E$9),$E$9+SQRT(S841*($G$9-$E$9)*($F$9-$E$9)),$G$9-SQRT((1-S841)*($G$9-$E$9)*($G$9-$F$9))))</f>
        <v>1.01612240370561</v>
      </c>
      <c r="F841" s="37" t="n">
        <f aca="false">1+IF($G$10=$E$10,$F$10,IF(T841&lt;($F$10-$E$10)/($G$10-$E$10),$E$10+SQRT(T841*($G$10-$E$10)*($F$10-$E$10)),$G$10-SQRT((1-T841)*($G$10-$E$10)*($G$10-$F$10))))</f>
        <v>1.05177285093035</v>
      </c>
      <c r="G841" s="38" t="n">
        <f aca="false">IF($G$11=$E$11,$F$11,IF(U841&lt;($F$11-$E$11)/($G$11-$E$11),$E$11+SQRT(U841*($G$11-$E$11)*($F$11-$E$11)),$G$11-SQRT((1-U841)*($G$11-$E$11)*($G$11-$F$11))))</f>
        <v>0.106087007098178</v>
      </c>
      <c r="H841" s="39" t="n">
        <f aca="false">(('Business Case'!B11*$C841*'Business Case'!B12*$B841)-'Business Case'!B11*$C841*'Business Case'!B13*$D841-'Business Case'!B14*$E841)-MAX(0,(('Business Case'!B11*$C841*'Business Case'!B12*$B841)-'Business Case'!B11*$C841*'Business Case'!B13*$D841-'Business Case'!B14*$E841))*'Business Case'!$B$7-'Business Case'!$B$8*('Business Case'!B11*$C841*'Business Case'!B12*$B841)-'Business Case'!B15*$F841</f>
        <v>-2103545701.8607</v>
      </c>
      <c r="I841" s="39" t="n">
        <f aca="false">(('Business Case'!C11*$C841*'Business Case'!C12*$B841)-'Business Case'!C11*$C841*'Business Case'!C13*$D841-'Business Case'!C14*$E841)-MAX(0,(('Business Case'!C11*$C841*'Business Case'!C12*$B841)-'Business Case'!C11*$C841*'Business Case'!C13*$D841-'Business Case'!C14*$E841))*'Business Case'!$B$7-'Business Case'!$B$8*(('Business Case'!C11*$C841*'Business Case'!C12*$B841)-('Business Case'!B11*$C841*'Business Case'!B12*$B841))-'Business Case'!C15*$F841</f>
        <v>19812030.6013514</v>
      </c>
      <c r="J841" s="39" t="n">
        <f aca="false">(('Business Case'!D11*$C841*'Business Case'!D12*$B841)-'Business Case'!D11*$C841*'Business Case'!D13*$D841-'Business Case'!D14*$E841)-MAX(0,(('Business Case'!D11*$C841*'Business Case'!D12*$B841)-'Business Case'!D11*$C841*'Business Case'!D13*$D841-'Business Case'!D14*$E841))*'Business Case'!$B$7-'Business Case'!$B$8*(('Business Case'!D11*$C841*'Business Case'!D12*$B841)-('Business Case'!C11*$C841*'Business Case'!C12*$B841))-'Business Case'!D15*$F841</f>
        <v>347305086.502055</v>
      </c>
      <c r="K841" s="39" t="n">
        <f aca="false">(('Business Case'!E11*$C841*'Business Case'!E12*$B841)-'Business Case'!E11*$C841*'Business Case'!E13*$D841-'Business Case'!E14*$E841)-MAX(0,(('Business Case'!E11*$C841*'Business Case'!E12*$B841)-'Business Case'!E11*$C841*'Business Case'!E13*$D841-'Business Case'!E14*$E841))*'Business Case'!$B$7-'Business Case'!$B$8*(('Business Case'!E11*$C841*'Business Case'!E12*$B841)-('Business Case'!D11*$C841*'Business Case'!D12*$B841))-'Business Case'!E15*$F841</f>
        <v>727386784.949276</v>
      </c>
      <c r="L841" s="39" t="n">
        <f aca="false">(('Business Case'!F11*$C841*'Business Case'!F12*$B841)-'Business Case'!F11*$C841*'Business Case'!F13*$D841-'Business Case'!F14*$E841)-MAX(0,(('Business Case'!F11*$C841*'Business Case'!F12*$B841)-'Business Case'!F11*$C841*'Business Case'!F13*$D841-'Business Case'!F14*$E841))*'Business Case'!$B$7-'Business Case'!$B$8*(('Business Case'!F11*$C841*'Business Case'!F12*$B841)-('Business Case'!E11*$C841*'Business Case'!E12*$B841))-'Business Case'!F15*$F841</f>
        <v>875225226.515763</v>
      </c>
      <c r="M841" s="39" t="n">
        <f aca="false">(('Business Case'!G11*$C841*'Business Case'!G12*$B841)-'Business Case'!G11*$C841*'Business Case'!G13*$D841-'Business Case'!G14*$E841)-MAX(0,(('Business Case'!G11*$C841*'Business Case'!G12*$B841)-'Business Case'!G11*$C841*'Business Case'!G13*$D841-'Business Case'!G14*$E841))*'Business Case'!$B$7-'Business Case'!$B$8*(('Business Case'!G11*$C841*'Business Case'!G12*$B841)-('Business Case'!F11*$C841*'Business Case'!F12*$B841))-'Business Case'!G15*$F841+'Business Case'!$B$8*('Business Case'!G11*$C841*'Business Case'!G12*$B841)</f>
        <v>1087932719.31349</v>
      </c>
      <c r="N841" s="39" t="n">
        <f aca="false">IF(COUNT('Business Case'!B11:G11)=0,"",H841+NPV(G841,I841:M841))</f>
        <v>-22355443.8853605</v>
      </c>
      <c r="P841" s="40" t="n">
        <f aca="true">RAND()</f>
        <v>0.826468095384507</v>
      </c>
      <c r="Q841" s="40" t="n">
        <f aca="true">RAND()</f>
        <v>0.964311187884589</v>
      </c>
      <c r="R841" s="40" t="n">
        <f aca="true">RAND()</f>
        <v>0.844408047995302</v>
      </c>
      <c r="S841" s="40" t="n">
        <f aca="true">RAND()</f>
        <v>0.530969922658318</v>
      </c>
      <c r="T841" s="40" t="n">
        <f aca="true">RAND()</f>
        <v>0.560574245573685</v>
      </c>
      <c r="U841" s="40" t="n">
        <f aca="true">RAND()</f>
        <v>0.67738104752309</v>
      </c>
    </row>
    <row r="842" customFormat="false" ht="15" hidden="false" customHeight="false" outlineLevel="0" collapsed="false">
      <c r="A842" s="36" t="n">
        <v>762</v>
      </c>
      <c r="B842" s="37" t="n">
        <f aca="false">1+IF($G$6=$E$6,$F$6,IF(P842&lt;($F$6-$E$6)/($G$6-$E$6),$E$6+SQRT(P842*($G$6-$E$6)*($F$6-$E$6)),$G$6-SQRT((1-P842)*($G$6-$E$6)*($G$6-$F$6))))</f>
        <v>0.981776799661853</v>
      </c>
      <c r="C842" s="37" t="n">
        <f aca="false">1+IF($G$7=$E$7,$F$7,IF(Q842&lt;($F$7-$E$7)/($G$7-$E$7),$E$7+SQRT(Q842*($G$7-$E$7)*($F$7-$E$7)),$G$7-SQRT((1-Q842)*($G$7-$E$7)*($G$7-$F$7))))</f>
        <v>1.01428295465689</v>
      </c>
      <c r="D842" s="37" t="n">
        <f aca="false">1+IF($G$8=$E$8,$F$8,IF(R842&lt;($F$8-$E$8)/($G$8-$E$8),$E$8+SQRT(R842*($G$8-$E$8)*($F$8-$E$8)),$G$8-SQRT((1-R842)*($G$8-$E$8)*($G$8-$F$8))))</f>
        <v>1.03847163992375</v>
      </c>
      <c r="E842" s="37" t="n">
        <f aca="false">1+IF($G$9=$E$9,$F$9,IF(S842&lt;($F$9-$E$9)/($G$9-$E$9),$E$9+SQRT(S842*($G$9-$E$9)*($F$9-$E$9)),$G$9-SQRT((1-S842)*($G$9-$E$9)*($G$9-$F$9))))</f>
        <v>1.06589562921435</v>
      </c>
      <c r="F842" s="37" t="n">
        <f aca="false">1+IF($G$10=$E$10,$F$10,IF(T842&lt;($F$10-$E$10)/($G$10-$E$10),$E$10+SQRT(T842*($G$10-$E$10)*($F$10-$E$10)),$G$10-SQRT((1-T842)*($G$10-$E$10)*($G$10-$F$10))))</f>
        <v>0.983880799758631</v>
      </c>
      <c r="G842" s="38" t="n">
        <f aca="false">IF($G$11=$E$11,$F$11,IF(U842&lt;($F$11-$E$11)/($G$11-$E$11),$E$11+SQRT(U842*($G$11-$E$11)*($F$11-$E$11)),$G$11-SQRT((1-U842)*($G$11-$E$11)*($G$11-$F$11))))</f>
        <v>0.113272200209664</v>
      </c>
      <c r="H842" s="39" t="n">
        <f aca="false">(('Business Case'!B11*$C842*'Business Case'!B12*$B842)-'Business Case'!B11*$C842*'Business Case'!B13*$D842-'Business Case'!B14*$E842)-MAX(0,(('Business Case'!B11*$C842*'Business Case'!B12*$B842)-'Business Case'!B11*$C842*'Business Case'!B13*$D842-'Business Case'!B14*$E842))*'Business Case'!$B$7-'Business Case'!$B$8*('Business Case'!B11*$C842*'Business Case'!B12*$B842)-'Business Case'!B15*$F842</f>
        <v>-1967761599.51726</v>
      </c>
      <c r="I842" s="39" t="n">
        <f aca="false">(('Business Case'!C11*$C842*'Business Case'!C12*$B842)-'Business Case'!C11*$C842*'Business Case'!C13*$D842-'Business Case'!C14*$E842)-MAX(0,(('Business Case'!C11*$C842*'Business Case'!C12*$B842)-'Business Case'!C11*$C842*'Business Case'!C13*$D842-'Business Case'!C14*$E842))*'Business Case'!$B$7-'Business Case'!$B$8*(('Business Case'!C11*$C842*'Business Case'!C12*$B842)-('Business Case'!B11*$C842*'Business Case'!B12*$B842))-'Business Case'!C15*$F842</f>
        <v>-25156643.3546344</v>
      </c>
      <c r="J842" s="39" t="n">
        <f aca="false">(('Business Case'!D11*$C842*'Business Case'!D12*$B842)-'Business Case'!D11*$C842*'Business Case'!D13*$D842-'Business Case'!D14*$E842)-MAX(0,(('Business Case'!D11*$C842*'Business Case'!D12*$B842)-'Business Case'!D11*$C842*'Business Case'!D13*$D842-'Business Case'!D14*$E842))*'Business Case'!$B$7-'Business Case'!$B$8*(('Business Case'!D11*$C842*'Business Case'!D12*$B842)-('Business Case'!C11*$C842*'Business Case'!C12*$B842))-'Business Case'!D15*$F842</f>
        <v>251267396.430246</v>
      </c>
      <c r="K842" s="39" t="n">
        <f aca="false">(('Business Case'!E11*$C842*'Business Case'!E12*$B842)-'Business Case'!E11*$C842*'Business Case'!E13*$D842-'Business Case'!E14*$E842)-MAX(0,(('Business Case'!E11*$C842*'Business Case'!E12*$B842)-'Business Case'!E11*$C842*'Business Case'!E13*$D842-'Business Case'!E14*$E842))*'Business Case'!$B$7-'Business Case'!$B$8*(('Business Case'!E11*$C842*'Business Case'!E12*$B842)-('Business Case'!D11*$C842*'Business Case'!D12*$B842))-'Business Case'!E15*$F842</f>
        <v>576885476.203059</v>
      </c>
      <c r="L842" s="39" t="n">
        <f aca="false">(('Business Case'!F11*$C842*'Business Case'!F12*$B842)-'Business Case'!F11*$C842*'Business Case'!F13*$D842-'Business Case'!F14*$E842)-MAX(0,(('Business Case'!F11*$C842*'Business Case'!F12*$B842)-'Business Case'!F11*$C842*'Business Case'!F13*$D842-'Business Case'!F14*$E842))*'Business Case'!$B$7-'Business Case'!$B$8*(('Business Case'!F11*$C842*'Business Case'!F12*$B842)-('Business Case'!E11*$C842*'Business Case'!E12*$B842))-'Business Case'!F15*$F842</f>
        <v>703441652.590934</v>
      </c>
      <c r="M842" s="39" t="n">
        <f aca="false">(('Business Case'!G11*$C842*'Business Case'!G12*$B842)-'Business Case'!G11*$C842*'Business Case'!G13*$D842-'Business Case'!G14*$E842)-MAX(0,(('Business Case'!G11*$C842*'Business Case'!G12*$B842)-'Business Case'!G11*$C842*'Business Case'!G13*$D842-'Business Case'!G14*$E842))*'Business Case'!$B$7-'Business Case'!$B$8*(('Business Case'!G11*$C842*'Business Case'!G12*$B842)-('Business Case'!F11*$C842*'Business Case'!F12*$B842))-'Business Case'!G15*$F842+'Business Case'!$B$8*('Business Case'!G11*$C842*'Business Case'!G12*$B842)</f>
        <v>892723216.451964</v>
      </c>
      <c r="N842" s="39" t="n">
        <f aca="false">IF(COUNT('Business Case'!B11:G11)=0,"",H842+NPV(G842,I842:M842))</f>
        <v>-389514004.901787</v>
      </c>
      <c r="P842" s="40" t="n">
        <f aca="true">RAND()</f>
        <v>0.397538851714662</v>
      </c>
      <c r="Q842" s="40" t="n">
        <f aca="true">RAND()</f>
        <v>0.649159687682619</v>
      </c>
      <c r="R842" s="40" t="n">
        <f aca="true">RAND()</f>
        <v>0.834172625901693</v>
      </c>
      <c r="S842" s="40" t="n">
        <f aca="true">RAND()</f>
        <v>0.922459459554306</v>
      </c>
      <c r="T842" s="40" t="n">
        <f aca="true">RAND()</f>
        <v>0.0918326873827563</v>
      </c>
      <c r="U842" s="40" t="n">
        <f aca="true">RAND()</f>
        <v>0.924561183301929</v>
      </c>
    </row>
    <row r="843" customFormat="false" ht="15" hidden="false" customHeight="false" outlineLevel="0" collapsed="false">
      <c r="A843" s="36" t="n">
        <v>763</v>
      </c>
      <c r="B843" s="37" t="n">
        <f aca="false">1+IF($G$6=$E$6,$F$6,IF(P843&lt;($F$6-$E$6)/($G$6-$E$6),$E$6+SQRT(P843*($G$6-$E$6)*($F$6-$E$6)),$G$6-SQRT((1-P843)*($G$6-$E$6)*($G$6-$F$6))))</f>
        <v>0.988554994471408</v>
      </c>
      <c r="C843" s="37" t="n">
        <f aca="false">1+IF($G$7=$E$7,$F$7,IF(Q843&lt;($F$7-$E$7)/($G$7-$E$7),$E$7+SQRT(Q843*($G$7-$E$7)*($F$7-$E$7)),$G$7-SQRT((1-Q843)*($G$7-$E$7)*($G$7-$F$7))))</f>
        <v>0.953023184820503</v>
      </c>
      <c r="D843" s="37" t="n">
        <f aca="false">1+IF($G$8=$E$8,$F$8,IF(R843&lt;($F$8-$E$8)/($G$8-$E$8),$E$8+SQRT(R843*($G$8-$E$8)*($F$8-$E$8)),$G$8-SQRT((1-R843)*($G$8-$E$8)*($G$8-$F$8))))</f>
        <v>1.00465799961736</v>
      </c>
      <c r="E843" s="37" t="n">
        <f aca="false">1+IF($G$9=$E$9,$F$9,IF(S843&lt;($F$9-$E$9)/($G$9-$E$9),$E$9+SQRT(S843*($G$9-$E$9)*($F$9-$E$9)),$G$9-SQRT((1-S843)*($G$9-$E$9)*($G$9-$F$9))))</f>
        <v>0.999329940135053</v>
      </c>
      <c r="F843" s="37" t="n">
        <f aca="false">1+IF($G$10=$E$10,$F$10,IF(T843&lt;($F$10-$E$10)/($G$10-$E$10),$E$10+SQRT(T843*($G$10-$E$10)*($F$10-$E$10)),$G$10-SQRT((1-T843)*($G$10-$E$10)*($G$10-$F$10))))</f>
        <v>1.12416144672571</v>
      </c>
      <c r="G843" s="38" t="n">
        <f aca="false">IF($G$11=$E$11,$F$11,IF(U843&lt;($F$11-$E$11)/($G$11-$E$11),$E$11+SQRT(U843*($G$11-$E$11)*($F$11-$E$11)),$G$11-SQRT((1-U843)*($G$11-$E$11)*($G$11-$F$11))))</f>
        <v>0.110747658495182</v>
      </c>
      <c r="H843" s="39" t="n">
        <f aca="false">(('Business Case'!B11*$C843*'Business Case'!B12*$B843)-'Business Case'!B11*$C843*'Business Case'!B13*$D843-'Business Case'!B14*$E843)-MAX(0,(('Business Case'!B11*$C843*'Business Case'!B12*$B843)-'Business Case'!B11*$C843*'Business Case'!B13*$D843-'Business Case'!B14*$E843))*'Business Case'!$B$7-'Business Case'!$B$8*('Business Case'!B11*$C843*'Business Case'!B12*$B843)-'Business Case'!B15*$F843</f>
        <v>-2248322893.45143</v>
      </c>
      <c r="I843" s="39" t="n">
        <f aca="false">(('Business Case'!C11*$C843*'Business Case'!C12*$B843)-'Business Case'!C11*$C843*'Business Case'!C13*$D843-'Business Case'!C14*$E843)-MAX(0,(('Business Case'!C11*$C843*'Business Case'!C12*$B843)-'Business Case'!C11*$C843*'Business Case'!C13*$D843-'Business Case'!C14*$E843))*'Business Case'!$B$7-'Business Case'!$B$8*(('Business Case'!C11*$C843*'Business Case'!C12*$B843)-('Business Case'!B11*$C843*'Business Case'!B12*$B843))-'Business Case'!C15*$F843</f>
        <v>-21843584.9234201</v>
      </c>
      <c r="J843" s="39" t="n">
        <f aca="false">(('Business Case'!D11*$C843*'Business Case'!D12*$B843)-'Business Case'!D11*$C843*'Business Case'!D13*$D843-'Business Case'!D14*$E843)-MAX(0,(('Business Case'!D11*$C843*'Business Case'!D12*$B843)-'Business Case'!D11*$C843*'Business Case'!D13*$D843-'Business Case'!D14*$E843))*'Business Case'!$B$7-'Business Case'!$B$8*(('Business Case'!D11*$C843*'Business Case'!D12*$B843)-('Business Case'!C11*$C843*'Business Case'!C12*$B843))-'Business Case'!D15*$F843</f>
        <v>259672976.898734</v>
      </c>
      <c r="K843" s="39" t="n">
        <f aca="false">(('Business Case'!E11*$C843*'Business Case'!E12*$B843)-'Business Case'!E11*$C843*'Business Case'!E13*$D843-'Business Case'!E14*$E843)-MAX(0,(('Business Case'!E11*$C843*'Business Case'!E12*$B843)-'Business Case'!E11*$C843*'Business Case'!E13*$D843-'Business Case'!E14*$E843))*'Business Case'!$B$7-'Business Case'!$B$8*(('Business Case'!E11*$C843*'Business Case'!E12*$B843)-('Business Case'!D11*$C843*'Business Case'!D12*$B843))-'Business Case'!E15*$F843</f>
        <v>597397611.057174</v>
      </c>
      <c r="L843" s="39" t="n">
        <f aca="false">(('Business Case'!F11*$C843*'Business Case'!F12*$B843)-'Business Case'!F11*$C843*'Business Case'!F13*$D843-'Business Case'!F14*$E843)-MAX(0,(('Business Case'!F11*$C843*'Business Case'!F12*$B843)-'Business Case'!F11*$C843*'Business Case'!F13*$D843-'Business Case'!F14*$E843))*'Business Case'!$B$7-'Business Case'!$B$8*(('Business Case'!F11*$C843*'Business Case'!F12*$B843)-('Business Case'!E11*$C843*'Business Case'!E12*$B843))-'Business Case'!F15*$F843</f>
        <v>723795988.055091</v>
      </c>
      <c r="M843" s="39" t="n">
        <f aca="false">(('Business Case'!G11*$C843*'Business Case'!G12*$B843)-'Business Case'!G11*$C843*'Business Case'!G13*$D843-'Business Case'!G14*$E843)-MAX(0,(('Business Case'!G11*$C843*'Business Case'!G12*$B843)-'Business Case'!G11*$C843*'Business Case'!G13*$D843-'Business Case'!G14*$E843))*'Business Case'!$B$7-'Business Case'!$B$8*(('Business Case'!G11*$C843*'Business Case'!G12*$B843)-('Business Case'!F11*$C843*'Business Case'!F12*$B843))-'Business Case'!G15*$F843+'Business Case'!$B$8*('Business Case'!G11*$C843*'Business Case'!G12*$B843)</f>
        <v>902873364.869685</v>
      </c>
      <c r="N843" s="39" t="n">
        <f aca="false">IF(COUNT('Business Case'!B11:G11)=0,"",H843+NPV(G843,I843:M843))</f>
        <v>-612070340.37041</v>
      </c>
      <c r="P843" s="40" t="n">
        <f aca="true">RAND()</f>
        <v>0.489561173643203</v>
      </c>
      <c r="Q843" s="40" t="n">
        <f aca="true">RAND()</f>
        <v>0.334515644180142</v>
      </c>
      <c r="R843" s="40" t="n">
        <f aca="true">RAND()</f>
        <v>0.454190670994448</v>
      </c>
      <c r="S843" s="40" t="n">
        <f aca="true">RAND()</f>
        <v>0.324459065830389</v>
      </c>
      <c r="T843" s="40" t="n">
        <f aca="true">RAND()</f>
        <v>0.884970276745265</v>
      </c>
      <c r="U843" s="40" t="n">
        <f aca="true">RAND()</f>
        <v>0.857323627797028</v>
      </c>
    </row>
    <row r="844" customFormat="false" ht="15" hidden="false" customHeight="false" outlineLevel="0" collapsed="false">
      <c r="A844" s="36" t="n">
        <v>764</v>
      </c>
      <c r="B844" s="37" t="n">
        <f aca="false">1+IF($G$6=$E$6,$F$6,IF(P844&lt;($F$6-$E$6)/($G$6-$E$6),$E$6+SQRT(P844*($G$6-$E$6)*($F$6-$E$6)),$G$6-SQRT((1-P844)*($G$6-$E$6)*($G$6-$F$6))))</f>
        <v>0.97396365005543</v>
      </c>
      <c r="C844" s="37" t="n">
        <f aca="false">1+IF($G$7=$E$7,$F$7,IF(Q844&lt;($F$7-$E$7)/($G$7-$E$7),$E$7+SQRT(Q844*($G$7-$E$7)*($F$7-$E$7)),$G$7-SQRT((1-Q844)*($G$7-$E$7)*($G$7-$F$7))))</f>
        <v>0.874722304855071</v>
      </c>
      <c r="D844" s="37" t="n">
        <f aca="false">1+IF($G$8=$E$8,$F$8,IF(R844&lt;($F$8-$E$8)/($G$8-$E$8),$E$8+SQRT(R844*($G$8-$E$8)*($F$8-$E$8)),$G$8-SQRT((1-R844)*($G$8-$E$8)*($G$8-$F$8))))</f>
        <v>1.02041891385009</v>
      </c>
      <c r="E844" s="37" t="n">
        <f aca="false">1+IF($G$9=$E$9,$F$9,IF(S844&lt;($F$9-$E$9)/($G$9-$E$9),$E$9+SQRT(S844*($G$9-$E$9)*($F$9-$E$9)),$G$9-SQRT((1-S844)*($G$9-$E$9)*($G$9-$F$9))))</f>
        <v>1.00156262513995</v>
      </c>
      <c r="F844" s="37" t="n">
        <f aca="false">1+IF($G$10=$E$10,$F$10,IF(T844&lt;($F$10-$E$10)/($G$10-$E$10),$E$10+SQRT(T844*($G$10-$E$10)*($F$10-$E$10)),$G$10-SQRT((1-T844)*($G$10-$E$10)*($G$10-$F$10))))</f>
        <v>1.02945229705342</v>
      </c>
      <c r="G844" s="38" t="n">
        <f aca="false">IF($G$11=$E$11,$F$11,IF(U844&lt;($F$11-$E$11)/($G$11-$E$11),$E$11+SQRT(U844*($G$11-$E$11)*($F$11-$E$11)),$G$11-SQRT((1-U844)*($G$11-$E$11)*($G$11-$F$11))))</f>
        <v>0.112763324327731</v>
      </c>
      <c r="H844" s="39" t="n">
        <f aca="false">(('Business Case'!B11*$C844*'Business Case'!B12*$B844)-'Business Case'!B11*$C844*'Business Case'!B13*$D844-'Business Case'!B14*$E844)-MAX(0,(('Business Case'!B11*$C844*'Business Case'!B12*$B844)-'Business Case'!B11*$C844*'Business Case'!B13*$D844-'Business Case'!B14*$E844))*'Business Case'!$B$7-'Business Case'!$B$8*('Business Case'!B11*$C844*'Business Case'!B12*$B844)-'Business Case'!B15*$F844</f>
        <v>-2058904594.10685</v>
      </c>
      <c r="I844" s="39" t="n">
        <f aca="false">(('Business Case'!C11*$C844*'Business Case'!C12*$B844)-'Business Case'!C11*$C844*'Business Case'!C13*$D844-'Business Case'!C14*$E844)-MAX(0,(('Business Case'!C11*$C844*'Business Case'!C12*$B844)-'Business Case'!C11*$C844*'Business Case'!C13*$D844-'Business Case'!C14*$E844))*'Business Case'!$B$7-'Business Case'!$B$8*(('Business Case'!C11*$C844*'Business Case'!C12*$B844)-('Business Case'!B11*$C844*'Business Case'!B12*$B844))-'Business Case'!C15*$F844</f>
        <v>-48657058.7975091</v>
      </c>
      <c r="J844" s="39" t="n">
        <f aca="false">(('Business Case'!D11*$C844*'Business Case'!D12*$B844)-'Business Case'!D11*$C844*'Business Case'!D13*$D844-'Business Case'!D14*$E844)-MAX(0,(('Business Case'!D11*$C844*'Business Case'!D12*$B844)-'Business Case'!D11*$C844*'Business Case'!D13*$D844-'Business Case'!D14*$E844))*'Business Case'!$B$7-'Business Case'!$B$8*(('Business Case'!D11*$C844*'Business Case'!D12*$B844)-('Business Case'!C11*$C844*'Business Case'!C12*$B844))-'Business Case'!D15*$F844</f>
        <v>192218287.667334</v>
      </c>
      <c r="K844" s="39" t="n">
        <f aca="false">(('Business Case'!E11*$C844*'Business Case'!E12*$B844)-'Business Case'!E11*$C844*'Business Case'!E13*$D844-'Business Case'!E14*$E844)-MAX(0,(('Business Case'!E11*$C844*'Business Case'!E12*$B844)-'Business Case'!E11*$C844*'Business Case'!E13*$D844-'Business Case'!E14*$E844))*'Business Case'!$B$7-'Business Case'!$B$8*(('Business Case'!E11*$C844*'Business Case'!E12*$B844)-('Business Case'!D11*$C844*'Business Case'!D12*$B844))-'Business Case'!E15*$F844</f>
        <v>484566248.984849</v>
      </c>
      <c r="L844" s="39" t="n">
        <f aca="false">(('Business Case'!F11*$C844*'Business Case'!F12*$B844)-'Business Case'!F11*$C844*'Business Case'!F13*$D844-'Business Case'!F14*$E844)-MAX(0,(('Business Case'!F11*$C844*'Business Case'!F12*$B844)-'Business Case'!F11*$C844*'Business Case'!F13*$D844-'Business Case'!F14*$E844))*'Business Case'!$B$7-'Business Case'!$B$8*(('Business Case'!F11*$C844*'Business Case'!F12*$B844)-('Business Case'!E11*$C844*'Business Case'!E12*$B844))-'Business Case'!F15*$F844</f>
        <v>594301344.647869</v>
      </c>
      <c r="M844" s="39" t="n">
        <f aca="false">(('Business Case'!G11*$C844*'Business Case'!G12*$B844)-'Business Case'!G11*$C844*'Business Case'!G13*$D844-'Business Case'!G14*$E844)-MAX(0,(('Business Case'!G11*$C844*'Business Case'!G12*$B844)-'Business Case'!G11*$C844*'Business Case'!G13*$D844-'Business Case'!G14*$E844))*'Business Case'!$B$7-'Business Case'!$B$8*(('Business Case'!G11*$C844*'Business Case'!G12*$B844)-('Business Case'!F11*$C844*'Business Case'!F12*$B844))-'Business Case'!G15*$F844+'Business Case'!$B$8*('Business Case'!G11*$C844*'Business Case'!G12*$B844)</f>
        <v>756239568.942268</v>
      </c>
      <c r="N844" s="39" t="n">
        <f aca="false">IF(COUNT('Business Case'!B11:G11)=0,"",H844+NPV(G844,I844:M844))</f>
        <v>-764861448.584317</v>
      </c>
      <c r="P844" s="40" t="n">
        <f aca="true">RAND()</f>
        <v>0.303341200760925</v>
      </c>
      <c r="Q844" s="40" t="n">
        <f aca="true">RAND()</f>
        <v>0.0797631834693461</v>
      </c>
      <c r="R844" s="40" t="n">
        <f aca="true">RAND()</f>
        <v>0.658662901268889</v>
      </c>
      <c r="S844" s="40" t="n">
        <f aca="true">RAND()</f>
        <v>0.354005548710809</v>
      </c>
      <c r="T844" s="40" t="n">
        <f aca="true">RAND()</f>
        <v>0.41826962039293</v>
      </c>
      <c r="U844" s="40" t="n">
        <f aca="true">RAND()</f>
        <v>0.912717542023979</v>
      </c>
    </row>
    <row r="845" customFormat="false" ht="15" hidden="false" customHeight="false" outlineLevel="0" collapsed="false">
      <c r="A845" s="36" t="n">
        <v>765</v>
      </c>
      <c r="B845" s="37" t="n">
        <f aca="false">1+IF($G$6=$E$6,$F$6,IF(P845&lt;($F$6-$E$6)/($G$6-$E$6),$E$6+SQRT(P845*($G$6-$E$6)*($F$6-$E$6)),$G$6-SQRT((1-P845)*($G$6-$E$6)*($G$6-$F$6))))</f>
        <v>0.951852285474463</v>
      </c>
      <c r="C845" s="37" t="n">
        <f aca="false">1+IF($G$7=$E$7,$F$7,IF(Q845&lt;($F$7-$E$7)/($G$7-$E$7),$E$7+SQRT(Q845*($G$7-$E$7)*($F$7-$E$7)),$G$7-SQRT((1-Q845)*($G$7-$E$7)*($G$7-$F$7))))</f>
        <v>1.01909558075033</v>
      </c>
      <c r="D845" s="37" t="n">
        <f aca="false">1+IF($G$8=$E$8,$F$8,IF(R845&lt;($F$8-$E$8)/($G$8-$E$8),$E$8+SQRT(R845*($G$8-$E$8)*($F$8-$E$8)),$G$8-SQRT((1-R845)*($G$8-$E$8)*($G$8-$F$8))))</f>
        <v>1.05094861625242</v>
      </c>
      <c r="E845" s="37" t="n">
        <f aca="false">1+IF($G$9=$E$9,$F$9,IF(S845&lt;($F$9-$E$9)/($G$9-$E$9),$E$9+SQRT(S845*($G$9-$E$9)*($F$9-$E$9)),$G$9-SQRT((1-S845)*($G$9-$E$9)*($G$9-$F$9))))</f>
        <v>1.05008512811666</v>
      </c>
      <c r="F845" s="37" t="n">
        <f aca="false">1+IF($G$10=$E$10,$F$10,IF(T845&lt;($F$10-$E$10)/($G$10-$E$10),$E$10+SQRT(T845*($G$10-$E$10)*($F$10-$E$10)),$G$10-SQRT((1-T845)*($G$10-$E$10)*($G$10-$F$10))))</f>
        <v>1.08869297216458</v>
      </c>
      <c r="G845" s="38" t="n">
        <f aca="false">IF($G$11=$E$11,$F$11,IF(U845&lt;($F$11-$E$11)/($G$11-$E$11),$E$11+SQRT(U845*($G$11-$E$11)*($F$11-$E$11)),$G$11-SQRT((1-U845)*($G$11-$E$11)*($G$11-$F$11))))</f>
        <v>0.095479171854917</v>
      </c>
      <c r="H845" s="39" t="n">
        <f aca="false">(('Business Case'!B11*$C845*'Business Case'!B12*$B845)-'Business Case'!B11*$C845*'Business Case'!B13*$D845-'Business Case'!B14*$E845)-MAX(0,(('Business Case'!B11*$C845*'Business Case'!B12*$B845)-'Business Case'!B11*$C845*'Business Case'!B13*$D845-'Business Case'!B14*$E845))*'Business Case'!$B$7-'Business Case'!$B$8*('Business Case'!B11*$C845*'Business Case'!B12*$B845)-'Business Case'!B15*$F845</f>
        <v>-2177385944.32916</v>
      </c>
      <c r="I845" s="39" t="n">
        <f aca="false">(('Business Case'!C11*$C845*'Business Case'!C12*$B845)-'Business Case'!C11*$C845*'Business Case'!C13*$D845-'Business Case'!C14*$E845)-MAX(0,(('Business Case'!C11*$C845*'Business Case'!C12*$B845)-'Business Case'!C11*$C845*'Business Case'!C13*$D845-'Business Case'!C14*$E845))*'Business Case'!$B$7-'Business Case'!$B$8*(('Business Case'!C11*$C845*'Business Case'!C12*$B845)-('Business Case'!B11*$C845*'Business Case'!B12*$B845))-'Business Case'!C15*$F845</f>
        <v>-62229597.7388031</v>
      </c>
      <c r="J845" s="39" t="n">
        <f aca="false">(('Business Case'!D11*$C845*'Business Case'!D12*$B845)-'Business Case'!D11*$C845*'Business Case'!D13*$D845-'Business Case'!D14*$E845)-MAX(0,(('Business Case'!D11*$C845*'Business Case'!D12*$B845)-'Business Case'!D11*$C845*'Business Case'!D13*$D845-'Business Case'!D14*$E845))*'Business Case'!$B$7-'Business Case'!$B$8*(('Business Case'!D11*$C845*'Business Case'!D12*$B845)-('Business Case'!C11*$C845*'Business Case'!C12*$B845))-'Business Case'!D15*$F845</f>
        <v>184018482.201832</v>
      </c>
      <c r="K845" s="39" t="n">
        <f aca="false">(('Business Case'!E11*$C845*'Business Case'!E12*$B845)-'Business Case'!E11*$C845*'Business Case'!E13*$D845-'Business Case'!E14*$E845)-MAX(0,(('Business Case'!E11*$C845*'Business Case'!E12*$B845)-'Business Case'!E11*$C845*'Business Case'!E13*$D845-'Business Case'!E14*$E845))*'Business Case'!$B$7-'Business Case'!$B$8*(('Business Case'!E11*$C845*'Business Case'!E12*$B845)-('Business Case'!D11*$C845*'Business Case'!D12*$B845))-'Business Case'!E15*$F845</f>
        <v>484701210.750696</v>
      </c>
      <c r="L845" s="39" t="n">
        <f aca="false">(('Business Case'!F11*$C845*'Business Case'!F12*$B845)-'Business Case'!F11*$C845*'Business Case'!F13*$D845-'Business Case'!F14*$E845)-MAX(0,(('Business Case'!F11*$C845*'Business Case'!F12*$B845)-'Business Case'!F11*$C845*'Business Case'!F13*$D845-'Business Case'!F14*$E845))*'Business Case'!$B$7-'Business Case'!$B$8*(('Business Case'!F11*$C845*'Business Case'!F12*$B845)-('Business Case'!E11*$C845*'Business Case'!E12*$B845))-'Business Case'!F15*$F845</f>
        <v>600308087.560767</v>
      </c>
      <c r="M845" s="39" t="n">
        <f aca="false">(('Business Case'!G11*$C845*'Business Case'!G12*$B845)-'Business Case'!G11*$C845*'Business Case'!G13*$D845-'Business Case'!G14*$E845)-MAX(0,(('Business Case'!G11*$C845*'Business Case'!G12*$B845)-'Business Case'!G11*$C845*'Business Case'!G13*$D845-'Business Case'!G14*$E845))*'Business Case'!$B$7-'Business Case'!$B$8*(('Business Case'!G11*$C845*'Business Case'!G12*$B845)-('Business Case'!F11*$C845*'Business Case'!F12*$B845))-'Business Case'!G15*$F845+'Business Case'!$B$8*('Business Case'!G11*$C845*'Business Case'!G12*$B845)</f>
        <v>784691096.791664</v>
      </c>
      <c r="N845" s="39" t="n">
        <f aca="false">IF(COUNT('Business Case'!B11:G11)=0,"",H845+NPV(G845,I845:M845))</f>
        <v>-797965175.86679</v>
      </c>
      <c r="P845" s="40" t="n">
        <f aca="true">RAND()</f>
        <v>0.105684176036111</v>
      </c>
      <c r="Q845" s="40" t="n">
        <f aca="true">RAND()</f>
        <v>0.673600628969663</v>
      </c>
      <c r="R845" s="40" t="n">
        <f aca="true">RAND()</f>
        <v>0.918847798302965</v>
      </c>
      <c r="S845" s="40" t="n">
        <f aca="true">RAND()</f>
        <v>0.833900370991348</v>
      </c>
      <c r="T845" s="40" t="n">
        <f aca="true">RAND()</f>
        <v>0.752214911088909</v>
      </c>
      <c r="U845" s="40" t="n">
        <f aca="true">RAND()</f>
        <v>0.100071080719047</v>
      </c>
    </row>
    <row r="846" customFormat="false" ht="15" hidden="false" customHeight="false" outlineLevel="0" collapsed="false">
      <c r="A846" s="36" t="n">
        <v>766</v>
      </c>
      <c r="B846" s="37" t="n">
        <f aca="false">1+IF($G$6=$E$6,$F$6,IF(P846&lt;($F$6-$E$6)/($G$6-$E$6),$E$6+SQRT(P846*($G$6-$E$6)*($F$6-$E$6)),$G$6-SQRT((1-P846)*($G$6-$E$6)*($G$6-$F$6))))</f>
        <v>0.99145375363</v>
      </c>
      <c r="C846" s="37" t="n">
        <f aca="false">1+IF($G$7=$E$7,$F$7,IF(Q846&lt;($F$7-$E$7)/($G$7-$E$7),$E$7+SQRT(Q846*($G$7-$E$7)*($F$7-$E$7)),$G$7-SQRT((1-Q846)*($G$7-$E$7)*($G$7-$F$7))))</f>
        <v>0.945245630463819</v>
      </c>
      <c r="D846" s="37" t="n">
        <f aca="false">1+IF($G$8=$E$8,$F$8,IF(R846&lt;($F$8-$E$8)/($G$8-$E$8),$E$8+SQRT(R846*($G$8-$E$8)*($F$8-$E$8)),$G$8-SQRT((1-R846)*($G$8-$E$8)*($G$8-$F$8))))</f>
        <v>1.01039888554353</v>
      </c>
      <c r="E846" s="37" t="n">
        <f aca="false">1+IF($G$9=$E$9,$F$9,IF(S846&lt;($F$9-$E$9)/($G$9-$E$9),$E$9+SQRT(S846*($G$9-$E$9)*($F$9-$E$9)),$G$9-SQRT((1-S846)*($G$9-$E$9)*($G$9-$F$9))))</f>
        <v>0.984437861426825</v>
      </c>
      <c r="F846" s="37" t="n">
        <f aca="false">1+IF($G$10=$E$10,$F$10,IF(T846&lt;($F$10-$E$10)/($G$10-$E$10),$E$10+SQRT(T846*($G$10-$E$10)*($F$10-$E$10)),$G$10-SQRT((1-T846)*($G$10-$E$10)*($G$10-$F$10))))</f>
        <v>1.04773379191075</v>
      </c>
      <c r="G846" s="38" t="n">
        <f aca="false">IF($G$11=$E$11,$F$11,IF(U846&lt;($F$11-$E$11)/($G$11-$E$11),$E$11+SQRT(U846*($G$11-$E$11)*($F$11-$E$11)),$G$11-SQRT((1-U846)*($G$11-$E$11)*($G$11-$F$11))))</f>
        <v>0.0984368301246748</v>
      </c>
      <c r="H846" s="39" t="n">
        <f aca="false">(('Business Case'!B11*$C846*'Business Case'!B12*$B846)-'Business Case'!B11*$C846*'Business Case'!B13*$D846-'Business Case'!B14*$E846)-MAX(0,(('Business Case'!B11*$C846*'Business Case'!B12*$B846)-'Business Case'!B11*$C846*'Business Case'!B13*$D846-'Business Case'!B14*$E846))*'Business Case'!$B$7-'Business Case'!$B$8*('Business Case'!B11*$C846*'Business Case'!B12*$B846)-'Business Case'!B15*$F846</f>
        <v>-2095467583.82151</v>
      </c>
      <c r="I846" s="39" t="n">
        <f aca="false">(('Business Case'!C11*$C846*'Business Case'!C12*$B846)-'Business Case'!C11*$C846*'Business Case'!C13*$D846-'Business Case'!C14*$E846)-MAX(0,(('Business Case'!C11*$C846*'Business Case'!C12*$B846)-'Business Case'!C11*$C846*'Business Case'!C13*$D846-'Business Case'!C14*$E846))*'Business Case'!$B$7-'Business Case'!$B$8*(('Business Case'!C11*$C846*'Business Case'!C12*$B846)-('Business Case'!B11*$C846*'Business Case'!B12*$B846))-'Business Case'!C15*$F846</f>
        <v>-14657740.7245226</v>
      </c>
      <c r="J846" s="39" t="n">
        <f aca="false">(('Business Case'!D11*$C846*'Business Case'!D12*$B846)-'Business Case'!D11*$C846*'Business Case'!D13*$D846-'Business Case'!D14*$E846)-MAX(0,(('Business Case'!D11*$C846*'Business Case'!D12*$B846)-'Business Case'!D11*$C846*'Business Case'!D13*$D846-'Business Case'!D14*$E846))*'Business Case'!$B$7-'Business Case'!$B$8*(('Business Case'!D11*$C846*'Business Case'!D12*$B846)-('Business Case'!C11*$C846*'Business Case'!C12*$B846))-'Business Case'!D15*$F846</f>
        <v>264027715.942513</v>
      </c>
      <c r="K846" s="39" t="n">
        <f aca="false">(('Business Case'!E11*$C846*'Business Case'!E12*$B846)-'Business Case'!E11*$C846*'Business Case'!E13*$D846-'Business Case'!E14*$E846)-MAX(0,(('Business Case'!E11*$C846*'Business Case'!E12*$B846)-'Business Case'!E11*$C846*'Business Case'!E13*$D846-'Business Case'!E14*$E846))*'Business Case'!$B$7-'Business Case'!$B$8*(('Business Case'!E11*$C846*'Business Case'!E12*$B846)-('Business Case'!D11*$C846*'Business Case'!D12*$B846))-'Business Case'!E15*$F846</f>
        <v>595099862.205087</v>
      </c>
      <c r="L846" s="39" t="n">
        <f aca="false">(('Business Case'!F11*$C846*'Business Case'!F12*$B846)-'Business Case'!F11*$C846*'Business Case'!F13*$D846-'Business Case'!F14*$E846)-MAX(0,(('Business Case'!F11*$C846*'Business Case'!F12*$B846)-'Business Case'!F11*$C846*'Business Case'!F13*$D846-'Business Case'!F14*$E846))*'Business Case'!$B$7-'Business Case'!$B$8*(('Business Case'!F11*$C846*'Business Case'!F12*$B846)-('Business Case'!E11*$C846*'Business Case'!E12*$B846))-'Business Case'!F15*$F846</f>
        <v>720383517.297825</v>
      </c>
      <c r="M846" s="39" t="n">
        <f aca="false">(('Business Case'!G11*$C846*'Business Case'!G12*$B846)-'Business Case'!G11*$C846*'Business Case'!G13*$D846-'Business Case'!G14*$E846)-MAX(0,(('Business Case'!G11*$C846*'Business Case'!G12*$B846)-'Business Case'!G11*$C846*'Business Case'!G13*$D846-'Business Case'!G14*$E846))*'Business Case'!$B$7-'Business Case'!$B$8*(('Business Case'!G11*$C846*'Business Case'!G12*$B846)-('Business Case'!F11*$C846*'Business Case'!F12*$B846))-'Business Case'!G15*$F846+'Business Case'!$B$8*('Business Case'!G11*$C846*'Business Case'!G12*$B846)</f>
        <v>898520283.084984</v>
      </c>
      <c r="N846" s="39" t="n">
        <f aca="false">IF(COUNT('Business Case'!B11:G11)=0,"",H846+NPV(G846,I846:M846))</f>
        <v>-384236760.865228</v>
      </c>
      <c r="P846" s="40" t="n">
        <f aca="true">RAND()</f>
        <v>0.531837386230914</v>
      </c>
      <c r="Q846" s="40" t="n">
        <f aca="true">RAND()</f>
        <v>0.301375616697603</v>
      </c>
      <c r="R846" s="40" t="n">
        <f aca="true">RAND()</f>
        <v>0.534200467924747</v>
      </c>
      <c r="S846" s="40" t="n">
        <f aca="true">RAND()</f>
        <v>0.158128839953759</v>
      </c>
      <c r="T846" s="40" t="n">
        <f aca="true">RAND()</f>
        <v>0.536300037482441</v>
      </c>
      <c r="U846" s="40" t="n">
        <f aca="true">RAND()</f>
        <v>0.237267008508731</v>
      </c>
    </row>
    <row r="847" customFormat="false" ht="15" hidden="false" customHeight="false" outlineLevel="0" collapsed="false">
      <c r="A847" s="36" t="n">
        <v>767</v>
      </c>
      <c r="B847" s="37" t="n">
        <f aca="false">1+IF($G$6=$E$6,$F$6,IF(P847&lt;($F$6-$E$6)/($G$6-$E$6),$E$6+SQRT(P847*($G$6-$E$6)*($F$6-$E$6)),$G$6-SQRT((1-P847)*($G$6-$E$6)*($G$6-$F$6))))</f>
        <v>0.970148153790299</v>
      </c>
      <c r="C847" s="37" t="n">
        <f aca="false">1+IF($G$7=$E$7,$F$7,IF(Q847&lt;($F$7-$E$7)/($G$7-$E$7),$E$7+SQRT(Q847*($G$7-$E$7)*($F$7-$E$7)),$G$7-SQRT((1-Q847)*($G$7-$E$7)*($G$7-$F$7))))</f>
        <v>1.01616674875909</v>
      </c>
      <c r="D847" s="37" t="n">
        <f aca="false">1+IF($G$8=$E$8,$F$8,IF(R847&lt;($F$8-$E$8)/($G$8-$E$8),$E$8+SQRT(R847*($G$8-$E$8)*($F$8-$E$8)),$G$8-SQRT((1-R847)*($G$8-$E$8)*($G$8-$F$8))))</f>
        <v>1.02954933961853</v>
      </c>
      <c r="E847" s="37" t="n">
        <f aca="false">1+IF($G$9=$E$9,$F$9,IF(S847&lt;($F$9-$E$9)/($G$9-$E$9),$E$9+SQRT(S847*($G$9-$E$9)*($F$9-$E$9)),$G$9-SQRT((1-S847)*($G$9-$E$9)*($G$9-$F$9))))</f>
        <v>0.998201146865544</v>
      </c>
      <c r="F847" s="37" t="n">
        <f aca="false">1+IF($G$10=$E$10,$F$10,IF(T847&lt;($F$10-$E$10)/($G$10-$E$10),$E$10+SQRT(T847*($G$10-$E$10)*($F$10-$E$10)),$G$10-SQRT((1-T847)*($G$10-$E$10)*($G$10-$F$10))))</f>
        <v>1.05225748917236</v>
      </c>
      <c r="G847" s="38" t="n">
        <f aca="false">IF($G$11=$E$11,$F$11,IF(U847&lt;($F$11-$E$11)/($G$11-$E$11),$E$11+SQRT(U847*($G$11-$E$11)*($F$11-$E$11)),$G$11-SQRT((1-U847)*($G$11-$E$11)*($G$11-$F$11))))</f>
        <v>0.101702910946287</v>
      </c>
      <c r="H847" s="39" t="n">
        <f aca="false">(('Business Case'!B11*$C847*'Business Case'!B12*$B847)-'Business Case'!B11*$C847*'Business Case'!B13*$D847-'Business Case'!B14*$E847)-MAX(0,(('Business Case'!B11*$C847*'Business Case'!B12*$B847)-'Business Case'!B11*$C847*'Business Case'!B13*$D847-'Business Case'!B14*$E847))*'Business Case'!$B$7-'Business Case'!$B$8*('Business Case'!B11*$C847*'Business Case'!B12*$B847)-'Business Case'!B15*$F847</f>
        <v>-2104514978.34473</v>
      </c>
      <c r="I847" s="39" t="n">
        <f aca="false">(('Business Case'!C11*$C847*'Business Case'!C12*$B847)-'Business Case'!C11*$C847*'Business Case'!C13*$D847-'Business Case'!C14*$E847)-MAX(0,(('Business Case'!C11*$C847*'Business Case'!C12*$B847)-'Business Case'!C11*$C847*'Business Case'!C13*$D847-'Business Case'!C14*$E847))*'Business Case'!$B$7-'Business Case'!$B$8*(('Business Case'!C11*$C847*'Business Case'!C12*$B847)-('Business Case'!B11*$C847*'Business Case'!B12*$B847))-'Business Case'!C15*$F847</f>
        <v>-26375401.1716791</v>
      </c>
      <c r="J847" s="39" t="n">
        <f aca="false">(('Business Case'!D11*$C847*'Business Case'!D12*$B847)-'Business Case'!D11*$C847*'Business Case'!D13*$D847-'Business Case'!D14*$E847)-MAX(0,(('Business Case'!D11*$C847*'Business Case'!D12*$B847)-'Business Case'!D11*$C847*'Business Case'!D13*$D847-'Business Case'!D14*$E847))*'Business Case'!$B$7-'Business Case'!$B$8*(('Business Case'!D11*$C847*'Business Case'!D12*$B847)-('Business Case'!C11*$C847*'Business Case'!C12*$B847))-'Business Case'!D15*$F847</f>
        <v>245524695.844008</v>
      </c>
      <c r="K847" s="39" t="n">
        <f aca="false">(('Business Case'!E11*$C847*'Business Case'!E12*$B847)-'Business Case'!E11*$C847*'Business Case'!E13*$D847-'Business Case'!E14*$E847)-MAX(0,(('Business Case'!E11*$C847*'Business Case'!E12*$B847)-'Business Case'!E11*$C847*'Business Case'!E13*$D847-'Business Case'!E14*$E847))*'Business Case'!$B$7-'Business Case'!$B$8*(('Business Case'!E11*$C847*'Business Case'!E12*$B847)-('Business Case'!D11*$C847*'Business Case'!D12*$B847))-'Business Case'!E15*$F847</f>
        <v>570037667.318313</v>
      </c>
      <c r="L847" s="39" t="n">
        <f aca="false">(('Business Case'!F11*$C847*'Business Case'!F12*$B847)-'Business Case'!F11*$C847*'Business Case'!F13*$D847-'Business Case'!F14*$E847)-MAX(0,(('Business Case'!F11*$C847*'Business Case'!F12*$B847)-'Business Case'!F11*$C847*'Business Case'!F13*$D847-'Business Case'!F14*$E847))*'Business Case'!$B$7-'Business Case'!$B$8*(('Business Case'!F11*$C847*'Business Case'!F12*$B847)-('Business Case'!E11*$C847*'Business Case'!E12*$B847))-'Business Case'!F15*$F847</f>
        <v>694741397.114108</v>
      </c>
      <c r="M847" s="39" t="n">
        <f aca="false">(('Business Case'!G11*$C847*'Business Case'!G12*$B847)-'Business Case'!G11*$C847*'Business Case'!G13*$D847-'Business Case'!G14*$E847)-MAX(0,(('Business Case'!G11*$C847*'Business Case'!G12*$B847)-'Business Case'!G11*$C847*'Business Case'!G13*$D847-'Business Case'!G14*$E847))*'Business Case'!$B$7-'Business Case'!$B$8*(('Business Case'!G11*$C847*'Business Case'!G12*$B847)-('Business Case'!F11*$C847*'Business Case'!F12*$B847))-'Business Case'!G15*$F847+'Business Case'!$B$8*('Business Case'!G11*$C847*'Business Case'!G12*$B847)</f>
        <v>882128399.795555</v>
      </c>
      <c r="N847" s="39" t="n">
        <f aca="false">IF(COUNT('Business Case'!B11:G11)=0,"",H847+NPV(G847,I847:M847))</f>
        <v>-484771674.789562</v>
      </c>
      <c r="P847" s="40" t="n">
        <f aca="true">RAND()</f>
        <v>0.261962221726617</v>
      </c>
      <c r="Q847" s="40" t="n">
        <f aca="true">RAND()</f>
        <v>0.658831635472144</v>
      </c>
      <c r="R847" s="40" t="n">
        <f aca="true">RAND()</f>
        <v>0.755262583372468</v>
      </c>
      <c r="S847" s="40" t="n">
        <f aca="true">RAND()</f>
        <v>0.309780074553828</v>
      </c>
      <c r="T847" s="40" t="n">
        <f aca="true">RAND()</f>
        <v>0.56344300988691</v>
      </c>
      <c r="U847" s="40" t="n">
        <f aca="true">RAND()</f>
        <v>0.442027553600825</v>
      </c>
    </row>
    <row r="848" customFormat="false" ht="15" hidden="false" customHeight="false" outlineLevel="0" collapsed="false">
      <c r="A848" s="36" t="n">
        <v>768</v>
      </c>
      <c r="B848" s="37" t="n">
        <f aca="false">1+IF($G$6=$E$6,$F$6,IF(P848&lt;($F$6-$E$6)/($G$6-$E$6),$E$6+SQRT(P848*($G$6-$E$6)*($F$6-$E$6)),$G$6-SQRT((1-P848)*($G$6-$E$6)*($G$6-$F$6))))</f>
        <v>0.941195775762387</v>
      </c>
      <c r="C848" s="37" t="n">
        <f aca="false">1+IF($G$7=$E$7,$F$7,IF(Q848&lt;($F$7-$E$7)/($G$7-$E$7),$E$7+SQRT(Q848*($G$7-$E$7)*($F$7-$E$7)),$G$7-SQRT((1-Q848)*($G$7-$E$7)*($G$7-$F$7))))</f>
        <v>0.996386102577906</v>
      </c>
      <c r="D848" s="37" t="n">
        <f aca="false">1+IF($G$8=$E$8,$F$8,IF(R848&lt;($F$8-$E$8)/($G$8-$E$8),$E$8+SQRT(R848*($G$8-$E$8)*($F$8-$E$8)),$G$8-SQRT((1-R848)*($G$8-$E$8)*($G$8-$F$8))))</f>
        <v>1.00343755096411</v>
      </c>
      <c r="E848" s="37" t="n">
        <f aca="false">1+IF($G$9=$E$9,$F$9,IF(S848&lt;($F$9-$E$9)/($G$9-$E$9),$E$9+SQRT(S848*($G$9-$E$9)*($F$9-$E$9)),$G$9-SQRT((1-S848)*($G$9-$E$9)*($G$9-$F$9))))</f>
        <v>0.979346345478806</v>
      </c>
      <c r="F848" s="37" t="n">
        <f aca="false">1+IF($G$10=$E$10,$F$10,IF(T848&lt;($F$10-$E$10)/($G$10-$E$10),$E$10+SQRT(T848*($G$10-$E$10)*($F$10-$E$10)),$G$10-SQRT((1-T848)*($G$10-$E$10)*($G$10-$F$10))))</f>
        <v>1.04884383506352</v>
      </c>
      <c r="G848" s="38" t="n">
        <f aca="false">IF($G$11=$E$11,$F$11,IF(U848&lt;($F$11-$E$11)/($G$11-$E$11),$E$11+SQRT(U848*($G$11-$E$11)*($F$11-$E$11)),$G$11-SQRT((1-U848)*($G$11-$E$11)*($G$11-$F$11))))</f>
        <v>0.0946058112799055</v>
      </c>
      <c r="H848" s="39" t="n">
        <f aca="false">(('Business Case'!B11*$C848*'Business Case'!B12*$B848)-'Business Case'!B11*$C848*'Business Case'!B13*$D848-'Business Case'!B14*$E848)-MAX(0,(('Business Case'!B11*$C848*'Business Case'!B12*$B848)-'Business Case'!B11*$C848*'Business Case'!B13*$D848-'Business Case'!B14*$E848))*'Business Case'!$B$7-'Business Case'!$B$8*('Business Case'!B11*$C848*'Business Case'!B12*$B848)-'Business Case'!B15*$F848</f>
        <v>-2097687670.12704</v>
      </c>
      <c r="I848" s="39" t="n">
        <f aca="false">(('Business Case'!C11*$C848*'Business Case'!C12*$B848)-'Business Case'!C11*$C848*'Business Case'!C13*$D848-'Business Case'!C14*$E848)-MAX(0,(('Business Case'!C11*$C848*'Business Case'!C12*$B848)-'Business Case'!C11*$C848*'Business Case'!C13*$D848-'Business Case'!C14*$E848))*'Business Case'!$B$7-'Business Case'!$B$8*(('Business Case'!C11*$C848*'Business Case'!C12*$B848)-('Business Case'!B11*$C848*'Business Case'!B12*$B848))-'Business Case'!C15*$F848</f>
        <v>-36464932.9719061</v>
      </c>
      <c r="J848" s="39" t="n">
        <f aca="false">(('Business Case'!D11*$C848*'Business Case'!D12*$B848)-'Business Case'!D11*$C848*'Business Case'!D13*$D848-'Business Case'!D14*$E848)-MAX(0,(('Business Case'!D11*$C848*'Business Case'!D12*$B848)-'Business Case'!D11*$C848*'Business Case'!D13*$D848-'Business Case'!D14*$E848))*'Business Case'!$B$7-'Business Case'!$B$8*(('Business Case'!D11*$C848*'Business Case'!D12*$B848)-('Business Case'!C11*$C848*'Business Case'!C12*$B848))-'Business Case'!D15*$F848</f>
        <v>219832829.107385</v>
      </c>
      <c r="K848" s="39" t="n">
        <f aca="false">(('Business Case'!E11*$C848*'Business Case'!E12*$B848)-'Business Case'!E11*$C848*'Business Case'!E13*$D848-'Business Case'!E14*$E848)-MAX(0,(('Business Case'!E11*$C848*'Business Case'!E12*$B848)-'Business Case'!E11*$C848*'Business Case'!E13*$D848-'Business Case'!E14*$E848))*'Business Case'!$B$7-'Business Case'!$B$8*(('Business Case'!E11*$C848*'Business Case'!E12*$B848)-('Business Case'!D11*$C848*'Business Case'!D12*$B848))-'Business Case'!E15*$F848</f>
        <v>528572782.939853</v>
      </c>
      <c r="L848" s="39" t="n">
        <f aca="false">(('Business Case'!F11*$C848*'Business Case'!F12*$B848)-'Business Case'!F11*$C848*'Business Case'!F13*$D848-'Business Case'!F14*$E848)-MAX(0,(('Business Case'!F11*$C848*'Business Case'!F12*$B848)-'Business Case'!F11*$C848*'Business Case'!F13*$D848-'Business Case'!F14*$E848))*'Business Case'!$B$7-'Business Case'!$B$8*(('Business Case'!F11*$C848*'Business Case'!F12*$B848)-('Business Case'!E11*$C848*'Business Case'!E12*$B848))-'Business Case'!F15*$F848</f>
        <v>646415544.444789</v>
      </c>
      <c r="M848" s="39" t="n">
        <f aca="false">(('Business Case'!G11*$C848*'Business Case'!G12*$B848)-'Business Case'!G11*$C848*'Business Case'!G13*$D848-'Business Case'!G14*$E848)-MAX(0,(('Business Case'!G11*$C848*'Business Case'!G12*$B848)-'Business Case'!G11*$C848*'Business Case'!G13*$D848-'Business Case'!G14*$E848))*'Business Case'!$B$7-'Business Case'!$B$8*(('Business Case'!G11*$C848*'Business Case'!G12*$B848)-('Business Case'!F11*$C848*'Business Case'!F12*$B848))-'Business Case'!G15*$F848+'Business Case'!$B$8*('Business Case'!G11*$C848*'Business Case'!G12*$B848)</f>
        <v>824671502.243239</v>
      </c>
      <c r="N848" s="39" t="n">
        <f aca="false">IF(COUNT('Business Case'!B11:G11)=0,"",H848+NPV(G848,I848:M848))</f>
        <v>-569425162.89327</v>
      </c>
      <c r="P848" s="40" t="n">
        <f aca="true">RAND()</f>
        <v>0.0467980114759793</v>
      </c>
      <c r="Q848" s="40" t="n">
        <f aca="true">RAND()</f>
        <v>0.550964304081998</v>
      </c>
      <c r="R848" s="40" t="n">
        <f aca="true">RAND()</f>
        <v>0.436364557464095</v>
      </c>
      <c r="S848" s="40" t="n">
        <f aca="true">RAND()</f>
        <v>0.114827732394854</v>
      </c>
      <c r="T848" s="40" t="n">
        <f aca="true">RAND()</f>
        <v>0.543036276033918</v>
      </c>
      <c r="U848" s="40" t="n">
        <f aca="true">RAND()</f>
        <v>0.0707116584870159</v>
      </c>
    </row>
    <row r="849" customFormat="false" ht="15" hidden="false" customHeight="false" outlineLevel="0" collapsed="false">
      <c r="A849" s="36" t="n">
        <v>769</v>
      </c>
      <c r="B849" s="37" t="n">
        <f aca="false">1+IF($G$6=$E$6,$F$6,IF(P849&lt;($F$6-$E$6)/($G$6-$E$6),$E$6+SQRT(P849*($G$6-$E$6)*($F$6-$E$6)),$G$6-SQRT((1-P849)*($G$6-$E$6)*($G$6-$F$6))))</f>
        <v>0.998008522030262</v>
      </c>
      <c r="C849" s="37" t="n">
        <f aca="false">1+IF($G$7=$E$7,$F$7,IF(Q849&lt;($F$7-$E$7)/($G$7-$E$7),$E$7+SQRT(Q849*($G$7-$E$7)*($F$7-$E$7)),$G$7-SQRT((1-Q849)*($G$7-$E$7)*($G$7-$F$7))))</f>
        <v>0.929175221390338</v>
      </c>
      <c r="D849" s="37" t="n">
        <f aca="false">1+IF($G$8=$E$8,$F$8,IF(R849&lt;($F$8-$E$8)/($G$8-$E$8),$E$8+SQRT(R849*($G$8-$E$8)*($F$8-$E$8)),$G$8-SQRT((1-R849)*($G$8-$E$8)*($G$8-$F$8))))</f>
        <v>0.993933582552241</v>
      </c>
      <c r="E849" s="37" t="n">
        <f aca="false">1+IF($G$9=$E$9,$F$9,IF(S849&lt;($F$9-$E$9)/($G$9-$E$9),$E$9+SQRT(S849*($G$9-$E$9)*($F$9-$E$9)),$G$9-SQRT((1-S849)*($G$9-$E$9)*($G$9-$F$9))))</f>
        <v>0.970134686392336</v>
      </c>
      <c r="F849" s="37" t="n">
        <f aca="false">1+IF($G$10=$E$10,$F$10,IF(T849&lt;($F$10-$E$10)/($G$10-$E$10),$E$10+SQRT(T849*($G$10-$E$10)*($F$10-$E$10)),$G$10-SQRT((1-T849)*($G$10-$E$10)*($G$10-$F$10))))</f>
        <v>1.18651661333602</v>
      </c>
      <c r="G849" s="38" t="n">
        <f aca="false">IF($G$11=$E$11,$F$11,IF(U849&lt;($F$11-$E$11)/($G$11-$E$11),$E$11+SQRT(U849*($G$11-$E$11)*($F$11-$E$11)),$G$11-SQRT((1-U849)*($G$11-$E$11)*($G$11-$F$11))))</f>
        <v>0.0993231136800008</v>
      </c>
      <c r="H849" s="39" t="n">
        <f aca="false">(('Business Case'!B11*$C849*'Business Case'!B12*$B849)-'Business Case'!B11*$C849*'Business Case'!B13*$D849-'Business Case'!B14*$E849)-MAX(0,(('Business Case'!B11*$C849*'Business Case'!B12*$B849)-'Business Case'!B11*$C849*'Business Case'!B13*$D849-'Business Case'!B14*$E849))*'Business Case'!$B$7-'Business Case'!$B$8*('Business Case'!B11*$C849*'Business Case'!B12*$B849)-'Business Case'!B15*$F849</f>
        <v>-2373033226.67203</v>
      </c>
      <c r="I849" s="39" t="n">
        <f aca="false">(('Business Case'!C11*$C849*'Business Case'!C12*$B849)-'Business Case'!C11*$C849*'Business Case'!C13*$D849-'Business Case'!C14*$E849)-MAX(0,(('Business Case'!C11*$C849*'Business Case'!C12*$B849)-'Business Case'!C11*$C849*'Business Case'!C13*$D849-'Business Case'!C14*$E849))*'Business Case'!$B$7-'Business Case'!$B$8*(('Business Case'!C11*$C849*'Business Case'!C12*$B849)-('Business Case'!B11*$C849*'Business Case'!B12*$B849))-'Business Case'!C15*$F849</f>
        <v>-17909367.6228368</v>
      </c>
      <c r="J849" s="39" t="n">
        <f aca="false">(('Business Case'!D11*$C849*'Business Case'!D12*$B849)-'Business Case'!D11*$C849*'Business Case'!D13*$D849-'Business Case'!D14*$E849)-MAX(0,(('Business Case'!D11*$C849*'Business Case'!D12*$B849)-'Business Case'!D11*$C849*'Business Case'!D13*$D849-'Business Case'!D14*$E849))*'Business Case'!$B$7-'Business Case'!$B$8*(('Business Case'!D11*$C849*'Business Case'!D12*$B849)-('Business Case'!C11*$C849*'Business Case'!C12*$B849))-'Business Case'!D15*$F849</f>
        <v>268858595.575773</v>
      </c>
      <c r="K849" s="39" t="n">
        <f aca="false">(('Business Case'!E11*$C849*'Business Case'!E12*$B849)-'Business Case'!E11*$C849*'Business Case'!E13*$D849-'Business Case'!E14*$E849)-MAX(0,(('Business Case'!E11*$C849*'Business Case'!E12*$B849)-'Business Case'!E11*$C849*'Business Case'!E13*$D849-'Business Case'!E14*$E849))*'Business Case'!$B$7-'Business Case'!$B$8*(('Business Case'!E11*$C849*'Business Case'!E12*$B849)-('Business Case'!D11*$C849*'Business Case'!D12*$B849))-'Business Case'!E15*$F849</f>
        <v>614952389.441183</v>
      </c>
      <c r="L849" s="39" t="n">
        <f aca="false">(('Business Case'!F11*$C849*'Business Case'!F12*$B849)-'Business Case'!F11*$C849*'Business Case'!F13*$D849-'Business Case'!F14*$E849)-MAX(0,(('Business Case'!F11*$C849*'Business Case'!F12*$B849)-'Business Case'!F11*$C849*'Business Case'!F13*$D849-'Business Case'!F14*$E849))*'Business Case'!$B$7-'Business Case'!$B$8*(('Business Case'!F11*$C849*'Business Case'!F12*$B849)-('Business Case'!E11*$C849*'Business Case'!E12*$B849))-'Business Case'!F15*$F849</f>
        <v>742590055.229289</v>
      </c>
      <c r="M849" s="39" t="n">
        <f aca="false">(('Business Case'!G11*$C849*'Business Case'!G12*$B849)-'Business Case'!G11*$C849*'Business Case'!G13*$D849-'Business Case'!G14*$E849)-MAX(0,(('Business Case'!G11*$C849*'Business Case'!G12*$B849)-'Business Case'!G11*$C849*'Business Case'!G13*$D849-'Business Case'!G14*$E849))*'Business Case'!$B$7-'Business Case'!$B$8*(('Business Case'!G11*$C849*'Business Case'!G12*$B849)-('Business Case'!F11*$C849*'Business Case'!F12*$B849))-'Business Case'!G15*$F849+'Business Case'!$B$8*('Business Case'!G11*$C849*'Business Case'!G12*$B849)</f>
        <v>918855951.199755</v>
      </c>
      <c r="N849" s="39" t="n">
        <f aca="false">IF(COUNT('Business Case'!B11:G11)=0,"",H849+NPV(G849,I849:M849))</f>
        <v>-623231548.877664</v>
      </c>
      <c r="P849" s="40" t="n">
        <f aca="true">RAND()</f>
        <v>0.633888490556857</v>
      </c>
      <c r="Q849" s="40" t="n">
        <f aca="true">RAND()</f>
        <v>0.238374826017756</v>
      </c>
      <c r="R849" s="40" t="n">
        <f aca="true">RAND()</f>
        <v>0.296947642442244</v>
      </c>
      <c r="S849" s="40" t="n">
        <f aca="true">RAND()</f>
        <v>0.0540540794823647</v>
      </c>
      <c r="T849" s="40" t="n">
        <f aca="true">RAND()</f>
        <v>0.99636396568139</v>
      </c>
      <c r="U849" s="40" t="n">
        <f aca="true">RAND()</f>
        <v>0.28973482896739</v>
      </c>
    </row>
    <row r="850" customFormat="false" ht="15" hidden="false" customHeight="false" outlineLevel="0" collapsed="false">
      <c r="A850" s="36" t="n">
        <v>770</v>
      </c>
      <c r="B850" s="37" t="n">
        <f aca="false">1+IF($G$6=$E$6,$F$6,IF(P850&lt;($F$6-$E$6)/($G$6-$E$6),$E$6+SQRT(P850*($G$6-$E$6)*($F$6-$E$6)),$G$6-SQRT((1-P850)*($G$6-$E$6)*($G$6-$F$6))))</f>
        <v>0.99606003864001</v>
      </c>
      <c r="C850" s="37" t="n">
        <f aca="false">1+IF($G$7=$E$7,$F$7,IF(Q850&lt;($F$7-$E$7)/($G$7-$E$7),$E$7+SQRT(Q850*($G$7-$E$7)*($F$7-$E$7)),$G$7-SQRT((1-Q850)*($G$7-$E$7)*($G$7-$F$7))))</f>
        <v>0.894948350749895</v>
      </c>
      <c r="D850" s="37" t="n">
        <f aca="false">1+IF($G$8=$E$8,$F$8,IF(R850&lt;($F$8-$E$8)/($G$8-$E$8),$E$8+SQRT(R850*($G$8-$E$8)*($F$8-$E$8)),$G$8-SQRT((1-R850)*($G$8-$E$8)*($G$8-$F$8))))</f>
        <v>1.04960206218048</v>
      </c>
      <c r="E850" s="37" t="n">
        <f aca="false">1+IF($G$9=$E$9,$F$9,IF(S850&lt;($F$9-$E$9)/($G$9-$E$9),$E$9+SQRT(S850*($G$9-$E$9)*($F$9-$E$9)),$G$9-SQRT((1-S850)*($G$9-$E$9)*($G$9-$F$9))))</f>
        <v>0.970319240225601</v>
      </c>
      <c r="F850" s="37" t="n">
        <f aca="false">1+IF($G$10=$E$10,$F$10,IF(T850&lt;($F$10-$E$10)/($G$10-$E$10),$E$10+SQRT(T850*($G$10-$E$10)*($F$10-$E$10)),$G$10-SQRT((1-T850)*($G$10-$E$10)*($G$10-$F$10))))</f>
        <v>1.00147010588982</v>
      </c>
      <c r="G850" s="38" t="n">
        <f aca="false">IF($G$11=$E$11,$F$11,IF(U850&lt;($F$11-$E$11)/($G$11-$E$11),$E$11+SQRT(U850*($G$11-$E$11)*($F$11-$E$11)),$G$11-SQRT((1-U850)*($G$11-$E$11)*($G$11-$F$11))))</f>
        <v>0.108208209013384</v>
      </c>
      <c r="H850" s="39" t="n">
        <f aca="false">(('Business Case'!B11*$C850*'Business Case'!B12*$B850)-'Business Case'!B11*$C850*'Business Case'!B13*$D850-'Business Case'!B14*$E850)-MAX(0,(('Business Case'!B11*$C850*'Business Case'!B12*$B850)-'Business Case'!B11*$C850*'Business Case'!B13*$D850-'Business Case'!B14*$E850))*'Business Case'!$B$7-'Business Case'!$B$8*('Business Case'!B11*$C850*'Business Case'!B12*$B850)-'Business Case'!B15*$F850</f>
        <v>-2002940211.77965</v>
      </c>
      <c r="I850" s="39" t="n">
        <f aca="false">(('Business Case'!C11*$C850*'Business Case'!C12*$B850)-'Business Case'!C11*$C850*'Business Case'!C13*$D850-'Business Case'!C14*$E850)-MAX(0,(('Business Case'!C11*$C850*'Business Case'!C12*$B850)-'Business Case'!C11*$C850*'Business Case'!C13*$D850-'Business Case'!C14*$E850))*'Business Case'!$B$7-'Business Case'!$B$8*(('Business Case'!C11*$C850*'Business Case'!C12*$B850)-('Business Case'!B11*$C850*'Business Case'!B12*$B850))-'Business Case'!C15*$F850</f>
        <v>-35065446.7356002</v>
      </c>
      <c r="J850" s="39" t="n">
        <f aca="false">(('Business Case'!D11*$C850*'Business Case'!D12*$B850)-'Business Case'!D11*$C850*'Business Case'!D13*$D850-'Business Case'!D14*$E850)-MAX(0,(('Business Case'!D11*$C850*'Business Case'!D12*$B850)-'Business Case'!D11*$C850*'Business Case'!D13*$D850-'Business Case'!D14*$E850))*'Business Case'!$B$7-'Business Case'!$B$8*(('Business Case'!D11*$C850*'Business Case'!D12*$B850)-('Business Case'!C11*$C850*'Business Case'!C12*$B850))-'Business Case'!D15*$F850</f>
        <v>214206844.530745</v>
      </c>
      <c r="K850" s="39" t="n">
        <f aca="false">(('Business Case'!E11*$C850*'Business Case'!E12*$B850)-'Business Case'!E11*$C850*'Business Case'!E13*$D850-'Business Case'!E14*$E850)-MAX(0,(('Business Case'!E11*$C850*'Business Case'!E12*$B850)-'Business Case'!E11*$C850*'Business Case'!E13*$D850-'Business Case'!E14*$E850))*'Business Case'!$B$7-'Business Case'!$B$8*(('Business Case'!E11*$C850*'Business Case'!E12*$B850)-('Business Case'!D11*$C850*'Business Case'!D12*$B850))-'Business Case'!E15*$F850</f>
        <v>513552641.091581</v>
      </c>
      <c r="L850" s="39" t="n">
        <f aca="false">(('Business Case'!F11*$C850*'Business Case'!F12*$B850)-'Business Case'!F11*$C850*'Business Case'!F13*$D850-'Business Case'!F14*$E850)-MAX(0,(('Business Case'!F11*$C850*'Business Case'!F12*$B850)-'Business Case'!F11*$C850*'Business Case'!F13*$D850-'Business Case'!F14*$E850))*'Business Case'!$B$7-'Business Case'!$B$8*(('Business Case'!F11*$C850*'Business Case'!F12*$B850)-('Business Case'!E11*$C850*'Business Case'!E12*$B850))-'Business Case'!F15*$F850</f>
        <v>627450959.148952</v>
      </c>
      <c r="M850" s="39" t="n">
        <f aca="false">(('Business Case'!G11*$C850*'Business Case'!G12*$B850)-'Business Case'!G11*$C850*'Business Case'!G13*$D850-'Business Case'!G14*$E850)-MAX(0,(('Business Case'!G11*$C850*'Business Case'!G12*$B850)-'Business Case'!G11*$C850*'Business Case'!G13*$D850-'Business Case'!G14*$E850))*'Business Case'!$B$7-'Business Case'!$B$8*(('Business Case'!G11*$C850*'Business Case'!G12*$B850)-('Business Case'!F11*$C850*'Business Case'!F12*$B850))-'Business Case'!G15*$F850+'Business Case'!$B$8*('Business Case'!G11*$C850*'Business Case'!G12*$B850)</f>
        <v>796892507.809522</v>
      </c>
      <c r="N850" s="39" t="n">
        <f aca="false">IF(COUNT('Business Case'!B11:G11)=0,"",H850+NPV(G850,I850:M850))</f>
        <v>-590081044.354693</v>
      </c>
      <c r="P850" s="40" t="n">
        <f aca="true">RAND()</f>
        <v>0.602617653949985</v>
      </c>
      <c r="Q850" s="40" t="n">
        <f aca="true">RAND()</f>
        <v>0.128788418716072</v>
      </c>
      <c r="R850" s="40" t="n">
        <f aca="true">RAND()</f>
        <v>0.911150516953892</v>
      </c>
      <c r="S850" s="40" t="n">
        <f aca="true">RAND()</f>
        <v>0.055049536446091</v>
      </c>
      <c r="T850" s="40" t="n">
        <f aca="true">RAND()</f>
        <v>0.211717622892043</v>
      </c>
      <c r="U850" s="40" t="n">
        <f aca="true">RAND()</f>
        <v>0.768256108879918</v>
      </c>
    </row>
    <row r="851" customFormat="false" ht="15" hidden="false" customHeight="false" outlineLevel="0" collapsed="false">
      <c r="A851" s="36" t="n">
        <v>771</v>
      </c>
      <c r="B851" s="37" t="n">
        <f aca="false">1+IF($G$6=$E$6,$F$6,IF(P851&lt;($F$6-$E$6)/($G$6-$E$6),$E$6+SQRT(P851*($G$6-$E$6)*($F$6-$E$6)),$G$6-SQRT((1-P851)*($G$6-$E$6)*($G$6-$F$6))))</f>
        <v>1.01638815413272</v>
      </c>
      <c r="C851" s="37" t="n">
        <f aca="false">1+IF($G$7=$E$7,$F$7,IF(Q851&lt;($F$7-$E$7)/($G$7-$E$7),$E$7+SQRT(Q851*($G$7-$E$7)*($F$7-$E$7)),$G$7-SQRT((1-Q851)*($G$7-$E$7)*($G$7-$F$7))))</f>
        <v>0.964376409033976</v>
      </c>
      <c r="D851" s="37" t="n">
        <f aca="false">1+IF($G$8=$E$8,$F$8,IF(R851&lt;($F$8-$E$8)/($G$8-$E$8),$E$8+SQRT(R851*($G$8-$E$8)*($F$8-$E$8)),$G$8-SQRT((1-R851)*($G$8-$E$8)*($G$8-$F$8))))</f>
        <v>1.04880594311552</v>
      </c>
      <c r="E851" s="37" t="n">
        <f aca="false">1+IF($G$9=$E$9,$F$9,IF(S851&lt;($F$9-$E$9)/($G$9-$E$9),$E$9+SQRT(S851*($G$9-$E$9)*($F$9-$E$9)),$G$9-SQRT((1-S851)*($G$9-$E$9)*($G$9-$F$9))))</f>
        <v>0.978896143761899</v>
      </c>
      <c r="F851" s="37" t="n">
        <f aca="false">1+IF($G$10=$E$10,$F$10,IF(T851&lt;($F$10-$E$10)/($G$10-$E$10),$E$10+SQRT(T851*($G$10-$E$10)*($F$10-$E$10)),$G$10-SQRT((1-T851)*($G$10-$E$10)*($G$10-$F$10))))</f>
        <v>1.09183524838666</v>
      </c>
      <c r="G851" s="38" t="n">
        <f aca="false">IF($G$11=$E$11,$F$11,IF(U851&lt;($F$11-$E$11)/($G$11-$E$11),$E$11+SQRT(U851*($G$11-$E$11)*($F$11-$E$11)),$G$11-SQRT((1-U851)*($G$11-$E$11)*($G$11-$F$11))))</f>
        <v>0.101265242221589</v>
      </c>
      <c r="H851" s="39" t="n">
        <f aca="false">(('Business Case'!B11*$C851*'Business Case'!B12*$B851)-'Business Case'!B11*$C851*'Business Case'!B13*$D851-'Business Case'!B14*$E851)-MAX(0,(('Business Case'!B11*$C851*'Business Case'!B12*$B851)-'Business Case'!B11*$C851*'Business Case'!B13*$D851-'Business Case'!B14*$E851))*'Business Case'!$B$7-'Business Case'!$B$8*('Business Case'!B11*$C851*'Business Case'!B12*$B851)-'Business Case'!B15*$F851</f>
        <v>-2183670496.77333</v>
      </c>
      <c r="I851" s="39" t="n">
        <f aca="false">(('Business Case'!C11*$C851*'Business Case'!C12*$B851)-'Business Case'!C11*$C851*'Business Case'!C13*$D851-'Business Case'!C14*$E851)-MAX(0,(('Business Case'!C11*$C851*'Business Case'!C12*$B851)-'Business Case'!C11*$C851*'Business Case'!C13*$D851-'Business Case'!C14*$E851))*'Business Case'!$B$7-'Business Case'!$B$8*(('Business Case'!C11*$C851*'Business Case'!C12*$B851)-('Business Case'!B11*$C851*'Business Case'!B12*$B851))-'Business Case'!C15*$F851</f>
        <v>-14134776.565985</v>
      </c>
      <c r="J851" s="39" t="n">
        <f aca="false">(('Business Case'!D11*$C851*'Business Case'!D12*$B851)-'Business Case'!D11*$C851*'Business Case'!D13*$D851-'Business Case'!D14*$E851)-MAX(0,(('Business Case'!D11*$C851*'Business Case'!D12*$B851)-'Business Case'!D11*$C851*'Business Case'!D13*$D851-'Business Case'!D14*$E851))*'Business Case'!$B$7-'Business Case'!$B$8*(('Business Case'!D11*$C851*'Business Case'!D12*$B851)-('Business Case'!C11*$C851*'Business Case'!C12*$B851))-'Business Case'!D15*$F851</f>
        <v>270925573.858209</v>
      </c>
      <c r="K851" s="39" t="n">
        <f aca="false">(('Business Case'!E11*$C851*'Business Case'!E12*$B851)-'Business Case'!E11*$C851*'Business Case'!E13*$D851-'Business Case'!E14*$E851)-MAX(0,(('Business Case'!E11*$C851*'Business Case'!E12*$B851)-'Business Case'!E11*$C851*'Business Case'!E13*$D851-'Business Case'!E14*$E851))*'Business Case'!$B$7-'Business Case'!$B$8*(('Business Case'!E11*$C851*'Business Case'!E12*$B851)-('Business Case'!D11*$C851*'Business Case'!D12*$B851))-'Business Case'!E15*$F851</f>
        <v>610577686.701736</v>
      </c>
      <c r="L851" s="39" t="n">
        <f aca="false">(('Business Case'!F11*$C851*'Business Case'!F12*$B851)-'Business Case'!F11*$C851*'Business Case'!F13*$D851-'Business Case'!F14*$E851)-MAX(0,(('Business Case'!F11*$C851*'Business Case'!F12*$B851)-'Business Case'!F11*$C851*'Business Case'!F13*$D851-'Business Case'!F14*$E851))*'Business Case'!$B$7-'Business Case'!$B$8*(('Business Case'!F11*$C851*'Business Case'!F12*$B851)-('Business Case'!E11*$C851*'Business Case'!E12*$B851))-'Business Case'!F15*$F851</f>
        <v>739472850.515515</v>
      </c>
      <c r="M851" s="39" t="n">
        <f aca="false">(('Business Case'!G11*$C851*'Business Case'!G12*$B851)-'Business Case'!G11*$C851*'Business Case'!G13*$D851-'Business Case'!G14*$E851)-MAX(0,(('Business Case'!G11*$C851*'Business Case'!G12*$B851)-'Business Case'!G11*$C851*'Business Case'!G13*$D851-'Business Case'!G14*$E851))*'Business Case'!$B$7-'Business Case'!$B$8*(('Business Case'!G11*$C851*'Business Case'!G12*$B851)-('Business Case'!F11*$C851*'Business Case'!F12*$B851))-'Business Case'!G15*$F851+'Business Case'!$B$8*('Business Case'!G11*$C851*'Business Case'!G12*$B851)</f>
        <v>925785609.046941</v>
      </c>
      <c r="N851" s="39" t="n">
        <f aca="false">IF(COUNT('Business Case'!B11:G11)=0,"",H851+NPV(G851,I851:M851))</f>
        <v>-441659299.680179</v>
      </c>
      <c r="P851" s="40" t="n">
        <f aca="true">RAND()</f>
        <v>0.883850153070791</v>
      </c>
      <c r="Q851" s="40" t="n">
        <f aca="true">RAND()</f>
        <v>0.38599434067007</v>
      </c>
      <c r="R851" s="40" t="n">
        <f aca="true">RAND()</f>
        <v>0.906435655296885</v>
      </c>
      <c r="S851" s="40" t="n">
        <f aca="true">RAND()</f>
        <v>0.11133161657444</v>
      </c>
      <c r="T851" s="40" t="n">
        <f aca="true">RAND()</f>
        <v>0.766007730168503</v>
      </c>
      <c r="U851" s="40" t="n">
        <f aca="true">RAND()</f>
        <v>0.415014751640453</v>
      </c>
    </row>
    <row r="852" customFormat="false" ht="15" hidden="false" customHeight="false" outlineLevel="0" collapsed="false">
      <c r="A852" s="36" t="n">
        <v>772</v>
      </c>
      <c r="B852" s="37" t="n">
        <f aca="false">1+IF($G$6=$E$6,$F$6,IF(P852&lt;($F$6-$E$6)/($G$6-$E$6),$E$6+SQRT(P852*($G$6-$E$6)*($F$6-$E$6)),$G$6-SQRT((1-P852)*($G$6-$E$6)*($G$6-$F$6))))</f>
        <v>1.01419504518797</v>
      </c>
      <c r="C852" s="37" t="n">
        <f aca="false">1+IF($G$7=$E$7,$F$7,IF(Q852&lt;($F$7-$E$7)/($G$7-$E$7),$E$7+SQRT(Q852*($G$7-$E$7)*($F$7-$E$7)),$G$7-SQRT((1-Q852)*($G$7-$E$7)*($G$7-$F$7))))</f>
        <v>0.968909885500004</v>
      </c>
      <c r="D852" s="37" t="n">
        <f aca="false">1+IF($G$8=$E$8,$F$8,IF(R852&lt;($F$8-$E$8)/($G$8-$E$8),$E$8+SQRT(R852*($G$8-$E$8)*($F$8-$E$8)),$G$8-SQRT((1-R852)*($G$8-$E$8)*($G$8-$F$8))))</f>
        <v>0.989453591263037</v>
      </c>
      <c r="E852" s="37" t="n">
        <f aca="false">1+IF($G$9=$E$9,$F$9,IF(S852&lt;($F$9-$E$9)/($G$9-$E$9),$E$9+SQRT(S852*($G$9-$E$9)*($F$9-$E$9)),$G$9-SQRT((1-S852)*($G$9-$E$9)*($G$9-$F$9))))</f>
        <v>0.979660238643569</v>
      </c>
      <c r="F852" s="37" t="n">
        <f aca="false">1+IF($G$10=$E$10,$F$10,IF(T852&lt;($F$10-$E$10)/($G$10-$E$10),$E$10+SQRT(T852*($G$10-$E$10)*($F$10-$E$10)),$G$10-SQRT((1-T852)*($G$10-$E$10)*($G$10-$F$10))))</f>
        <v>1.00643932656614</v>
      </c>
      <c r="G852" s="38" t="n">
        <f aca="false">IF($G$11=$E$11,$F$11,IF(U852&lt;($F$11-$E$11)/($G$11-$E$11),$E$11+SQRT(U852*($G$11-$E$11)*($F$11-$E$11)),$G$11-SQRT((1-U852)*($G$11-$E$11)*($G$11-$F$11))))</f>
        <v>0.105745531503724</v>
      </c>
      <c r="H852" s="39" t="n">
        <f aca="false">(('Business Case'!B11*$C852*'Business Case'!B12*$B852)-'Business Case'!B11*$C852*'Business Case'!B13*$D852-'Business Case'!B14*$E852)-MAX(0,(('Business Case'!B11*$C852*'Business Case'!B12*$B852)-'Business Case'!B11*$C852*'Business Case'!B13*$D852-'Business Case'!B14*$E852))*'Business Case'!$B$7-'Business Case'!$B$8*('Business Case'!B11*$C852*'Business Case'!B12*$B852)-'Business Case'!B15*$F852</f>
        <v>-2012878653.13229</v>
      </c>
      <c r="I852" s="39" t="n">
        <f aca="false">(('Business Case'!C11*$C852*'Business Case'!C12*$B852)-'Business Case'!C11*$C852*'Business Case'!C13*$D852-'Business Case'!C14*$E852)-MAX(0,(('Business Case'!C11*$C852*'Business Case'!C12*$B852)-'Business Case'!C11*$C852*'Business Case'!C13*$D852-'Business Case'!C14*$E852))*'Business Case'!$B$7-'Business Case'!$B$8*(('Business Case'!C11*$C852*'Business Case'!C12*$B852)-('Business Case'!B11*$C852*'Business Case'!B12*$B852))-'Business Case'!C15*$F852</f>
        <v>23206060.4926292</v>
      </c>
      <c r="J852" s="39" t="n">
        <f aca="false">(('Business Case'!D11*$C852*'Business Case'!D12*$B852)-'Business Case'!D11*$C852*'Business Case'!D13*$D852-'Business Case'!D14*$E852)-MAX(0,(('Business Case'!D11*$C852*'Business Case'!D12*$B852)-'Business Case'!D11*$C852*'Business Case'!D13*$D852-'Business Case'!D14*$E852))*'Business Case'!$B$7-'Business Case'!$B$8*(('Business Case'!D11*$C852*'Business Case'!D12*$B852)-('Business Case'!C11*$C852*'Business Case'!C12*$B852))-'Business Case'!D15*$F852</f>
        <v>337305020.865774</v>
      </c>
      <c r="K852" s="39" t="n">
        <f aca="false">(('Business Case'!E11*$C852*'Business Case'!E12*$B852)-'Business Case'!E11*$C852*'Business Case'!E13*$D852-'Business Case'!E14*$E852)-MAX(0,(('Business Case'!E11*$C852*'Business Case'!E12*$B852)-'Business Case'!E11*$C852*'Business Case'!E13*$D852-'Business Case'!E14*$E852))*'Business Case'!$B$7-'Business Case'!$B$8*(('Business Case'!E11*$C852*'Business Case'!E12*$B852)-('Business Case'!D11*$C852*'Business Case'!D12*$B852))-'Business Case'!E15*$F852</f>
        <v>701725947.567226</v>
      </c>
      <c r="L852" s="39" t="n">
        <f aca="false">(('Business Case'!F11*$C852*'Business Case'!F12*$B852)-'Business Case'!F11*$C852*'Business Case'!F13*$D852-'Business Case'!F14*$E852)-MAX(0,(('Business Case'!F11*$C852*'Business Case'!F12*$B852)-'Business Case'!F11*$C852*'Business Case'!F13*$D852-'Business Case'!F14*$E852))*'Business Case'!$B$7-'Business Case'!$B$8*(('Business Case'!F11*$C852*'Business Case'!F12*$B852)-('Business Case'!E11*$C852*'Business Case'!E12*$B852))-'Business Case'!F15*$F852</f>
        <v>840386455.217465</v>
      </c>
      <c r="M852" s="39" t="n">
        <f aca="false">(('Business Case'!G11*$C852*'Business Case'!G12*$B852)-'Business Case'!G11*$C852*'Business Case'!G13*$D852-'Business Case'!G14*$E852)-MAX(0,(('Business Case'!G11*$C852*'Business Case'!G12*$B852)-'Business Case'!G11*$C852*'Business Case'!G13*$D852-'Business Case'!G14*$E852))*'Business Case'!$B$7-'Business Case'!$B$8*(('Business Case'!G11*$C852*'Business Case'!G12*$B852)-('Business Case'!F11*$C852*'Business Case'!F12*$B852))-'Business Case'!G15*$F852+'Business Case'!$B$8*('Business Case'!G11*$C852*'Business Case'!G12*$B852)</f>
        <v>1027171153.27635</v>
      </c>
      <c r="N852" s="39" t="n">
        <f aca="false">IF(COUNT('Business Case'!B11:G11)=0,"",H852+NPV(G852,I852:M852))</f>
        <v>-13423912.0468671</v>
      </c>
      <c r="P852" s="40" t="n">
        <f aca="true">RAND()</f>
        <v>0.861271730656109</v>
      </c>
      <c r="Q852" s="40" t="n">
        <f aca="true">RAND()</f>
        <v>0.407579277423207</v>
      </c>
      <c r="R852" s="40" t="n">
        <f aca="true">RAND()</f>
        <v>0.23947474823858</v>
      </c>
      <c r="S852" s="40" t="n">
        <f aca="true">RAND()</f>
        <v>0.117297300852461</v>
      </c>
      <c r="T852" s="40" t="n">
        <f aca="true">RAND()</f>
        <v>0.250685313996636</v>
      </c>
      <c r="U852" s="40" t="n">
        <f aca="true">RAND()</f>
        <v>0.661350213147803</v>
      </c>
    </row>
    <row r="853" customFormat="false" ht="15" hidden="false" customHeight="false" outlineLevel="0" collapsed="false">
      <c r="A853" s="36" t="n">
        <v>773</v>
      </c>
      <c r="B853" s="37" t="n">
        <f aca="false">1+IF($G$6=$E$6,$F$6,IF(P853&lt;($F$6-$E$6)/($G$6-$E$6),$E$6+SQRT(P853*($G$6-$E$6)*($F$6-$E$6)),$G$6-SQRT((1-P853)*($G$6-$E$6)*($G$6-$F$6))))</f>
        <v>0.989182639991227</v>
      </c>
      <c r="C853" s="37" t="n">
        <f aca="false">1+IF($G$7=$E$7,$F$7,IF(Q853&lt;($F$7-$E$7)/($G$7-$E$7),$E$7+SQRT(Q853*($G$7-$E$7)*($F$7-$E$7)),$G$7-SQRT((1-Q853)*($G$7-$E$7)*($G$7-$F$7))))</f>
        <v>1.02877216781392</v>
      </c>
      <c r="D853" s="37" t="n">
        <f aca="false">1+IF($G$8=$E$8,$F$8,IF(R853&lt;($F$8-$E$8)/($G$8-$E$8),$E$8+SQRT(R853*($G$8-$E$8)*($F$8-$E$8)),$G$8-SQRT((1-R853)*($G$8-$E$8)*($G$8-$F$8))))</f>
        <v>0.990487202724906</v>
      </c>
      <c r="E853" s="37" t="n">
        <f aca="false">1+IF($G$9=$E$9,$F$9,IF(S853&lt;($F$9-$E$9)/($G$9-$E$9),$E$9+SQRT(S853*($G$9-$E$9)*($F$9-$E$9)),$G$9-SQRT((1-S853)*($G$9-$E$9)*($G$9-$F$9))))</f>
        <v>0.9580556511145</v>
      </c>
      <c r="F853" s="37" t="n">
        <f aca="false">1+IF($G$10=$E$10,$F$10,IF(T853&lt;($F$10-$E$10)/($G$10-$E$10),$E$10+SQRT(T853*($G$10-$E$10)*($F$10-$E$10)),$G$10-SQRT((1-T853)*($G$10-$E$10)*($G$10-$F$10))))</f>
        <v>1.03361369133653</v>
      </c>
      <c r="G853" s="38" t="n">
        <f aca="false">IF($G$11=$E$11,$F$11,IF(U853&lt;($F$11-$E$11)/($G$11-$E$11),$E$11+SQRT(U853*($G$11-$E$11)*($F$11-$E$11)),$G$11-SQRT((1-U853)*($G$11-$E$11)*($G$11-$F$11))))</f>
        <v>0.107642539672474</v>
      </c>
      <c r="H853" s="39" t="n">
        <f aca="false">(('Business Case'!B11*$C853*'Business Case'!B12*$B853)-'Business Case'!B11*$C853*'Business Case'!B13*$D853-'Business Case'!B14*$E853)-MAX(0,(('Business Case'!B11*$C853*'Business Case'!B12*$B853)-'Business Case'!B11*$C853*'Business Case'!B13*$D853-'Business Case'!B14*$E853))*'Business Case'!$B$7-'Business Case'!$B$8*('Business Case'!B11*$C853*'Business Case'!B12*$B853)-'Business Case'!B15*$F853</f>
        <v>-2067227382.67306</v>
      </c>
      <c r="I853" s="39" t="n">
        <f aca="false">(('Business Case'!C11*$C853*'Business Case'!C12*$B853)-'Business Case'!C11*$C853*'Business Case'!C13*$D853-'Business Case'!C14*$E853)-MAX(0,(('Business Case'!C11*$C853*'Business Case'!C12*$B853)-'Business Case'!C11*$C853*'Business Case'!C13*$D853-'Business Case'!C14*$E853))*'Business Case'!$B$7-'Business Case'!$B$8*(('Business Case'!C11*$C853*'Business Case'!C12*$B853)-('Business Case'!B11*$C853*'Business Case'!B12*$B853))-'Business Case'!C15*$F853</f>
        <v>19532685.4208786</v>
      </c>
      <c r="J853" s="39" t="n">
        <f aca="false">(('Business Case'!D11*$C853*'Business Case'!D12*$B853)-'Business Case'!D11*$C853*'Business Case'!D13*$D853-'Business Case'!D14*$E853)-MAX(0,(('Business Case'!D11*$C853*'Business Case'!D12*$B853)-'Business Case'!D11*$C853*'Business Case'!D13*$D853-'Business Case'!D14*$E853))*'Business Case'!$B$7-'Business Case'!$B$8*(('Business Case'!D11*$C853*'Business Case'!D12*$B853)-('Business Case'!C11*$C853*'Business Case'!C12*$B853))-'Business Case'!D15*$F853</f>
        <v>331416896.176066</v>
      </c>
      <c r="K853" s="39" t="n">
        <f aca="false">(('Business Case'!E11*$C853*'Business Case'!E12*$B853)-'Business Case'!E11*$C853*'Business Case'!E13*$D853-'Business Case'!E14*$E853)-MAX(0,(('Business Case'!E11*$C853*'Business Case'!E12*$B853)-'Business Case'!E11*$C853*'Business Case'!E13*$D853-'Business Case'!E14*$E853))*'Business Case'!$B$7-'Business Case'!$B$8*(('Business Case'!E11*$C853*'Business Case'!E12*$B853)-('Business Case'!D11*$C853*'Business Case'!D12*$B853))-'Business Case'!E15*$F853</f>
        <v>694981791.498079</v>
      </c>
      <c r="L853" s="39" t="n">
        <f aca="false">(('Business Case'!F11*$C853*'Business Case'!F12*$B853)-'Business Case'!F11*$C853*'Business Case'!F13*$D853-'Business Case'!F14*$E853)-MAX(0,(('Business Case'!F11*$C853*'Business Case'!F12*$B853)-'Business Case'!F11*$C853*'Business Case'!F13*$D853-'Business Case'!F14*$E853))*'Business Case'!$B$7-'Business Case'!$B$8*(('Business Case'!F11*$C853*'Business Case'!F12*$B853)-('Business Case'!E11*$C853*'Business Case'!E12*$B853))-'Business Case'!F15*$F853</f>
        <v>834112956.824591</v>
      </c>
      <c r="M853" s="39" t="n">
        <f aca="false">(('Business Case'!G11*$C853*'Business Case'!G12*$B853)-'Business Case'!G11*$C853*'Business Case'!G13*$D853-'Business Case'!G14*$E853)-MAX(0,(('Business Case'!G11*$C853*'Business Case'!G12*$B853)-'Business Case'!G11*$C853*'Business Case'!G13*$D853-'Business Case'!G14*$E853))*'Business Case'!$B$7-'Business Case'!$B$8*(('Business Case'!G11*$C853*'Business Case'!G12*$B853)-('Business Case'!F11*$C853*'Business Case'!F12*$B853))-'Business Case'!G15*$F853+'Business Case'!$B$8*('Business Case'!G11*$C853*'Business Case'!G12*$B853)</f>
        <v>1027546646.40256</v>
      </c>
      <c r="N853" s="39" t="n">
        <f aca="false">IF(COUNT('Business Case'!B11:G11)=0,"",H853+NPV(G853,I853:M853))</f>
        <v>-97580327.7899835</v>
      </c>
      <c r="P853" s="40" t="n">
        <f aca="true">RAND()</f>
        <v>0.498566424599546</v>
      </c>
      <c r="Q853" s="40" t="n">
        <f aca="true">RAND()</f>
        <v>0.720072622923105</v>
      </c>
      <c r="R853" s="40" t="n">
        <f aca="true">RAND()</f>
        <v>0.252186705305796</v>
      </c>
      <c r="S853" s="40" t="n">
        <f aca="true">RAND()</f>
        <v>0.00865246865047221</v>
      </c>
      <c r="T853" s="40" t="n">
        <f aca="true">RAND()</f>
        <v>0.446311925786896</v>
      </c>
      <c r="U853" s="40" t="n">
        <f aca="true">RAND()</f>
        <v>0.745488623756046</v>
      </c>
    </row>
    <row r="854" customFormat="false" ht="15" hidden="false" customHeight="false" outlineLevel="0" collapsed="false">
      <c r="A854" s="36" t="n">
        <v>774</v>
      </c>
      <c r="B854" s="37" t="n">
        <f aca="false">1+IF($G$6=$E$6,$F$6,IF(P854&lt;($F$6-$E$6)/($G$6-$E$6),$E$6+SQRT(P854*($G$6-$E$6)*($F$6-$E$6)),$G$6-SQRT((1-P854)*($G$6-$E$6)*($G$6-$F$6))))</f>
        <v>1.01696732062358</v>
      </c>
      <c r="C854" s="37" t="n">
        <f aca="false">1+IF($G$7=$E$7,$F$7,IF(Q854&lt;($F$7-$E$7)/($G$7-$E$7),$E$7+SQRT(Q854*($G$7-$E$7)*($F$7-$E$7)),$G$7-SQRT((1-Q854)*($G$7-$E$7)*($G$7-$F$7))))</f>
        <v>0.955222980740941</v>
      </c>
      <c r="D854" s="37" t="n">
        <f aca="false">1+IF($G$8=$E$8,$F$8,IF(R854&lt;($F$8-$E$8)/($G$8-$E$8),$E$8+SQRT(R854*($G$8-$E$8)*($F$8-$E$8)),$G$8-SQRT((1-R854)*($G$8-$E$8)*($G$8-$F$8))))</f>
        <v>1.00273349611014</v>
      </c>
      <c r="E854" s="37" t="n">
        <f aca="false">1+IF($G$9=$E$9,$F$9,IF(S854&lt;($F$9-$E$9)/($G$9-$E$9),$E$9+SQRT(S854*($G$9-$E$9)*($F$9-$E$9)),$G$9-SQRT((1-S854)*($G$9-$E$9)*($G$9-$F$9))))</f>
        <v>1.07443005211521</v>
      </c>
      <c r="F854" s="37" t="n">
        <f aca="false">1+IF($G$10=$E$10,$F$10,IF(T854&lt;($F$10-$E$10)/($G$10-$E$10),$E$10+SQRT(T854*($G$10-$E$10)*($F$10-$E$10)),$G$10-SQRT((1-T854)*($G$10-$E$10)*($G$10-$F$10))))</f>
        <v>1.03308524466248</v>
      </c>
      <c r="G854" s="38" t="n">
        <f aca="false">IF($G$11=$E$11,$F$11,IF(U854&lt;($F$11-$E$11)/($G$11-$E$11),$E$11+SQRT(U854*($G$11-$E$11)*($F$11-$E$11)),$G$11-SQRT((1-U854)*($G$11-$E$11)*($G$11-$F$11))))</f>
        <v>0.114049645846564</v>
      </c>
      <c r="H854" s="39" t="n">
        <f aca="false">(('Business Case'!B11*$C854*'Business Case'!B12*$B854)-'Business Case'!B11*$C854*'Business Case'!B13*$D854-'Business Case'!B14*$E854)-MAX(0,(('Business Case'!B11*$C854*'Business Case'!B12*$B854)-'Business Case'!B11*$C854*'Business Case'!B13*$D854-'Business Case'!B14*$E854))*'Business Case'!$B$7-'Business Case'!$B$8*('Business Case'!B11*$C854*'Business Case'!B12*$B854)-'Business Case'!B15*$F854</f>
        <v>-2066170489.32496</v>
      </c>
      <c r="I854" s="39" t="n">
        <f aca="false">(('Business Case'!C11*$C854*'Business Case'!C12*$B854)-'Business Case'!C11*$C854*'Business Case'!C13*$D854-'Business Case'!C14*$E854)-MAX(0,(('Business Case'!C11*$C854*'Business Case'!C12*$B854)-'Business Case'!C11*$C854*'Business Case'!C13*$D854-'Business Case'!C14*$E854))*'Business Case'!$B$7-'Business Case'!$B$8*(('Business Case'!C11*$C854*'Business Case'!C12*$B854)-('Business Case'!B11*$C854*'Business Case'!B12*$B854))-'Business Case'!C15*$F854</f>
        <v>-1114291.79982938</v>
      </c>
      <c r="J854" s="39" t="n">
        <f aca="false">(('Business Case'!D11*$C854*'Business Case'!D12*$B854)-'Business Case'!D11*$C854*'Business Case'!D13*$D854-'Business Case'!D14*$E854)-MAX(0,(('Business Case'!D11*$C854*'Business Case'!D12*$B854)-'Business Case'!D11*$C854*'Business Case'!D13*$D854-'Business Case'!D14*$E854))*'Business Case'!$B$7-'Business Case'!$B$8*(('Business Case'!D11*$C854*'Business Case'!D12*$B854)-('Business Case'!C11*$C854*'Business Case'!C12*$B854))-'Business Case'!D15*$F854</f>
        <v>304222854.265274</v>
      </c>
      <c r="K854" s="39" t="n">
        <f aca="false">(('Business Case'!E11*$C854*'Business Case'!E12*$B854)-'Business Case'!E11*$C854*'Business Case'!E13*$D854-'Business Case'!E14*$E854)-MAX(0,(('Business Case'!E11*$C854*'Business Case'!E12*$B854)-'Business Case'!E11*$C854*'Business Case'!E13*$D854-'Business Case'!E14*$E854))*'Business Case'!$B$7-'Business Case'!$B$8*(('Business Case'!E11*$C854*'Business Case'!E12*$B854)-('Business Case'!D11*$C854*'Business Case'!D12*$B854))-'Business Case'!E15*$F854</f>
        <v>661214262.563501</v>
      </c>
      <c r="L854" s="39" t="n">
        <f aca="false">(('Business Case'!F11*$C854*'Business Case'!F12*$B854)-'Business Case'!F11*$C854*'Business Case'!F13*$D854-'Business Case'!F14*$E854)-MAX(0,(('Business Case'!F11*$C854*'Business Case'!F12*$B854)-'Business Case'!F11*$C854*'Business Case'!F13*$D854-'Business Case'!F14*$E854))*'Business Case'!$B$7-'Business Case'!$B$8*(('Business Case'!F11*$C854*'Business Case'!F12*$B854)-('Business Case'!E11*$C854*'Business Case'!E12*$B854))-'Business Case'!F15*$F854</f>
        <v>796565951.243804</v>
      </c>
      <c r="M854" s="39" t="n">
        <f aca="false">(('Business Case'!G11*$C854*'Business Case'!G12*$B854)-'Business Case'!G11*$C854*'Business Case'!G13*$D854-'Business Case'!G14*$E854)-MAX(0,(('Business Case'!G11*$C854*'Business Case'!G12*$B854)-'Business Case'!G11*$C854*'Business Case'!G13*$D854-'Business Case'!G14*$E854))*'Business Case'!$B$7-'Business Case'!$B$8*(('Business Case'!G11*$C854*'Business Case'!G12*$B854)-('Business Case'!F11*$C854*'Business Case'!F12*$B854))-'Business Case'!G15*$F854+'Business Case'!$B$8*('Business Case'!G11*$C854*'Business Case'!G12*$B854)</f>
        <v>981215471.199444</v>
      </c>
      <c r="N854" s="39" t="n">
        <f aca="false">IF(COUNT('Business Case'!B11:G11)=0,"",H854+NPV(G854,I854:M854))</f>
        <v>-254896241.593621</v>
      </c>
      <c r="P854" s="40" t="n">
        <f aca="true">RAND()</f>
        <v>0.889478266821459</v>
      </c>
      <c r="Q854" s="40" t="n">
        <f aca="true">RAND()</f>
        <v>0.34420248214432</v>
      </c>
      <c r="R854" s="40" t="n">
        <f aca="true">RAND()</f>
        <v>0.425950709292072</v>
      </c>
      <c r="S854" s="40" t="n">
        <f aca="true">RAND()</f>
        <v>0.956411851011268</v>
      </c>
      <c r="T854" s="40" t="n">
        <f aca="true">RAND()</f>
        <v>0.442789289012328</v>
      </c>
      <c r="U854" s="40" t="n">
        <f aca="true">RAND()</f>
        <v>0.940988809081154</v>
      </c>
    </row>
    <row r="855" customFormat="false" ht="15" hidden="false" customHeight="false" outlineLevel="0" collapsed="false">
      <c r="A855" s="36" t="n">
        <v>775</v>
      </c>
      <c r="B855" s="37" t="n">
        <f aca="false">1+IF($G$6=$E$6,$F$6,IF(P855&lt;($F$6-$E$6)/($G$6-$E$6),$E$6+SQRT(P855*($G$6-$E$6)*($F$6-$E$6)),$G$6-SQRT((1-P855)*($G$6-$E$6)*($G$6-$F$6))))</f>
        <v>1.00547509899859</v>
      </c>
      <c r="C855" s="37" t="n">
        <f aca="false">1+IF($G$7=$E$7,$F$7,IF(Q855&lt;($F$7-$E$7)/($G$7-$E$7),$E$7+SQRT(Q855*($G$7-$E$7)*($F$7-$E$7)),$G$7-SQRT((1-Q855)*($G$7-$E$7)*($G$7-$F$7))))</f>
        <v>0.960466117043016</v>
      </c>
      <c r="D855" s="37" t="n">
        <f aca="false">1+IF($G$8=$E$8,$F$8,IF(R855&lt;($F$8-$E$8)/($G$8-$E$8),$E$8+SQRT(R855*($G$8-$E$8)*($F$8-$E$8)),$G$8-SQRT((1-R855)*($G$8-$E$8)*($G$8-$F$8))))</f>
        <v>1.02179159215813</v>
      </c>
      <c r="E855" s="37" t="n">
        <f aca="false">1+IF($G$9=$E$9,$F$9,IF(S855&lt;($F$9-$E$9)/($G$9-$E$9),$E$9+SQRT(S855*($G$9-$E$9)*($F$9-$E$9)),$G$9-SQRT((1-S855)*($G$9-$E$9)*($G$9-$F$9))))</f>
        <v>0.999278941375969</v>
      </c>
      <c r="F855" s="37" t="n">
        <f aca="false">1+IF($G$10=$E$10,$F$10,IF(T855&lt;($F$10-$E$10)/($G$10-$E$10),$E$10+SQRT(T855*($G$10-$E$10)*($F$10-$E$10)),$G$10-SQRT((1-T855)*($G$10-$E$10)*($G$10-$F$10))))</f>
        <v>1.1766638905991</v>
      </c>
      <c r="G855" s="38" t="n">
        <f aca="false">IF($G$11=$E$11,$F$11,IF(U855&lt;($F$11-$E$11)/($G$11-$E$11),$E$11+SQRT(U855*($G$11-$E$11)*($F$11-$E$11)),$G$11-SQRT((1-U855)*($G$11-$E$11)*($G$11-$F$11))))</f>
        <v>0.100461889674462</v>
      </c>
      <c r="H855" s="39" t="n">
        <f aca="false">(('Business Case'!B11*$C855*'Business Case'!B12*$B855)-'Business Case'!B11*$C855*'Business Case'!B13*$D855-'Business Case'!B14*$E855)-MAX(0,(('Business Case'!B11*$C855*'Business Case'!B12*$B855)-'Business Case'!B11*$C855*'Business Case'!B13*$D855-'Business Case'!B14*$E855))*'Business Case'!$B$7-'Business Case'!$B$8*('Business Case'!B11*$C855*'Business Case'!B12*$B855)-'Business Case'!B15*$F855</f>
        <v>-2353327781.19821</v>
      </c>
      <c r="I855" s="39" t="n">
        <f aca="false">(('Business Case'!C11*$C855*'Business Case'!C12*$B855)-'Business Case'!C11*$C855*'Business Case'!C13*$D855-'Business Case'!C14*$E855)-MAX(0,(('Business Case'!C11*$C855*'Business Case'!C12*$B855)-'Business Case'!C11*$C855*'Business Case'!C13*$D855-'Business Case'!C14*$E855))*'Business Case'!$B$7-'Business Case'!$B$8*(('Business Case'!C11*$C855*'Business Case'!C12*$B855)-('Business Case'!B11*$C855*'Business Case'!B12*$B855))-'Business Case'!C15*$F855</f>
        <v>-21225256.5121088</v>
      </c>
      <c r="J855" s="39" t="n">
        <f aca="false">(('Business Case'!D11*$C855*'Business Case'!D12*$B855)-'Business Case'!D11*$C855*'Business Case'!D13*$D855-'Business Case'!D14*$E855)-MAX(0,(('Business Case'!D11*$C855*'Business Case'!D12*$B855)-'Business Case'!D11*$C855*'Business Case'!D13*$D855-'Business Case'!D14*$E855))*'Business Case'!$B$7-'Business Case'!$B$8*(('Business Case'!D11*$C855*'Business Case'!D12*$B855)-('Business Case'!C11*$C855*'Business Case'!C12*$B855))-'Business Case'!D15*$F855</f>
        <v>267376513.271265</v>
      </c>
      <c r="K855" s="39" t="n">
        <f aca="false">(('Business Case'!E11*$C855*'Business Case'!E12*$B855)-'Business Case'!E11*$C855*'Business Case'!E13*$D855-'Business Case'!E14*$E855)-MAX(0,(('Business Case'!E11*$C855*'Business Case'!E12*$B855)-'Business Case'!E11*$C855*'Business Case'!E13*$D855-'Business Case'!E14*$E855))*'Business Case'!$B$7-'Business Case'!$B$8*(('Business Case'!E11*$C855*'Business Case'!E12*$B855)-('Business Case'!D11*$C855*'Business Case'!D12*$B855))-'Business Case'!E15*$F855</f>
        <v>614811477.584593</v>
      </c>
      <c r="L855" s="39" t="n">
        <f aca="false">(('Business Case'!F11*$C855*'Business Case'!F12*$B855)-'Business Case'!F11*$C855*'Business Case'!F13*$D855-'Business Case'!F14*$E855)-MAX(0,(('Business Case'!F11*$C855*'Business Case'!F12*$B855)-'Business Case'!F11*$C855*'Business Case'!F13*$D855-'Business Case'!F14*$E855))*'Business Case'!$B$7-'Business Case'!$B$8*(('Business Case'!F11*$C855*'Business Case'!F12*$B855)-('Business Case'!E11*$C855*'Business Case'!E12*$B855))-'Business Case'!F15*$F855</f>
        <v>744387515.360324</v>
      </c>
      <c r="M855" s="39" t="n">
        <f aca="false">(('Business Case'!G11*$C855*'Business Case'!G12*$B855)-'Business Case'!G11*$C855*'Business Case'!G13*$D855-'Business Case'!G14*$E855)-MAX(0,(('Business Case'!G11*$C855*'Business Case'!G12*$B855)-'Business Case'!G11*$C855*'Business Case'!G13*$D855-'Business Case'!G14*$E855))*'Business Case'!$B$7-'Business Case'!$B$8*(('Business Case'!G11*$C855*'Business Case'!G12*$B855)-('Business Case'!F11*$C855*'Business Case'!F12*$B855))-'Business Case'!G15*$F855+'Business Case'!$B$8*('Business Case'!G11*$C855*'Business Case'!G12*$B855)</f>
        <v>927952478.523991</v>
      </c>
      <c r="N855" s="39" t="n">
        <f aca="false">IF(COUNT('Business Case'!B11:G11)=0,"",H855+NPV(G855,I855:M855))</f>
        <v>-607941991.553404</v>
      </c>
      <c r="P855" s="40" t="n">
        <f aca="true">RAND()</f>
        <v>0.751673168925584</v>
      </c>
      <c r="Q855" s="40" t="n">
        <f aca="true">RAND()</f>
        <v>0.367848210269469</v>
      </c>
      <c r="R855" s="40" t="n">
        <f aca="true">RAND()</f>
        <v>0.674209736203288</v>
      </c>
      <c r="S855" s="40" t="n">
        <f aca="true">RAND()</f>
        <v>0.323788541751486</v>
      </c>
      <c r="T855" s="40" t="n">
        <f aca="true">RAND()</f>
        <v>0.989108519960587</v>
      </c>
      <c r="U855" s="40" t="n">
        <f aca="true">RAND()</f>
        <v>0.363770408178482</v>
      </c>
    </row>
    <row r="856" customFormat="false" ht="15" hidden="false" customHeight="false" outlineLevel="0" collapsed="false">
      <c r="A856" s="36" t="n">
        <v>776</v>
      </c>
      <c r="B856" s="37" t="n">
        <f aca="false">1+IF($G$6=$E$6,$F$6,IF(P856&lt;($F$6-$E$6)/($G$6-$E$6),$E$6+SQRT(P856*($G$6-$E$6)*($F$6-$E$6)),$G$6-SQRT((1-P856)*($G$6-$E$6)*($G$6-$F$6))))</f>
        <v>0.97205180650248</v>
      </c>
      <c r="C856" s="37" t="n">
        <f aca="false">1+IF($G$7=$E$7,$F$7,IF(Q856&lt;($F$7-$E$7)/($G$7-$E$7),$E$7+SQRT(Q856*($G$7-$E$7)*($F$7-$E$7)),$G$7-SQRT((1-Q856)*($G$7-$E$7)*($G$7-$F$7))))</f>
        <v>0.9824359285994</v>
      </c>
      <c r="D856" s="37" t="n">
        <f aca="false">1+IF($G$8=$E$8,$F$8,IF(R856&lt;($F$8-$E$8)/($G$8-$E$8),$E$8+SQRT(R856*($G$8-$E$8)*($F$8-$E$8)),$G$8-SQRT((1-R856)*($G$8-$E$8)*($G$8-$F$8))))</f>
        <v>1.00115430331465</v>
      </c>
      <c r="E856" s="37" t="n">
        <f aca="false">1+IF($G$9=$E$9,$F$9,IF(S856&lt;($F$9-$E$9)/($G$9-$E$9),$E$9+SQRT(S856*($G$9-$E$9)*($F$9-$E$9)),$G$9-SQRT((1-S856)*($G$9-$E$9)*($G$9-$F$9))))</f>
        <v>1.0505124578077</v>
      </c>
      <c r="F856" s="37" t="n">
        <f aca="false">1+IF($G$10=$E$10,$F$10,IF(T856&lt;($F$10-$E$10)/($G$10-$E$10),$E$10+SQRT(T856*($G$10-$E$10)*($F$10-$E$10)),$G$10-SQRT((1-T856)*($G$10-$E$10)*($G$10-$F$10))))</f>
        <v>1.17440858271055</v>
      </c>
      <c r="G856" s="38" t="n">
        <f aca="false">IF($G$11=$E$11,$F$11,IF(U856&lt;($F$11-$E$11)/($G$11-$E$11),$E$11+SQRT(U856*($G$11-$E$11)*($F$11-$E$11)),$G$11-SQRT((1-U856)*($G$11-$E$11)*($G$11-$F$11))))</f>
        <v>0.100387558303908</v>
      </c>
      <c r="H856" s="39" t="n">
        <f aca="false">(('Business Case'!B11*$C856*'Business Case'!B12*$B856)-'Business Case'!B11*$C856*'Business Case'!B13*$D856-'Business Case'!B14*$E856)-MAX(0,(('Business Case'!B11*$C856*'Business Case'!B12*$B856)-'Business Case'!B11*$C856*'Business Case'!B13*$D856-'Business Case'!B14*$E856))*'Business Case'!$B$7-'Business Case'!$B$8*('Business Case'!B11*$C856*'Business Case'!B12*$B856)-'Business Case'!B15*$F856</f>
        <v>-2348817165.42109</v>
      </c>
      <c r="I856" s="39" t="n">
        <f aca="false">(('Business Case'!C11*$C856*'Business Case'!C12*$B856)-'Business Case'!C11*$C856*'Business Case'!C13*$D856-'Business Case'!C14*$E856)-MAX(0,(('Business Case'!C11*$C856*'Business Case'!C12*$B856)-'Business Case'!C11*$C856*'Business Case'!C13*$D856-'Business Case'!C14*$E856))*'Business Case'!$B$7-'Business Case'!$B$8*(('Business Case'!C11*$C856*'Business Case'!C12*$B856)-('Business Case'!B11*$C856*'Business Case'!B12*$B856))-'Business Case'!C15*$F856</f>
        <v>-37642706.5490879</v>
      </c>
      <c r="J856" s="39" t="n">
        <f aca="false">(('Business Case'!D11*$C856*'Business Case'!D12*$B856)-'Business Case'!D11*$C856*'Business Case'!D13*$D856-'Business Case'!D14*$E856)-MAX(0,(('Business Case'!D11*$C856*'Business Case'!D12*$B856)-'Business Case'!D11*$C856*'Business Case'!D13*$D856-'Business Case'!D14*$E856))*'Business Case'!$B$7-'Business Case'!$B$8*(('Business Case'!D11*$C856*'Business Case'!D12*$B856)-('Business Case'!C11*$C856*'Business Case'!C12*$B856))-'Business Case'!D15*$F856</f>
        <v>241044408.290803</v>
      </c>
      <c r="K856" s="39" t="n">
        <f aca="false">(('Business Case'!E11*$C856*'Business Case'!E12*$B856)-'Business Case'!E11*$C856*'Business Case'!E13*$D856-'Business Case'!E14*$E856)-MAX(0,(('Business Case'!E11*$C856*'Business Case'!E12*$B856)-'Business Case'!E11*$C856*'Business Case'!E13*$D856-'Business Case'!E14*$E856))*'Business Case'!$B$7-'Business Case'!$B$8*(('Business Case'!E11*$C856*'Business Case'!E12*$B856)-('Business Case'!D11*$C856*'Business Case'!D12*$B856))-'Business Case'!E15*$F856</f>
        <v>578451952.26622</v>
      </c>
      <c r="L856" s="39" t="n">
        <f aca="false">(('Business Case'!F11*$C856*'Business Case'!F12*$B856)-'Business Case'!F11*$C856*'Business Case'!F13*$D856-'Business Case'!F14*$E856)-MAX(0,(('Business Case'!F11*$C856*'Business Case'!F12*$B856)-'Business Case'!F11*$C856*'Business Case'!F13*$D856-'Business Case'!F14*$E856))*'Business Case'!$B$7-'Business Case'!$B$8*(('Business Case'!F11*$C856*'Business Case'!F12*$B856)-('Business Case'!E11*$C856*'Business Case'!E12*$B856))-'Business Case'!F15*$F856</f>
        <v>704351718.291296</v>
      </c>
      <c r="M856" s="39" t="n">
        <f aca="false">(('Business Case'!G11*$C856*'Business Case'!G12*$B856)-'Business Case'!G11*$C856*'Business Case'!G13*$D856-'Business Case'!G14*$E856)-MAX(0,(('Business Case'!G11*$C856*'Business Case'!G12*$B856)-'Business Case'!G11*$C856*'Business Case'!G13*$D856-'Business Case'!G14*$E856))*'Business Case'!$B$7-'Business Case'!$B$8*(('Business Case'!G11*$C856*'Business Case'!G12*$B856)-('Business Case'!F11*$C856*'Business Case'!F12*$B856))-'Business Case'!G15*$F856+'Business Case'!$B$8*('Business Case'!G11*$C856*'Business Case'!G12*$B856)</f>
        <v>885874054.222747</v>
      </c>
      <c r="N856" s="39" t="n">
        <f aca="false">IF(COUNT('Business Case'!B11:G11)=0,"",H856+NPV(G856,I856:M856))</f>
        <v>-720320902.053379</v>
      </c>
      <c r="P856" s="40" t="n">
        <f aca="true">RAND()</f>
        <v>0.282228183351211</v>
      </c>
      <c r="Q856" s="40" t="n">
        <f aca="true">RAND()</f>
        <v>0.475469543484646</v>
      </c>
      <c r="R856" s="40" t="n">
        <f aca="true">RAND()</f>
        <v>0.402245780211666</v>
      </c>
      <c r="S856" s="40" t="n">
        <f aca="true">RAND()</f>
        <v>0.836732211184374</v>
      </c>
      <c r="T856" s="40" t="n">
        <f aca="true">RAND()</f>
        <v>0.98690158722234</v>
      </c>
      <c r="U856" s="40" t="n">
        <f aca="true">RAND()</f>
        <v>0.358920217862287</v>
      </c>
    </row>
    <row r="857" customFormat="false" ht="15" hidden="false" customHeight="false" outlineLevel="0" collapsed="false">
      <c r="A857" s="36" t="n">
        <v>777</v>
      </c>
      <c r="B857" s="37" t="n">
        <f aca="false">1+IF($G$6=$E$6,$F$6,IF(P857&lt;($F$6-$E$6)/($G$6-$E$6),$E$6+SQRT(P857*($G$6-$E$6)*($F$6-$E$6)),$G$6-SQRT((1-P857)*($G$6-$E$6)*($G$6-$F$6))))</f>
        <v>1.00379771851058</v>
      </c>
      <c r="C857" s="37" t="n">
        <f aca="false">1+IF($G$7=$E$7,$F$7,IF(Q857&lt;($F$7-$E$7)/($G$7-$E$7),$E$7+SQRT(Q857*($G$7-$E$7)*($F$7-$E$7)),$G$7-SQRT((1-Q857)*($G$7-$E$7)*($G$7-$F$7))))</f>
        <v>0.877961099315255</v>
      </c>
      <c r="D857" s="37" t="n">
        <f aca="false">1+IF($G$8=$E$8,$F$8,IF(R857&lt;($F$8-$E$8)/($G$8-$E$8),$E$8+SQRT(R857*($G$8-$E$8)*($F$8-$E$8)),$G$8-SQRT((1-R857)*($G$8-$E$8)*($G$8-$F$8))))</f>
        <v>0.993177877536519</v>
      </c>
      <c r="E857" s="37" t="n">
        <f aca="false">1+IF($G$9=$E$9,$F$9,IF(S857&lt;($F$9-$E$9)/($G$9-$E$9),$E$9+SQRT(S857*($G$9-$E$9)*($F$9-$E$9)),$G$9-SQRT((1-S857)*($G$9-$E$9)*($G$9-$F$9))))</f>
        <v>0.976096364677261</v>
      </c>
      <c r="F857" s="37" t="n">
        <f aca="false">1+IF($G$10=$E$10,$F$10,IF(T857&lt;($F$10-$E$10)/($G$10-$E$10),$E$10+SQRT(T857*($G$10-$E$10)*($F$10-$E$10)),$G$10-SQRT((1-T857)*($G$10-$E$10)*($G$10-$F$10))))</f>
        <v>0.965275062950202</v>
      </c>
      <c r="G857" s="38" t="n">
        <f aca="false">IF($G$11=$E$11,$F$11,IF(U857&lt;($F$11-$E$11)/($G$11-$E$11),$E$11+SQRT(U857*($G$11-$E$11)*($F$11-$E$11)),$G$11-SQRT((1-U857)*($G$11-$E$11)*($G$11-$F$11))))</f>
        <v>0.0968627298859762</v>
      </c>
      <c r="H857" s="39" t="n">
        <f aca="false">(('Business Case'!B11*$C857*'Business Case'!B12*$B857)-'Business Case'!B11*$C857*'Business Case'!B13*$D857-'Business Case'!B14*$E857)-MAX(0,(('Business Case'!B11*$C857*'Business Case'!B12*$B857)-'Business Case'!B11*$C857*'Business Case'!B13*$D857-'Business Case'!B14*$E857))*'Business Case'!$B$7-'Business Case'!$B$8*('Business Case'!B11*$C857*'Business Case'!B12*$B857)-'Business Case'!B15*$F857</f>
        <v>-1930550125.9004</v>
      </c>
      <c r="I857" s="39" t="n">
        <f aca="false">(('Business Case'!C11*$C857*'Business Case'!C12*$B857)-'Business Case'!C11*$C857*'Business Case'!C13*$D857-'Business Case'!C14*$E857)-MAX(0,(('Business Case'!C11*$C857*'Business Case'!C12*$B857)-'Business Case'!C11*$C857*'Business Case'!C13*$D857-'Business Case'!C14*$E857))*'Business Case'!$B$7-'Business Case'!$B$8*(('Business Case'!C11*$C857*'Business Case'!C12*$B857)-('Business Case'!B11*$C857*'Business Case'!B12*$B857))-'Business Case'!C15*$F857</f>
        <v>-5550087.94225828</v>
      </c>
      <c r="J857" s="39" t="n">
        <f aca="false">(('Business Case'!D11*$C857*'Business Case'!D12*$B857)-'Business Case'!D11*$C857*'Business Case'!D13*$D857-'Business Case'!D14*$E857)-MAX(0,(('Business Case'!D11*$C857*'Business Case'!D12*$B857)-'Business Case'!D11*$C857*'Business Case'!D13*$D857-'Business Case'!D14*$E857))*'Business Case'!$B$7-'Business Case'!$B$8*(('Business Case'!D11*$C857*'Business Case'!D12*$B857)-('Business Case'!C11*$C857*'Business Case'!C12*$B857))-'Business Case'!D15*$F857</f>
        <v>269914584.330413</v>
      </c>
      <c r="K857" s="39" t="n">
        <f aca="false">(('Business Case'!E11*$C857*'Business Case'!E12*$B857)-'Business Case'!E11*$C857*'Business Case'!E13*$D857-'Business Case'!E14*$E857)-MAX(0,(('Business Case'!E11*$C857*'Business Case'!E12*$B857)-'Business Case'!E11*$C857*'Business Case'!E13*$D857-'Business Case'!E14*$E857))*'Business Case'!$B$7-'Business Case'!$B$8*(('Business Case'!E11*$C857*'Business Case'!E12*$B857)-('Business Case'!D11*$C857*'Business Case'!D12*$B857))-'Business Case'!E15*$F857</f>
        <v>593643009.750594</v>
      </c>
      <c r="L857" s="39" t="n">
        <f aca="false">(('Business Case'!F11*$C857*'Business Case'!F12*$B857)-'Business Case'!F11*$C857*'Business Case'!F13*$D857-'Business Case'!F14*$E857)-MAX(0,(('Business Case'!F11*$C857*'Business Case'!F12*$B857)-'Business Case'!F11*$C857*'Business Case'!F13*$D857-'Business Case'!F14*$E857))*'Business Case'!$B$7-'Business Case'!$B$8*(('Business Case'!F11*$C857*'Business Case'!F12*$B857)-('Business Case'!E11*$C857*'Business Case'!E12*$B857))-'Business Case'!F15*$F857</f>
        <v>715922134.416686</v>
      </c>
      <c r="M857" s="39" t="n">
        <f aca="false">(('Business Case'!G11*$C857*'Business Case'!G12*$B857)-'Business Case'!G11*$C857*'Business Case'!G13*$D857-'Business Case'!G14*$E857)-MAX(0,(('Business Case'!G11*$C857*'Business Case'!G12*$B857)-'Business Case'!G11*$C857*'Business Case'!G13*$D857-'Business Case'!G14*$E857))*'Business Case'!$B$7-'Business Case'!$B$8*(('Business Case'!G11*$C857*'Business Case'!G12*$B857)-('Business Case'!F11*$C857*'Business Case'!F12*$B857))-'Business Case'!G15*$F857+'Business Case'!$B$8*('Business Case'!G11*$C857*'Business Case'!G12*$B857)</f>
        <v>883438754.246964</v>
      </c>
      <c r="N857" s="39" t="n">
        <f aca="false">IF(COUNT('Business Case'!B11:G11)=0,"",H857+NPV(G857,I857:M857))</f>
        <v>-210372789.698747</v>
      </c>
      <c r="P857" s="40" t="n">
        <f aca="true">RAND()</f>
        <v>0.726957253116879</v>
      </c>
      <c r="Q857" s="40" t="n">
        <f aca="true">RAND()</f>
        <v>0.0868276143777588</v>
      </c>
      <c r="R857" s="40" t="n">
        <f aca="true">RAND()</f>
        <v>0.286819862855178</v>
      </c>
      <c r="S857" s="40" t="n">
        <f aca="true">RAND()</f>
        <v>0.0908026999158088</v>
      </c>
      <c r="T857" s="40" t="n">
        <f aca="true">RAND()</f>
        <v>0.0186662038506109</v>
      </c>
      <c r="U857" s="40" t="n">
        <f aca="true">RAND()</f>
        <v>0.156990204959567</v>
      </c>
    </row>
    <row r="858" customFormat="false" ht="15" hidden="false" customHeight="false" outlineLevel="0" collapsed="false">
      <c r="A858" s="36" t="n">
        <v>778</v>
      </c>
      <c r="B858" s="37" t="n">
        <f aca="false">1+IF($G$6=$E$6,$F$6,IF(P858&lt;($F$6-$E$6)/($G$6-$E$6),$E$6+SQRT(P858*($G$6-$E$6)*($F$6-$E$6)),$G$6-SQRT((1-P858)*($G$6-$E$6)*($G$6-$F$6))))</f>
        <v>0.95367080412853</v>
      </c>
      <c r="C858" s="37" t="n">
        <f aca="false">1+IF($G$7=$E$7,$F$7,IF(Q858&lt;($F$7-$E$7)/($G$7-$E$7),$E$7+SQRT(Q858*($G$7-$E$7)*($F$7-$E$7)),$G$7-SQRT((1-Q858)*($G$7-$E$7)*($G$7-$F$7))))</f>
        <v>0.918316191822019</v>
      </c>
      <c r="D858" s="37" t="n">
        <f aca="false">1+IF($G$8=$E$8,$F$8,IF(R858&lt;($F$8-$E$8)/($G$8-$E$8),$E$8+SQRT(R858*($G$8-$E$8)*($F$8-$E$8)),$G$8-SQRT((1-R858)*($G$8-$E$8)*($G$8-$F$8))))</f>
        <v>1.00019165016972</v>
      </c>
      <c r="E858" s="37" t="n">
        <f aca="false">1+IF($G$9=$E$9,$F$9,IF(S858&lt;($F$9-$E$9)/($G$9-$E$9),$E$9+SQRT(S858*($G$9-$E$9)*($F$9-$E$9)),$G$9-SQRT((1-S858)*($G$9-$E$9)*($G$9-$F$9))))</f>
        <v>1.00515106356362</v>
      </c>
      <c r="F858" s="37" t="n">
        <f aca="false">1+IF($G$10=$E$10,$F$10,IF(T858&lt;($F$10-$E$10)/($G$10-$E$10),$E$10+SQRT(T858*($G$10-$E$10)*($F$10-$E$10)),$G$10-SQRT((1-T858)*($G$10-$E$10)*($G$10-$F$10))))</f>
        <v>0.980726480640276</v>
      </c>
      <c r="G858" s="38" t="n">
        <f aca="false">IF($G$11=$E$11,$F$11,IF(U858&lt;($F$11-$E$11)/($G$11-$E$11),$E$11+SQRT(U858*($G$11-$E$11)*($F$11-$E$11)),$G$11-SQRT((1-U858)*($G$11-$E$11)*($G$11-$F$11))))</f>
        <v>0.109902036265267</v>
      </c>
      <c r="H858" s="39" t="n">
        <f aca="false">(('Business Case'!B11*$C858*'Business Case'!B12*$B858)-'Business Case'!B11*$C858*'Business Case'!B13*$D858-'Business Case'!B14*$E858)-MAX(0,(('Business Case'!B11*$C858*'Business Case'!B12*$B858)-'Business Case'!B11*$C858*'Business Case'!B13*$D858-'Business Case'!B14*$E858))*'Business Case'!$B$7-'Business Case'!$B$8*('Business Case'!B11*$C858*'Business Case'!B12*$B858)-'Business Case'!B15*$F858</f>
        <v>-1961452961.28055</v>
      </c>
      <c r="I858" s="39" t="n">
        <f aca="false">(('Business Case'!C11*$C858*'Business Case'!C12*$B858)-'Business Case'!C11*$C858*'Business Case'!C13*$D858-'Business Case'!C14*$E858)-MAX(0,(('Business Case'!C11*$C858*'Business Case'!C12*$B858)-'Business Case'!C11*$C858*'Business Case'!C13*$D858-'Business Case'!C14*$E858))*'Business Case'!$B$7-'Business Case'!$B$8*(('Business Case'!C11*$C858*'Business Case'!C12*$B858)-('Business Case'!B11*$C858*'Business Case'!B12*$B858))-'Business Case'!C15*$F858</f>
        <v>-39279852.2389383</v>
      </c>
      <c r="J858" s="39" t="n">
        <f aca="false">(('Business Case'!D11*$C858*'Business Case'!D12*$B858)-'Business Case'!D11*$C858*'Business Case'!D13*$D858-'Business Case'!D14*$E858)-MAX(0,(('Business Case'!D11*$C858*'Business Case'!D12*$B858)-'Business Case'!D11*$C858*'Business Case'!D13*$D858-'Business Case'!D14*$E858))*'Business Case'!$B$7-'Business Case'!$B$8*(('Business Case'!D11*$C858*'Business Case'!D12*$B858)-('Business Case'!C11*$C858*'Business Case'!C12*$B858))-'Business Case'!D15*$F858</f>
        <v>207845411.147478</v>
      </c>
      <c r="K858" s="39" t="n">
        <f aca="false">(('Business Case'!E11*$C858*'Business Case'!E12*$B858)-'Business Case'!E11*$C858*'Business Case'!E13*$D858-'Business Case'!E14*$E858)-MAX(0,(('Business Case'!E11*$C858*'Business Case'!E12*$B858)-'Business Case'!E11*$C858*'Business Case'!E13*$D858-'Business Case'!E14*$E858))*'Business Case'!$B$7-'Business Case'!$B$8*(('Business Case'!E11*$C858*'Business Case'!E12*$B858)-('Business Case'!D11*$C858*'Business Case'!D12*$B858))-'Business Case'!E15*$F858</f>
        <v>504006998.565908</v>
      </c>
      <c r="L858" s="39" t="n">
        <f aca="false">(('Business Case'!F11*$C858*'Business Case'!F12*$B858)-'Business Case'!F11*$C858*'Business Case'!F13*$D858-'Business Case'!F14*$E858)-MAX(0,(('Business Case'!F11*$C858*'Business Case'!F12*$B858)-'Business Case'!F11*$C858*'Business Case'!F13*$D858-'Business Case'!F14*$E858))*'Business Case'!$B$7-'Business Case'!$B$8*(('Business Case'!F11*$C858*'Business Case'!F12*$B858)-('Business Case'!E11*$C858*'Business Case'!E12*$B858))-'Business Case'!F15*$F858</f>
        <v>616648743.909767</v>
      </c>
      <c r="M858" s="39" t="n">
        <f aca="false">(('Business Case'!G11*$C858*'Business Case'!G12*$B858)-'Business Case'!G11*$C858*'Business Case'!G13*$D858-'Business Case'!G14*$E858)-MAX(0,(('Business Case'!G11*$C858*'Business Case'!G12*$B858)-'Business Case'!G11*$C858*'Business Case'!G13*$D858-'Business Case'!G14*$E858))*'Business Case'!$B$7-'Business Case'!$B$8*(('Business Case'!G11*$C858*'Business Case'!G12*$B858)-('Business Case'!F11*$C858*'Business Case'!F12*$B858))-'Business Case'!G15*$F858+'Business Case'!$B$8*('Business Case'!G11*$C858*'Business Case'!G12*$B858)</f>
        <v>783115360.425894</v>
      </c>
      <c r="N858" s="39" t="n">
        <f aca="false">IF(COUNT('Business Case'!B11:G11)=0,"",H858+NPV(G858,I858:M858))</f>
        <v>-588203352.523894</v>
      </c>
      <c r="P858" s="40" t="n">
        <f aca="true">RAND()</f>
        <v>0.118096151110607</v>
      </c>
      <c r="Q858" s="40" t="n">
        <f aca="true">RAND()</f>
        <v>0.199981732103782</v>
      </c>
      <c r="R858" s="40" t="n">
        <f aca="true">RAND()</f>
        <v>0.387560317054596</v>
      </c>
      <c r="S858" s="40" t="n">
        <f aca="true">RAND()</f>
        <v>0.400245283792525</v>
      </c>
      <c r="T858" s="40" t="n">
        <f aca="true">RAND()</f>
        <v>0.0755293290029784</v>
      </c>
      <c r="U858" s="40" t="n">
        <f aca="true">RAND()</f>
        <v>0.830051880686682</v>
      </c>
    </row>
    <row r="859" customFormat="false" ht="15" hidden="false" customHeight="false" outlineLevel="0" collapsed="false">
      <c r="A859" s="36" t="n">
        <v>779</v>
      </c>
      <c r="B859" s="37" t="n">
        <f aca="false">1+IF($G$6=$E$6,$F$6,IF(P859&lt;($F$6-$E$6)/($G$6-$E$6),$E$6+SQRT(P859*($G$6-$E$6)*($F$6-$E$6)),$G$6-SQRT((1-P859)*($G$6-$E$6)*($G$6-$F$6))))</f>
        <v>0.99779171609852</v>
      </c>
      <c r="C859" s="37" t="n">
        <f aca="false">1+IF($G$7=$E$7,$F$7,IF(Q859&lt;($F$7-$E$7)/($G$7-$E$7),$E$7+SQRT(Q859*($G$7-$E$7)*($F$7-$E$7)),$G$7-SQRT((1-Q859)*($G$7-$E$7)*($G$7-$F$7))))</f>
        <v>0.849928304638657</v>
      </c>
      <c r="D859" s="37" t="n">
        <f aca="false">1+IF($G$8=$E$8,$F$8,IF(R859&lt;($F$8-$E$8)/($G$8-$E$8),$E$8+SQRT(R859*($G$8-$E$8)*($F$8-$E$8)),$G$8-SQRT((1-R859)*($G$8-$E$8)*($G$8-$F$8))))</f>
        <v>1.02794153634002</v>
      </c>
      <c r="E859" s="37" t="n">
        <f aca="false">1+IF($G$9=$E$9,$F$9,IF(S859&lt;($F$9-$E$9)/($G$9-$E$9),$E$9+SQRT(S859*($G$9-$E$9)*($F$9-$E$9)),$G$9-SQRT((1-S859)*($G$9-$E$9)*($G$9-$F$9))))</f>
        <v>0.980778886791405</v>
      </c>
      <c r="F859" s="37" t="n">
        <f aca="false">1+IF($G$10=$E$10,$F$10,IF(T859&lt;($F$10-$E$10)/($G$10-$E$10),$E$10+SQRT(T859*($G$10-$E$10)*($F$10-$E$10)),$G$10-SQRT((1-T859)*($G$10-$E$10)*($G$10-$F$10))))</f>
        <v>1.04611571425852</v>
      </c>
      <c r="G859" s="38" t="n">
        <f aca="false">IF($G$11=$E$11,$F$11,IF(U859&lt;($F$11-$E$11)/($G$11-$E$11),$E$11+SQRT(U859*($G$11-$E$11)*($F$11-$E$11)),$G$11-SQRT((1-U859)*($G$11-$E$11)*($G$11-$F$11))))</f>
        <v>0.102749039857203</v>
      </c>
      <c r="H859" s="39" t="n">
        <f aca="false">(('Business Case'!B11*$C859*'Business Case'!B12*$B859)-'Business Case'!B11*$C859*'Business Case'!B13*$D859-'Business Case'!B14*$E859)-MAX(0,(('Business Case'!B11*$C859*'Business Case'!B12*$B859)-'Business Case'!B11*$C859*'Business Case'!B13*$D859-'Business Case'!B14*$E859))*'Business Case'!$B$7-'Business Case'!$B$8*('Business Case'!B11*$C859*'Business Case'!B12*$B859)-'Business Case'!B15*$F859</f>
        <v>-2092231428.51705</v>
      </c>
      <c r="I859" s="39" t="n">
        <f aca="false">(('Business Case'!C11*$C859*'Business Case'!C12*$B859)-'Business Case'!C11*$C859*'Business Case'!C13*$D859-'Business Case'!C14*$E859)-MAX(0,(('Business Case'!C11*$C859*'Business Case'!C12*$B859)-'Business Case'!C11*$C859*'Business Case'!C13*$D859-'Business Case'!C14*$E859))*'Business Case'!$B$7-'Business Case'!$B$8*(('Business Case'!C11*$C859*'Business Case'!C12*$B859)-('Business Case'!B11*$C859*'Business Case'!B12*$B859))-'Business Case'!C15*$F859</f>
        <v>-40678669.5781764</v>
      </c>
      <c r="J859" s="39" t="n">
        <f aca="false">(('Business Case'!D11*$C859*'Business Case'!D12*$B859)-'Business Case'!D11*$C859*'Business Case'!D13*$D859-'Business Case'!D14*$E859)-MAX(0,(('Business Case'!D11*$C859*'Business Case'!D12*$B859)-'Business Case'!D11*$C859*'Business Case'!D13*$D859-'Business Case'!D14*$E859))*'Business Case'!$B$7-'Business Case'!$B$8*(('Business Case'!D11*$C859*'Business Case'!D12*$B859)-('Business Case'!C11*$C859*'Business Case'!C12*$B859))-'Business Case'!D15*$F859</f>
        <v>206683975.669372</v>
      </c>
      <c r="K859" s="39" t="n">
        <f aca="false">(('Business Case'!E11*$C859*'Business Case'!E12*$B859)-'Business Case'!E11*$C859*'Business Case'!E13*$D859-'Business Case'!E14*$E859)-MAX(0,(('Business Case'!E11*$C859*'Business Case'!E12*$B859)-'Business Case'!E11*$C859*'Business Case'!E13*$D859-'Business Case'!E14*$E859))*'Business Case'!$B$7-'Business Case'!$B$8*(('Business Case'!E11*$C859*'Business Case'!E12*$B859)-('Business Case'!D11*$C859*'Business Case'!D12*$B859))-'Business Case'!E15*$F859</f>
        <v>506352406.629846</v>
      </c>
      <c r="L859" s="39" t="n">
        <f aca="false">(('Business Case'!F11*$C859*'Business Case'!F12*$B859)-'Business Case'!F11*$C859*'Business Case'!F13*$D859-'Business Case'!F14*$E859)-MAX(0,(('Business Case'!F11*$C859*'Business Case'!F12*$B859)-'Business Case'!F11*$C859*'Business Case'!F13*$D859-'Business Case'!F14*$E859))*'Business Case'!$B$7-'Business Case'!$B$8*(('Business Case'!F11*$C859*'Business Case'!F12*$B859)-('Business Case'!E11*$C859*'Business Case'!E12*$B859))-'Business Case'!F15*$F859</f>
        <v>618115278.844451</v>
      </c>
      <c r="M859" s="39" t="n">
        <f aca="false">(('Business Case'!G11*$C859*'Business Case'!G12*$B859)-'Business Case'!G11*$C859*'Business Case'!G13*$D859-'Business Case'!G14*$E859)-MAX(0,(('Business Case'!G11*$C859*'Business Case'!G12*$B859)-'Business Case'!G11*$C859*'Business Case'!G13*$D859-'Business Case'!G14*$E859))*'Business Case'!$B$7-'Business Case'!$B$8*(('Business Case'!G11*$C859*'Business Case'!G12*$B859)-('Business Case'!F11*$C859*'Business Case'!F12*$B859))-'Business Case'!G15*$F859+'Business Case'!$B$8*('Business Case'!G11*$C859*'Business Case'!G12*$B859)</f>
        <v>779312893.070944</v>
      </c>
      <c r="N859" s="39" t="n">
        <f aca="false">IF(COUNT('Business Case'!B11:G11)=0,"",H859+NPV(G859,I859:M859))</f>
        <v>-685687720.624863</v>
      </c>
      <c r="P859" s="40" t="n">
        <f aca="true">RAND()</f>
        <v>0.630369905578412</v>
      </c>
      <c r="Q859" s="40" t="n">
        <f aca="true">RAND()</f>
        <v>0.0356119372012931</v>
      </c>
      <c r="R859" s="40" t="n">
        <f aca="true">RAND()</f>
        <v>0.739415034746426</v>
      </c>
      <c r="S859" s="40" t="n">
        <f aca="true">RAND()</f>
        <v>0.12631198294908</v>
      </c>
      <c r="T859" s="40" t="n">
        <f aca="true">RAND()</f>
        <v>0.52639253203671</v>
      </c>
      <c r="U859" s="40" t="n">
        <f aca="true">RAND()</f>
        <v>0.504007290252712</v>
      </c>
    </row>
    <row r="860" customFormat="false" ht="15" hidden="false" customHeight="false" outlineLevel="0" collapsed="false">
      <c r="A860" s="36" t="n">
        <v>780</v>
      </c>
      <c r="B860" s="37" t="n">
        <f aca="false">1+IF($G$6=$E$6,$F$6,IF(P860&lt;($F$6-$E$6)/($G$6-$E$6),$E$6+SQRT(P860*($G$6-$E$6)*($F$6-$E$6)),$G$6-SQRT((1-P860)*($G$6-$E$6)*($G$6-$F$6))))</f>
        <v>0.997181573782527</v>
      </c>
      <c r="C860" s="37" t="n">
        <f aca="false">1+IF($G$7=$E$7,$F$7,IF(Q860&lt;($F$7-$E$7)/($G$7-$E$7),$E$7+SQRT(Q860*($G$7-$E$7)*($F$7-$E$7)),$G$7-SQRT((1-Q860)*($G$7-$E$7)*($G$7-$F$7))))</f>
        <v>0.983088704795531</v>
      </c>
      <c r="D860" s="37" t="n">
        <f aca="false">1+IF($G$8=$E$8,$F$8,IF(R860&lt;($F$8-$E$8)/($G$8-$E$8),$E$8+SQRT(R860*($G$8-$E$8)*($F$8-$E$8)),$G$8-SQRT((1-R860)*($G$8-$E$8)*($G$8-$F$8))))</f>
        <v>1.0218507690173</v>
      </c>
      <c r="E860" s="37" t="n">
        <f aca="false">1+IF($G$9=$E$9,$F$9,IF(S860&lt;($F$9-$E$9)/($G$9-$E$9),$E$9+SQRT(S860*($G$9-$E$9)*($F$9-$E$9)),$G$9-SQRT((1-S860)*($G$9-$E$9)*($G$9-$F$9))))</f>
        <v>1.04075997104899</v>
      </c>
      <c r="F860" s="37" t="n">
        <f aca="false">1+IF($G$10=$E$10,$F$10,IF(T860&lt;($F$10-$E$10)/($G$10-$E$10),$E$10+SQRT(T860*($G$10-$E$10)*($F$10-$E$10)),$G$10-SQRT((1-T860)*($G$10-$E$10)*($G$10-$F$10))))</f>
        <v>1.12054878591979</v>
      </c>
      <c r="G860" s="38" t="n">
        <f aca="false">IF($G$11=$E$11,$F$11,IF(U860&lt;($F$11-$E$11)/($G$11-$E$11),$E$11+SQRT(U860*($G$11-$E$11)*($F$11-$E$11)),$G$11-SQRT((1-U860)*($G$11-$E$11)*($G$11-$F$11))))</f>
        <v>0.0966637478687097</v>
      </c>
      <c r="H860" s="39" t="n">
        <f aca="false">(('Business Case'!B11*$C860*'Business Case'!B12*$B860)-'Business Case'!B11*$C860*'Business Case'!B13*$D860-'Business Case'!B14*$E860)-MAX(0,(('Business Case'!B11*$C860*'Business Case'!B12*$B860)-'Business Case'!B11*$C860*'Business Case'!B13*$D860-'Business Case'!B14*$E860))*'Business Case'!$B$7-'Business Case'!$B$8*('Business Case'!B11*$C860*'Business Case'!B12*$B860)-'Business Case'!B15*$F860</f>
        <v>-2241097571.83958</v>
      </c>
      <c r="I860" s="39" t="n">
        <f aca="false">(('Business Case'!C11*$C860*'Business Case'!C12*$B860)-'Business Case'!C11*$C860*'Business Case'!C13*$D860-'Business Case'!C14*$E860)-MAX(0,(('Business Case'!C11*$C860*'Business Case'!C12*$B860)-'Business Case'!C11*$C860*'Business Case'!C13*$D860-'Business Case'!C14*$E860))*'Business Case'!$B$7-'Business Case'!$B$8*(('Business Case'!C11*$C860*'Business Case'!C12*$B860)-('Business Case'!B11*$C860*'Business Case'!B12*$B860))-'Business Case'!C15*$F860</f>
        <v>-22179099.6358372</v>
      </c>
      <c r="J860" s="39" t="n">
        <f aca="false">(('Business Case'!D11*$C860*'Business Case'!D12*$B860)-'Business Case'!D11*$C860*'Business Case'!D13*$D860-'Business Case'!D14*$E860)-MAX(0,(('Business Case'!D11*$C860*'Business Case'!D12*$B860)-'Business Case'!D11*$C860*'Business Case'!D13*$D860-'Business Case'!D14*$E860))*'Business Case'!$B$7-'Business Case'!$B$8*(('Business Case'!D11*$C860*'Business Case'!D12*$B860)-('Business Case'!C11*$C860*'Business Case'!C12*$B860))-'Business Case'!D15*$F860</f>
        <v>266512429.307204</v>
      </c>
      <c r="K860" s="39" t="n">
        <f aca="false">(('Business Case'!E11*$C860*'Business Case'!E12*$B860)-'Business Case'!E11*$C860*'Business Case'!E13*$D860-'Business Case'!E14*$E860)-MAX(0,(('Business Case'!E11*$C860*'Business Case'!E12*$B860)-'Business Case'!E11*$C860*'Business Case'!E13*$D860-'Business Case'!E14*$E860))*'Business Case'!$B$7-'Business Case'!$B$8*(('Business Case'!E11*$C860*'Business Case'!E12*$B860)-('Business Case'!D11*$C860*'Business Case'!D12*$B860))-'Business Case'!E15*$F860</f>
        <v>611231397.546235</v>
      </c>
      <c r="L860" s="39" t="n">
        <f aca="false">(('Business Case'!F11*$C860*'Business Case'!F12*$B860)-'Business Case'!F11*$C860*'Business Case'!F13*$D860-'Business Case'!F14*$E860)-MAX(0,(('Business Case'!F11*$C860*'Business Case'!F12*$B860)-'Business Case'!F11*$C860*'Business Case'!F13*$D860-'Business Case'!F14*$E860))*'Business Case'!$B$7-'Business Case'!$B$8*(('Business Case'!F11*$C860*'Business Case'!F12*$B860)-('Business Case'!E11*$C860*'Business Case'!E12*$B860))-'Business Case'!F15*$F860</f>
        <v>741341695.263071</v>
      </c>
      <c r="M860" s="39" t="n">
        <f aca="false">(('Business Case'!G11*$C860*'Business Case'!G12*$B860)-'Business Case'!G11*$C860*'Business Case'!G13*$D860-'Business Case'!G14*$E860)-MAX(0,(('Business Case'!G11*$C860*'Business Case'!G12*$B860)-'Business Case'!G11*$C860*'Business Case'!G13*$D860-'Business Case'!G14*$E860))*'Business Case'!$B$7-'Business Case'!$B$8*(('Business Case'!G11*$C860*'Business Case'!G12*$B860)-('Business Case'!F11*$C860*'Business Case'!F12*$B860))-'Business Case'!G15*$F860+'Business Case'!$B$8*('Business Case'!G11*$C860*'Business Case'!G12*$B860)</f>
        <v>927680529.643425</v>
      </c>
      <c r="N860" s="39" t="n">
        <f aca="false">IF(COUNT('Business Case'!B11:G11)=0,"",H860+NPV(G860,I860:M860))</f>
        <v>-478922278.354074</v>
      </c>
      <c r="P860" s="40" t="n">
        <f aca="true">RAND()</f>
        <v>0.62052034703622</v>
      </c>
      <c r="Q860" s="40" t="n">
        <f aca="true">RAND()</f>
        <v>0.478878197481499</v>
      </c>
      <c r="R860" s="40" t="n">
        <f aca="true">RAND()</f>
        <v>0.674871820780827</v>
      </c>
      <c r="S860" s="40" t="n">
        <f aca="true">RAND()</f>
        <v>0.766041264658917</v>
      </c>
      <c r="T860" s="40" t="n">
        <f aca="true">RAND()</f>
        <v>0.873750091623617</v>
      </c>
      <c r="U860" s="40" t="n">
        <f aca="true">RAND()</f>
        <v>0.148018452192443</v>
      </c>
    </row>
    <row r="861" customFormat="false" ht="15" hidden="false" customHeight="false" outlineLevel="0" collapsed="false">
      <c r="A861" s="36" t="n">
        <v>781</v>
      </c>
      <c r="B861" s="37" t="n">
        <f aca="false">1+IF($G$6=$E$6,$F$6,IF(P861&lt;($F$6-$E$6)/($G$6-$E$6),$E$6+SQRT(P861*($G$6-$E$6)*($F$6-$E$6)),$G$6-SQRT((1-P861)*($G$6-$E$6)*($G$6-$F$6))))</f>
        <v>1.01105525381184</v>
      </c>
      <c r="C861" s="37" t="n">
        <f aca="false">1+IF($G$7=$E$7,$F$7,IF(Q861&lt;($F$7-$E$7)/($G$7-$E$7),$E$7+SQRT(Q861*($G$7-$E$7)*($F$7-$E$7)),$G$7-SQRT((1-Q861)*($G$7-$E$7)*($G$7-$F$7))))</f>
        <v>0.972459022892549</v>
      </c>
      <c r="D861" s="37" t="n">
        <f aca="false">1+IF($G$8=$E$8,$F$8,IF(R861&lt;($F$8-$E$8)/($G$8-$E$8),$E$8+SQRT(R861*($G$8-$E$8)*($F$8-$E$8)),$G$8-SQRT((1-R861)*($G$8-$E$8)*($G$8-$F$8))))</f>
        <v>1.0207499065701</v>
      </c>
      <c r="E861" s="37" t="n">
        <f aca="false">1+IF($G$9=$E$9,$F$9,IF(S861&lt;($F$9-$E$9)/($G$9-$E$9),$E$9+SQRT(S861*($G$9-$E$9)*($F$9-$E$9)),$G$9-SQRT((1-S861)*($G$9-$E$9)*($G$9-$F$9))))</f>
        <v>1.04993504080147</v>
      </c>
      <c r="F861" s="37" t="n">
        <f aca="false">1+IF($G$10=$E$10,$F$10,IF(T861&lt;($F$10-$E$10)/($G$10-$E$10),$E$10+SQRT(T861*($G$10-$E$10)*($F$10-$E$10)),$G$10-SQRT((1-T861)*($G$10-$E$10)*($G$10-$F$10))))</f>
        <v>1.09381214559219</v>
      </c>
      <c r="G861" s="38" t="n">
        <f aca="false">IF($G$11=$E$11,$F$11,IF(U861&lt;($F$11-$E$11)/($G$11-$E$11),$E$11+SQRT(U861*($G$11-$E$11)*($F$11-$E$11)),$G$11-SQRT((1-U861)*($G$11-$E$11)*($G$11-$F$11))))</f>
        <v>0.094933594628034</v>
      </c>
      <c r="H861" s="39" t="n">
        <f aca="false">(('Business Case'!B11*$C861*'Business Case'!B12*$B861)-'Business Case'!B11*$C861*'Business Case'!B13*$D861-'Business Case'!B14*$E861)-MAX(0,(('Business Case'!B11*$C861*'Business Case'!B12*$B861)-'Business Case'!B11*$C861*'Business Case'!B13*$D861-'Business Case'!B14*$E861))*'Business Case'!$B$7-'Business Case'!$B$8*('Business Case'!B11*$C861*'Business Case'!B12*$B861)-'Business Case'!B15*$F861</f>
        <v>-2187624291.18437</v>
      </c>
      <c r="I861" s="39" t="n">
        <f aca="false">(('Business Case'!C11*$C861*'Business Case'!C12*$B861)-'Business Case'!C11*$C861*'Business Case'!C13*$D861-'Business Case'!C14*$E861)-MAX(0,(('Business Case'!C11*$C861*'Business Case'!C12*$B861)-'Business Case'!C11*$C861*'Business Case'!C13*$D861-'Business Case'!C14*$E861))*'Business Case'!$B$7-'Business Case'!$B$8*(('Business Case'!C11*$C861*'Business Case'!C12*$B861)-('Business Case'!B11*$C861*'Business Case'!B12*$B861))-'Business Case'!C15*$F861</f>
        <v>-12482919.7208208</v>
      </c>
      <c r="J861" s="39" t="n">
        <f aca="false">(('Business Case'!D11*$C861*'Business Case'!D12*$B861)-'Business Case'!D11*$C861*'Business Case'!D13*$D861-'Business Case'!D14*$E861)-MAX(0,(('Business Case'!D11*$C861*'Business Case'!D12*$B861)-'Business Case'!D11*$C861*'Business Case'!D13*$D861-'Business Case'!D14*$E861))*'Business Case'!$B$7-'Business Case'!$B$8*(('Business Case'!D11*$C861*'Business Case'!D12*$B861)-('Business Case'!C11*$C861*'Business Case'!C12*$B861))-'Business Case'!D15*$F861</f>
        <v>284685734.169909</v>
      </c>
      <c r="K861" s="39" t="n">
        <f aca="false">(('Business Case'!E11*$C861*'Business Case'!E12*$B861)-'Business Case'!E11*$C861*'Business Case'!E13*$D861-'Business Case'!E14*$E861)-MAX(0,(('Business Case'!E11*$C861*'Business Case'!E12*$B861)-'Business Case'!E11*$C861*'Business Case'!E13*$D861-'Business Case'!E14*$E861))*'Business Case'!$B$7-'Business Case'!$B$8*(('Business Case'!E11*$C861*'Business Case'!E12*$B861)-('Business Case'!D11*$C861*'Business Case'!D12*$B861))-'Business Case'!E15*$F861</f>
        <v>636544995.340249</v>
      </c>
      <c r="L861" s="39" t="n">
        <f aca="false">(('Business Case'!F11*$C861*'Business Case'!F12*$B861)-'Business Case'!F11*$C861*'Business Case'!F13*$D861-'Business Case'!F14*$E861)-MAX(0,(('Business Case'!F11*$C861*'Business Case'!F12*$B861)-'Business Case'!F11*$C861*'Business Case'!F13*$D861-'Business Case'!F14*$E861))*'Business Case'!$B$7-'Business Case'!$B$8*(('Business Case'!F11*$C861*'Business Case'!F12*$B861)-('Business Case'!E11*$C861*'Business Case'!E12*$B861))-'Business Case'!F15*$F861</f>
        <v>769580944.1374</v>
      </c>
      <c r="M861" s="39" t="n">
        <f aca="false">(('Business Case'!G11*$C861*'Business Case'!G12*$B861)-'Business Case'!G11*$C861*'Business Case'!G13*$D861-'Business Case'!G14*$E861)-MAX(0,(('Business Case'!G11*$C861*'Business Case'!G12*$B861)-'Business Case'!G11*$C861*'Business Case'!G13*$D861-'Business Case'!G14*$E861))*'Business Case'!$B$7-'Business Case'!$B$8*(('Business Case'!G11*$C861*'Business Case'!G12*$B861)-('Business Case'!F11*$C861*'Business Case'!F12*$B861))-'Business Case'!G15*$F861+'Business Case'!$B$8*('Business Case'!G11*$C861*'Business Case'!G12*$B861)</f>
        <v>956469463.722064</v>
      </c>
      <c r="N861" s="39" t="n">
        <f aca="false">IF(COUNT('Business Case'!B11:G11)=0,"",H861+NPV(G861,I861:M861))</f>
        <v>-333459200.508852</v>
      </c>
      <c r="P861" s="40" t="n">
        <f aca="true">RAND()</f>
        <v>0.825458680854824</v>
      </c>
      <c r="Q861" s="40" t="n">
        <f aca="true">RAND()</f>
        <v>0.424887351100754</v>
      </c>
      <c r="R861" s="40" t="n">
        <f aca="true">RAND()</f>
        <v>0.662444848898882</v>
      </c>
      <c r="S861" s="40" t="n">
        <f aca="true">RAND()</f>
        <v>0.832899990696655</v>
      </c>
      <c r="T861" s="40" t="n">
        <f aca="true">RAND()</f>
        <v>0.774482791525297</v>
      </c>
      <c r="U861" s="40" t="n">
        <f aca="true">RAND()</f>
        <v>0.0811345198458879</v>
      </c>
    </row>
    <row r="862" customFormat="false" ht="15" hidden="false" customHeight="false" outlineLevel="0" collapsed="false">
      <c r="A862" s="36" t="n">
        <v>782</v>
      </c>
      <c r="B862" s="37" t="n">
        <f aca="false">1+IF($G$6=$E$6,$F$6,IF(P862&lt;($F$6-$E$6)/($G$6-$E$6),$E$6+SQRT(P862*($G$6-$E$6)*($F$6-$E$6)),$G$6-SQRT((1-P862)*($G$6-$E$6)*($G$6-$F$6))))</f>
        <v>1.01779796703083</v>
      </c>
      <c r="C862" s="37" t="n">
        <f aca="false">1+IF($G$7=$E$7,$F$7,IF(Q862&lt;($F$7-$E$7)/($G$7-$E$7),$E$7+SQRT(Q862*($G$7-$E$7)*($F$7-$E$7)),$G$7-SQRT((1-Q862)*($G$7-$E$7)*($G$7-$F$7))))</f>
        <v>0.969420775150212</v>
      </c>
      <c r="D862" s="37" t="n">
        <f aca="false">1+IF($G$8=$E$8,$F$8,IF(R862&lt;($F$8-$E$8)/($G$8-$E$8),$E$8+SQRT(R862*($G$8-$E$8)*($F$8-$E$8)),$G$8-SQRT((1-R862)*($G$8-$E$8)*($G$8-$F$8))))</f>
        <v>1.05001315295805</v>
      </c>
      <c r="E862" s="37" t="n">
        <f aca="false">1+IF($G$9=$E$9,$F$9,IF(S862&lt;($F$9-$E$9)/($G$9-$E$9),$E$9+SQRT(S862*($G$9-$E$9)*($F$9-$E$9)),$G$9-SQRT((1-S862)*($G$9-$E$9)*($G$9-$F$9))))</f>
        <v>1.07784681398483</v>
      </c>
      <c r="F862" s="37" t="n">
        <f aca="false">1+IF($G$10=$E$10,$F$10,IF(T862&lt;($F$10-$E$10)/($G$10-$E$10),$E$10+SQRT(T862*($G$10-$E$10)*($F$10-$E$10)),$G$10-SQRT((1-T862)*($G$10-$E$10)*($G$10-$F$10))))</f>
        <v>1.06922391880656</v>
      </c>
      <c r="G862" s="38" t="n">
        <f aca="false">IF($G$11=$E$11,$F$11,IF(U862&lt;($F$11-$E$11)/($G$11-$E$11),$E$11+SQRT(U862*($G$11-$E$11)*($F$11-$E$11)),$G$11-SQRT((1-U862)*($G$11-$E$11)*($G$11-$F$11))))</f>
        <v>0.0960293840790979</v>
      </c>
      <c r="H862" s="39" t="n">
        <f aca="false">(('Business Case'!B11*$C862*'Business Case'!B12*$B862)-'Business Case'!B11*$C862*'Business Case'!B13*$D862-'Business Case'!B14*$E862)-MAX(0,(('Business Case'!B11*$C862*'Business Case'!B12*$B862)-'Business Case'!B11*$C862*'Business Case'!B13*$D862-'Business Case'!B14*$E862))*'Business Case'!$B$7-'Business Case'!$B$8*('Business Case'!B11*$C862*'Business Case'!B12*$B862)-'Business Case'!B15*$F862</f>
        <v>-2138447837.61312</v>
      </c>
      <c r="I862" s="39" t="n">
        <f aca="false">(('Business Case'!C11*$C862*'Business Case'!C12*$B862)-'Business Case'!C11*$C862*'Business Case'!C13*$D862-'Business Case'!C14*$E862)-MAX(0,(('Business Case'!C11*$C862*'Business Case'!C12*$B862)-'Business Case'!C11*$C862*'Business Case'!C13*$D862-'Business Case'!C14*$E862))*'Business Case'!$B$7-'Business Case'!$B$8*(('Business Case'!C11*$C862*'Business Case'!C12*$B862)-('Business Case'!B11*$C862*'Business Case'!B12*$B862))-'Business Case'!C15*$F862</f>
        <v>-24269668.0771685</v>
      </c>
      <c r="J862" s="39" t="n">
        <f aca="false">(('Business Case'!D11*$C862*'Business Case'!D12*$B862)-'Business Case'!D11*$C862*'Business Case'!D13*$D862-'Business Case'!D14*$E862)-MAX(0,(('Business Case'!D11*$C862*'Business Case'!D12*$B862)-'Business Case'!D11*$C862*'Business Case'!D13*$D862-'Business Case'!D14*$E862))*'Business Case'!$B$7-'Business Case'!$B$8*(('Business Case'!D11*$C862*'Business Case'!D12*$B862)-('Business Case'!C11*$C862*'Business Case'!C12*$B862))-'Business Case'!D15*$F862</f>
        <v>262802078.451456</v>
      </c>
      <c r="K862" s="39" t="n">
        <f aca="false">(('Business Case'!E11*$C862*'Business Case'!E12*$B862)-'Business Case'!E11*$C862*'Business Case'!E13*$D862-'Business Case'!E14*$E862)-MAX(0,(('Business Case'!E11*$C862*'Business Case'!E12*$B862)-'Business Case'!E11*$C862*'Business Case'!E13*$D862-'Business Case'!E14*$E862))*'Business Case'!$B$7-'Business Case'!$B$8*(('Business Case'!E11*$C862*'Business Case'!E12*$B862)-('Business Case'!D11*$C862*'Business Case'!D12*$B862))-'Business Case'!E15*$F862</f>
        <v>603335020.920407</v>
      </c>
      <c r="L862" s="39" t="n">
        <f aca="false">(('Business Case'!F11*$C862*'Business Case'!F12*$B862)-'Business Case'!F11*$C862*'Business Case'!F13*$D862-'Business Case'!F14*$E862)-MAX(0,(('Business Case'!F11*$C862*'Business Case'!F12*$B862)-'Business Case'!F11*$C862*'Business Case'!F13*$D862-'Business Case'!F14*$E862))*'Business Case'!$B$7-'Business Case'!$B$8*(('Business Case'!F11*$C862*'Business Case'!F12*$B862)-('Business Case'!E11*$C862*'Business Case'!E12*$B862))-'Business Case'!F15*$F862</f>
        <v>733125073.614278</v>
      </c>
      <c r="M862" s="39" t="n">
        <f aca="false">(('Business Case'!G11*$C862*'Business Case'!G12*$B862)-'Business Case'!G11*$C862*'Business Case'!G13*$D862-'Business Case'!G14*$E862)-MAX(0,(('Business Case'!G11*$C862*'Business Case'!G12*$B862)-'Business Case'!G11*$C862*'Business Case'!G13*$D862-'Business Case'!G14*$E862))*'Business Case'!$B$7-'Business Case'!$B$8*(('Business Case'!G11*$C862*'Business Case'!G12*$B862)-('Business Case'!F11*$C862*'Business Case'!F12*$B862))-'Business Case'!G15*$F862+'Business Case'!$B$8*('Business Case'!G11*$C862*'Business Case'!G12*$B862)</f>
        <v>920672161.461423</v>
      </c>
      <c r="N862" s="39" t="n">
        <f aca="false">IF(COUNT('Business Case'!B11:G11)=0,"",H862+NPV(G862,I862:M862))</f>
        <v>-393458790.831966</v>
      </c>
      <c r="P862" s="40" t="n">
        <f aca="true">RAND()</f>
        <v>0.897306194174115</v>
      </c>
      <c r="Q862" s="40" t="n">
        <f aca="true">RAND()</f>
        <v>0.410048557892836</v>
      </c>
      <c r="R862" s="40" t="n">
        <f aca="true">RAND()</f>
        <v>0.913537404277161</v>
      </c>
      <c r="S862" s="40" t="n">
        <f aca="true">RAND()</f>
        <v>0.967282423291807</v>
      </c>
      <c r="T862" s="40" t="n">
        <f aca="true">RAND()</f>
        <v>0.657952331753744</v>
      </c>
      <c r="U862" s="40" t="n">
        <f aca="true">RAND()</f>
        <v>0.121178241244264</v>
      </c>
    </row>
    <row r="863" customFormat="false" ht="15" hidden="false" customHeight="false" outlineLevel="0" collapsed="false">
      <c r="A863" s="36" t="n">
        <v>783</v>
      </c>
      <c r="B863" s="37" t="n">
        <f aca="false">1+IF($G$6=$E$6,$F$6,IF(P863&lt;($F$6-$E$6)/($G$6-$E$6),$E$6+SQRT(P863*($G$6-$E$6)*($F$6-$E$6)),$G$6-SQRT((1-P863)*($G$6-$E$6)*($G$6-$F$6))))</f>
        <v>1.01124322937193</v>
      </c>
      <c r="C863" s="37" t="n">
        <f aca="false">1+IF($G$7=$E$7,$F$7,IF(Q863&lt;($F$7-$E$7)/($G$7-$E$7),$E$7+SQRT(Q863*($G$7-$E$7)*($F$7-$E$7)),$G$7-SQRT((1-Q863)*($G$7-$E$7)*($G$7-$F$7))))</f>
        <v>1.09170697357475</v>
      </c>
      <c r="D863" s="37" t="n">
        <f aca="false">1+IF($G$8=$E$8,$F$8,IF(R863&lt;($F$8-$E$8)/($G$8-$E$8),$E$8+SQRT(R863*($G$8-$E$8)*($F$8-$E$8)),$G$8-SQRT((1-R863)*($G$8-$E$8)*($G$8-$F$8))))</f>
        <v>0.953072956581516</v>
      </c>
      <c r="E863" s="37" t="n">
        <f aca="false">1+IF($G$9=$E$9,$F$9,IF(S863&lt;($F$9-$E$9)/($G$9-$E$9),$E$9+SQRT(S863*($G$9-$E$9)*($F$9-$E$9)),$G$9-SQRT((1-S863)*($G$9-$E$9)*($G$9-$F$9))))</f>
        <v>1.01359714525395</v>
      </c>
      <c r="F863" s="37" t="n">
        <f aca="false">1+IF($G$10=$E$10,$F$10,IF(T863&lt;($F$10-$E$10)/($G$10-$E$10),$E$10+SQRT(T863*($G$10-$E$10)*($F$10-$E$10)),$G$10-SQRT((1-T863)*($G$10-$E$10)*($G$10-$F$10))))</f>
        <v>1.14248771438259</v>
      </c>
      <c r="G863" s="38" t="n">
        <f aca="false">IF($G$11=$E$11,$F$11,IF(U863&lt;($F$11-$E$11)/($G$11-$E$11),$E$11+SQRT(U863*($G$11-$E$11)*($F$11-$E$11)),$G$11-SQRT((1-U863)*($G$11-$E$11)*($G$11-$F$11))))</f>
        <v>0.11599056657983</v>
      </c>
      <c r="H863" s="39" t="n">
        <f aca="false">(('Business Case'!B11*$C863*'Business Case'!B12*$B863)-'Business Case'!B11*$C863*'Business Case'!B13*$D863-'Business Case'!B14*$E863)-MAX(0,(('Business Case'!B11*$C863*'Business Case'!B12*$B863)-'Business Case'!B11*$C863*'Business Case'!B13*$D863-'Business Case'!B14*$E863))*'Business Case'!$B$7-'Business Case'!$B$8*('Business Case'!B11*$C863*'Business Case'!B12*$B863)-'Business Case'!B15*$F863</f>
        <v>-2284975428.76518</v>
      </c>
      <c r="I863" s="39" t="n">
        <f aca="false">(('Business Case'!C11*$C863*'Business Case'!C12*$B863)-'Business Case'!C11*$C863*'Business Case'!C13*$D863-'Business Case'!C14*$E863)-MAX(0,(('Business Case'!C11*$C863*'Business Case'!C12*$B863)-'Business Case'!C11*$C863*'Business Case'!C13*$D863-'Business Case'!C14*$E863))*'Business Case'!$B$7-'Business Case'!$B$8*(('Business Case'!C11*$C863*'Business Case'!C12*$B863)-('Business Case'!B11*$C863*'Business Case'!B12*$B863))-'Business Case'!C15*$F863</f>
        <v>55986809.0146717</v>
      </c>
      <c r="J863" s="39" t="n">
        <f aca="false">(('Business Case'!D11*$C863*'Business Case'!D12*$B863)-'Business Case'!D11*$C863*'Business Case'!D13*$D863-'Business Case'!D14*$E863)-MAX(0,(('Business Case'!D11*$C863*'Business Case'!D12*$B863)-'Business Case'!D11*$C863*'Business Case'!D13*$D863-'Business Case'!D14*$E863))*'Business Case'!$B$7-'Business Case'!$B$8*(('Business Case'!D11*$C863*'Business Case'!D12*$B863)-('Business Case'!C11*$C863*'Business Case'!C12*$B863))-'Business Case'!D15*$F863</f>
        <v>427586293.362287</v>
      </c>
      <c r="K863" s="39" t="n">
        <f aca="false">(('Business Case'!E11*$C863*'Business Case'!E12*$B863)-'Business Case'!E11*$C863*'Business Case'!E13*$D863-'Business Case'!E14*$E863)-MAX(0,(('Business Case'!E11*$C863*'Business Case'!E12*$B863)-'Business Case'!E11*$C863*'Business Case'!E13*$D863-'Business Case'!E14*$E863))*'Business Case'!$B$7-'Business Case'!$B$8*(('Business Case'!E11*$C863*'Business Case'!E12*$B863)-('Business Case'!D11*$C863*'Business Case'!D12*$B863))-'Business Case'!E15*$F863</f>
        <v>856310163.429032</v>
      </c>
      <c r="L863" s="39" t="n">
        <f aca="false">(('Business Case'!F11*$C863*'Business Case'!F12*$B863)-'Business Case'!F11*$C863*'Business Case'!F13*$D863-'Business Case'!F14*$E863)-MAX(0,(('Business Case'!F11*$C863*'Business Case'!F12*$B863)-'Business Case'!F11*$C863*'Business Case'!F13*$D863-'Business Case'!F14*$E863))*'Business Case'!$B$7-'Business Case'!$B$8*(('Business Case'!F11*$C863*'Business Case'!F12*$B863)-('Business Case'!E11*$C863*'Business Case'!E12*$B863))-'Business Case'!F15*$F863</f>
        <v>1018330251.43795</v>
      </c>
      <c r="M863" s="39" t="n">
        <f aca="false">(('Business Case'!G11*$C863*'Business Case'!G12*$B863)-'Business Case'!G11*$C863*'Business Case'!G13*$D863-'Business Case'!G14*$E863)-MAX(0,(('Business Case'!G11*$C863*'Business Case'!G12*$B863)-'Business Case'!G11*$C863*'Business Case'!G13*$D863-'Business Case'!G14*$E863))*'Business Case'!$B$7-'Business Case'!$B$8*(('Business Case'!G11*$C863*'Business Case'!G12*$B863)-('Business Case'!F11*$C863*'Business Case'!F12*$B863))-'Business Case'!G15*$F863+'Business Case'!$B$8*('Business Case'!G11*$C863*'Business Case'!G12*$B863)</f>
        <v>1228175014.18305</v>
      </c>
      <c r="N863" s="39" t="n">
        <f aca="false">IF(COUNT('Business Case'!B11:G11)=0,"",H863+NPV(G863,I863:M863))</f>
        <v>90639297.9385939</v>
      </c>
      <c r="P863" s="40" t="n">
        <f aca="true">RAND()</f>
        <v>0.827718363134308</v>
      </c>
      <c r="Q863" s="40" t="n">
        <f aca="true">RAND()</f>
        <v>0.935274725146392</v>
      </c>
      <c r="R863" s="40" t="n">
        <f aca="true">RAND()</f>
        <v>0.00145277879259758</v>
      </c>
      <c r="S863" s="40" t="n">
        <f aca="true">RAND()</f>
        <v>0.502303112782204</v>
      </c>
      <c r="T863" s="40" t="n">
        <f aca="true">RAND()</f>
        <v>0.93384674006123</v>
      </c>
      <c r="U863" s="40" t="n">
        <f aca="true">RAND()</f>
        <v>0.973207406082036</v>
      </c>
    </row>
    <row r="864" customFormat="false" ht="15" hidden="false" customHeight="false" outlineLevel="0" collapsed="false">
      <c r="A864" s="36" t="n">
        <v>784</v>
      </c>
      <c r="B864" s="37" t="n">
        <f aca="false">1+IF($G$6=$E$6,$F$6,IF(P864&lt;($F$6-$E$6)/($G$6-$E$6),$E$6+SQRT(P864*($G$6-$E$6)*($F$6-$E$6)),$G$6-SQRT((1-P864)*($G$6-$E$6)*($G$6-$F$6))))</f>
        <v>0.980157433169931</v>
      </c>
      <c r="C864" s="37" t="n">
        <f aca="false">1+IF($G$7=$E$7,$F$7,IF(Q864&lt;($F$7-$E$7)/($G$7-$E$7),$E$7+SQRT(Q864*($G$7-$E$7)*($F$7-$E$7)),$G$7-SQRT((1-Q864)*($G$7-$E$7)*($G$7-$F$7))))</f>
        <v>0.967937872355857</v>
      </c>
      <c r="D864" s="37" t="n">
        <f aca="false">1+IF($G$8=$E$8,$F$8,IF(R864&lt;($F$8-$E$8)/($G$8-$E$8),$E$8+SQRT(R864*($G$8-$E$8)*($F$8-$E$8)),$G$8-SQRT((1-R864)*($G$8-$E$8)*($G$8-$F$8))))</f>
        <v>1.03550795939364</v>
      </c>
      <c r="E864" s="37" t="n">
        <f aca="false">1+IF($G$9=$E$9,$F$9,IF(S864&lt;($F$9-$E$9)/($G$9-$E$9),$E$9+SQRT(S864*($G$9-$E$9)*($F$9-$E$9)),$G$9-SQRT((1-S864)*($G$9-$E$9)*($G$9-$F$9))))</f>
        <v>1.03635441204791</v>
      </c>
      <c r="F864" s="37" t="n">
        <f aca="false">1+IF($G$10=$E$10,$F$10,IF(T864&lt;($F$10-$E$10)/($G$10-$E$10),$E$10+SQRT(T864*($G$10-$E$10)*($F$10-$E$10)),$G$10-SQRT((1-T864)*($G$10-$E$10)*($G$10-$F$10))))</f>
        <v>1.02828948583007</v>
      </c>
      <c r="G864" s="38" t="n">
        <f aca="false">IF($G$11=$E$11,$F$11,IF(U864&lt;($F$11-$E$11)/($G$11-$E$11),$E$11+SQRT(U864*($G$11-$E$11)*($F$11-$E$11)),$G$11-SQRT((1-U864)*($G$11-$E$11)*($G$11-$F$11))))</f>
        <v>0.110558736752194</v>
      </c>
      <c r="H864" s="39" t="n">
        <f aca="false">(('Business Case'!B11*$C864*'Business Case'!B12*$B864)-'Business Case'!B11*$C864*'Business Case'!B13*$D864-'Business Case'!B14*$E864)-MAX(0,(('Business Case'!B11*$C864*'Business Case'!B12*$B864)-'Business Case'!B11*$C864*'Business Case'!B13*$D864-'Business Case'!B14*$E864))*'Business Case'!$B$7-'Business Case'!$B$8*('Business Case'!B11*$C864*'Business Case'!B12*$B864)-'Business Case'!B15*$F864</f>
        <v>-2056578971.66014</v>
      </c>
      <c r="I864" s="39" t="n">
        <f aca="false">(('Business Case'!C11*$C864*'Business Case'!C12*$B864)-'Business Case'!C11*$C864*'Business Case'!C13*$D864-'Business Case'!C14*$E864)-MAX(0,(('Business Case'!C11*$C864*'Business Case'!C12*$B864)-'Business Case'!C11*$C864*'Business Case'!C13*$D864-'Business Case'!C14*$E864))*'Business Case'!$B$7-'Business Case'!$B$8*(('Business Case'!C11*$C864*'Business Case'!C12*$B864)-('Business Case'!B11*$C864*'Business Case'!B12*$B864))-'Business Case'!C15*$F864</f>
        <v>-35402568.807604</v>
      </c>
      <c r="J864" s="39" t="n">
        <f aca="false">(('Business Case'!D11*$C864*'Business Case'!D12*$B864)-'Business Case'!D11*$C864*'Business Case'!D13*$D864-'Business Case'!D14*$E864)-MAX(0,(('Business Case'!D11*$C864*'Business Case'!D12*$B864)-'Business Case'!D11*$C864*'Business Case'!D13*$D864-'Business Case'!D14*$E864))*'Business Case'!$B$7-'Business Case'!$B$8*(('Business Case'!D11*$C864*'Business Case'!D12*$B864)-('Business Case'!C11*$C864*'Business Case'!C12*$B864))-'Business Case'!D15*$F864</f>
        <v>228575649.343628</v>
      </c>
      <c r="K864" s="39" t="n">
        <f aca="false">(('Business Case'!E11*$C864*'Business Case'!E12*$B864)-'Business Case'!E11*$C864*'Business Case'!E13*$D864-'Business Case'!E14*$E864)-MAX(0,(('Business Case'!E11*$C864*'Business Case'!E12*$B864)-'Business Case'!E11*$C864*'Business Case'!E13*$D864-'Business Case'!E14*$E864))*'Business Case'!$B$7-'Business Case'!$B$8*(('Business Case'!E11*$C864*'Business Case'!E12*$B864)-('Business Case'!D11*$C864*'Business Case'!D12*$B864))-'Business Case'!E15*$F864</f>
        <v>543968341.786364</v>
      </c>
      <c r="L864" s="39" t="n">
        <f aca="false">(('Business Case'!F11*$C864*'Business Case'!F12*$B864)-'Business Case'!F11*$C864*'Business Case'!F13*$D864-'Business Case'!F14*$E864)-MAX(0,(('Business Case'!F11*$C864*'Business Case'!F12*$B864)-'Business Case'!F11*$C864*'Business Case'!F13*$D864-'Business Case'!F14*$E864))*'Business Case'!$B$7-'Business Case'!$B$8*(('Business Case'!F11*$C864*'Business Case'!F12*$B864)-('Business Case'!E11*$C864*'Business Case'!E12*$B864))-'Business Case'!F15*$F864</f>
        <v>664749241.825186</v>
      </c>
      <c r="M864" s="39" t="n">
        <f aca="false">(('Business Case'!G11*$C864*'Business Case'!G12*$B864)-'Business Case'!G11*$C864*'Business Case'!G13*$D864-'Business Case'!G14*$E864)-MAX(0,(('Business Case'!G11*$C864*'Business Case'!G12*$B864)-'Business Case'!G11*$C864*'Business Case'!G13*$D864-'Business Case'!G14*$E864))*'Business Case'!$B$7-'Business Case'!$B$8*(('Business Case'!G11*$C864*'Business Case'!G12*$B864)-('Business Case'!F11*$C864*'Business Case'!F12*$B864))-'Business Case'!G15*$F864+'Business Case'!$B$8*('Business Case'!G11*$C864*'Business Case'!G12*$B864)</f>
        <v>845084125.428114</v>
      </c>
      <c r="N864" s="39" t="n">
        <f aca="false">IF(COUNT('Business Case'!B11:G11)=0,"",H864+NPV(G864,I864:M864))</f>
        <v>-568715385.275853</v>
      </c>
      <c r="P864" s="40" t="n">
        <f aca="true">RAND()</f>
        <v>0.37697049641612</v>
      </c>
      <c r="Q864" s="40" t="n">
        <f aca="true">RAND()</f>
        <v>0.402901842448742</v>
      </c>
      <c r="R864" s="40" t="n">
        <f aca="true">RAND()</f>
        <v>0.809659454104064</v>
      </c>
      <c r="S864" s="40" t="n">
        <f aca="true">RAND()</f>
        <v>0.729949275615504</v>
      </c>
      <c r="T864" s="40" t="n">
        <f aca="true">RAND()</f>
        <v>0.410309986469955</v>
      </c>
      <c r="U864" s="40" t="n">
        <f aca="true">RAND()</f>
        <v>0.851437580476041</v>
      </c>
    </row>
    <row r="865" customFormat="false" ht="15" hidden="false" customHeight="false" outlineLevel="0" collapsed="false">
      <c r="A865" s="36" t="n">
        <v>785</v>
      </c>
      <c r="B865" s="37" t="n">
        <f aca="false">1+IF($G$6=$E$6,$F$6,IF(P865&lt;($F$6-$E$6)/($G$6-$E$6),$E$6+SQRT(P865*($G$6-$E$6)*($F$6-$E$6)),$G$6-SQRT((1-P865)*($G$6-$E$6)*($G$6-$F$6))))</f>
        <v>0.969487210792623</v>
      </c>
      <c r="C865" s="37" t="n">
        <f aca="false">1+IF($G$7=$E$7,$F$7,IF(Q865&lt;($F$7-$E$7)/($G$7-$E$7),$E$7+SQRT(Q865*($G$7-$E$7)*($F$7-$E$7)),$G$7-SQRT((1-Q865)*($G$7-$E$7)*($G$7-$F$7))))</f>
        <v>1.09839646701539</v>
      </c>
      <c r="D865" s="37" t="n">
        <f aca="false">1+IF($G$8=$E$8,$F$8,IF(R865&lt;($F$8-$E$8)/($G$8-$E$8),$E$8+SQRT(R865*($G$8-$E$8)*($F$8-$E$8)),$G$8-SQRT((1-R865)*($G$8-$E$8)*($G$8-$F$8))))</f>
        <v>1.05986366481413</v>
      </c>
      <c r="E865" s="37" t="n">
        <f aca="false">1+IF($G$9=$E$9,$F$9,IF(S865&lt;($F$9-$E$9)/($G$9-$E$9),$E$9+SQRT(S865*($G$9-$E$9)*($F$9-$E$9)),$G$9-SQRT((1-S865)*($G$9-$E$9)*($G$9-$F$9))))</f>
        <v>1.04053705501764</v>
      </c>
      <c r="F865" s="37" t="n">
        <f aca="false">1+IF($G$10=$E$10,$F$10,IF(T865&lt;($F$10-$E$10)/($G$10-$E$10),$E$10+SQRT(T865*($G$10-$E$10)*($F$10-$E$10)),$G$10-SQRT((1-T865)*($G$10-$E$10)*($G$10-$F$10))))</f>
        <v>1.15407964688535</v>
      </c>
      <c r="G865" s="38" t="n">
        <f aca="false">IF($G$11=$E$11,$F$11,IF(U865&lt;($F$11-$E$11)/($G$11-$E$11),$E$11+SQRT(U865*($G$11-$E$11)*($F$11-$E$11)),$G$11-SQRT((1-U865)*($G$11-$E$11)*($G$11-$F$11))))</f>
        <v>0.0998859394427684</v>
      </c>
      <c r="H865" s="39" t="n">
        <f aca="false">(('Business Case'!B11*$C865*'Business Case'!B12*$B865)-'Business Case'!B11*$C865*'Business Case'!B13*$D865-'Business Case'!B14*$E865)-MAX(0,(('Business Case'!B11*$C865*'Business Case'!B12*$B865)-'Business Case'!B11*$C865*'Business Case'!B13*$D865-'Business Case'!B14*$E865))*'Business Case'!$B$7-'Business Case'!$B$8*('Business Case'!B11*$C865*'Business Case'!B12*$B865)-'Business Case'!B15*$F865</f>
        <v>-2308159293.77071</v>
      </c>
      <c r="I865" s="39" t="n">
        <f aca="false">(('Business Case'!C11*$C865*'Business Case'!C12*$B865)-'Business Case'!C11*$C865*'Business Case'!C13*$D865-'Business Case'!C14*$E865)-MAX(0,(('Business Case'!C11*$C865*'Business Case'!C12*$B865)-'Business Case'!C11*$C865*'Business Case'!C13*$D865-'Business Case'!C14*$E865))*'Business Case'!$B$7-'Business Case'!$B$8*(('Business Case'!C11*$C865*'Business Case'!C12*$B865)-('Business Case'!B11*$C865*'Business Case'!B12*$B865))-'Business Case'!C15*$F865</f>
        <v>-42313230.013069</v>
      </c>
      <c r="J865" s="39" t="n">
        <f aca="false">(('Business Case'!D11*$C865*'Business Case'!D12*$B865)-'Business Case'!D11*$C865*'Business Case'!D13*$D865-'Business Case'!D14*$E865)-MAX(0,(('Business Case'!D11*$C865*'Business Case'!D12*$B865)-'Business Case'!D11*$C865*'Business Case'!D13*$D865-'Business Case'!D14*$E865))*'Business Case'!$B$7-'Business Case'!$B$8*(('Business Case'!D11*$C865*'Business Case'!D12*$B865)-('Business Case'!C11*$C865*'Business Case'!C12*$B865))-'Business Case'!D15*$F865</f>
        <v>233949321.885425</v>
      </c>
      <c r="K865" s="39" t="n">
        <f aca="false">(('Business Case'!E11*$C865*'Business Case'!E12*$B865)-'Business Case'!E11*$C865*'Business Case'!E13*$D865-'Business Case'!E14*$E865)-MAX(0,(('Business Case'!E11*$C865*'Business Case'!E12*$B865)-'Business Case'!E11*$C865*'Business Case'!E13*$D865-'Business Case'!E14*$E865))*'Business Case'!$B$7-'Business Case'!$B$8*(('Business Case'!E11*$C865*'Business Case'!E12*$B865)-('Business Case'!D11*$C865*'Business Case'!D12*$B865))-'Business Case'!E15*$F865</f>
        <v>567915856.128186</v>
      </c>
      <c r="L865" s="39" t="n">
        <f aca="false">(('Business Case'!F11*$C865*'Business Case'!F12*$B865)-'Business Case'!F11*$C865*'Business Case'!F13*$D865-'Business Case'!F14*$E865)-MAX(0,(('Business Case'!F11*$C865*'Business Case'!F12*$B865)-'Business Case'!F11*$C865*'Business Case'!F13*$D865-'Business Case'!F14*$E865))*'Business Case'!$B$7-'Business Case'!$B$8*(('Business Case'!F11*$C865*'Business Case'!F12*$B865)-('Business Case'!E11*$C865*'Business Case'!E12*$B865))-'Business Case'!F15*$F865</f>
        <v>696805672.09403</v>
      </c>
      <c r="M865" s="39" t="n">
        <f aca="false">(('Business Case'!G11*$C865*'Business Case'!G12*$B865)-'Business Case'!G11*$C865*'Business Case'!G13*$D865-'Business Case'!G14*$E865)-MAX(0,(('Business Case'!G11*$C865*'Business Case'!G12*$B865)-'Business Case'!G11*$C865*'Business Case'!G13*$D865-'Business Case'!G14*$E865))*'Business Case'!$B$7-'Business Case'!$B$8*(('Business Case'!G11*$C865*'Business Case'!G12*$B865)-('Business Case'!F11*$C865*'Business Case'!F12*$B865))-'Business Case'!G15*$F865+'Business Case'!$B$8*('Business Case'!G11*$C865*'Business Case'!G12*$B865)</f>
        <v>899218314.758935</v>
      </c>
      <c r="N865" s="39" t="n">
        <f aca="false">IF(COUNT('Business Case'!B11:G11)=0,"",H865+NPV(G865,I865:M865))</f>
        <v>-691668366.847535</v>
      </c>
      <c r="P865" s="40" t="n">
        <f aca="true">RAND()</f>
        <v>0.255102503336824</v>
      </c>
      <c r="Q865" s="40" t="n">
        <f aca="true">RAND()</f>
        <v>0.949277626352504</v>
      </c>
      <c r="R865" s="40" t="n">
        <f aca="true">RAND()</f>
        <v>0.96101230820021</v>
      </c>
      <c r="S865" s="40" t="n">
        <f aca="true">RAND()</f>
        <v>0.764277211601637</v>
      </c>
      <c r="T865" s="40" t="n">
        <f aca="true">RAND()</f>
        <v>0.957826423396524</v>
      </c>
      <c r="U865" s="40" t="n">
        <f aca="true">RAND()</f>
        <v>0.325772662220278</v>
      </c>
    </row>
    <row r="866" customFormat="false" ht="15" hidden="false" customHeight="false" outlineLevel="0" collapsed="false">
      <c r="A866" s="36" t="n">
        <v>786</v>
      </c>
      <c r="B866" s="37" t="n">
        <f aca="false">1+IF($G$6=$E$6,$F$6,IF(P866&lt;($F$6-$E$6)/($G$6-$E$6),$E$6+SQRT(P866*($G$6-$E$6)*($F$6-$E$6)),$G$6-SQRT((1-P866)*($G$6-$E$6)*($G$6-$F$6))))</f>
        <v>0.943151550692127</v>
      </c>
      <c r="C866" s="37" t="n">
        <f aca="false">1+IF($G$7=$E$7,$F$7,IF(Q866&lt;($F$7-$E$7)/($G$7-$E$7),$E$7+SQRT(Q866*($G$7-$E$7)*($F$7-$E$7)),$G$7-SQRT((1-Q866)*($G$7-$E$7)*($G$7-$F$7))))</f>
        <v>1.1279186627935</v>
      </c>
      <c r="D866" s="37" t="n">
        <f aca="false">1+IF($G$8=$E$8,$F$8,IF(R866&lt;($F$8-$E$8)/($G$8-$E$8),$E$8+SQRT(R866*($G$8-$E$8)*($F$8-$E$8)),$G$8-SQRT((1-R866)*($G$8-$E$8)*($G$8-$F$8))))</f>
        <v>1.02734565910117</v>
      </c>
      <c r="E866" s="37" t="n">
        <f aca="false">1+IF($G$9=$E$9,$F$9,IF(S866&lt;($F$9-$E$9)/($G$9-$E$9),$E$9+SQRT(S866*($G$9-$E$9)*($F$9-$E$9)),$G$9-SQRT((1-S866)*($G$9-$E$9)*($G$9-$F$9))))</f>
        <v>0.981528681116228</v>
      </c>
      <c r="F866" s="37" t="n">
        <f aca="false">1+IF($G$10=$E$10,$F$10,IF(T866&lt;($F$10-$E$10)/($G$10-$E$10),$E$10+SQRT(T866*($G$10-$E$10)*($F$10-$E$10)),$G$10-SQRT((1-T866)*($G$10-$E$10)*($G$10-$F$10))))</f>
        <v>0.970314290799184</v>
      </c>
      <c r="G866" s="38" t="n">
        <f aca="false">IF($G$11=$E$11,$F$11,IF(U866&lt;($F$11-$E$11)/($G$11-$E$11),$E$11+SQRT(U866*($G$11-$E$11)*($F$11-$E$11)),$G$11-SQRT((1-U866)*($G$11-$E$11)*($G$11-$F$11))))</f>
        <v>0.111901919894337</v>
      </c>
      <c r="H866" s="39" t="n">
        <f aca="false">(('Business Case'!B11*$C866*'Business Case'!B12*$B866)-'Business Case'!B11*$C866*'Business Case'!B13*$D866-'Business Case'!B14*$E866)-MAX(0,(('Business Case'!B11*$C866*'Business Case'!B12*$B866)-'Business Case'!B11*$C866*'Business Case'!B13*$D866-'Business Case'!B14*$E866))*'Business Case'!$B$7-'Business Case'!$B$8*('Business Case'!B11*$C866*'Business Case'!B12*$B866)-'Business Case'!B15*$F866</f>
        <v>-1940628581.59837</v>
      </c>
      <c r="I866" s="39" t="n">
        <f aca="false">(('Business Case'!C11*$C866*'Business Case'!C12*$B866)-'Business Case'!C11*$C866*'Business Case'!C13*$D866-'Business Case'!C14*$E866)-MAX(0,(('Business Case'!C11*$C866*'Business Case'!C12*$B866)-'Business Case'!C11*$C866*'Business Case'!C13*$D866-'Business Case'!C14*$E866))*'Business Case'!$B$7-'Business Case'!$B$8*(('Business Case'!C11*$C866*'Business Case'!C12*$B866)-('Business Case'!B11*$C866*'Business Case'!B12*$B866))-'Business Case'!C15*$F866</f>
        <v>-13618377.5701185</v>
      </c>
      <c r="J866" s="39" t="n">
        <f aca="false">(('Business Case'!D11*$C866*'Business Case'!D12*$B866)-'Business Case'!D11*$C866*'Business Case'!D13*$D866-'Business Case'!D14*$E866)-MAX(0,(('Business Case'!D11*$C866*'Business Case'!D12*$B866)-'Business Case'!D11*$C866*'Business Case'!D13*$D866-'Business Case'!D14*$E866))*'Business Case'!$B$7-'Business Case'!$B$8*(('Business Case'!D11*$C866*'Business Case'!D12*$B866)-('Business Case'!C11*$C866*'Business Case'!C12*$B866))-'Business Case'!D15*$F866</f>
        <v>264515352.941821</v>
      </c>
      <c r="K866" s="39" t="n">
        <f aca="false">(('Business Case'!E11*$C866*'Business Case'!E12*$B866)-'Business Case'!E11*$C866*'Business Case'!E13*$D866-'Business Case'!E14*$E866)-MAX(0,(('Business Case'!E11*$C866*'Business Case'!E12*$B866)-'Business Case'!E11*$C866*'Business Case'!E13*$D866-'Business Case'!E14*$E866))*'Business Case'!$B$7-'Business Case'!$B$8*(('Business Case'!E11*$C866*'Business Case'!E12*$B866)-('Business Case'!D11*$C866*'Business Case'!D12*$B866))-'Business Case'!E15*$F866</f>
        <v>591164797.99372</v>
      </c>
      <c r="L866" s="39" t="n">
        <f aca="false">(('Business Case'!F11*$C866*'Business Case'!F12*$B866)-'Business Case'!F11*$C866*'Business Case'!F13*$D866-'Business Case'!F14*$E866)-MAX(0,(('Business Case'!F11*$C866*'Business Case'!F12*$B866)-'Business Case'!F11*$C866*'Business Case'!F13*$D866-'Business Case'!F14*$E866))*'Business Case'!$B$7-'Business Case'!$B$8*(('Business Case'!F11*$C866*'Business Case'!F12*$B866)-('Business Case'!E11*$C866*'Business Case'!E12*$B866))-'Business Case'!F15*$F866</f>
        <v>720640908.529308</v>
      </c>
      <c r="M866" s="39" t="n">
        <f aca="false">(('Business Case'!G11*$C866*'Business Case'!G12*$B866)-'Business Case'!G11*$C866*'Business Case'!G13*$D866-'Business Case'!G14*$E866)-MAX(0,(('Business Case'!G11*$C866*'Business Case'!G12*$B866)-'Business Case'!G11*$C866*'Business Case'!G13*$D866-'Business Case'!G14*$E866))*'Business Case'!$B$7-'Business Case'!$B$8*(('Business Case'!G11*$C866*'Business Case'!G12*$B866)-('Business Case'!F11*$C866*'Business Case'!F12*$B866))-'Business Case'!G15*$F866+'Business Case'!$B$8*('Business Case'!G11*$C866*'Business Case'!G12*$B866)</f>
        <v>922847677.203151</v>
      </c>
      <c r="N866" s="39" t="n">
        <f aca="false">IF(COUNT('Business Case'!B11:G11)=0,"",H866+NPV(G866,I866:M866))</f>
        <v>-294417282.762233</v>
      </c>
      <c r="P866" s="40" t="n">
        <f aca="true">RAND()</f>
        <v>0.0558327395260532</v>
      </c>
      <c r="Q866" s="40" t="n">
        <f aca="true">RAND()</f>
        <v>0.990712658041391</v>
      </c>
      <c r="R866" s="40" t="n">
        <f aca="true">RAND()</f>
        <v>0.733415421587437</v>
      </c>
      <c r="S866" s="40" t="n">
        <f aca="true">RAND()</f>
        <v>0.132541031057173</v>
      </c>
      <c r="T866" s="40" t="n">
        <f aca="true">RAND()</f>
        <v>0.0330136328539047</v>
      </c>
      <c r="U866" s="40" t="n">
        <f aca="true">RAND()</f>
        <v>0.890701831003771</v>
      </c>
    </row>
    <row r="867" customFormat="false" ht="15" hidden="false" customHeight="false" outlineLevel="0" collapsed="false">
      <c r="A867" s="36" t="n">
        <v>787</v>
      </c>
      <c r="B867" s="37" t="n">
        <f aca="false">1+IF($G$6=$E$6,$F$6,IF(P867&lt;($F$6-$E$6)/($G$6-$E$6),$E$6+SQRT(P867*($G$6-$E$6)*($F$6-$E$6)),$G$6-SQRT((1-P867)*($G$6-$E$6)*($G$6-$F$6))))</f>
        <v>1.00810731616111</v>
      </c>
      <c r="C867" s="37" t="n">
        <f aca="false">1+IF($G$7=$E$7,$F$7,IF(Q867&lt;($F$7-$E$7)/($G$7-$E$7),$E$7+SQRT(Q867*($G$7-$E$7)*($F$7-$E$7)),$G$7-SQRT((1-Q867)*($G$7-$E$7)*($G$7-$F$7))))</f>
        <v>0.967090817800361</v>
      </c>
      <c r="D867" s="37" t="n">
        <f aca="false">1+IF($G$8=$E$8,$F$8,IF(R867&lt;($F$8-$E$8)/($G$8-$E$8),$E$8+SQRT(R867*($G$8-$E$8)*($F$8-$E$8)),$G$8-SQRT((1-R867)*($G$8-$E$8)*($G$8-$F$8))))</f>
        <v>1.00825030138814</v>
      </c>
      <c r="E867" s="37" t="n">
        <f aca="false">1+IF($G$9=$E$9,$F$9,IF(S867&lt;($F$9-$E$9)/($G$9-$E$9),$E$9+SQRT(S867*($G$9-$E$9)*($F$9-$E$9)),$G$9-SQRT((1-S867)*($G$9-$E$9)*($G$9-$F$9))))</f>
        <v>0.959082102373284</v>
      </c>
      <c r="F867" s="37" t="n">
        <f aca="false">1+IF($G$10=$E$10,$F$10,IF(T867&lt;($F$10-$E$10)/($G$10-$E$10),$E$10+SQRT(T867*($G$10-$E$10)*($F$10-$E$10)),$G$10-SQRT((1-T867)*($G$10-$E$10)*($G$10-$F$10))))</f>
        <v>1.05543196854544</v>
      </c>
      <c r="G867" s="38" t="n">
        <f aca="false">IF($G$11=$E$11,$F$11,IF(U867&lt;($F$11-$E$11)/($G$11-$E$11),$E$11+SQRT(U867*($G$11-$E$11)*($F$11-$E$11)),$G$11-SQRT((1-U867)*($G$11-$E$11)*($G$11-$F$11))))</f>
        <v>0.110603133988948</v>
      </c>
      <c r="H867" s="39" t="n">
        <f aca="false">(('Business Case'!B11*$C867*'Business Case'!B12*$B867)-'Business Case'!B11*$C867*'Business Case'!B13*$D867-'Business Case'!B14*$E867)-MAX(0,(('Business Case'!B11*$C867*'Business Case'!B12*$B867)-'Business Case'!B11*$C867*'Business Case'!B13*$D867-'Business Case'!B14*$E867))*'Business Case'!$B$7-'Business Case'!$B$8*('Business Case'!B11*$C867*'Business Case'!B12*$B867)-'Business Case'!B15*$F867</f>
        <v>-2110863937.09089</v>
      </c>
      <c r="I867" s="39" t="n">
        <f aca="false">(('Business Case'!C11*$C867*'Business Case'!C12*$B867)-'Business Case'!C11*$C867*'Business Case'!C13*$D867-'Business Case'!C14*$E867)-MAX(0,(('Business Case'!C11*$C867*'Business Case'!C12*$B867)-'Business Case'!C11*$C867*'Business Case'!C13*$D867-'Business Case'!C14*$E867))*'Business Case'!$B$7-'Business Case'!$B$8*(('Business Case'!C11*$C867*'Business Case'!C12*$B867)-('Business Case'!B11*$C867*'Business Case'!B12*$B867))-'Business Case'!C15*$F867</f>
        <v>6916207.46674618</v>
      </c>
      <c r="J867" s="39" t="n">
        <f aca="false">(('Business Case'!D11*$C867*'Business Case'!D12*$B867)-'Business Case'!D11*$C867*'Business Case'!D13*$D867-'Business Case'!D14*$E867)-MAX(0,(('Business Case'!D11*$C867*'Business Case'!D12*$B867)-'Business Case'!D11*$C867*'Business Case'!D13*$D867-'Business Case'!D14*$E867))*'Business Case'!$B$7-'Business Case'!$B$8*(('Business Case'!D11*$C867*'Business Case'!D12*$B867)-('Business Case'!C11*$C867*'Business Case'!C12*$B867))-'Business Case'!D15*$F867</f>
        <v>306297526.831379</v>
      </c>
      <c r="K867" s="39" t="n">
        <f aca="false">(('Business Case'!E11*$C867*'Business Case'!E12*$B867)-'Business Case'!E11*$C867*'Business Case'!E13*$D867-'Business Case'!E14*$E867)-MAX(0,(('Business Case'!E11*$C867*'Business Case'!E12*$B867)-'Business Case'!E11*$C867*'Business Case'!E13*$D867-'Business Case'!E14*$E867))*'Business Case'!$B$7-'Business Case'!$B$8*(('Business Case'!E11*$C867*'Business Case'!E12*$B867)-('Business Case'!D11*$C867*'Business Case'!D12*$B867))-'Business Case'!E15*$F867</f>
        <v>658450444.623285</v>
      </c>
      <c r="L867" s="39" t="n">
        <f aca="false">(('Business Case'!F11*$C867*'Business Case'!F12*$B867)-'Business Case'!F11*$C867*'Business Case'!F13*$D867-'Business Case'!F14*$E867)-MAX(0,(('Business Case'!F11*$C867*'Business Case'!F12*$B867)-'Business Case'!F11*$C867*'Business Case'!F13*$D867-'Business Case'!F14*$E867))*'Business Case'!$B$7-'Business Case'!$B$8*(('Business Case'!F11*$C867*'Business Case'!F12*$B867)-('Business Case'!E11*$C867*'Business Case'!E12*$B867))-'Business Case'!F15*$F867</f>
        <v>791937844.468737</v>
      </c>
      <c r="M867" s="39" t="n">
        <f aca="false">(('Business Case'!G11*$C867*'Business Case'!G12*$B867)-'Business Case'!G11*$C867*'Business Case'!G13*$D867-'Business Case'!G14*$E867)-MAX(0,(('Business Case'!G11*$C867*'Business Case'!G12*$B867)-'Business Case'!G11*$C867*'Business Case'!G13*$D867-'Business Case'!G14*$E867))*'Business Case'!$B$7-'Business Case'!$B$8*(('Business Case'!G11*$C867*'Business Case'!G12*$B867)-('Business Case'!F11*$C867*'Business Case'!F12*$B867))-'Business Case'!G15*$F867+'Business Case'!$B$8*('Business Case'!G11*$C867*'Business Case'!G12*$B867)</f>
        <v>977252791.45023</v>
      </c>
      <c r="N867" s="39" t="n">
        <f aca="false">IF(COUNT('Business Case'!B11:G11)=0,"",H867+NPV(G867,I867:M867))</f>
        <v>-276718570.392068</v>
      </c>
      <c r="P867" s="40" t="n">
        <f aca="true">RAND()</f>
        <v>0.788095149490153</v>
      </c>
      <c r="Q867" s="40" t="n">
        <f aca="true">RAND()</f>
        <v>0.398847734188479</v>
      </c>
      <c r="R867" s="40" t="n">
        <f aca="true">RAND()</f>
        <v>0.504998148952673</v>
      </c>
      <c r="S867" s="40" t="n">
        <f aca="true">RAND()</f>
        <v>0.010997944469175</v>
      </c>
      <c r="T867" s="40" t="n">
        <f aca="true">RAND()</f>
        <v>0.582001685627085</v>
      </c>
      <c r="U867" s="40" t="n">
        <f aca="true">RAND()</f>
        <v>0.852831515283879</v>
      </c>
    </row>
    <row r="868" customFormat="false" ht="15" hidden="false" customHeight="false" outlineLevel="0" collapsed="false">
      <c r="A868" s="36" t="n">
        <v>788</v>
      </c>
      <c r="B868" s="37" t="n">
        <f aca="false">1+IF($G$6=$E$6,$F$6,IF(P868&lt;($F$6-$E$6)/($G$6-$E$6),$E$6+SQRT(P868*($G$6-$E$6)*($F$6-$E$6)),$G$6-SQRT((1-P868)*($G$6-$E$6)*($G$6-$F$6))))</f>
        <v>0.930412974565762</v>
      </c>
      <c r="C868" s="37" t="n">
        <f aca="false">1+IF($G$7=$E$7,$F$7,IF(Q868&lt;($F$7-$E$7)/($G$7-$E$7),$E$7+SQRT(Q868*($G$7-$E$7)*($F$7-$E$7)),$G$7-SQRT((1-Q868)*($G$7-$E$7)*($G$7-$F$7))))</f>
        <v>1.02989172643566</v>
      </c>
      <c r="D868" s="37" t="n">
        <f aca="false">1+IF($G$8=$E$8,$F$8,IF(R868&lt;($F$8-$E$8)/($G$8-$E$8),$E$8+SQRT(R868*($G$8-$E$8)*($F$8-$E$8)),$G$8-SQRT((1-R868)*($G$8-$E$8)*($G$8-$F$8))))</f>
        <v>0.996417719961263</v>
      </c>
      <c r="E868" s="37" t="n">
        <f aca="false">1+IF($G$9=$E$9,$F$9,IF(S868&lt;($F$9-$E$9)/($G$9-$E$9),$E$9+SQRT(S868*($G$9-$E$9)*($F$9-$E$9)),$G$9-SQRT((1-S868)*($G$9-$E$9)*($G$9-$F$9))))</f>
        <v>0.974421926277566</v>
      </c>
      <c r="F868" s="37" t="n">
        <f aca="false">1+IF($G$10=$E$10,$F$10,IF(T868&lt;($F$10-$E$10)/($G$10-$E$10),$E$10+SQRT(T868*($G$10-$E$10)*($F$10-$E$10)),$G$10-SQRT((1-T868)*($G$10-$E$10)*($G$10-$F$10))))</f>
        <v>1.11819421568586</v>
      </c>
      <c r="G868" s="38" t="n">
        <f aca="false">IF($G$11=$E$11,$F$11,IF(U868&lt;($F$11-$E$11)/($G$11-$E$11),$E$11+SQRT(U868*($G$11-$E$11)*($F$11-$E$11)),$G$11-SQRT((1-U868)*($G$11-$E$11)*($G$11-$F$11))))</f>
        <v>0.103547953574744</v>
      </c>
      <c r="H868" s="39" t="n">
        <f aca="false">(('Business Case'!B11*$C868*'Business Case'!B12*$B868)-'Business Case'!B11*$C868*'Business Case'!B13*$D868-'Business Case'!B14*$E868)-MAX(0,(('Business Case'!B11*$C868*'Business Case'!B12*$B868)-'Business Case'!B11*$C868*'Business Case'!B13*$D868-'Business Case'!B14*$E868))*'Business Case'!$B$7-'Business Case'!$B$8*('Business Case'!B11*$C868*'Business Case'!B12*$B868)-'Business Case'!B15*$F868</f>
        <v>-2236388431.37172</v>
      </c>
      <c r="I868" s="39" t="n">
        <f aca="false">(('Business Case'!C11*$C868*'Business Case'!C12*$B868)-'Business Case'!C11*$C868*'Business Case'!C13*$D868-'Business Case'!C14*$E868)-MAX(0,(('Business Case'!C11*$C868*'Business Case'!C12*$B868)-'Business Case'!C11*$C868*'Business Case'!C13*$D868-'Business Case'!C14*$E868))*'Business Case'!$B$7-'Business Case'!$B$8*(('Business Case'!C11*$C868*'Business Case'!C12*$B868)-('Business Case'!B11*$C868*'Business Case'!B12*$B868))-'Business Case'!C15*$F868</f>
        <v>-40535139.3796954</v>
      </c>
      <c r="J868" s="39" t="n">
        <f aca="false">(('Business Case'!D11*$C868*'Business Case'!D12*$B868)-'Business Case'!D11*$C868*'Business Case'!D13*$D868-'Business Case'!D14*$E868)-MAX(0,(('Business Case'!D11*$C868*'Business Case'!D12*$B868)-'Business Case'!D11*$C868*'Business Case'!D13*$D868-'Business Case'!D14*$E868))*'Business Case'!$B$7-'Business Case'!$B$8*(('Business Case'!D11*$C868*'Business Case'!D12*$B868)-('Business Case'!C11*$C868*'Business Case'!C12*$B868))-'Business Case'!D15*$F868</f>
        <v>218986305.268948</v>
      </c>
      <c r="K868" s="39" t="n">
        <f aca="false">(('Business Case'!E11*$C868*'Business Case'!E12*$B868)-'Business Case'!E11*$C868*'Business Case'!E13*$D868-'Business Case'!E14*$E868)-MAX(0,(('Business Case'!E11*$C868*'Business Case'!E12*$B868)-'Business Case'!E11*$C868*'Business Case'!E13*$D868-'Business Case'!E14*$E868))*'Business Case'!$B$7-'Business Case'!$B$8*(('Business Case'!E11*$C868*'Business Case'!E12*$B868)-('Business Case'!D11*$C868*'Business Case'!D12*$B868))-'Business Case'!E15*$F868</f>
        <v>534417460.701884</v>
      </c>
      <c r="L868" s="39" t="n">
        <f aca="false">(('Business Case'!F11*$C868*'Business Case'!F12*$B868)-'Business Case'!F11*$C868*'Business Case'!F13*$D868-'Business Case'!F14*$E868)-MAX(0,(('Business Case'!F11*$C868*'Business Case'!F12*$B868)-'Business Case'!F11*$C868*'Business Case'!F13*$D868-'Business Case'!F14*$E868))*'Business Case'!$B$7-'Business Case'!$B$8*(('Business Case'!F11*$C868*'Business Case'!F12*$B868)-('Business Case'!E11*$C868*'Business Case'!E12*$B868))-'Business Case'!F15*$F868</f>
        <v>654040851.946821</v>
      </c>
      <c r="M868" s="39" t="n">
        <f aca="false">(('Business Case'!G11*$C868*'Business Case'!G12*$B868)-'Business Case'!G11*$C868*'Business Case'!G13*$D868-'Business Case'!G14*$E868)-MAX(0,(('Business Case'!G11*$C868*'Business Case'!G12*$B868)-'Business Case'!G11*$C868*'Business Case'!G13*$D868-'Business Case'!G14*$E868))*'Business Case'!$B$7-'Business Case'!$B$8*(('Business Case'!G11*$C868*'Business Case'!G12*$B868)-('Business Case'!F11*$C868*'Business Case'!F12*$B868))-'Business Case'!G15*$F868+'Business Case'!$B$8*('Business Case'!G11*$C868*'Business Case'!G12*$B868)</f>
        <v>836180188.604792</v>
      </c>
      <c r="N868" s="39" t="n">
        <f aca="false">IF(COUNT('Business Case'!B11:G11)=0,"",H868+NPV(G868,I868:M868))</f>
        <v>-743735210.265378</v>
      </c>
      <c r="P868" s="40" t="n">
        <f aca="true">RAND()</f>
        <v>0.0112947957611673</v>
      </c>
      <c r="Q868" s="40" t="n">
        <f aca="true">RAND()</f>
        <v>0.725219097550362</v>
      </c>
      <c r="R868" s="40" t="n">
        <f aca="true">RAND()</f>
        <v>0.331477650215729</v>
      </c>
      <c r="S868" s="40" t="n">
        <f aca="true">RAND()</f>
        <v>0.0795240644142481</v>
      </c>
      <c r="T868" s="40" t="n">
        <f aca="true">RAND()</f>
        <v>0.866156273054964</v>
      </c>
      <c r="U868" s="40" t="n">
        <f aca="true">RAND()</f>
        <v>0.548883614035381</v>
      </c>
    </row>
    <row r="869" customFormat="false" ht="15" hidden="false" customHeight="false" outlineLevel="0" collapsed="false">
      <c r="A869" s="36" t="n">
        <v>789</v>
      </c>
      <c r="B869" s="37" t="n">
        <f aca="false">1+IF($G$6=$E$6,$F$6,IF(P869&lt;($F$6-$E$6)/($G$6-$E$6),$E$6+SQRT(P869*($G$6-$E$6)*($F$6-$E$6)),$G$6-SQRT((1-P869)*($G$6-$E$6)*($G$6-$F$6))))</f>
        <v>1.02783202164215</v>
      </c>
      <c r="C869" s="37" t="n">
        <f aca="false">1+IF($G$7=$E$7,$F$7,IF(Q869&lt;($F$7-$E$7)/($G$7-$E$7),$E$7+SQRT(Q869*($G$7-$E$7)*($F$7-$E$7)),$G$7-SQRT((1-Q869)*($G$7-$E$7)*($G$7-$F$7))))</f>
        <v>1.05800175602742</v>
      </c>
      <c r="D869" s="37" t="n">
        <f aca="false">1+IF($G$8=$E$8,$F$8,IF(R869&lt;($F$8-$E$8)/($G$8-$E$8),$E$8+SQRT(R869*($G$8-$E$8)*($F$8-$E$8)),$G$8-SQRT((1-R869)*($G$8-$E$8)*($G$8-$F$8))))</f>
        <v>1.00561816486005</v>
      </c>
      <c r="E869" s="37" t="n">
        <f aca="false">1+IF($G$9=$E$9,$F$9,IF(S869&lt;($F$9-$E$9)/($G$9-$E$9),$E$9+SQRT(S869*($G$9-$E$9)*($F$9-$E$9)),$G$9-SQRT((1-S869)*($G$9-$E$9)*($G$9-$F$9))))</f>
        <v>1.05659487904629</v>
      </c>
      <c r="F869" s="37" t="n">
        <f aca="false">1+IF($G$10=$E$10,$F$10,IF(T869&lt;($F$10-$E$10)/($G$10-$E$10),$E$10+SQRT(T869*($G$10-$E$10)*($F$10-$E$10)),$G$10-SQRT((1-T869)*($G$10-$E$10)*($G$10-$F$10))))</f>
        <v>0.968352086165081</v>
      </c>
      <c r="G869" s="38" t="n">
        <f aca="false">IF($G$11=$E$11,$F$11,IF(U869&lt;($F$11-$E$11)/($G$11-$E$11),$E$11+SQRT(U869*($G$11-$E$11)*($F$11-$E$11)),$G$11-SQRT((1-U869)*($G$11-$E$11)*($G$11-$F$11))))</f>
        <v>0.10103892668947</v>
      </c>
      <c r="H869" s="39" t="n">
        <f aca="false">(('Business Case'!B11*$C869*'Business Case'!B12*$B869)-'Business Case'!B11*$C869*'Business Case'!B13*$D869-'Business Case'!B14*$E869)-MAX(0,(('Business Case'!B11*$C869*'Business Case'!B12*$B869)-'Business Case'!B11*$C869*'Business Case'!B13*$D869-'Business Case'!B14*$E869))*'Business Case'!$B$7-'Business Case'!$B$8*('Business Case'!B11*$C869*'Business Case'!B12*$B869)-'Business Case'!B15*$F869</f>
        <v>-1936704172.33016</v>
      </c>
      <c r="I869" s="39" t="n">
        <f aca="false">(('Business Case'!C11*$C869*'Business Case'!C12*$B869)-'Business Case'!C11*$C869*'Business Case'!C13*$D869-'Business Case'!C14*$E869)-MAX(0,(('Business Case'!C11*$C869*'Business Case'!C12*$B869)-'Business Case'!C11*$C869*'Business Case'!C13*$D869-'Business Case'!C14*$E869))*'Business Case'!$B$7-'Business Case'!$B$8*(('Business Case'!C11*$C869*'Business Case'!C12*$B869)-('Business Case'!B11*$C869*'Business Case'!B12*$B869))-'Business Case'!C15*$F869</f>
        <v>42586841.9055497</v>
      </c>
      <c r="J869" s="39" t="n">
        <f aca="false">(('Business Case'!D11*$C869*'Business Case'!D12*$B869)-'Business Case'!D11*$C869*'Business Case'!D13*$D869-'Business Case'!D14*$E869)-MAX(0,(('Business Case'!D11*$C869*'Business Case'!D12*$B869)-'Business Case'!D11*$C869*'Business Case'!D13*$D869-'Business Case'!D14*$E869))*'Business Case'!$B$7-'Business Case'!$B$8*(('Business Case'!D11*$C869*'Business Case'!D12*$B869)-('Business Case'!C11*$C869*'Business Case'!C12*$B869))-'Business Case'!D15*$F869</f>
        <v>388629992.89211</v>
      </c>
      <c r="K869" s="39" t="n">
        <f aca="false">(('Business Case'!E11*$C869*'Business Case'!E12*$B869)-'Business Case'!E11*$C869*'Business Case'!E13*$D869-'Business Case'!E14*$E869)-MAX(0,(('Business Case'!E11*$C869*'Business Case'!E12*$B869)-'Business Case'!E11*$C869*'Business Case'!E13*$D869-'Business Case'!E14*$E869))*'Business Case'!$B$7-'Business Case'!$B$8*(('Business Case'!E11*$C869*'Business Case'!E12*$B869)-('Business Case'!D11*$C869*'Business Case'!D12*$B869))-'Business Case'!E15*$F869</f>
        <v>783090748.186924</v>
      </c>
      <c r="L869" s="39" t="n">
        <f aca="false">(('Business Case'!F11*$C869*'Business Case'!F12*$B869)-'Business Case'!F11*$C869*'Business Case'!F13*$D869-'Business Case'!F14*$E869)-MAX(0,(('Business Case'!F11*$C869*'Business Case'!F12*$B869)-'Business Case'!F11*$C869*'Business Case'!F13*$D869-'Business Case'!F14*$E869))*'Business Case'!$B$7-'Business Case'!$B$8*(('Business Case'!F11*$C869*'Business Case'!F12*$B869)-('Business Case'!E11*$C869*'Business Case'!E12*$B869))-'Business Case'!F15*$F869</f>
        <v>936020670.958524</v>
      </c>
      <c r="M869" s="39" t="n">
        <f aca="false">(('Business Case'!G11*$C869*'Business Case'!G12*$B869)-'Business Case'!G11*$C869*'Business Case'!G13*$D869-'Business Case'!G14*$E869)-MAX(0,(('Business Case'!G11*$C869*'Business Case'!G12*$B869)-'Business Case'!G11*$C869*'Business Case'!G13*$D869-'Business Case'!G14*$E869))*'Business Case'!$B$7-'Business Case'!$B$8*(('Business Case'!G11*$C869*'Business Case'!G12*$B869)-('Business Case'!F11*$C869*'Business Case'!F12*$B869))-'Business Case'!G15*$F869+'Business Case'!$B$8*('Business Case'!G11*$C869*'Business Case'!G12*$B869)</f>
        <v>1142722802.72696</v>
      </c>
      <c r="N869" s="39" t="n">
        <f aca="false">IF(COUNT('Business Case'!B11:G11)=0,"",H869+NPV(G869,I869:M869))</f>
        <v>352339170.940676</v>
      </c>
      <c r="P869" s="40" t="n">
        <f aca="true">RAND()</f>
        <v>0.969154229725626</v>
      </c>
      <c r="Q869" s="40" t="n">
        <f aca="true">RAND()</f>
        <v>0.838787106780205</v>
      </c>
      <c r="R869" s="40" t="n">
        <f aca="true">RAND()</f>
        <v>0.468013711655089</v>
      </c>
      <c r="S869" s="40" t="n">
        <f aca="true">RAND()</f>
        <v>0.874399698332919</v>
      </c>
      <c r="T869" s="40" t="n">
        <f aca="true">RAND()</f>
        <v>0.0269439253288447</v>
      </c>
      <c r="U869" s="40" t="n">
        <f aca="true">RAND()</f>
        <v>0.400796164854507</v>
      </c>
    </row>
    <row r="870" customFormat="false" ht="15" hidden="false" customHeight="false" outlineLevel="0" collapsed="false">
      <c r="A870" s="36" t="n">
        <v>790</v>
      </c>
      <c r="B870" s="37" t="n">
        <f aca="false">1+IF($G$6=$E$6,$F$6,IF(P870&lt;($F$6-$E$6)/($G$6-$E$6),$E$6+SQRT(P870*($G$6-$E$6)*($F$6-$E$6)),$G$6-SQRT((1-P870)*($G$6-$E$6)*($G$6-$F$6))))</f>
        <v>0.966217627627605</v>
      </c>
      <c r="C870" s="37" t="n">
        <f aca="false">1+IF($G$7=$E$7,$F$7,IF(Q870&lt;($F$7-$E$7)/($G$7-$E$7),$E$7+SQRT(Q870*($G$7-$E$7)*($F$7-$E$7)),$G$7-SQRT((1-Q870)*($G$7-$E$7)*($G$7-$F$7))))</f>
        <v>1.01723267583747</v>
      </c>
      <c r="D870" s="37" t="n">
        <f aca="false">1+IF($G$8=$E$8,$F$8,IF(R870&lt;($F$8-$E$8)/($G$8-$E$8),$E$8+SQRT(R870*($G$8-$E$8)*($F$8-$E$8)),$G$8-SQRT((1-R870)*($G$8-$E$8)*($G$8-$F$8))))</f>
        <v>1.02695902778189</v>
      </c>
      <c r="E870" s="37" t="n">
        <f aca="false">1+IF($G$9=$E$9,$F$9,IF(S870&lt;($F$9-$E$9)/($G$9-$E$9),$E$9+SQRT(S870*($G$9-$E$9)*($F$9-$E$9)),$G$9-SQRT((1-S870)*($G$9-$E$9)*($G$9-$F$9))))</f>
        <v>1.00487373233204</v>
      </c>
      <c r="F870" s="37" t="n">
        <f aca="false">1+IF($G$10=$E$10,$F$10,IF(T870&lt;($F$10-$E$10)/($G$10-$E$10),$E$10+SQRT(T870*($G$10-$E$10)*($F$10-$E$10)),$G$10-SQRT((1-T870)*($G$10-$E$10)*($G$10-$F$10))))</f>
        <v>1.05157474949997</v>
      </c>
      <c r="G870" s="38" t="n">
        <f aca="false">IF($G$11=$E$11,$F$11,IF(U870&lt;($F$11-$E$11)/($G$11-$E$11),$E$11+SQRT(U870*($G$11-$E$11)*($F$11-$E$11)),$G$11-SQRT((1-U870)*($G$11-$E$11)*($G$11-$F$11))))</f>
        <v>0.103926012990397</v>
      </c>
      <c r="H870" s="39" t="n">
        <f aca="false">(('Business Case'!B11*$C870*'Business Case'!B12*$B870)-'Business Case'!B11*$C870*'Business Case'!B13*$D870-'Business Case'!B14*$E870)-MAX(0,(('Business Case'!B11*$C870*'Business Case'!B12*$B870)-'Business Case'!B11*$C870*'Business Case'!B13*$D870-'Business Case'!B14*$E870))*'Business Case'!$B$7-'Business Case'!$B$8*('Business Case'!B11*$C870*'Business Case'!B12*$B870)-'Business Case'!B15*$F870</f>
        <v>-2103149498.99994</v>
      </c>
      <c r="I870" s="39" t="n">
        <f aca="false">(('Business Case'!C11*$C870*'Business Case'!C12*$B870)-'Business Case'!C11*$C870*'Business Case'!C13*$D870-'Business Case'!C14*$E870)-MAX(0,(('Business Case'!C11*$C870*'Business Case'!C12*$B870)-'Business Case'!C11*$C870*'Business Case'!C13*$D870-'Business Case'!C14*$E870))*'Business Case'!$B$7-'Business Case'!$B$8*(('Business Case'!C11*$C870*'Business Case'!C12*$B870)-('Business Case'!B11*$C870*'Business Case'!B12*$B870))-'Business Case'!C15*$F870</f>
        <v>-28743071.5145799</v>
      </c>
      <c r="J870" s="39" t="n">
        <f aca="false">(('Business Case'!D11*$C870*'Business Case'!D12*$B870)-'Business Case'!D11*$C870*'Business Case'!D13*$D870-'Business Case'!D14*$E870)-MAX(0,(('Business Case'!D11*$C870*'Business Case'!D12*$B870)-'Business Case'!D11*$C870*'Business Case'!D13*$D870-'Business Case'!D14*$E870))*'Business Case'!$B$7-'Business Case'!$B$8*(('Business Case'!D11*$C870*'Business Case'!D12*$B870)-('Business Case'!C11*$C870*'Business Case'!C12*$B870))-'Business Case'!D15*$F870</f>
        <v>241516261.18084</v>
      </c>
      <c r="K870" s="39" t="n">
        <f aca="false">(('Business Case'!E11*$C870*'Business Case'!E12*$B870)-'Business Case'!E11*$C870*'Business Case'!E13*$D870-'Business Case'!E14*$E870)-MAX(0,(('Business Case'!E11*$C870*'Business Case'!E12*$B870)-'Business Case'!E11*$C870*'Business Case'!E13*$D870-'Business Case'!E14*$E870))*'Business Case'!$B$7-'Business Case'!$B$8*(('Business Case'!E11*$C870*'Business Case'!E12*$B870)-('Business Case'!D11*$C870*'Business Case'!D12*$B870))-'Business Case'!E15*$F870</f>
        <v>564354331.351258</v>
      </c>
      <c r="L870" s="39" t="n">
        <f aca="false">(('Business Case'!F11*$C870*'Business Case'!F12*$B870)-'Business Case'!F11*$C870*'Business Case'!F13*$D870-'Business Case'!F14*$E870)-MAX(0,(('Business Case'!F11*$C870*'Business Case'!F12*$B870)-'Business Case'!F11*$C870*'Business Case'!F13*$D870-'Business Case'!F14*$E870))*'Business Case'!$B$7-'Business Case'!$B$8*(('Business Case'!F11*$C870*'Business Case'!F12*$B870)-('Business Case'!E11*$C870*'Business Case'!E12*$B870))-'Business Case'!F15*$F870</f>
        <v>688408698.597989</v>
      </c>
      <c r="M870" s="39" t="n">
        <f aca="false">(('Business Case'!G11*$C870*'Business Case'!G12*$B870)-'Business Case'!G11*$C870*'Business Case'!G13*$D870-'Business Case'!G14*$E870)-MAX(0,(('Business Case'!G11*$C870*'Business Case'!G12*$B870)-'Business Case'!G11*$C870*'Business Case'!G13*$D870-'Business Case'!G14*$E870))*'Business Case'!$B$7-'Business Case'!$B$8*(('Business Case'!G11*$C870*'Business Case'!G12*$B870)-('Business Case'!F11*$C870*'Business Case'!F12*$B870))-'Business Case'!G15*$F870+'Business Case'!$B$8*('Business Case'!G11*$C870*'Business Case'!G12*$B870)</f>
        <v>875232275.180074</v>
      </c>
      <c r="N870" s="39" t="n">
        <f aca="false">IF(COUNT('Business Case'!B11:G11)=0,"",H870+NPV(G870,I870:M870))</f>
        <v>-514109190.6337</v>
      </c>
      <c r="P870" s="40" t="n">
        <f aca="true">RAND()</f>
        <v>0.222507198283741</v>
      </c>
      <c r="Q870" s="40" t="n">
        <f aca="true">RAND()</f>
        <v>0.664244526375626</v>
      </c>
      <c r="R870" s="40" t="n">
        <f aca="true">RAND()</f>
        <v>0.729486083284345</v>
      </c>
      <c r="S870" s="40" t="n">
        <f aca="true">RAND()</f>
        <v>0.396732879970882</v>
      </c>
      <c r="T870" s="40" t="n">
        <f aca="true">RAND()</f>
        <v>0.559398900280066</v>
      </c>
      <c r="U870" s="40" t="n">
        <f aca="true">RAND()</f>
        <v>0.569378236025189</v>
      </c>
    </row>
    <row r="871" customFormat="false" ht="15" hidden="false" customHeight="false" outlineLevel="0" collapsed="false">
      <c r="A871" s="36" t="n">
        <v>791</v>
      </c>
      <c r="B871" s="37" t="n">
        <f aca="false">1+IF($G$6=$E$6,$F$6,IF(P871&lt;($F$6-$E$6)/($G$6-$E$6),$E$6+SQRT(P871*($G$6-$E$6)*($F$6-$E$6)),$G$6-SQRT((1-P871)*($G$6-$E$6)*($G$6-$F$6))))</f>
        <v>1.01913713296641</v>
      </c>
      <c r="C871" s="37" t="n">
        <f aca="false">1+IF($G$7=$E$7,$F$7,IF(Q871&lt;($F$7-$E$7)/($G$7-$E$7),$E$7+SQRT(Q871*($G$7-$E$7)*($F$7-$E$7)),$G$7-SQRT((1-Q871)*($G$7-$E$7)*($G$7-$F$7))))</f>
        <v>0.859273551741782</v>
      </c>
      <c r="D871" s="37" t="n">
        <f aca="false">1+IF($G$8=$E$8,$F$8,IF(R871&lt;($F$8-$E$8)/($G$8-$E$8),$E$8+SQRT(R871*($G$8-$E$8)*($F$8-$E$8)),$G$8-SQRT((1-R871)*($G$8-$E$8)*($G$8-$F$8))))</f>
        <v>0.996304082006622</v>
      </c>
      <c r="E871" s="37" t="n">
        <f aca="false">1+IF($G$9=$E$9,$F$9,IF(S871&lt;($F$9-$E$9)/($G$9-$E$9),$E$9+SQRT(S871*($G$9-$E$9)*($F$9-$E$9)),$G$9-SQRT((1-S871)*($G$9-$E$9)*($G$9-$F$9))))</f>
        <v>1.04794783282656</v>
      </c>
      <c r="F871" s="37" t="n">
        <f aca="false">1+IF($G$10=$E$10,$F$10,IF(T871&lt;($F$10-$E$10)/($G$10-$E$10),$E$10+SQRT(T871*($G$10-$E$10)*($F$10-$E$10)),$G$10-SQRT((1-T871)*($G$10-$E$10)*($G$10-$F$10))))</f>
        <v>1.10791878873387</v>
      </c>
      <c r="G871" s="38" t="n">
        <f aca="false">IF($G$11=$E$11,$F$11,IF(U871&lt;($F$11-$E$11)/($G$11-$E$11),$E$11+SQRT(U871*($G$11-$E$11)*($F$11-$E$11)),$G$11-SQRT((1-U871)*($G$11-$E$11)*($G$11-$F$11))))</f>
        <v>0.0932697916665739</v>
      </c>
      <c r="H871" s="39" t="n">
        <f aca="false">(('Business Case'!B11*$C871*'Business Case'!B12*$B871)-'Business Case'!B11*$C871*'Business Case'!B13*$D871-'Business Case'!B14*$E871)-MAX(0,(('Business Case'!B11*$C871*'Business Case'!B12*$B871)-'Business Case'!B11*$C871*'Business Case'!B13*$D871-'Business Case'!B14*$E871))*'Business Case'!$B$7-'Business Case'!$B$8*('Business Case'!B11*$C871*'Business Case'!B12*$B871)-'Business Case'!B15*$F871</f>
        <v>-2215837577.46774</v>
      </c>
      <c r="I871" s="39" t="n">
        <f aca="false">(('Business Case'!C11*$C871*'Business Case'!C12*$B871)-'Business Case'!C11*$C871*'Business Case'!C13*$D871-'Business Case'!C14*$E871)-MAX(0,(('Business Case'!C11*$C871*'Business Case'!C12*$B871)-'Business Case'!C11*$C871*'Business Case'!C13*$D871-'Business Case'!C14*$E871))*'Business Case'!$B$7-'Business Case'!$B$8*(('Business Case'!C11*$C871*'Business Case'!C12*$B871)-('Business Case'!B11*$C871*'Business Case'!B12*$B871))-'Business Case'!C15*$F871</f>
        <v>-26185066.0540959</v>
      </c>
      <c r="J871" s="39" t="n">
        <f aca="false">(('Business Case'!D11*$C871*'Business Case'!D12*$B871)-'Business Case'!D11*$C871*'Business Case'!D13*$D871-'Business Case'!D14*$E871)-MAX(0,(('Business Case'!D11*$C871*'Business Case'!D12*$B871)-'Business Case'!D11*$C871*'Business Case'!D13*$D871-'Business Case'!D14*$E871))*'Business Case'!$B$7-'Business Case'!$B$8*(('Business Case'!D11*$C871*'Business Case'!D12*$B871)-('Business Case'!C11*$C871*'Business Case'!C12*$B871))-'Business Case'!D15*$F871</f>
        <v>252837128.14541</v>
      </c>
      <c r="K871" s="39" t="n">
        <f aca="false">(('Business Case'!E11*$C871*'Business Case'!E12*$B871)-'Business Case'!E11*$C871*'Business Case'!E13*$D871-'Business Case'!E14*$E871)-MAX(0,(('Business Case'!E11*$C871*'Business Case'!E12*$B871)-'Business Case'!E11*$C871*'Business Case'!E13*$D871-'Business Case'!E14*$E871))*'Business Case'!$B$7-'Business Case'!$B$8*(('Business Case'!E11*$C871*'Business Case'!E12*$B871)-('Business Case'!D11*$C871*'Business Case'!D12*$B871))-'Business Case'!E15*$F871</f>
        <v>587255261.781609</v>
      </c>
      <c r="L871" s="39" t="n">
        <f aca="false">(('Business Case'!F11*$C871*'Business Case'!F12*$B871)-'Business Case'!F11*$C871*'Business Case'!F13*$D871-'Business Case'!F14*$E871)-MAX(0,(('Business Case'!F11*$C871*'Business Case'!F12*$B871)-'Business Case'!F11*$C871*'Business Case'!F13*$D871-'Business Case'!F14*$E871))*'Business Case'!$B$7-'Business Case'!$B$8*(('Business Case'!F11*$C871*'Business Case'!F12*$B871)-('Business Case'!E11*$C871*'Business Case'!E12*$B871))-'Business Case'!F15*$F871</f>
        <v>710527459.549629</v>
      </c>
      <c r="M871" s="39" t="n">
        <f aca="false">(('Business Case'!G11*$C871*'Business Case'!G12*$B871)-'Business Case'!G11*$C871*'Business Case'!G13*$D871-'Business Case'!G14*$E871)-MAX(0,(('Business Case'!G11*$C871*'Business Case'!G12*$B871)-'Business Case'!G11*$C871*'Business Case'!G13*$D871-'Business Case'!G14*$E871))*'Business Case'!$B$7-'Business Case'!$B$8*(('Business Case'!G11*$C871*'Business Case'!G12*$B871)-('Business Case'!F11*$C871*'Business Case'!F12*$B871))-'Business Case'!G15*$F871+'Business Case'!$B$8*('Business Case'!G11*$C871*'Business Case'!G12*$B871)</f>
        <v>876983857.907982</v>
      </c>
      <c r="N871" s="39" t="n">
        <f aca="false">IF(COUNT('Business Case'!B11:G11)=0,"",H871+NPV(G871,I871:M871))</f>
        <v>-519972301.334112</v>
      </c>
      <c r="P871" s="40" t="n">
        <f aca="true">RAND()</f>
        <v>0.909320995653883</v>
      </c>
      <c r="Q871" s="40" t="n">
        <f aca="true">RAND()</f>
        <v>0.0501907705155097</v>
      </c>
      <c r="R871" s="40" t="n">
        <f aca="true">RAND()</f>
        <v>0.329856616996309</v>
      </c>
      <c r="S871" s="40" t="n">
        <f aca="true">RAND()</f>
        <v>0.819371459503204</v>
      </c>
      <c r="T871" s="40" t="n">
        <f aca="true">RAND()</f>
        <v>0.830421010635242</v>
      </c>
      <c r="U871" s="40" t="n">
        <f aca="true">RAND()</f>
        <v>0.035638458475987</v>
      </c>
    </row>
    <row r="872" customFormat="false" ht="15" hidden="false" customHeight="false" outlineLevel="0" collapsed="false">
      <c r="A872" s="36" t="n">
        <v>792</v>
      </c>
      <c r="B872" s="37" t="n">
        <f aca="false">1+IF($G$6=$E$6,$F$6,IF(P872&lt;($F$6-$E$6)/($G$6-$E$6),$E$6+SQRT(P872*($G$6-$E$6)*($F$6-$E$6)),$G$6-SQRT((1-P872)*($G$6-$E$6)*($G$6-$F$6))))</f>
        <v>0.948711160055652</v>
      </c>
      <c r="C872" s="37" t="n">
        <f aca="false">1+IF($G$7=$E$7,$F$7,IF(Q872&lt;($F$7-$E$7)/($G$7-$E$7),$E$7+SQRT(Q872*($G$7-$E$7)*($F$7-$E$7)),$G$7-SQRT((1-Q872)*($G$7-$E$7)*($G$7-$F$7))))</f>
        <v>1.09115250589876</v>
      </c>
      <c r="D872" s="37" t="n">
        <f aca="false">1+IF($G$8=$E$8,$F$8,IF(R872&lt;($F$8-$E$8)/($G$8-$E$8),$E$8+SQRT(R872*($G$8-$E$8)*($F$8-$E$8)),$G$8-SQRT((1-R872)*($G$8-$E$8)*($G$8-$F$8))))</f>
        <v>1.01412119793927</v>
      </c>
      <c r="E872" s="37" t="n">
        <f aca="false">1+IF($G$9=$E$9,$F$9,IF(S872&lt;($F$9-$E$9)/($G$9-$E$9),$E$9+SQRT(S872*($G$9-$E$9)*($F$9-$E$9)),$G$9-SQRT((1-S872)*($G$9-$E$9)*($G$9-$F$9))))</f>
        <v>1.07325494072399</v>
      </c>
      <c r="F872" s="37" t="n">
        <f aca="false">1+IF($G$10=$E$10,$F$10,IF(T872&lt;($F$10-$E$10)/($G$10-$E$10),$E$10+SQRT(T872*($G$10-$E$10)*($F$10-$E$10)),$G$10-SQRT((1-T872)*($G$10-$E$10)*($G$10-$F$10))))</f>
        <v>1.07144444260982</v>
      </c>
      <c r="G872" s="38" t="n">
        <f aca="false">IF($G$11=$E$11,$F$11,IF(U872&lt;($F$11-$E$11)/($G$11-$E$11),$E$11+SQRT(U872*($G$11-$E$11)*($F$11-$E$11)),$G$11-SQRT((1-U872)*($G$11-$E$11)*($G$11-$F$11))))</f>
        <v>0.097228925729353</v>
      </c>
      <c r="H872" s="39" t="n">
        <f aca="false">(('Business Case'!B11*$C872*'Business Case'!B12*$B872)-'Business Case'!B11*$C872*'Business Case'!B13*$D872-'Business Case'!B14*$E872)-MAX(0,(('Business Case'!B11*$C872*'Business Case'!B12*$B872)-'Business Case'!B11*$C872*'Business Case'!B13*$D872-'Business Case'!B14*$E872))*'Business Case'!$B$7-'Business Case'!$B$8*('Business Case'!B11*$C872*'Business Case'!B12*$B872)-'Business Case'!B15*$F872</f>
        <v>-2142888885.21963</v>
      </c>
      <c r="I872" s="39" t="n">
        <f aca="false">(('Business Case'!C11*$C872*'Business Case'!C12*$B872)-'Business Case'!C11*$C872*'Business Case'!C13*$D872-'Business Case'!C14*$E872)-MAX(0,(('Business Case'!C11*$C872*'Business Case'!C12*$B872)-'Business Case'!C11*$C872*'Business Case'!C13*$D872-'Business Case'!C14*$E872))*'Business Case'!$B$7-'Business Case'!$B$8*(('Business Case'!C11*$C872*'Business Case'!C12*$B872)-('Business Case'!B11*$C872*'Business Case'!B12*$B872))-'Business Case'!C15*$F872</f>
        <v>-32002156.7944165</v>
      </c>
      <c r="J872" s="39" t="n">
        <f aca="false">(('Business Case'!D11*$C872*'Business Case'!D12*$B872)-'Business Case'!D11*$C872*'Business Case'!D13*$D872-'Business Case'!D14*$E872)-MAX(0,(('Business Case'!D11*$C872*'Business Case'!D12*$B872)-'Business Case'!D11*$C872*'Business Case'!D13*$D872-'Business Case'!D14*$E872))*'Business Case'!$B$7-'Business Case'!$B$8*(('Business Case'!D11*$C872*'Business Case'!D12*$B872)-('Business Case'!C11*$C872*'Business Case'!C12*$B872))-'Business Case'!D15*$F872</f>
        <v>249421158.176333</v>
      </c>
      <c r="K872" s="39" t="n">
        <f aca="false">(('Business Case'!E11*$C872*'Business Case'!E12*$B872)-'Business Case'!E11*$C872*'Business Case'!E13*$D872-'Business Case'!E14*$E872)-MAX(0,(('Business Case'!E11*$C872*'Business Case'!E12*$B872)-'Business Case'!E11*$C872*'Business Case'!E13*$D872-'Business Case'!E14*$E872))*'Business Case'!$B$7-'Business Case'!$B$8*(('Business Case'!E11*$C872*'Business Case'!E12*$B872)-('Business Case'!D11*$C872*'Business Case'!D12*$B872))-'Business Case'!E15*$F872</f>
        <v>584416695.277574</v>
      </c>
      <c r="L872" s="39" t="n">
        <f aca="false">(('Business Case'!F11*$C872*'Business Case'!F12*$B872)-'Business Case'!F11*$C872*'Business Case'!F13*$D872-'Business Case'!F14*$E872)-MAX(0,(('Business Case'!F11*$C872*'Business Case'!F12*$B872)-'Business Case'!F11*$C872*'Business Case'!F13*$D872-'Business Case'!F14*$E872))*'Business Case'!$B$7-'Business Case'!$B$8*(('Business Case'!F11*$C872*'Business Case'!F12*$B872)-('Business Case'!E11*$C872*'Business Case'!E12*$B872))-'Business Case'!F15*$F872</f>
        <v>714000583.556647</v>
      </c>
      <c r="M872" s="39" t="n">
        <f aca="false">(('Business Case'!G11*$C872*'Business Case'!G12*$B872)-'Business Case'!G11*$C872*'Business Case'!G13*$D872-'Business Case'!G14*$E872)-MAX(0,(('Business Case'!G11*$C872*'Business Case'!G12*$B872)-'Business Case'!G11*$C872*'Business Case'!G13*$D872-'Business Case'!G14*$E872))*'Business Case'!$B$7-'Business Case'!$B$8*(('Business Case'!G11*$C872*'Business Case'!G12*$B872)-('Business Case'!F11*$C872*'Business Case'!F12*$B872))-'Business Case'!G15*$F872+'Business Case'!$B$8*('Business Case'!G11*$C872*'Business Case'!G12*$B872)</f>
        <v>910769224.978501</v>
      </c>
      <c r="N872" s="39" t="n">
        <f aca="false">IF(COUNT('Business Case'!B11:G11)=0,"",H872+NPV(G872,I872:M872))</f>
        <v>-457152985.202788</v>
      </c>
      <c r="P872" s="40" t="n">
        <f aca="true">RAND()</f>
        <v>0.0858677824730502</v>
      </c>
      <c r="Q872" s="40" t="n">
        <f aca="true">RAND()</f>
        <v>0.934037570247708</v>
      </c>
      <c r="R872" s="40" t="n">
        <f aca="true">RAND()</f>
        <v>0.582690715292663</v>
      </c>
      <c r="S872" s="40" t="n">
        <f aca="true">RAND()</f>
        <v>0.952313453621523</v>
      </c>
      <c r="T872" s="40" t="n">
        <f aca="true">RAND()</f>
        <v>0.669469373281985</v>
      </c>
      <c r="U872" s="40" t="n">
        <f aca="true">RAND()</f>
        <v>0.174191224001674</v>
      </c>
    </row>
    <row r="873" customFormat="false" ht="15" hidden="false" customHeight="false" outlineLevel="0" collapsed="false">
      <c r="A873" s="36" t="n">
        <v>793</v>
      </c>
      <c r="B873" s="37" t="n">
        <f aca="false">1+IF($G$6=$E$6,$F$6,IF(P873&lt;($F$6-$E$6)/($G$6-$E$6),$E$6+SQRT(P873*($G$6-$E$6)*($F$6-$E$6)),$G$6-SQRT((1-P873)*($G$6-$E$6)*($G$6-$F$6))))</f>
        <v>0.950992344462612</v>
      </c>
      <c r="C873" s="37" t="n">
        <f aca="false">1+IF($G$7=$E$7,$F$7,IF(Q873&lt;($F$7-$E$7)/($G$7-$E$7),$E$7+SQRT(Q873*($G$7-$E$7)*($F$7-$E$7)),$G$7-SQRT((1-Q873)*($G$7-$E$7)*($G$7-$F$7))))</f>
        <v>1.00063191403543</v>
      </c>
      <c r="D873" s="37" t="n">
        <f aca="false">1+IF($G$8=$E$8,$F$8,IF(R873&lt;($F$8-$E$8)/($G$8-$E$8),$E$8+SQRT(R873*($G$8-$E$8)*($F$8-$E$8)),$G$8-SQRT((1-R873)*($G$8-$E$8)*($G$8-$F$8))))</f>
        <v>1.02300562015164</v>
      </c>
      <c r="E873" s="37" t="n">
        <f aca="false">1+IF($G$9=$E$9,$F$9,IF(S873&lt;($F$9-$E$9)/($G$9-$E$9),$E$9+SQRT(S873*($G$9-$E$9)*($F$9-$E$9)),$G$9-SQRT((1-S873)*($G$9-$E$9)*($G$9-$F$9))))</f>
        <v>1.07097714576082</v>
      </c>
      <c r="F873" s="37" t="n">
        <f aca="false">1+IF($G$10=$E$10,$F$10,IF(T873&lt;($F$10-$E$10)/($G$10-$E$10),$E$10+SQRT(T873*($G$10-$E$10)*($F$10-$E$10)),$G$10-SQRT((1-T873)*($G$10-$E$10)*($G$10-$F$10))))</f>
        <v>1.09310851069674</v>
      </c>
      <c r="G873" s="38" t="n">
        <f aca="false">IF($G$11=$E$11,$F$11,IF(U873&lt;($F$11-$E$11)/($G$11-$E$11),$E$11+SQRT(U873*($G$11-$E$11)*($F$11-$E$11)),$G$11-SQRT((1-U873)*($G$11-$E$11)*($G$11-$F$11))))</f>
        <v>0.102167003456115</v>
      </c>
      <c r="H873" s="39" t="n">
        <f aca="false">(('Business Case'!B11*$C873*'Business Case'!B12*$B873)-'Business Case'!B11*$C873*'Business Case'!B13*$D873-'Business Case'!B14*$E873)-MAX(0,(('Business Case'!B11*$C873*'Business Case'!B12*$B873)-'Business Case'!B11*$C873*'Business Case'!B13*$D873-'Business Case'!B14*$E873))*'Business Case'!$B$7-'Business Case'!$B$8*('Business Case'!B11*$C873*'Business Case'!B12*$B873)-'Business Case'!B15*$F873</f>
        <v>-2186217021.39348</v>
      </c>
      <c r="I873" s="39" t="n">
        <f aca="false">(('Business Case'!C11*$C873*'Business Case'!C12*$B873)-'Business Case'!C11*$C873*'Business Case'!C13*$D873-'Business Case'!C14*$E873)-MAX(0,(('Business Case'!C11*$C873*'Business Case'!C12*$B873)-'Business Case'!C11*$C873*'Business Case'!C13*$D873-'Business Case'!C14*$E873))*'Business Case'!$B$7-'Business Case'!$B$8*(('Business Case'!C11*$C873*'Business Case'!C12*$B873)-('Business Case'!B11*$C873*'Business Case'!B12*$B873))-'Business Case'!C15*$F873</f>
        <v>-55538946.7973423</v>
      </c>
      <c r="J873" s="39" t="n">
        <f aca="false">(('Business Case'!D11*$C873*'Business Case'!D12*$B873)-'Business Case'!D11*$C873*'Business Case'!D13*$D873-'Business Case'!D14*$E873)-MAX(0,(('Business Case'!D11*$C873*'Business Case'!D12*$B873)-'Business Case'!D11*$C873*'Business Case'!D13*$D873-'Business Case'!D14*$E873))*'Business Case'!$B$7-'Business Case'!$B$8*(('Business Case'!D11*$C873*'Business Case'!D12*$B873)-('Business Case'!C11*$C873*'Business Case'!C12*$B873))-'Business Case'!D15*$F873</f>
        <v>199856503.749177</v>
      </c>
      <c r="K873" s="39" t="n">
        <f aca="false">(('Business Case'!E11*$C873*'Business Case'!E12*$B873)-'Business Case'!E11*$C873*'Business Case'!E13*$D873-'Business Case'!E14*$E873)-MAX(0,(('Business Case'!E11*$C873*'Business Case'!E12*$B873)-'Business Case'!E11*$C873*'Business Case'!E13*$D873-'Business Case'!E14*$E873))*'Business Case'!$B$7-'Business Case'!$B$8*(('Business Case'!E11*$C873*'Business Case'!E12*$B873)-('Business Case'!D11*$C873*'Business Case'!D12*$B873))-'Business Case'!E15*$F873</f>
        <v>509907379.830533</v>
      </c>
      <c r="L873" s="39" t="n">
        <f aca="false">(('Business Case'!F11*$C873*'Business Case'!F12*$B873)-'Business Case'!F11*$C873*'Business Case'!F13*$D873-'Business Case'!F14*$E873)-MAX(0,(('Business Case'!F11*$C873*'Business Case'!F12*$B873)-'Business Case'!F11*$C873*'Business Case'!F13*$D873-'Business Case'!F14*$E873))*'Business Case'!$B$7-'Business Case'!$B$8*(('Business Case'!F11*$C873*'Business Case'!F12*$B873)-('Business Case'!E11*$C873*'Business Case'!E12*$B873))-'Business Case'!F15*$F873</f>
        <v>627926260.777372</v>
      </c>
      <c r="M873" s="39" t="n">
        <f aca="false">(('Business Case'!G11*$C873*'Business Case'!G12*$B873)-'Business Case'!G11*$C873*'Business Case'!G13*$D873-'Business Case'!G14*$E873)-MAX(0,(('Business Case'!G11*$C873*'Business Case'!G12*$B873)-'Business Case'!G11*$C873*'Business Case'!G13*$D873-'Business Case'!G14*$E873))*'Business Case'!$B$7-'Business Case'!$B$8*(('Business Case'!G11*$C873*'Business Case'!G12*$B873)-('Business Case'!F11*$C873*'Business Case'!F12*$B873))-'Business Case'!G15*$F873+'Business Case'!$B$8*('Business Case'!G11*$C873*'Business Case'!G12*$B873)</f>
        <v>808805113.316368</v>
      </c>
      <c r="N873" s="39" t="n">
        <f aca="false">IF(COUNT('Business Case'!B11:G11)=0,"",H873+NPV(G873,I873:M873))</f>
        <v>-768434381.911048</v>
      </c>
      <c r="P873" s="40" t="n">
        <f aca="true">RAND()</f>
        <v>0.100054730759292</v>
      </c>
      <c r="Q873" s="40" t="n">
        <f aca="true">RAND()</f>
        <v>0.57503190276724</v>
      </c>
      <c r="R873" s="40" t="n">
        <f aca="true">RAND()</f>
        <v>0.687657756317381</v>
      </c>
      <c r="S873" s="40" t="n">
        <f aca="true">RAND()</f>
        <v>0.943844928787407</v>
      </c>
      <c r="T873" s="40" t="n">
        <f aca="true">RAND()</f>
        <v>0.771484190290629</v>
      </c>
      <c r="U873" s="40" t="n">
        <f aca="true">RAND()</f>
        <v>0.469973723776295</v>
      </c>
    </row>
    <row r="874" customFormat="false" ht="15" hidden="false" customHeight="false" outlineLevel="0" collapsed="false">
      <c r="A874" s="36" t="n">
        <v>794</v>
      </c>
      <c r="B874" s="37" t="n">
        <f aca="false">1+IF($G$6=$E$6,$F$6,IF(P874&lt;($F$6-$E$6)/($G$6-$E$6),$E$6+SQRT(P874*($G$6-$E$6)*($F$6-$E$6)),$G$6-SQRT((1-P874)*($G$6-$E$6)*($G$6-$F$6))))</f>
        <v>0.989228357670338</v>
      </c>
      <c r="C874" s="37" t="n">
        <f aca="false">1+IF($G$7=$E$7,$F$7,IF(Q874&lt;($F$7-$E$7)/($G$7-$E$7),$E$7+SQRT(Q874*($G$7-$E$7)*($F$7-$E$7)),$G$7-SQRT((1-Q874)*($G$7-$E$7)*($G$7-$F$7))))</f>
        <v>0.997836397348787</v>
      </c>
      <c r="D874" s="37" t="n">
        <f aca="false">1+IF($G$8=$E$8,$F$8,IF(R874&lt;($F$8-$E$8)/($G$8-$E$8),$E$8+SQRT(R874*($G$8-$E$8)*($F$8-$E$8)),$G$8-SQRT((1-R874)*($G$8-$E$8)*($G$8-$F$8))))</f>
        <v>0.981695881620707</v>
      </c>
      <c r="E874" s="37" t="n">
        <f aca="false">1+IF($G$9=$E$9,$F$9,IF(S874&lt;($F$9-$E$9)/($G$9-$E$9),$E$9+SQRT(S874*($G$9-$E$9)*($F$9-$E$9)),$G$9-SQRT((1-S874)*($G$9-$E$9)*($G$9-$F$9))))</f>
        <v>1.00830791560513</v>
      </c>
      <c r="F874" s="37" t="n">
        <f aca="false">1+IF($G$10=$E$10,$F$10,IF(T874&lt;($F$10-$E$10)/($G$10-$E$10),$E$10+SQRT(T874*($G$10-$E$10)*($F$10-$E$10)),$G$10-SQRT((1-T874)*($G$10-$E$10)*($G$10-$F$10))))</f>
        <v>1.04711003619997</v>
      </c>
      <c r="G874" s="38" t="n">
        <f aca="false">IF($G$11=$E$11,$F$11,IF(U874&lt;($F$11-$E$11)/($G$11-$E$11),$E$11+SQRT(U874*($G$11-$E$11)*($F$11-$E$11)),$G$11-SQRT((1-U874)*($G$11-$E$11)*($G$11-$F$11))))</f>
        <v>0.117068207799669</v>
      </c>
      <c r="H874" s="39" t="n">
        <f aca="false">(('Business Case'!B11*$C874*'Business Case'!B12*$B874)-'Business Case'!B11*$C874*'Business Case'!B13*$D874-'Business Case'!B14*$E874)-MAX(0,(('Business Case'!B11*$C874*'Business Case'!B12*$B874)-'Business Case'!B11*$C874*'Business Case'!B13*$D874-'Business Case'!B14*$E874))*'Business Case'!$B$7-'Business Case'!$B$8*('Business Case'!B11*$C874*'Business Case'!B12*$B874)-'Business Case'!B15*$F874</f>
        <v>-2094220072.39993</v>
      </c>
      <c r="I874" s="39" t="n">
        <f aca="false">(('Business Case'!C11*$C874*'Business Case'!C12*$B874)-'Business Case'!C11*$C874*'Business Case'!C13*$D874-'Business Case'!C14*$E874)-MAX(0,(('Business Case'!C11*$C874*'Business Case'!C12*$B874)-'Business Case'!C11*$C874*'Business Case'!C13*$D874-'Business Case'!C14*$E874))*'Business Case'!$B$7-'Business Case'!$B$8*(('Business Case'!C11*$C874*'Business Case'!C12*$B874)-('Business Case'!B11*$C874*'Business Case'!B12*$B874))-'Business Case'!C15*$F874</f>
        <v>7770719.93508698</v>
      </c>
      <c r="J874" s="39" t="n">
        <f aca="false">(('Business Case'!D11*$C874*'Business Case'!D12*$B874)-'Business Case'!D11*$C874*'Business Case'!D13*$D874-'Business Case'!D14*$E874)-MAX(0,(('Business Case'!D11*$C874*'Business Case'!D12*$B874)-'Business Case'!D11*$C874*'Business Case'!D13*$D874-'Business Case'!D14*$E874))*'Business Case'!$B$7-'Business Case'!$B$8*(('Business Case'!D11*$C874*'Business Case'!D12*$B874)-('Business Case'!C11*$C874*'Business Case'!C12*$B874))-'Business Case'!D15*$F874</f>
        <v>314804474.149326</v>
      </c>
      <c r="K874" s="39" t="n">
        <f aca="false">(('Business Case'!E11*$C874*'Business Case'!E12*$B874)-'Business Case'!E11*$C874*'Business Case'!E13*$D874-'Business Case'!E14*$E874)-MAX(0,(('Business Case'!E11*$C874*'Business Case'!E12*$B874)-'Business Case'!E11*$C874*'Business Case'!E13*$D874-'Business Case'!E14*$E874))*'Business Case'!$B$7-'Business Case'!$B$8*(('Business Case'!E11*$C874*'Business Case'!E12*$B874)-('Business Case'!D11*$C874*'Business Case'!D12*$B874))-'Business Case'!E15*$F874</f>
        <v>674193730.173564</v>
      </c>
      <c r="L874" s="39" t="n">
        <f aca="false">(('Business Case'!F11*$C874*'Business Case'!F12*$B874)-'Business Case'!F11*$C874*'Business Case'!F13*$D874-'Business Case'!F14*$E874)-MAX(0,(('Business Case'!F11*$C874*'Business Case'!F12*$B874)-'Business Case'!F11*$C874*'Business Case'!F13*$D874-'Business Case'!F14*$E874))*'Business Case'!$B$7-'Business Case'!$B$8*(('Business Case'!F11*$C874*'Business Case'!F12*$B874)-('Business Case'!E11*$C874*'Business Case'!E12*$B874))-'Business Case'!F15*$F874</f>
        <v>810652078.285047</v>
      </c>
      <c r="M874" s="39" t="n">
        <f aca="false">(('Business Case'!G11*$C874*'Business Case'!G12*$B874)-'Business Case'!G11*$C874*'Business Case'!G13*$D874-'Business Case'!G14*$E874)-MAX(0,(('Business Case'!G11*$C874*'Business Case'!G12*$B874)-'Business Case'!G11*$C874*'Business Case'!G13*$D874-'Business Case'!G14*$E874))*'Business Case'!$B$7-'Business Case'!$B$8*(('Business Case'!G11*$C874*'Business Case'!G12*$B874)-('Business Case'!F11*$C874*'Business Case'!F12*$B874))-'Business Case'!G15*$F874+'Business Case'!$B$8*('Business Case'!G11*$C874*'Business Case'!G12*$B874)</f>
        <v>998277776.838768</v>
      </c>
      <c r="N874" s="39" t="n">
        <f aca="false">IF(COUNT('Business Case'!B11:G11)=0,"",H874+NPV(G874,I874:M874))</f>
        <v>-256782434.381621</v>
      </c>
      <c r="P874" s="40" t="n">
        <f aca="true">RAND()</f>
        <v>0.499225573513778</v>
      </c>
      <c r="Q874" s="40" t="n">
        <f aca="true">RAND()</f>
        <v>0.559132001656386</v>
      </c>
      <c r="R874" s="40" t="n">
        <f aca="true">RAND()</f>
        <v>0.154558294109825</v>
      </c>
      <c r="S874" s="40" t="n">
        <f aca="true">RAND()</f>
        <v>0.439504110621635</v>
      </c>
      <c r="T874" s="40" t="n">
        <f aca="true">RAND()</f>
        <v>0.532493179384491</v>
      </c>
      <c r="U874" s="40" t="n">
        <f aca="true">RAND()</f>
        <v>0.985674324156794</v>
      </c>
    </row>
    <row r="875" customFormat="false" ht="15" hidden="false" customHeight="false" outlineLevel="0" collapsed="false">
      <c r="A875" s="36" t="n">
        <v>795</v>
      </c>
      <c r="B875" s="37" t="n">
        <f aca="false">1+IF($G$6=$E$6,$F$6,IF(P875&lt;($F$6-$E$6)/($G$6-$E$6),$E$6+SQRT(P875*($G$6-$E$6)*($F$6-$E$6)),$G$6-SQRT((1-P875)*($G$6-$E$6)*($G$6-$F$6))))</f>
        <v>1.01330622967716</v>
      </c>
      <c r="C875" s="37" t="n">
        <f aca="false">1+IF($G$7=$E$7,$F$7,IF(Q875&lt;($F$7-$E$7)/($G$7-$E$7),$E$7+SQRT(Q875*($G$7-$E$7)*($F$7-$E$7)),$G$7-SQRT((1-Q875)*($G$7-$E$7)*($G$7-$F$7))))</f>
        <v>0.900488210672549</v>
      </c>
      <c r="D875" s="37" t="n">
        <f aca="false">1+IF($G$8=$E$8,$F$8,IF(R875&lt;($F$8-$E$8)/($G$8-$E$8),$E$8+SQRT(R875*($G$8-$E$8)*($F$8-$E$8)),$G$8-SQRT((1-R875)*($G$8-$E$8)*($G$8-$F$8))))</f>
        <v>1.02106391350229</v>
      </c>
      <c r="E875" s="37" t="n">
        <f aca="false">1+IF($G$9=$E$9,$F$9,IF(S875&lt;($F$9-$E$9)/($G$9-$E$9),$E$9+SQRT(S875*($G$9-$E$9)*($F$9-$E$9)),$G$9-SQRT((1-S875)*($G$9-$E$9)*($G$9-$F$9))))</f>
        <v>0.995217568490846</v>
      </c>
      <c r="F875" s="37" t="n">
        <f aca="false">1+IF($G$10=$E$10,$F$10,IF(T875&lt;($F$10-$E$10)/($G$10-$E$10),$E$10+SQRT(T875*($G$10-$E$10)*($F$10-$E$10)),$G$10-SQRT((1-T875)*($G$10-$E$10)*($G$10-$F$10))))</f>
        <v>1.08670221871454</v>
      </c>
      <c r="G875" s="38" t="n">
        <f aca="false">IF($G$11=$E$11,$F$11,IF(U875&lt;($F$11-$E$11)/($G$11-$E$11),$E$11+SQRT(U875*($G$11-$E$11)*($F$11-$E$11)),$G$11-SQRT((1-U875)*($G$11-$E$11)*($G$11-$F$11))))</f>
        <v>0.105155339892665</v>
      </c>
      <c r="H875" s="39" t="n">
        <f aca="false">(('Business Case'!B11*$C875*'Business Case'!B12*$B875)-'Business Case'!B11*$C875*'Business Case'!B13*$D875-'Business Case'!B14*$E875)-MAX(0,(('Business Case'!B11*$C875*'Business Case'!B12*$B875)-'Business Case'!B11*$C875*'Business Case'!B13*$D875-'Business Case'!B14*$E875))*'Business Case'!$B$7-'Business Case'!$B$8*('Business Case'!B11*$C875*'Business Case'!B12*$B875)-'Business Case'!B15*$F875</f>
        <v>-2173404437.42908</v>
      </c>
      <c r="I875" s="39" t="n">
        <f aca="false">(('Business Case'!C11*$C875*'Business Case'!C12*$B875)-'Business Case'!C11*$C875*'Business Case'!C13*$D875-'Business Case'!C14*$E875)-MAX(0,(('Business Case'!C11*$C875*'Business Case'!C12*$B875)-'Business Case'!C11*$C875*'Business Case'!C13*$D875-'Business Case'!C14*$E875))*'Business Case'!$B$7-'Business Case'!$B$8*(('Business Case'!C11*$C875*'Business Case'!C12*$B875)-('Business Case'!B11*$C875*'Business Case'!B12*$B875))-'Business Case'!C15*$F875</f>
        <v>-20801660.3895657</v>
      </c>
      <c r="J875" s="39" t="n">
        <f aca="false">(('Business Case'!D11*$C875*'Business Case'!D12*$B875)-'Business Case'!D11*$C875*'Business Case'!D13*$D875-'Business Case'!D14*$E875)-MAX(0,(('Business Case'!D11*$C875*'Business Case'!D12*$B875)-'Business Case'!D11*$C875*'Business Case'!D13*$D875-'Business Case'!D14*$E875))*'Business Case'!$B$7-'Business Case'!$B$8*(('Business Case'!D11*$C875*'Business Case'!D12*$B875)-('Business Case'!C11*$C875*'Business Case'!C12*$B875))-'Business Case'!D15*$F875</f>
        <v>255889300.390058</v>
      </c>
      <c r="K875" s="39" t="n">
        <f aca="false">(('Business Case'!E11*$C875*'Business Case'!E12*$B875)-'Business Case'!E11*$C875*'Business Case'!E13*$D875-'Business Case'!E14*$E875)-MAX(0,(('Business Case'!E11*$C875*'Business Case'!E12*$B875)-'Business Case'!E11*$C875*'Business Case'!E13*$D875-'Business Case'!E14*$E875))*'Business Case'!$B$7-'Business Case'!$B$8*(('Business Case'!E11*$C875*'Business Case'!E12*$B875)-('Business Case'!D11*$C875*'Business Case'!D12*$B875))-'Business Case'!E15*$F875</f>
        <v>586915372.105409</v>
      </c>
      <c r="L875" s="39" t="n">
        <f aca="false">(('Business Case'!F11*$C875*'Business Case'!F12*$B875)-'Business Case'!F11*$C875*'Business Case'!F13*$D875-'Business Case'!F14*$E875)-MAX(0,(('Business Case'!F11*$C875*'Business Case'!F12*$B875)-'Business Case'!F11*$C875*'Business Case'!F13*$D875-'Business Case'!F14*$E875))*'Business Case'!$B$7-'Business Case'!$B$8*(('Business Case'!F11*$C875*'Business Case'!F12*$B875)-('Business Case'!E11*$C875*'Business Case'!E12*$B875))-'Business Case'!F15*$F875</f>
        <v>710680666.404175</v>
      </c>
      <c r="M875" s="39" t="n">
        <f aca="false">(('Business Case'!G11*$C875*'Business Case'!G12*$B875)-'Business Case'!G11*$C875*'Business Case'!G13*$D875-'Business Case'!G14*$E875)-MAX(0,(('Business Case'!G11*$C875*'Business Case'!G12*$B875)-'Business Case'!G11*$C875*'Business Case'!G13*$D875-'Business Case'!G14*$E875))*'Business Case'!$B$7-'Business Case'!$B$8*(('Business Case'!G11*$C875*'Business Case'!G12*$B875)-('Business Case'!F11*$C875*'Business Case'!F12*$B875))-'Business Case'!G15*$F875+'Business Case'!$B$8*('Business Case'!G11*$C875*'Business Case'!G12*$B875)</f>
        <v>884123023.618078</v>
      </c>
      <c r="N875" s="39" t="n">
        <f aca="false">IF(COUNT('Business Case'!B11:G11)=0,"",H875+NPV(G875,I875:M875))</f>
        <v>-535204614.696382</v>
      </c>
      <c r="P875" s="40" t="n">
        <f aca="true">RAND()</f>
        <v>0.851550547073201</v>
      </c>
      <c r="Q875" s="40" t="n">
        <f aca="true">RAND()</f>
        <v>0.144255435488152</v>
      </c>
      <c r="R875" s="40" t="n">
        <f aca="true">RAND()</f>
        <v>0.666013241186053</v>
      </c>
      <c r="S875" s="40" t="n">
        <f aca="true">RAND()</f>
        <v>0.272617133363242</v>
      </c>
      <c r="T875" s="40" t="n">
        <f aca="true">RAND()</f>
        <v>0.743272255115846</v>
      </c>
      <c r="U875" s="40" t="n">
        <f aca="true">RAND()</f>
        <v>0.632726777162843</v>
      </c>
    </row>
    <row r="876" customFormat="false" ht="15" hidden="false" customHeight="false" outlineLevel="0" collapsed="false">
      <c r="A876" s="36" t="n">
        <v>796</v>
      </c>
      <c r="B876" s="37" t="n">
        <f aca="false">1+IF($G$6=$E$6,$F$6,IF(P876&lt;($F$6-$E$6)/($G$6-$E$6),$E$6+SQRT(P876*($G$6-$E$6)*($F$6-$E$6)),$G$6-SQRT((1-P876)*($G$6-$E$6)*($G$6-$F$6))))</f>
        <v>1.00566696542744</v>
      </c>
      <c r="C876" s="37" t="n">
        <f aca="false">1+IF($G$7=$E$7,$F$7,IF(Q876&lt;($F$7-$E$7)/($G$7-$E$7),$E$7+SQRT(Q876*($G$7-$E$7)*($F$7-$E$7)),$G$7-SQRT((1-Q876)*($G$7-$E$7)*($G$7-$F$7))))</f>
        <v>0.982572162579128</v>
      </c>
      <c r="D876" s="37" t="n">
        <f aca="false">1+IF($G$8=$E$8,$F$8,IF(R876&lt;($F$8-$E$8)/($G$8-$E$8),$E$8+SQRT(R876*($G$8-$E$8)*($F$8-$E$8)),$G$8-SQRT((1-R876)*($G$8-$E$8)*($G$8-$F$8))))</f>
        <v>1.0162874040962</v>
      </c>
      <c r="E876" s="37" t="n">
        <f aca="false">1+IF($G$9=$E$9,$F$9,IF(S876&lt;($F$9-$E$9)/($G$9-$E$9),$E$9+SQRT(S876*($G$9-$E$9)*($F$9-$E$9)),$G$9-SQRT((1-S876)*($G$9-$E$9)*($G$9-$F$9))))</f>
        <v>1.04402319342479</v>
      </c>
      <c r="F876" s="37" t="n">
        <f aca="false">1+IF($G$10=$E$10,$F$10,IF(T876&lt;($F$10-$E$10)/($G$10-$E$10),$E$10+SQRT(T876*($G$10-$E$10)*($F$10-$E$10)),$G$10-SQRT((1-T876)*($G$10-$E$10)*($G$10-$F$10))))</f>
        <v>1.1415349345413</v>
      </c>
      <c r="G876" s="38" t="n">
        <f aca="false">IF($G$11=$E$11,$F$11,IF(U876&lt;($F$11-$E$11)/($G$11-$E$11),$E$11+SQRT(U876*($G$11-$E$11)*($F$11-$E$11)),$G$11-SQRT((1-U876)*($G$11-$E$11)*($G$11-$F$11))))</f>
        <v>0.098922711748612</v>
      </c>
      <c r="H876" s="39" t="n">
        <f aca="false">(('Business Case'!B11*$C876*'Business Case'!B12*$B876)-'Business Case'!B11*$C876*'Business Case'!B13*$D876-'Business Case'!B14*$E876)-MAX(0,(('Business Case'!B11*$C876*'Business Case'!B12*$B876)-'Business Case'!B11*$C876*'Business Case'!B13*$D876-'Business Case'!B14*$E876))*'Business Case'!$B$7-'Business Case'!$B$8*('Business Case'!B11*$C876*'Business Case'!B12*$B876)-'Business Case'!B15*$F876</f>
        <v>-2283069869.08261</v>
      </c>
      <c r="I876" s="39" t="n">
        <f aca="false">(('Business Case'!C11*$C876*'Business Case'!C12*$B876)-'Business Case'!C11*$C876*'Business Case'!C13*$D876-'Business Case'!C14*$E876)-MAX(0,(('Business Case'!C11*$C876*'Business Case'!C12*$B876)-'Business Case'!C11*$C876*'Business Case'!C13*$D876-'Business Case'!C14*$E876))*'Business Case'!$B$7-'Business Case'!$B$8*(('Business Case'!C11*$C876*'Business Case'!C12*$B876)-('Business Case'!B11*$C876*'Business Case'!B12*$B876))-'Business Case'!C15*$F876</f>
        <v>-15671561.7124007</v>
      </c>
      <c r="J876" s="39" t="n">
        <f aca="false">(('Business Case'!D11*$C876*'Business Case'!D12*$B876)-'Business Case'!D11*$C876*'Business Case'!D13*$D876-'Business Case'!D14*$E876)-MAX(0,(('Business Case'!D11*$C876*'Business Case'!D12*$B876)-'Business Case'!D11*$C876*'Business Case'!D13*$D876-'Business Case'!D14*$E876))*'Business Case'!$B$7-'Business Case'!$B$8*(('Business Case'!D11*$C876*'Business Case'!D12*$B876)-('Business Case'!C11*$C876*'Business Case'!C12*$B876))-'Business Case'!D15*$F876</f>
        <v>282495664.658756</v>
      </c>
      <c r="K876" s="39" t="n">
        <f aca="false">(('Business Case'!E11*$C876*'Business Case'!E12*$B876)-'Business Case'!E11*$C876*'Business Case'!E13*$D876-'Business Case'!E14*$E876)-MAX(0,(('Business Case'!E11*$C876*'Business Case'!E12*$B876)-'Business Case'!E11*$C876*'Business Case'!E13*$D876-'Business Case'!E14*$E876))*'Business Case'!$B$7-'Business Case'!$B$8*(('Business Case'!E11*$C876*'Business Case'!E12*$B876)-('Business Case'!D11*$C876*'Business Case'!D12*$B876))-'Business Case'!E15*$F876</f>
        <v>637739637.756978</v>
      </c>
      <c r="L876" s="39" t="n">
        <f aca="false">(('Business Case'!F11*$C876*'Business Case'!F12*$B876)-'Business Case'!F11*$C876*'Business Case'!F13*$D876-'Business Case'!F14*$E876)-MAX(0,(('Business Case'!F11*$C876*'Business Case'!F12*$B876)-'Business Case'!F11*$C876*'Business Case'!F13*$D876-'Business Case'!F14*$E876))*'Business Case'!$B$7-'Business Case'!$B$8*(('Business Case'!F11*$C876*'Business Case'!F12*$B876)-('Business Case'!E11*$C876*'Business Case'!E12*$B876))-'Business Case'!F15*$F876</f>
        <v>771278844.230312</v>
      </c>
      <c r="M876" s="39" t="n">
        <f aca="false">(('Business Case'!G11*$C876*'Business Case'!G12*$B876)-'Business Case'!G11*$C876*'Business Case'!G13*$D876-'Business Case'!G14*$E876)-MAX(0,(('Business Case'!G11*$C876*'Business Case'!G12*$B876)-'Business Case'!G11*$C876*'Business Case'!G13*$D876-'Business Case'!G14*$E876))*'Business Case'!$B$7-'Business Case'!$B$8*(('Business Case'!G11*$C876*'Business Case'!G12*$B876)-('Business Case'!F11*$C876*'Business Case'!F12*$B876))-'Business Case'!G15*$F876+'Business Case'!$B$8*('Business Case'!G11*$C876*'Business Case'!G12*$B876)</f>
        <v>959104564.819858</v>
      </c>
      <c r="N876" s="39" t="n">
        <f aca="false">IF(COUNT('Business Case'!B11:G11)=0,"",H876+NPV(G876,I876:M876))</f>
        <v>-455535724.577291</v>
      </c>
      <c r="P876" s="40" t="n">
        <f aca="true">RAND()</f>
        <v>0.754425570216596</v>
      </c>
      <c r="Q876" s="40" t="n">
        <f aca="true">RAND()</f>
        <v>0.476179922125996</v>
      </c>
      <c r="R876" s="40" t="n">
        <f aca="true">RAND()</f>
        <v>0.609683184923004</v>
      </c>
      <c r="S876" s="40" t="n">
        <f aca="true">RAND()</f>
        <v>0.791106475042779</v>
      </c>
      <c r="T876" s="40" t="n">
        <f aca="true">RAND()</f>
        <v>0.931636722418208</v>
      </c>
      <c r="U876" s="40" t="n">
        <f aca="true">RAND()</f>
        <v>0.265382616496064</v>
      </c>
    </row>
    <row r="877" customFormat="false" ht="15" hidden="false" customHeight="false" outlineLevel="0" collapsed="false">
      <c r="A877" s="36" t="n">
        <v>797</v>
      </c>
      <c r="B877" s="37" t="n">
        <f aca="false">1+IF($G$6=$E$6,$F$6,IF(P877&lt;($F$6-$E$6)/($G$6-$E$6),$E$6+SQRT(P877*($G$6-$E$6)*($F$6-$E$6)),$G$6-SQRT((1-P877)*($G$6-$E$6)*($G$6-$F$6))))</f>
        <v>0.976830718299637</v>
      </c>
      <c r="C877" s="37" t="n">
        <f aca="false">1+IF($G$7=$E$7,$F$7,IF(Q877&lt;($F$7-$E$7)/($G$7-$E$7),$E$7+SQRT(Q877*($G$7-$E$7)*($F$7-$E$7)),$G$7-SQRT((1-Q877)*($G$7-$E$7)*($G$7-$F$7))))</f>
        <v>1.04841548879042</v>
      </c>
      <c r="D877" s="37" t="n">
        <f aca="false">1+IF($G$8=$E$8,$F$8,IF(R877&lt;($F$8-$E$8)/($G$8-$E$8),$E$8+SQRT(R877*($G$8-$E$8)*($F$8-$E$8)),$G$8-SQRT((1-R877)*($G$8-$E$8)*($G$8-$F$8))))</f>
        <v>1.04131733972796</v>
      </c>
      <c r="E877" s="37" t="n">
        <f aca="false">1+IF($G$9=$E$9,$F$9,IF(S877&lt;($F$9-$E$9)/($G$9-$E$9),$E$9+SQRT(S877*($G$9-$E$9)*($F$9-$E$9)),$G$9-SQRT((1-S877)*($G$9-$E$9)*($G$9-$F$9))))</f>
        <v>1.0127312613528</v>
      </c>
      <c r="F877" s="37" t="n">
        <f aca="false">1+IF($G$10=$E$10,$F$10,IF(T877&lt;($F$10-$E$10)/($G$10-$E$10),$E$10+SQRT(T877*($G$10-$E$10)*($F$10-$E$10)),$G$10-SQRT((1-T877)*($G$10-$E$10)*($G$10-$F$10))))</f>
        <v>1.06481781540733</v>
      </c>
      <c r="G877" s="38" t="n">
        <f aca="false">IF($G$11=$E$11,$F$11,IF(U877&lt;($F$11-$E$11)/($G$11-$E$11),$E$11+SQRT(U877*($G$11-$E$11)*($F$11-$E$11)),$G$11-SQRT((1-U877)*($G$11-$E$11)*($G$11-$F$11))))</f>
        <v>0.100769614873952</v>
      </c>
      <c r="H877" s="39" t="n">
        <f aca="false">(('Business Case'!B11*$C877*'Business Case'!B12*$B877)-'Business Case'!B11*$C877*'Business Case'!B13*$D877-'Business Case'!B14*$E877)-MAX(0,(('Business Case'!B11*$C877*'Business Case'!B12*$B877)-'Business Case'!B11*$C877*'Business Case'!B13*$D877-'Business Case'!B14*$E877))*'Business Case'!$B$7-'Business Case'!$B$8*('Business Case'!B11*$C877*'Business Case'!B12*$B877)-'Business Case'!B15*$F877</f>
        <v>-2129635630.81466</v>
      </c>
      <c r="I877" s="39" t="n">
        <f aca="false">(('Business Case'!C11*$C877*'Business Case'!C12*$B877)-'Business Case'!C11*$C877*'Business Case'!C13*$D877-'Business Case'!C14*$E877)-MAX(0,(('Business Case'!C11*$C877*'Business Case'!C12*$B877)-'Business Case'!C11*$C877*'Business Case'!C13*$D877-'Business Case'!C14*$E877))*'Business Case'!$B$7-'Business Case'!$B$8*(('Business Case'!C11*$C877*'Business Case'!C12*$B877)-('Business Case'!B11*$C877*'Business Case'!B12*$B877))-'Business Case'!C15*$F877</f>
        <v>-23631186.9857765</v>
      </c>
      <c r="J877" s="39" t="n">
        <f aca="false">(('Business Case'!D11*$C877*'Business Case'!D12*$B877)-'Business Case'!D11*$C877*'Business Case'!D13*$D877-'Business Case'!D14*$E877)-MAX(0,(('Business Case'!D11*$C877*'Business Case'!D12*$B877)-'Business Case'!D11*$C877*'Business Case'!D13*$D877-'Business Case'!D14*$E877))*'Business Case'!$B$7-'Business Case'!$B$8*(('Business Case'!D11*$C877*'Business Case'!D12*$B877)-('Business Case'!C11*$C877*'Business Case'!C12*$B877))-'Business Case'!D15*$F877</f>
        <v>256320404.680314</v>
      </c>
      <c r="K877" s="39" t="n">
        <f aca="false">(('Business Case'!E11*$C877*'Business Case'!E12*$B877)-'Business Case'!E11*$C877*'Business Case'!E13*$D877-'Business Case'!E14*$E877)-MAX(0,(('Business Case'!E11*$C877*'Business Case'!E12*$B877)-'Business Case'!E11*$C877*'Business Case'!E13*$D877-'Business Case'!E14*$E877))*'Business Case'!$B$7-'Business Case'!$B$8*(('Business Case'!E11*$C877*'Business Case'!E12*$B877)-('Business Case'!D11*$C877*'Business Case'!D12*$B877))-'Business Case'!E15*$F877</f>
        <v>589512887.116771</v>
      </c>
      <c r="L877" s="39" t="n">
        <f aca="false">(('Business Case'!F11*$C877*'Business Case'!F12*$B877)-'Business Case'!F11*$C877*'Business Case'!F13*$D877-'Business Case'!F14*$E877)-MAX(0,(('Business Case'!F11*$C877*'Business Case'!F12*$B877)-'Business Case'!F11*$C877*'Business Case'!F13*$D877-'Business Case'!F14*$E877))*'Business Case'!$B$7-'Business Case'!$B$8*(('Business Case'!F11*$C877*'Business Case'!F12*$B877)-('Business Case'!E11*$C877*'Business Case'!E12*$B877))-'Business Case'!F15*$F877</f>
        <v>718223825.503311</v>
      </c>
      <c r="M877" s="39" t="n">
        <f aca="false">(('Business Case'!G11*$C877*'Business Case'!G12*$B877)-'Business Case'!G11*$C877*'Business Case'!G13*$D877-'Business Case'!G14*$E877)-MAX(0,(('Business Case'!G11*$C877*'Business Case'!G12*$B877)-'Business Case'!G11*$C877*'Business Case'!G13*$D877-'Business Case'!G14*$E877))*'Business Case'!$B$7-'Business Case'!$B$8*(('Business Case'!G11*$C877*'Business Case'!G12*$B877)-('Business Case'!F11*$C877*'Business Case'!F12*$B877))-'Business Case'!G15*$F877+'Business Case'!$B$8*('Business Case'!G11*$C877*'Business Case'!G12*$B877)</f>
        <v>912889401.908117</v>
      </c>
      <c r="N877" s="39" t="n">
        <f aca="false">IF(COUNT('Business Case'!B11:G11)=0,"",H877+NPV(G877,I877:M877))</f>
        <v>-443543368.847642</v>
      </c>
      <c r="P877" s="40" t="n">
        <f aca="true">RAND()</f>
        <v>0.336430264838824</v>
      </c>
      <c r="Q877" s="40" t="n">
        <f aca="true">RAND()</f>
        <v>0.803439753948781</v>
      </c>
      <c r="R877" s="40" t="n">
        <f aca="true">RAND()</f>
        <v>0.85612036483441</v>
      </c>
      <c r="S877" s="40" t="n">
        <f aca="true">RAND()</f>
        <v>0.492277816995161</v>
      </c>
      <c r="T877" s="40" t="n">
        <f aca="true">RAND()</f>
        <v>0.63451553937507</v>
      </c>
      <c r="U877" s="40" t="n">
        <f aca="true">RAND()</f>
        <v>0.383653813173115</v>
      </c>
    </row>
    <row r="878" customFormat="false" ht="15" hidden="false" customHeight="false" outlineLevel="0" collapsed="false">
      <c r="A878" s="36" t="n">
        <v>798</v>
      </c>
      <c r="B878" s="37" t="n">
        <f aca="false">1+IF($G$6=$E$6,$F$6,IF(P878&lt;($F$6-$E$6)/($G$6-$E$6),$E$6+SQRT(P878*($G$6-$E$6)*($F$6-$E$6)),$G$6-SQRT((1-P878)*($G$6-$E$6)*($G$6-$F$6))))</f>
        <v>0.993052803840729</v>
      </c>
      <c r="C878" s="37" t="n">
        <f aca="false">1+IF($G$7=$E$7,$F$7,IF(Q878&lt;($F$7-$E$7)/($G$7-$E$7),$E$7+SQRT(Q878*($G$7-$E$7)*($F$7-$E$7)),$G$7-SQRT((1-Q878)*($G$7-$E$7)*($G$7-$F$7))))</f>
        <v>0.869228305128817</v>
      </c>
      <c r="D878" s="37" t="n">
        <f aca="false">1+IF($G$8=$E$8,$F$8,IF(R878&lt;($F$8-$E$8)/($G$8-$E$8),$E$8+SQRT(R878*($G$8-$E$8)*($F$8-$E$8)),$G$8-SQRT((1-R878)*($G$8-$E$8)*($G$8-$F$8))))</f>
        <v>1.02556206604089</v>
      </c>
      <c r="E878" s="37" t="n">
        <f aca="false">1+IF($G$9=$E$9,$F$9,IF(S878&lt;($F$9-$E$9)/($G$9-$E$9),$E$9+SQRT(S878*($G$9-$E$9)*($F$9-$E$9)),$G$9-SQRT((1-S878)*($G$9-$E$9)*($G$9-$F$9))))</f>
        <v>1.01812084187966</v>
      </c>
      <c r="F878" s="37" t="n">
        <f aca="false">1+IF($G$10=$E$10,$F$10,IF(T878&lt;($F$10-$E$10)/($G$10-$E$10),$E$10+SQRT(T878*($G$10-$E$10)*($F$10-$E$10)),$G$10-SQRT((1-T878)*($G$10-$E$10)*($G$10-$F$10))))</f>
        <v>1.03613965064675</v>
      </c>
      <c r="G878" s="38" t="n">
        <f aca="false">IF($G$11=$E$11,$F$11,IF(U878&lt;($F$11-$E$11)/($G$11-$E$11),$E$11+SQRT(U878*($G$11-$E$11)*($F$11-$E$11)),$G$11-SQRT((1-U878)*($G$11-$E$11)*($G$11-$F$11))))</f>
        <v>0.100734349824743</v>
      </c>
      <c r="H878" s="39" t="n">
        <f aca="false">(('Business Case'!B11*$C878*'Business Case'!B12*$B878)-'Business Case'!B11*$C878*'Business Case'!B13*$D878-'Business Case'!B14*$E878)-MAX(0,(('Business Case'!B11*$C878*'Business Case'!B12*$B878)-'Business Case'!B11*$C878*'Business Case'!B13*$D878-'Business Case'!B14*$E878))*'Business Case'!$B$7-'Business Case'!$B$8*('Business Case'!B11*$C878*'Business Case'!B12*$B878)-'Business Case'!B15*$F878</f>
        <v>-2072279301.2935</v>
      </c>
      <c r="I878" s="39" t="n">
        <f aca="false">(('Business Case'!C11*$C878*'Business Case'!C12*$B878)-'Business Case'!C11*$C878*'Business Case'!C13*$D878-'Business Case'!C14*$E878)-MAX(0,(('Business Case'!C11*$C878*'Business Case'!C12*$B878)-'Business Case'!C11*$C878*'Business Case'!C13*$D878-'Business Case'!C14*$E878))*'Business Case'!$B$7-'Business Case'!$B$8*(('Business Case'!C11*$C878*'Business Case'!C12*$B878)-('Business Case'!B11*$C878*'Business Case'!B12*$B878))-'Business Case'!C15*$F878</f>
        <v>-42473904.6531636</v>
      </c>
      <c r="J878" s="39" t="n">
        <f aca="false">(('Business Case'!D11*$C878*'Business Case'!D12*$B878)-'Business Case'!D11*$C878*'Business Case'!D13*$D878-'Business Case'!D14*$E878)-MAX(0,(('Business Case'!D11*$C878*'Business Case'!D12*$B878)-'Business Case'!D11*$C878*'Business Case'!D13*$D878-'Business Case'!D14*$E878))*'Business Case'!$B$7-'Business Case'!$B$8*(('Business Case'!D11*$C878*'Business Case'!D12*$B878)-('Business Case'!C11*$C878*'Business Case'!C12*$B878))-'Business Case'!D15*$F878</f>
        <v>208190688.627209</v>
      </c>
      <c r="K878" s="39" t="n">
        <f aca="false">(('Business Case'!E11*$C878*'Business Case'!E12*$B878)-'Business Case'!E11*$C878*'Business Case'!E13*$D878-'Business Case'!E14*$E878)-MAX(0,(('Business Case'!E11*$C878*'Business Case'!E12*$B878)-'Business Case'!E11*$C878*'Business Case'!E13*$D878-'Business Case'!E14*$E878))*'Business Case'!$B$7-'Business Case'!$B$8*(('Business Case'!E11*$C878*'Business Case'!E12*$B878)-('Business Case'!D11*$C878*'Business Case'!D12*$B878))-'Business Case'!E15*$F878</f>
        <v>510662264.439919</v>
      </c>
      <c r="L878" s="39" t="n">
        <f aca="false">(('Business Case'!F11*$C878*'Business Case'!F12*$B878)-'Business Case'!F11*$C878*'Business Case'!F13*$D878-'Business Case'!F14*$E878)-MAX(0,(('Business Case'!F11*$C878*'Business Case'!F12*$B878)-'Business Case'!F11*$C878*'Business Case'!F13*$D878-'Business Case'!F14*$E878))*'Business Case'!$B$7-'Business Case'!$B$8*(('Business Case'!F11*$C878*'Business Case'!F12*$B878)-('Business Case'!E11*$C878*'Business Case'!E12*$B878))-'Business Case'!F15*$F878</f>
        <v>624048961.635759</v>
      </c>
      <c r="M878" s="39" t="n">
        <f aca="false">(('Business Case'!G11*$C878*'Business Case'!G12*$B878)-'Business Case'!G11*$C878*'Business Case'!G13*$D878-'Business Case'!G14*$E878)-MAX(0,(('Business Case'!G11*$C878*'Business Case'!G12*$B878)-'Business Case'!G11*$C878*'Business Case'!G13*$D878-'Business Case'!G14*$E878))*'Business Case'!$B$7-'Business Case'!$B$8*(('Business Case'!G11*$C878*'Business Case'!G12*$B878)-('Business Case'!F11*$C878*'Business Case'!F12*$B878))-'Business Case'!G15*$F878+'Business Case'!$B$8*('Business Case'!G11*$C878*'Business Case'!G12*$B878)</f>
        <v>788124041.865526</v>
      </c>
      <c r="N878" s="39" t="n">
        <f aca="false">IF(COUNT('Business Case'!B11:G11)=0,"",H878+NPV(G878,I878:M878))</f>
        <v>-643306164.492437</v>
      </c>
      <c r="P878" s="40" t="n">
        <f aca="true">RAND()</f>
        <v>0.555907515519997</v>
      </c>
      <c r="Q878" s="40" t="n">
        <f aca="true">RAND()</f>
        <v>0.068465117585837</v>
      </c>
      <c r="R878" s="40" t="n">
        <f aca="true">RAND()</f>
        <v>0.715049167909984</v>
      </c>
      <c r="S878" s="40" t="n">
        <f aca="true">RAND()</f>
        <v>0.553053564367003</v>
      </c>
      <c r="T878" s="40" t="n">
        <f aca="true">RAND()</f>
        <v>0.462995718196627</v>
      </c>
      <c r="U878" s="40" t="n">
        <f aca="true">RAND()</f>
        <v>0.381391205541011</v>
      </c>
    </row>
    <row r="879" customFormat="false" ht="15" hidden="false" customHeight="false" outlineLevel="0" collapsed="false">
      <c r="A879" s="36" t="n">
        <v>799</v>
      </c>
      <c r="B879" s="37" t="n">
        <f aca="false">1+IF($G$6=$E$6,$F$6,IF(P879&lt;($F$6-$E$6)/($G$6-$E$6),$E$6+SQRT(P879*($G$6-$E$6)*($F$6-$E$6)),$G$6-SQRT((1-P879)*($G$6-$E$6)*($G$6-$F$6))))</f>
        <v>0.988993739555084</v>
      </c>
      <c r="C879" s="37" t="n">
        <f aca="false">1+IF($G$7=$E$7,$F$7,IF(Q879&lt;($F$7-$E$7)/($G$7-$E$7),$E$7+SQRT(Q879*($G$7-$E$7)*($F$7-$E$7)),$G$7-SQRT((1-Q879)*($G$7-$E$7)*($G$7-$F$7))))</f>
        <v>1.05957016499874</v>
      </c>
      <c r="D879" s="37" t="n">
        <f aca="false">1+IF($G$8=$E$8,$F$8,IF(R879&lt;($F$8-$E$8)/($G$8-$E$8),$E$8+SQRT(R879*($G$8-$E$8)*($F$8-$E$8)),$G$8-SQRT((1-R879)*($G$8-$E$8)*($G$8-$F$8))))</f>
        <v>0.991299005658233</v>
      </c>
      <c r="E879" s="37" t="n">
        <f aca="false">1+IF($G$9=$E$9,$F$9,IF(S879&lt;($F$9-$E$9)/($G$9-$E$9),$E$9+SQRT(S879*($G$9-$E$9)*($F$9-$E$9)),$G$9-SQRT((1-S879)*($G$9-$E$9)*($G$9-$F$9))))</f>
        <v>1.03434602159442</v>
      </c>
      <c r="F879" s="37" t="n">
        <f aca="false">1+IF($G$10=$E$10,$F$10,IF(T879&lt;($F$10-$E$10)/($G$10-$E$10),$E$10+SQRT(T879*($G$10-$E$10)*($F$10-$E$10)),$G$10-SQRT((1-T879)*($G$10-$E$10)*($G$10-$F$10))))</f>
        <v>1.1287963610988</v>
      </c>
      <c r="G879" s="38" t="n">
        <f aca="false">IF($G$11=$E$11,$F$11,IF(U879&lt;($F$11-$E$11)/($G$11-$E$11),$E$11+SQRT(U879*($G$11-$E$11)*($F$11-$E$11)),$G$11-SQRT((1-U879)*($G$11-$E$11)*($G$11-$F$11))))</f>
        <v>0.0998103768505038</v>
      </c>
      <c r="H879" s="39" t="n">
        <f aca="false">(('Business Case'!B11*$C879*'Business Case'!B12*$B879)-'Business Case'!B11*$C879*'Business Case'!B13*$D879-'Business Case'!B14*$E879)-MAX(0,(('Business Case'!B11*$C879*'Business Case'!B12*$B879)-'Business Case'!B11*$C879*'Business Case'!B13*$D879-'Business Case'!B14*$E879))*'Business Case'!$B$7-'Business Case'!$B$8*('Business Case'!B11*$C879*'Business Case'!B12*$B879)-'Business Case'!B15*$F879</f>
        <v>-2257592722.1976</v>
      </c>
      <c r="I879" s="39" t="n">
        <f aca="false">(('Business Case'!C11*$C879*'Business Case'!C12*$B879)-'Business Case'!C11*$C879*'Business Case'!C13*$D879-'Business Case'!C14*$E879)-MAX(0,(('Business Case'!C11*$C879*'Business Case'!C12*$B879)-'Business Case'!C11*$C879*'Business Case'!C13*$D879-'Business Case'!C14*$E879))*'Business Case'!$B$7-'Business Case'!$B$8*(('Business Case'!C11*$C879*'Business Case'!C12*$B879)-('Business Case'!B11*$C879*'Business Case'!B12*$B879))-'Business Case'!C15*$F879</f>
        <v>6329501.96667373</v>
      </c>
      <c r="J879" s="39" t="n">
        <f aca="false">(('Business Case'!D11*$C879*'Business Case'!D12*$B879)-'Business Case'!D11*$C879*'Business Case'!D13*$D879-'Business Case'!D14*$E879)-MAX(0,(('Business Case'!D11*$C879*'Business Case'!D12*$B879)-'Business Case'!D11*$C879*'Business Case'!D13*$D879-'Business Case'!D14*$E879))*'Business Case'!$B$7-'Business Case'!$B$8*(('Business Case'!D11*$C879*'Business Case'!D12*$B879)-('Business Case'!C11*$C879*'Business Case'!C12*$B879))-'Business Case'!D15*$F879</f>
        <v>326946208.502146</v>
      </c>
      <c r="K879" s="39" t="n">
        <f aca="false">(('Business Case'!E11*$C879*'Business Case'!E12*$B879)-'Business Case'!E11*$C879*'Business Case'!E13*$D879-'Business Case'!E14*$E879)-MAX(0,(('Business Case'!E11*$C879*'Business Case'!E12*$B879)-'Business Case'!E11*$C879*'Business Case'!E13*$D879-'Business Case'!E14*$E879))*'Business Case'!$B$7-'Business Case'!$B$8*(('Business Case'!E11*$C879*'Business Case'!E12*$B879)-('Business Case'!D11*$C879*'Business Case'!D12*$B879))-'Business Case'!E15*$F879</f>
        <v>704002733.092559</v>
      </c>
      <c r="L879" s="39" t="n">
        <f aca="false">(('Business Case'!F11*$C879*'Business Case'!F12*$B879)-'Business Case'!F11*$C879*'Business Case'!F13*$D879-'Business Case'!F14*$E879)-MAX(0,(('Business Case'!F11*$C879*'Business Case'!F12*$B879)-'Business Case'!F11*$C879*'Business Case'!F13*$D879-'Business Case'!F14*$E879))*'Business Case'!$B$7-'Business Case'!$B$8*(('Business Case'!F11*$C879*'Business Case'!F12*$B879)-('Business Case'!E11*$C879*'Business Case'!E12*$B879))-'Business Case'!F15*$F879</f>
        <v>847090678.063178</v>
      </c>
      <c r="M879" s="39" t="n">
        <f aca="false">(('Business Case'!G11*$C879*'Business Case'!G12*$B879)-'Business Case'!G11*$C879*'Business Case'!G13*$D879-'Business Case'!G14*$E879)-MAX(0,(('Business Case'!G11*$C879*'Business Case'!G12*$B879)-'Business Case'!G11*$C879*'Business Case'!G13*$D879-'Business Case'!G14*$E879))*'Business Case'!$B$7-'Business Case'!$B$8*(('Business Case'!G11*$C879*'Business Case'!G12*$B879)-('Business Case'!F11*$C879*'Business Case'!F12*$B879))-'Business Case'!G15*$F879+'Business Case'!$B$8*('Business Case'!G11*$C879*'Business Case'!G12*$B879)</f>
        <v>1046277080.08655</v>
      </c>
      <c r="N879" s="39" t="n">
        <f aca="false">IF(COUNT('Business Case'!B11:G11)=0,"",H879+NPV(G879,I879:M879))</f>
        <v>-223150228.190769</v>
      </c>
      <c r="P879" s="40" t="n">
        <f aca="true">RAND()</f>
        <v>0.495847510186948</v>
      </c>
      <c r="Q879" s="40" t="n">
        <f aca="true">RAND()</f>
        <v>0.844237046507509</v>
      </c>
      <c r="R879" s="40" t="n">
        <f aca="true">RAND()</f>
        <v>0.262401210516727</v>
      </c>
      <c r="S879" s="40" t="n">
        <f aca="true">RAND()</f>
        <v>0.712637007967957</v>
      </c>
      <c r="T879" s="40" t="n">
        <f aca="true">RAND()</f>
        <v>0.898600836144552</v>
      </c>
      <c r="U879" s="40" t="n">
        <f aca="true">RAND()</f>
        <v>0.320811646496334</v>
      </c>
    </row>
    <row r="880" customFormat="false" ht="15" hidden="false" customHeight="false" outlineLevel="0" collapsed="false">
      <c r="A880" s="36" t="n">
        <v>800</v>
      </c>
      <c r="B880" s="37" t="n">
        <f aca="false">1+IF($G$6=$E$6,$F$6,IF(P880&lt;($F$6-$E$6)/($G$6-$E$6),$E$6+SQRT(P880*($G$6-$E$6)*($F$6-$E$6)),$G$6-SQRT((1-P880)*($G$6-$E$6)*($G$6-$F$6))))</f>
        <v>0.972178756590526</v>
      </c>
      <c r="C880" s="37" t="n">
        <f aca="false">1+IF($G$7=$E$7,$F$7,IF(Q880&lt;($F$7-$E$7)/($G$7-$E$7),$E$7+SQRT(Q880*($G$7-$E$7)*($F$7-$E$7)),$G$7-SQRT((1-Q880)*($G$7-$E$7)*($G$7-$F$7))))</f>
        <v>0.947387266654679</v>
      </c>
      <c r="D880" s="37" t="n">
        <f aca="false">1+IF($G$8=$E$8,$F$8,IF(R880&lt;($F$8-$E$8)/($G$8-$E$8),$E$8+SQRT(R880*($G$8-$E$8)*($F$8-$E$8)),$G$8-SQRT((1-R880)*($G$8-$E$8)*($G$8-$F$8))))</f>
        <v>1.03734396113613</v>
      </c>
      <c r="E880" s="37" t="n">
        <f aca="false">1+IF($G$9=$E$9,$F$9,IF(S880&lt;($F$9-$E$9)/($G$9-$E$9),$E$9+SQRT(S880*($G$9-$E$9)*($F$9-$E$9)),$G$9-SQRT((1-S880)*($G$9-$E$9)*($G$9-$F$9))))</f>
        <v>1.02217518375497</v>
      </c>
      <c r="F880" s="37" t="n">
        <f aca="false">1+IF($G$10=$E$10,$F$10,IF(T880&lt;($F$10-$E$10)/($G$10-$E$10),$E$10+SQRT(T880*($G$10-$E$10)*($F$10-$E$10)),$G$10-SQRT((1-T880)*($G$10-$E$10)*($G$10-$F$10))))</f>
        <v>0.957280407601848</v>
      </c>
      <c r="G880" s="38" t="n">
        <f aca="false">IF($G$11=$E$11,$F$11,IF(U880&lt;($F$11-$E$11)/($G$11-$E$11),$E$11+SQRT(U880*($G$11-$E$11)*($F$11-$E$11)),$G$11-SQRT((1-U880)*($G$11-$E$11)*($G$11-$F$11))))</f>
        <v>0.0999618421327777</v>
      </c>
      <c r="H880" s="39" t="n">
        <f aca="false">(('Business Case'!B11*$C880*'Business Case'!B12*$B880)-'Business Case'!B11*$C880*'Business Case'!B13*$D880-'Business Case'!B14*$E880)-MAX(0,(('Business Case'!B11*$C880*'Business Case'!B12*$B880)-'Business Case'!B11*$C880*'Business Case'!B13*$D880-'Business Case'!B14*$E880))*'Business Case'!$B$7-'Business Case'!$B$8*('Business Case'!B11*$C880*'Business Case'!B12*$B880)-'Business Case'!B15*$F880</f>
        <v>-1914560815.2037</v>
      </c>
      <c r="I880" s="39" t="n">
        <f aca="false">(('Business Case'!C11*$C880*'Business Case'!C12*$B880)-'Business Case'!C11*$C880*'Business Case'!C13*$D880-'Business Case'!C14*$E880)-MAX(0,(('Business Case'!C11*$C880*'Business Case'!C12*$B880)-'Business Case'!C11*$C880*'Business Case'!C13*$D880-'Business Case'!C14*$E880))*'Business Case'!$B$7-'Business Case'!$B$8*(('Business Case'!C11*$C880*'Business Case'!C12*$B880)-('Business Case'!B11*$C880*'Business Case'!B12*$B880))-'Business Case'!C15*$F880</f>
        <v>-37535641.7924409</v>
      </c>
      <c r="J880" s="39" t="n">
        <f aca="false">(('Business Case'!D11*$C880*'Business Case'!D12*$B880)-'Business Case'!D11*$C880*'Business Case'!D13*$D880-'Business Case'!D14*$E880)-MAX(0,(('Business Case'!D11*$C880*'Business Case'!D12*$B880)-'Business Case'!D11*$C880*'Business Case'!D13*$D880-'Business Case'!D14*$E880))*'Business Case'!$B$7-'Business Case'!$B$8*(('Business Case'!D11*$C880*'Business Case'!D12*$B880)-('Business Case'!C11*$C880*'Business Case'!C12*$B880))-'Business Case'!D15*$F880</f>
        <v>213756251.836389</v>
      </c>
      <c r="K880" s="39" t="n">
        <f aca="false">(('Business Case'!E11*$C880*'Business Case'!E12*$B880)-'Business Case'!E11*$C880*'Business Case'!E13*$D880-'Business Case'!E14*$E880)-MAX(0,(('Business Case'!E11*$C880*'Business Case'!E12*$B880)-'Business Case'!E11*$C880*'Business Case'!E13*$D880-'Business Case'!E14*$E880))*'Business Case'!$B$7-'Business Case'!$B$8*(('Business Case'!E11*$C880*'Business Case'!E12*$B880)-('Business Case'!D11*$C880*'Business Case'!D12*$B880))-'Business Case'!E15*$F880</f>
        <v>512912165.845311</v>
      </c>
      <c r="L880" s="39" t="n">
        <f aca="false">(('Business Case'!F11*$C880*'Business Case'!F12*$B880)-'Business Case'!F11*$C880*'Business Case'!F13*$D880-'Business Case'!F14*$E880)-MAX(0,(('Business Case'!F11*$C880*'Business Case'!F12*$B880)-'Business Case'!F11*$C880*'Business Case'!F13*$D880-'Business Case'!F14*$E880))*'Business Case'!$B$7-'Business Case'!$B$8*(('Business Case'!F11*$C880*'Business Case'!F12*$B880)-('Business Case'!E11*$C880*'Business Case'!E12*$B880))-'Business Case'!F15*$F880</f>
        <v>628506919.409007</v>
      </c>
      <c r="M880" s="39" t="n">
        <f aca="false">(('Business Case'!G11*$C880*'Business Case'!G12*$B880)-'Business Case'!G11*$C880*'Business Case'!G13*$D880-'Business Case'!G14*$E880)-MAX(0,(('Business Case'!G11*$C880*'Business Case'!G12*$B880)-'Business Case'!G11*$C880*'Business Case'!G13*$D880-'Business Case'!G14*$E880))*'Business Case'!$B$7-'Business Case'!$B$8*(('Business Case'!G11*$C880*'Business Case'!G12*$B880)-('Business Case'!F11*$C880*'Business Case'!F12*$B880))-'Business Case'!G15*$F880+'Business Case'!$B$8*('Business Case'!G11*$C880*'Business Case'!G12*$B880)</f>
        <v>803576259.023147</v>
      </c>
      <c r="N880" s="39" t="n">
        <f aca="false">IF(COUNT('Business Case'!B11:G11)=0,"",H880+NPV(G880,I880:M880))</f>
        <v>-458233948.450407</v>
      </c>
      <c r="P880" s="40" t="n">
        <f aca="true">RAND()</f>
        <v>0.283606524930559</v>
      </c>
      <c r="Q880" s="40" t="n">
        <f aca="true">RAND()</f>
        <v>0.310328662456249</v>
      </c>
      <c r="R880" s="40" t="n">
        <f aca="true">RAND()</f>
        <v>0.825044456581169</v>
      </c>
      <c r="S880" s="40" t="n">
        <f aca="true">RAND()</f>
        <v>0.596219865095117</v>
      </c>
      <c r="T880" s="40" t="n">
        <f aca="true">RAND()</f>
        <v>0.00424034678792327</v>
      </c>
      <c r="U880" s="40" t="n">
        <f aca="true">RAND()</f>
        <v>0.330794328927948</v>
      </c>
    </row>
    <row r="881" customFormat="false" ht="15" hidden="false" customHeight="false" outlineLevel="0" collapsed="false">
      <c r="A881" s="36" t="n">
        <v>801</v>
      </c>
      <c r="B881" s="37" t="n">
        <f aca="false">1+IF($G$6=$E$6,$F$6,IF(P881&lt;($F$6-$E$6)/($G$6-$E$6),$E$6+SQRT(P881*($G$6-$E$6)*($F$6-$E$6)),$G$6-SQRT((1-P881)*($G$6-$E$6)*($G$6-$F$6))))</f>
        <v>0.97958662603125</v>
      </c>
      <c r="C881" s="37" t="n">
        <f aca="false">1+IF($G$7=$E$7,$F$7,IF(Q881&lt;($F$7-$E$7)/($G$7-$E$7),$E$7+SQRT(Q881*($G$7-$E$7)*($F$7-$E$7)),$G$7-SQRT((1-Q881)*($G$7-$E$7)*($G$7-$F$7))))</f>
        <v>0.936972656532967</v>
      </c>
      <c r="D881" s="37" t="n">
        <f aca="false">1+IF($G$8=$E$8,$F$8,IF(R881&lt;($F$8-$E$8)/($G$8-$E$8),$E$8+SQRT(R881*($G$8-$E$8)*($F$8-$E$8)),$G$8-SQRT((1-R881)*($G$8-$E$8)*($G$8-$F$8))))</f>
        <v>0.991950849845896</v>
      </c>
      <c r="E881" s="37" t="n">
        <f aca="false">1+IF($G$9=$E$9,$F$9,IF(S881&lt;($F$9-$E$9)/($G$9-$E$9),$E$9+SQRT(S881*($G$9-$E$9)*($F$9-$E$9)),$G$9-SQRT((1-S881)*($G$9-$E$9)*($G$9-$F$9))))</f>
        <v>1.0388615815507</v>
      </c>
      <c r="F881" s="37" t="n">
        <f aca="false">1+IF($G$10=$E$10,$F$10,IF(T881&lt;($F$10-$E$10)/($G$10-$E$10),$E$10+SQRT(T881*($G$10-$E$10)*($F$10-$E$10)),$G$10-SQRT((1-T881)*($G$10-$E$10)*($G$10-$F$10))))</f>
        <v>1.02530861204121</v>
      </c>
      <c r="G881" s="38" t="n">
        <f aca="false">IF($G$11=$E$11,$F$11,IF(U881&lt;($F$11-$E$11)/($G$11-$E$11),$E$11+SQRT(U881*($G$11-$E$11)*($F$11-$E$11)),$G$11-SQRT((1-U881)*($G$11-$E$11)*($G$11-$F$11))))</f>
        <v>0.100145344829191</v>
      </c>
      <c r="H881" s="39" t="n">
        <f aca="false">(('Business Case'!B11*$C881*'Business Case'!B12*$B881)-'Business Case'!B11*$C881*'Business Case'!B13*$D881-'Business Case'!B14*$E881)-MAX(0,(('Business Case'!B11*$C881*'Business Case'!B12*$B881)-'Business Case'!B11*$C881*'Business Case'!B13*$D881-'Business Case'!B14*$E881))*'Business Case'!$B$7-'Business Case'!$B$8*('Business Case'!B11*$C881*'Business Case'!B12*$B881)-'Business Case'!B15*$F881</f>
        <v>-2050617224.08241</v>
      </c>
      <c r="I881" s="39" t="n">
        <f aca="false">(('Business Case'!C11*$C881*'Business Case'!C12*$B881)-'Business Case'!C11*$C881*'Business Case'!C13*$D881-'Business Case'!C14*$E881)-MAX(0,(('Business Case'!C11*$C881*'Business Case'!C12*$B881)-'Business Case'!C11*$C881*'Business Case'!C13*$D881-'Business Case'!C14*$E881))*'Business Case'!$B$7-'Business Case'!$B$8*(('Business Case'!C11*$C881*'Business Case'!C12*$B881)-('Business Case'!B11*$C881*'Business Case'!B12*$B881))-'Business Case'!C15*$F881</f>
        <v>-21850472.2416121</v>
      </c>
      <c r="J881" s="39" t="n">
        <f aca="false">(('Business Case'!D11*$C881*'Business Case'!D12*$B881)-'Business Case'!D11*$C881*'Business Case'!D13*$D881-'Business Case'!D14*$E881)-MAX(0,(('Business Case'!D11*$C881*'Business Case'!D12*$B881)-'Business Case'!D11*$C881*'Business Case'!D13*$D881-'Business Case'!D14*$E881))*'Business Case'!$B$7-'Business Case'!$B$8*(('Business Case'!D11*$C881*'Business Case'!D12*$B881)-('Business Case'!C11*$C881*'Business Case'!C12*$B881))-'Business Case'!D15*$F881</f>
        <v>254137164.207505</v>
      </c>
      <c r="K881" s="39" t="n">
        <f aca="false">(('Business Case'!E11*$C881*'Business Case'!E12*$B881)-'Business Case'!E11*$C881*'Business Case'!E13*$D881-'Business Case'!E14*$E881)-MAX(0,(('Business Case'!E11*$C881*'Business Case'!E12*$B881)-'Business Case'!E11*$C881*'Business Case'!E13*$D881-'Business Case'!E14*$E881))*'Business Case'!$B$7-'Business Case'!$B$8*(('Business Case'!E11*$C881*'Business Case'!E12*$B881)-('Business Case'!D11*$C881*'Business Case'!D12*$B881))-'Business Case'!E15*$F881</f>
        <v>581390231.258682</v>
      </c>
      <c r="L881" s="39" t="n">
        <f aca="false">(('Business Case'!F11*$C881*'Business Case'!F12*$B881)-'Business Case'!F11*$C881*'Business Case'!F13*$D881-'Business Case'!F14*$E881)-MAX(0,(('Business Case'!F11*$C881*'Business Case'!F12*$B881)-'Business Case'!F11*$C881*'Business Case'!F13*$D881-'Business Case'!F14*$E881))*'Business Case'!$B$7-'Business Case'!$B$8*(('Business Case'!F11*$C881*'Business Case'!F12*$B881)-('Business Case'!E11*$C881*'Business Case'!E12*$B881))-'Business Case'!F15*$F881</f>
        <v>705106863.801786</v>
      </c>
      <c r="M881" s="39" t="n">
        <f aca="false">(('Business Case'!G11*$C881*'Business Case'!G12*$B881)-'Business Case'!G11*$C881*'Business Case'!G13*$D881-'Business Case'!G14*$E881)-MAX(0,(('Business Case'!G11*$C881*'Business Case'!G12*$B881)-'Business Case'!G11*$C881*'Business Case'!G13*$D881-'Business Case'!G14*$E881))*'Business Case'!$B$7-'Business Case'!$B$8*(('Business Case'!G11*$C881*'Business Case'!G12*$B881)-('Business Case'!F11*$C881*'Business Case'!F12*$B881))-'Business Case'!G15*$F881+'Business Case'!$B$8*('Business Case'!G11*$C881*'Business Case'!G12*$B881)</f>
        <v>879571009.298817</v>
      </c>
      <c r="N881" s="39" t="n">
        <f aca="false">IF(COUNT('Business Case'!B11:G11)=0,"",H881+NPV(G881,I881:M881))</f>
        <v>-396742714.806973</v>
      </c>
      <c r="P881" s="40" t="n">
        <f aca="true">RAND()</f>
        <v>0.36985062518625</v>
      </c>
      <c r="Q881" s="40" t="n">
        <f aca="true">RAND()</f>
        <v>0.268021551967117</v>
      </c>
      <c r="R881" s="40" t="n">
        <f aca="true">RAND()</f>
        <v>0.270749815814295</v>
      </c>
      <c r="S881" s="40" t="n">
        <f aca="true">RAND()</f>
        <v>0.750806252634531</v>
      </c>
      <c r="T881" s="40" t="n">
        <f aca="true">RAND()</f>
        <v>0.389658379460595</v>
      </c>
      <c r="U881" s="40" t="n">
        <f aca="true">RAND()</f>
        <v>0.34298778008044</v>
      </c>
    </row>
    <row r="882" customFormat="false" ht="15" hidden="false" customHeight="false" outlineLevel="0" collapsed="false">
      <c r="A882" s="36" t="n">
        <v>802</v>
      </c>
      <c r="B882" s="37" t="n">
        <f aca="false">1+IF($G$6=$E$6,$F$6,IF(P882&lt;($F$6-$E$6)/($G$6-$E$6),$E$6+SQRT(P882*($G$6-$E$6)*($F$6-$E$6)),$G$6-SQRT((1-P882)*($G$6-$E$6)*($G$6-$F$6))))</f>
        <v>0.995725157757396</v>
      </c>
      <c r="C882" s="37" t="n">
        <f aca="false">1+IF($G$7=$E$7,$F$7,IF(Q882&lt;($F$7-$E$7)/($G$7-$E$7),$E$7+SQRT(Q882*($G$7-$E$7)*($F$7-$E$7)),$G$7-SQRT((1-Q882)*($G$7-$E$7)*($G$7-$F$7))))</f>
        <v>0.945648375364015</v>
      </c>
      <c r="D882" s="37" t="n">
        <f aca="false">1+IF($G$8=$E$8,$F$8,IF(R882&lt;($F$8-$E$8)/($G$8-$E$8),$E$8+SQRT(R882*($G$8-$E$8)*($F$8-$E$8)),$G$8-SQRT((1-R882)*($G$8-$E$8)*($G$8-$F$8))))</f>
        <v>1.01703429515227</v>
      </c>
      <c r="E882" s="37" t="n">
        <f aca="false">1+IF($G$9=$E$9,$F$9,IF(S882&lt;($F$9-$E$9)/($G$9-$E$9),$E$9+SQRT(S882*($G$9-$E$9)*($F$9-$E$9)),$G$9-SQRT((1-S882)*($G$9-$E$9)*($G$9-$F$9))))</f>
        <v>0.977678180090057</v>
      </c>
      <c r="F882" s="37" t="n">
        <f aca="false">1+IF($G$10=$E$10,$F$10,IF(T882&lt;($F$10-$E$10)/($G$10-$E$10),$E$10+SQRT(T882*($G$10-$E$10)*($F$10-$E$10)),$G$10-SQRT((1-T882)*($G$10-$E$10)*($G$10-$F$10))))</f>
        <v>1.00128597814912</v>
      </c>
      <c r="G882" s="38" t="n">
        <f aca="false">IF($G$11=$E$11,$F$11,IF(U882&lt;($F$11-$E$11)/($G$11-$E$11),$E$11+SQRT(U882*($G$11-$E$11)*($F$11-$E$11)),$G$11-SQRT((1-U882)*($G$11-$E$11)*($G$11-$F$11))))</f>
        <v>0.106381931950487</v>
      </c>
      <c r="H882" s="39" t="n">
        <f aca="false">(('Business Case'!B11*$C882*'Business Case'!B12*$B882)-'Business Case'!B11*$C882*'Business Case'!B13*$D882-'Business Case'!B14*$E882)-MAX(0,(('Business Case'!B11*$C882*'Business Case'!B12*$B882)-'Business Case'!B11*$C882*'Business Case'!B13*$D882-'Business Case'!B14*$E882))*'Business Case'!$B$7-'Business Case'!$B$8*('Business Case'!B11*$C882*'Business Case'!B12*$B882)-'Business Case'!B15*$F882</f>
        <v>-2002571956.29824</v>
      </c>
      <c r="I882" s="39" t="n">
        <f aca="false">(('Business Case'!C11*$C882*'Business Case'!C12*$B882)-'Business Case'!C11*$C882*'Business Case'!C13*$D882-'Business Case'!C14*$E882)-MAX(0,(('Business Case'!C11*$C882*'Business Case'!C12*$B882)-'Business Case'!C11*$C882*'Business Case'!C13*$D882-'Business Case'!C14*$E882))*'Business Case'!$B$7-'Business Case'!$B$8*(('Business Case'!C11*$C882*'Business Case'!C12*$B882)-('Business Case'!B11*$C882*'Business Case'!B12*$B882))-'Business Case'!C15*$F882</f>
        <v>-9066830.0822994</v>
      </c>
      <c r="J882" s="39" t="n">
        <f aca="false">(('Business Case'!D11*$C882*'Business Case'!D12*$B882)-'Business Case'!D11*$C882*'Business Case'!D13*$D882-'Business Case'!D14*$E882)-MAX(0,(('Business Case'!D11*$C882*'Business Case'!D12*$B882)-'Business Case'!D11*$C882*'Business Case'!D13*$D882-'Business Case'!D14*$E882))*'Business Case'!$B$7-'Business Case'!$B$8*(('Business Case'!D11*$C882*'Business Case'!D12*$B882)-('Business Case'!C11*$C882*'Business Case'!C12*$B882))-'Business Case'!D15*$F882</f>
        <v>269833623.561283</v>
      </c>
      <c r="K882" s="39" t="n">
        <f aca="false">(('Business Case'!E11*$C882*'Business Case'!E12*$B882)-'Business Case'!E11*$C882*'Business Case'!E13*$D882-'Business Case'!E14*$E882)-MAX(0,(('Business Case'!E11*$C882*'Business Case'!E12*$B882)-'Business Case'!E11*$C882*'Business Case'!E13*$D882-'Business Case'!E14*$E882))*'Business Case'!$B$7-'Business Case'!$B$8*(('Business Case'!E11*$C882*'Business Case'!E12*$B882)-('Business Case'!D11*$C882*'Business Case'!D12*$B882))-'Business Case'!E15*$F882</f>
        <v>598798376.112322</v>
      </c>
      <c r="L882" s="39" t="n">
        <f aca="false">(('Business Case'!F11*$C882*'Business Case'!F12*$B882)-'Business Case'!F11*$C882*'Business Case'!F13*$D882-'Business Case'!F14*$E882)-MAX(0,(('Business Case'!F11*$C882*'Business Case'!F12*$B882)-'Business Case'!F11*$C882*'Business Case'!F13*$D882-'Business Case'!F14*$E882))*'Business Case'!$B$7-'Business Case'!$B$8*(('Business Case'!F11*$C882*'Business Case'!F12*$B882)-('Business Case'!E11*$C882*'Business Case'!E12*$B882))-'Business Case'!F15*$F882</f>
        <v>724307093.128292</v>
      </c>
      <c r="M882" s="39" t="n">
        <f aca="false">(('Business Case'!G11*$C882*'Business Case'!G12*$B882)-'Business Case'!G11*$C882*'Business Case'!G13*$D882-'Business Case'!G14*$E882)-MAX(0,(('Business Case'!G11*$C882*'Business Case'!G12*$B882)-'Business Case'!G11*$C882*'Business Case'!G13*$D882-'Business Case'!G14*$E882))*'Business Case'!$B$7-'Business Case'!$B$8*(('Business Case'!G11*$C882*'Business Case'!G12*$B882)-('Business Case'!F11*$C882*'Business Case'!F12*$B882))-'Business Case'!G15*$F882+'Business Case'!$B$8*('Business Case'!G11*$C882*'Business Case'!G12*$B882)</f>
        <v>903287538.36956</v>
      </c>
      <c r="N882" s="39" t="n">
        <f aca="false">IF(COUNT('Business Case'!B11:G11)=0,"",H882+NPV(G882,I882:M882))</f>
        <v>-319908539.140759</v>
      </c>
      <c r="P882" s="40" t="n">
        <f aca="true">RAND()</f>
        <v>0.597322866394013</v>
      </c>
      <c r="Q882" s="40" t="n">
        <f aca="true">RAND()</f>
        <v>0.303049274945386</v>
      </c>
      <c r="R882" s="40" t="n">
        <f aca="true">RAND()</f>
        <v>0.618780770483541</v>
      </c>
      <c r="S882" s="40" t="n">
        <f aca="true">RAND()</f>
        <v>0.102144220413015</v>
      </c>
      <c r="T882" s="40" t="n">
        <f aca="true">RAND()</f>
        <v>0.210254750396975</v>
      </c>
      <c r="U882" s="40" t="n">
        <f aca="true">RAND()</f>
        <v>0.6909137043314</v>
      </c>
    </row>
    <row r="883" customFormat="false" ht="15" hidden="false" customHeight="false" outlineLevel="0" collapsed="false">
      <c r="A883" s="36" t="n">
        <v>803</v>
      </c>
      <c r="B883" s="37" t="n">
        <f aca="false">1+IF($G$6=$E$6,$F$6,IF(P883&lt;($F$6-$E$6)/($G$6-$E$6),$E$6+SQRT(P883*($G$6-$E$6)*($F$6-$E$6)),$G$6-SQRT((1-P883)*($G$6-$E$6)*($G$6-$F$6))))</f>
        <v>0.989869342909205</v>
      </c>
      <c r="C883" s="37" t="n">
        <f aca="false">1+IF($G$7=$E$7,$F$7,IF(Q883&lt;($F$7-$E$7)/($G$7-$E$7),$E$7+SQRT(Q883*($G$7-$E$7)*($F$7-$E$7)),$G$7-SQRT((1-Q883)*($G$7-$E$7)*($G$7-$F$7))))</f>
        <v>1.05409300852655</v>
      </c>
      <c r="D883" s="37" t="n">
        <f aca="false">1+IF($G$8=$E$8,$F$8,IF(R883&lt;($F$8-$E$8)/($G$8-$E$8),$E$8+SQRT(R883*($G$8-$E$8)*($F$8-$E$8)),$G$8-SQRT((1-R883)*($G$8-$E$8)*($G$8-$F$8))))</f>
        <v>1.02323609650853</v>
      </c>
      <c r="E883" s="37" t="n">
        <f aca="false">1+IF($G$9=$E$9,$F$9,IF(S883&lt;($F$9-$E$9)/($G$9-$E$9),$E$9+SQRT(S883*($G$9-$E$9)*($F$9-$E$9)),$G$9-SQRT((1-S883)*($G$9-$E$9)*($G$9-$F$9))))</f>
        <v>1.00033011252181</v>
      </c>
      <c r="F883" s="37" t="n">
        <f aca="false">1+IF($G$10=$E$10,$F$10,IF(T883&lt;($F$10-$E$10)/($G$10-$E$10),$E$10+SQRT(T883*($G$10-$E$10)*($F$10-$E$10)),$G$10-SQRT((1-T883)*($G$10-$E$10)*($G$10-$F$10))))</f>
        <v>1.05709892336217</v>
      </c>
      <c r="G883" s="38" t="n">
        <f aca="false">IF($G$11=$E$11,$F$11,IF(U883&lt;($F$11-$E$11)/($G$11-$E$11),$E$11+SQRT(U883*($G$11-$E$11)*($F$11-$E$11)),$G$11-SQRT((1-U883)*($G$11-$E$11)*($G$11-$F$11))))</f>
        <v>0.0972512586768661</v>
      </c>
      <c r="H883" s="39" t="n">
        <f aca="false">(('Business Case'!B11*$C883*'Business Case'!B12*$B883)-'Business Case'!B11*$C883*'Business Case'!B13*$D883-'Business Case'!B14*$E883)-MAX(0,(('Business Case'!B11*$C883*'Business Case'!B12*$B883)-'Business Case'!B11*$C883*'Business Case'!B13*$D883-'Business Case'!B14*$E883))*'Business Case'!$B$7-'Business Case'!$B$8*('Business Case'!B11*$C883*'Business Case'!B12*$B883)-'Business Case'!B15*$F883</f>
        <v>-2114197846.72435</v>
      </c>
      <c r="I883" s="39" t="n">
        <f aca="false">(('Business Case'!C11*$C883*'Business Case'!C12*$B883)-'Business Case'!C11*$C883*'Business Case'!C13*$D883-'Business Case'!C14*$E883)-MAX(0,(('Business Case'!C11*$C883*'Business Case'!C12*$B883)-'Business Case'!C11*$C883*'Business Case'!C13*$D883-'Business Case'!C14*$E883))*'Business Case'!$B$7-'Business Case'!$B$8*(('Business Case'!C11*$C883*'Business Case'!C12*$B883)-('Business Case'!B11*$C883*'Business Case'!B12*$B883))-'Business Case'!C15*$F883</f>
        <v>434294.088520303</v>
      </c>
      <c r="J883" s="39" t="n">
        <f aca="false">(('Business Case'!D11*$C883*'Business Case'!D12*$B883)-'Business Case'!D11*$C883*'Business Case'!D13*$D883-'Business Case'!D14*$E883)-MAX(0,(('Business Case'!D11*$C883*'Business Case'!D12*$B883)-'Business Case'!D11*$C883*'Business Case'!D13*$D883-'Business Case'!D14*$E883))*'Business Case'!$B$7-'Business Case'!$B$8*(('Business Case'!D11*$C883*'Business Case'!D12*$B883)-('Business Case'!C11*$C883*'Business Case'!C12*$B883))-'Business Case'!D15*$F883</f>
        <v>302916022.610463</v>
      </c>
      <c r="K883" s="39" t="n">
        <f aca="false">(('Business Case'!E11*$C883*'Business Case'!E12*$B883)-'Business Case'!E11*$C883*'Business Case'!E13*$D883-'Business Case'!E14*$E883)-MAX(0,(('Business Case'!E11*$C883*'Business Case'!E12*$B883)-'Business Case'!E11*$C883*'Business Case'!E13*$D883-'Business Case'!E14*$E883))*'Business Case'!$B$7-'Business Case'!$B$8*(('Business Case'!E11*$C883*'Business Case'!E12*$B883)-('Business Case'!D11*$C883*'Business Case'!D12*$B883))-'Business Case'!E15*$F883</f>
        <v>658252697.300515</v>
      </c>
      <c r="L883" s="39" t="n">
        <f aca="false">(('Business Case'!F11*$C883*'Business Case'!F12*$B883)-'Business Case'!F11*$C883*'Business Case'!F13*$D883-'Business Case'!F14*$E883)-MAX(0,(('Business Case'!F11*$C883*'Business Case'!F12*$B883)-'Business Case'!F11*$C883*'Business Case'!F13*$D883-'Business Case'!F14*$E883))*'Business Case'!$B$7-'Business Case'!$B$8*(('Business Case'!F11*$C883*'Business Case'!F12*$B883)-('Business Case'!E11*$C883*'Business Case'!E12*$B883))-'Business Case'!F15*$F883</f>
        <v>795140340.205566</v>
      </c>
      <c r="M883" s="39" t="n">
        <f aca="false">(('Business Case'!G11*$C883*'Business Case'!G12*$B883)-'Business Case'!G11*$C883*'Business Case'!G13*$D883-'Business Case'!G14*$E883)-MAX(0,(('Business Case'!G11*$C883*'Business Case'!G12*$B883)-'Business Case'!G11*$C883*'Business Case'!G13*$D883-'Business Case'!G14*$E883))*'Business Case'!$B$7-'Business Case'!$B$8*(('Business Case'!G11*$C883*'Business Case'!G12*$B883)-('Business Case'!F11*$C883*'Business Case'!F12*$B883))-'Business Case'!G15*$F883+'Business Case'!$B$8*('Business Case'!G11*$C883*'Business Case'!G12*$B883)</f>
        <v>993472540.559783</v>
      </c>
      <c r="N883" s="39" t="n">
        <f aca="false">IF(COUNT('Business Case'!B11:G11)=0,"",H883+NPV(G883,I883:M883))</f>
        <v>-190733518.649666</v>
      </c>
      <c r="P883" s="40" t="n">
        <f aca="true">RAND()</f>
        <v>0.508513029017096</v>
      </c>
      <c r="Q883" s="40" t="n">
        <f aca="true">RAND()</f>
        <v>0.824797123552604</v>
      </c>
      <c r="R883" s="40" t="n">
        <f aca="true">RAND()</f>
        <v>0.690178775039524</v>
      </c>
      <c r="S883" s="40" t="n">
        <f aca="true">RAND()</f>
        <v>0.337727568672296</v>
      </c>
      <c r="T883" s="40" t="n">
        <f aca="true">RAND()</f>
        <v>0.591585645915</v>
      </c>
      <c r="U883" s="40" t="n">
        <f aca="true">RAND()</f>
        <v>0.175269174662753</v>
      </c>
    </row>
    <row r="884" customFormat="false" ht="15" hidden="false" customHeight="false" outlineLevel="0" collapsed="false">
      <c r="A884" s="36" t="n">
        <v>804</v>
      </c>
      <c r="B884" s="37" t="n">
        <f aca="false">1+IF($G$6=$E$6,$F$6,IF(P884&lt;($F$6-$E$6)/($G$6-$E$6),$E$6+SQRT(P884*($G$6-$E$6)*($F$6-$E$6)),$G$6-SQRT((1-P884)*($G$6-$E$6)*($G$6-$F$6))))</f>
        <v>0.953080583659545</v>
      </c>
      <c r="C884" s="37" t="n">
        <f aca="false">1+IF($G$7=$E$7,$F$7,IF(Q884&lt;($F$7-$E$7)/($G$7-$E$7),$E$7+SQRT(Q884*($G$7-$E$7)*($F$7-$E$7)),$G$7-SQRT((1-Q884)*($G$7-$E$7)*($G$7-$F$7))))</f>
        <v>0.908147517532997</v>
      </c>
      <c r="D884" s="37" t="n">
        <f aca="false">1+IF($G$8=$E$8,$F$8,IF(R884&lt;($F$8-$E$8)/($G$8-$E$8),$E$8+SQRT(R884*($G$8-$E$8)*($F$8-$E$8)),$G$8-SQRT((1-R884)*($G$8-$E$8)*($G$8-$F$8))))</f>
        <v>0.989883888542239</v>
      </c>
      <c r="E884" s="37" t="n">
        <f aca="false">1+IF($G$9=$E$9,$F$9,IF(S884&lt;($F$9-$E$9)/($G$9-$E$9),$E$9+SQRT(S884*($G$9-$E$9)*($F$9-$E$9)),$G$9-SQRT((1-S884)*($G$9-$E$9)*($G$9-$F$9))))</f>
        <v>1.04135787662125</v>
      </c>
      <c r="F884" s="37" t="n">
        <f aca="false">1+IF($G$10=$E$10,$F$10,IF(T884&lt;($F$10-$E$10)/($G$10-$E$10),$E$10+SQRT(T884*($G$10-$E$10)*($F$10-$E$10)),$G$10-SQRT((1-T884)*($G$10-$E$10)*($G$10-$F$10))))</f>
        <v>1.02812383050617</v>
      </c>
      <c r="G884" s="38" t="n">
        <f aca="false">IF($G$11=$E$11,$F$11,IF(U884&lt;($F$11-$E$11)/($G$11-$E$11),$E$11+SQRT(U884*($G$11-$E$11)*($F$11-$E$11)),$G$11-SQRT((1-U884)*($G$11-$E$11)*($G$11-$F$11))))</f>
        <v>0.102225750316933</v>
      </c>
      <c r="H884" s="39" t="n">
        <f aca="false">(('Business Case'!B11*$C884*'Business Case'!B12*$B884)-'Business Case'!B11*$C884*'Business Case'!B13*$D884-'Business Case'!B14*$E884)-MAX(0,(('Business Case'!B11*$C884*'Business Case'!B12*$B884)-'Business Case'!B11*$C884*'Business Case'!B13*$D884-'Business Case'!B14*$E884))*'Business Case'!$B$7-'Business Case'!$B$8*('Business Case'!B11*$C884*'Business Case'!B12*$B884)-'Business Case'!B15*$F884</f>
        <v>-2056247661.01235</v>
      </c>
      <c r="I884" s="39" t="n">
        <f aca="false">(('Business Case'!C11*$C884*'Business Case'!C12*$B884)-'Business Case'!C11*$C884*'Business Case'!C13*$D884-'Business Case'!C14*$E884)-MAX(0,(('Business Case'!C11*$C884*'Business Case'!C12*$B884)-'Business Case'!C11*$C884*'Business Case'!C13*$D884-'Business Case'!C14*$E884))*'Business Case'!$B$7-'Business Case'!$B$8*(('Business Case'!C11*$C884*'Business Case'!C12*$B884)-('Business Case'!B11*$C884*'Business Case'!B12*$B884))-'Business Case'!C15*$F884</f>
        <v>-47021110.0943357</v>
      </c>
      <c r="J884" s="39" t="n">
        <f aca="false">(('Business Case'!D11*$C884*'Business Case'!D12*$B884)-'Business Case'!D11*$C884*'Business Case'!D13*$D884-'Business Case'!D14*$E884)-MAX(0,(('Business Case'!D11*$C884*'Business Case'!D12*$B884)-'Business Case'!D11*$C884*'Business Case'!D13*$D884-'Business Case'!D14*$E884))*'Business Case'!$B$7-'Business Case'!$B$8*(('Business Case'!D11*$C884*'Business Case'!D12*$B884)-('Business Case'!C11*$C884*'Business Case'!C12*$B884))-'Business Case'!D15*$F884</f>
        <v>201720730.710003</v>
      </c>
      <c r="K884" s="39" t="n">
        <f aca="false">(('Business Case'!E11*$C884*'Business Case'!E12*$B884)-'Business Case'!E11*$C884*'Business Case'!E13*$D884-'Business Case'!E14*$E884)-MAX(0,(('Business Case'!E11*$C884*'Business Case'!E12*$B884)-'Business Case'!E11*$C884*'Business Case'!E13*$D884-'Business Case'!E14*$E884))*'Business Case'!$B$7-'Business Case'!$B$8*(('Business Case'!E11*$C884*'Business Case'!E12*$B884)-('Business Case'!D11*$C884*'Business Case'!D12*$B884))-'Business Case'!E15*$F884</f>
        <v>501868763.03965</v>
      </c>
      <c r="L884" s="39" t="n">
        <f aca="false">(('Business Case'!F11*$C884*'Business Case'!F12*$B884)-'Business Case'!F11*$C884*'Business Case'!F13*$D884-'Business Case'!F14*$E884)-MAX(0,(('Business Case'!F11*$C884*'Business Case'!F12*$B884)-'Business Case'!F11*$C884*'Business Case'!F13*$D884-'Business Case'!F14*$E884))*'Business Case'!$B$7-'Business Case'!$B$8*(('Business Case'!F11*$C884*'Business Case'!F12*$B884)-('Business Case'!E11*$C884*'Business Case'!E12*$B884))-'Business Case'!F15*$F884</f>
        <v>614695695.16944</v>
      </c>
      <c r="M884" s="39" t="n">
        <f aca="false">(('Business Case'!G11*$C884*'Business Case'!G12*$B884)-'Business Case'!G11*$C884*'Business Case'!G13*$D884-'Business Case'!G14*$E884)-MAX(0,(('Business Case'!G11*$C884*'Business Case'!G12*$B884)-'Business Case'!G11*$C884*'Business Case'!G13*$D884-'Business Case'!G14*$E884))*'Business Case'!$B$7-'Business Case'!$B$8*(('Business Case'!G11*$C884*'Business Case'!G12*$B884)-('Business Case'!F11*$C884*'Business Case'!F12*$B884))-'Business Case'!G15*$F884+'Business Case'!$B$8*('Business Case'!G11*$C884*'Business Case'!G12*$B884)</f>
        <v>779217113.741995</v>
      </c>
      <c r="N884" s="39" t="n">
        <f aca="false">IF(COUNT('Business Case'!B11:G11)=0,"",H884+NPV(G884,I884:M884))</f>
        <v>-662655641.634447</v>
      </c>
      <c r="P884" s="40" t="n">
        <f aca="true">RAND()</f>
        <v>0.113992189089182</v>
      </c>
      <c r="Q884" s="40" t="n">
        <f aca="true">RAND()</f>
        <v>0.167084079264998</v>
      </c>
      <c r="R884" s="40" t="n">
        <f aca="true">RAND()</f>
        <v>0.244726856192272</v>
      </c>
      <c r="S884" s="40" t="n">
        <f aca="true">RAND()</f>
        <v>0.770740091042128</v>
      </c>
      <c r="T884" s="40" t="n">
        <f aca="true">RAND()</f>
        <v>0.409171647202595</v>
      </c>
      <c r="U884" s="40" t="n">
        <f aca="true">RAND()</f>
        <v>0.473460080339961</v>
      </c>
    </row>
    <row r="885" customFormat="false" ht="15" hidden="false" customHeight="false" outlineLevel="0" collapsed="false">
      <c r="A885" s="36" t="n">
        <v>805</v>
      </c>
      <c r="B885" s="37" t="n">
        <f aca="false">1+IF($G$6=$E$6,$F$6,IF(P885&lt;($F$6-$E$6)/($G$6-$E$6),$E$6+SQRT(P885*($G$6-$E$6)*($F$6-$E$6)),$G$6-SQRT((1-P885)*($G$6-$E$6)*($G$6-$F$6))))</f>
        <v>0.995443061583784</v>
      </c>
      <c r="C885" s="37" t="n">
        <f aca="false">1+IF($G$7=$E$7,$F$7,IF(Q885&lt;($F$7-$E$7)/($G$7-$E$7),$E$7+SQRT(Q885*($G$7-$E$7)*($F$7-$E$7)),$G$7-SQRT((1-Q885)*($G$7-$E$7)*($G$7-$F$7))))</f>
        <v>0.855080661586682</v>
      </c>
      <c r="D885" s="37" t="n">
        <f aca="false">1+IF($G$8=$E$8,$F$8,IF(R885&lt;($F$8-$E$8)/($G$8-$E$8),$E$8+SQRT(R885*($G$8-$E$8)*($F$8-$E$8)),$G$8-SQRT((1-R885)*($G$8-$E$8)*($G$8-$F$8))))</f>
        <v>1.04013961142786</v>
      </c>
      <c r="E885" s="37" t="n">
        <f aca="false">1+IF($G$9=$E$9,$F$9,IF(S885&lt;($F$9-$E$9)/($G$9-$E$9),$E$9+SQRT(S885*($G$9-$E$9)*($F$9-$E$9)),$G$9-SQRT((1-S885)*($G$9-$E$9)*($G$9-$F$9))))</f>
        <v>0.967410370243104</v>
      </c>
      <c r="F885" s="37" t="n">
        <f aca="false">1+IF($G$10=$E$10,$F$10,IF(T885&lt;($F$10-$E$10)/($G$10-$E$10),$E$10+SQRT(T885*($G$10-$E$10)*($F$10-$E$10)),$G$10-SQRT((1-T885)*($G$10-$E$10)*($G$10-$F$10))))</f>
        <v>0.991568693408556</v>
      </c>
      <c r="G885" s="38" t="n">
        <f aca="false">IF($G$11=$E$11,$F$11,IF(U885&lt;($F$11-$E$11)/($G$11-$E$11),$E$11+SQRT(U885*($G$11-$E$11)*($F$11-$E$11)),$G$11-SQRT((1-U885)*($G$11-$E$11)*($G$11-$F$11))))</f>
        <v>0.0968238332533557</v>
      </c>
      <c r="H885" s="39" t="n">
        <f aca="false">(('Business Case'!B11*$C885*'Business Case'!B12*$B885)-'Business Case'!B11*$C885*'Business Case'!B13*$D885-'Business Case'!B14*$E885)-MAX(0,(('Business Case'!B11*$C885*'Business Case'!B12*$B885)-'Business Case'!B11*$C885*'Business Case'!B13*$D885-'Business Case'!B14*$E885))*'Business Case'!$B$7-'Business Case'!$B$8*('Business Case'!B11*$C885*'Business Case'!B12*$B885)-'Business Case'!B15*$F885</f>
        <v>-1983137386.81711</v>
      </c>
      <c r="I885" s="39" t="n">
        <f aca="false">(('Business Case'!C11*$C885*'Business Case'!C12*$B885)-'Business Case'!C11*$C885*'Business Case'!C13*$D885-'Business Case'!C14*$E885)-MAX(0,(('Business Case'!C11*$C885*'Business Case'!C12*$B885)-'Business Case'!C11*$C885*'Business Case'!C13*$D885-'Business Case'!C14*$E885))*'Business Case'!$B$7-'Business Case'!$B$8*(('Business Case'!C11*$C885*'Business Case'!C12*$B885)-('Business Case'!B11*$C885*'Business Case'!B12*$B885))-'Business Case'!C15*$F885</f>
        <v>-38970256.1086534</v>
      </c>
      <c r="J885" s="39" t="n">
        <f aca="false">(('Business Case'!D11*$C885*'Business Case'!D12*$B885)-'Business Case'!D11*$C885*'Business Case'!D13*$D885-'Business Case'!D14*$E885)-MAX(0,(('Business Case'!D11*$C885*'Business Case'!D12*$B885)-'Business Case'!D11*$C885*'Business Case'!D13*$D885-'Business Case'!D14*$E885))*'Business Case'!$B$7-'Business Case'!$B$8*(('Business Case'!D11*$C885*'Business Case'!D12*$B885)-('Business Case'!C11*$C885*'Business Case'!C12*$B885))-'Business Case'!D15*$F885</f>
        <v>202907496.12114</v>
      </c>
      <c r="K885" s="39" t="n">
        <f aca="false">(('Business Case'!E11*$C885*'Business Case'!E12*$B885)-'Business Case'!E11*$C885*'Business Case'!E13*$D885-'Business Case'!E14*$E885)-MAX(0,(('Business Case'!E11*$C885*'Business Case'!E12*$B885)-'Business Case'!E11*$C885*'Business Case'!E13*$D885-'Business Case'!E14*$E885))*'Business Case'!$B$7-'Business Case'!$B$8*(('Business Case'!E11*$C885*'Business Case'!E12*$B885)-('Business Case'!D11*$C885*'Business Case'!D12*$B885))-'Business Case'!E15*$F885</f>
        <v>494363683.02136</v>
      </c>
      <c r="L885" s="39" t="n">
        <f aca="false">(('Business Case'!F11*$C885*'Business Case'!F12*$B885)-'Business Case'!F11*$C885*'Business Case'!F13*$D885-'Business Case'!F14*$E885)-MAX(0,(('Business Case'!F11*$C885*'Business Case'!F12*$B885)-'Business Case'!F11*$C885*'Business Case'!F13*$D885-'Business Case'!F14*$E885))*'Business Case'!$B$7-'Business Case'!$B$8*(('Business Case'!F11*$C885*'Business Case'!F12*$B885)-('Business Case'!E11*$C885*'Business Case'!E12*$B885))-'Business Case'!F15*$F885</f>
        <v>604406523.330639</v>
      </c>
      <c r="M885" s="39" t="n">
        <f aca="false">(('Business Case'!G11*$C885*'Business Case'!G12*$B885)-'Business Case'!G11*$C885*'Business Case'!G13*$D885-'Business Case'!G14*$E885)-MAX(0,(('Business Case'!G11*$C885*'Business Case'!G12*$B885)-'Business Case'!G11*$C885*'Business Case'!G13*$D885-'Business Case'!G14*$E885))*'Business Case'!$B$7-'Business Case'!$B$8*(('Business Case'!G11*$C885*'Business Case'!G12*$B885)-('Business Case'!F11*$C885*'Business Case'!F12*$B885))-'Business Case'!G15*$F885+'Business Case'!$B$8*('Business Case'!G11*$C885*'Business Case'!G12*$B885)</f>
        <v>766199599.27705</v>
      </c>
      <c r="N885" s="39" t="n">
        <f aca="false">IF(COUNT('Business Case'!B11:G11)=0,"",H885+NPV(G885,I885:M885))</f>
        <v>-575045593.078201</v>
      </c>
      <c r="P885" s="40" t="n">
        <f aca="true">RAND()</f>
        <v>0.592880785534864</v>
      </c>
      <c r="Q885" s="40" t="n">
        <f aca="true">RAND()</f>
        <v>0.0433411325832368</v>
      </c>
      <c r="R885" s="40" t="n">
        <f aca="true">RAND()</f>
        <v>0.847225906045928</v>
      </c>
      <c r="S885" s="40" t="n">
        <f aca="true">RAND()</f>
        <v>0.0404161322669261</v>
      </c>
      <c r="T885" s="40" t="n">
        <f aca="true">RAND()</f>
        <v>0.138236501735564</v>
      </c>
      <c r="U885" s="40" t="n">
        <f aca="true">RAND()</f>
        <v>0.155215667565342</v>
      </c>
    </row>
    <row r="886" customFormat="false" ht="15" hidden="false" customHeight="false" outlineLevel="0" collapsed="false">
      <c r="A886" s="36" t="n">
        <v>806</v>
      </c>
      <c r="B886" s="37" t="n">
        <f aca="false">1+IF($G$6=$E$6,$F$6,IF(P886&lt;($F$6-$E$6)/($G$6-$E$6),$E$6+SQRT(P886*($G$6-$E$6)*($F$6-$E$6)),$G$6-SQRT((1-P886)*($G$6-$E$6)*($G$6-$F$6))))</f>
        <v>1.02676775184372</v>
      </c>
      <c r="C886" s="37" t="n">
        <f aca="false">1+IF($G$7=$E$7,$F$7,IF(Q886&lt;($F$7-$E$7)/($G$7-$E$7),$E$7+SQRT(Q886*($G$7-$E$7)*($F$7-$E$7)),$G$7-SQRT((1-Q886)*($G$7-$E$7)*($G$7-$F$7))))</f>
        <v>1.01564054078978</v>
      </c>
      <c r="D886" s="37" t="n">
        <f aca="false">1+IF($G$8=$E$8,$F$8,IF(R886&lt;($F$8-$E$8)/($G$8-$E$8),$E$8+SQRT(R886*($G$8-$E$8)*($F$8-$E$8)),$G$8-SQRT((1-R886)*($G$8-$E$8)*($G$8-$F$8))))</f>
        <v>0.991179727771244</v>
      </c>
      <c r="E886" s="37" t="n">
        <f aca="false">1+IF($G$9=$E$9,$F$9,IF(S886&lt;($F$9-$E$9)/($G$9-$E$9),$E$9+SQRT(S886*($G$9-$E$9)*($F$9-$E$9)),$G$9-SQRT((1-S886)*($G$9-$E$9)*($G$9-$F$9))))</f>
        <v>1.00598801039616</v>
      </c>
      <c r="F886" s="37" t="n">
        <f aca="false">1+IF($G$10=$E$10,$F$10,IF(T886&lt;($F$10-$E$10)/($G$10-$E$10),$E$10+SQRT(T886*($G$10-$E$10)*($F$10-$E$10)),$G$10-SQRT((1-T886)*($G$10-$E$10)*($G$10-$F$10))))</f>
        <v>1.01705142112152</v>
      </c>
      <c r="G886" s="38" t="n">
        <f aca="false">IF($G$11=$E$11,$F$11,IF(U886&lt;($F$11-$E$11)/($G$11-$E$11),$E$11+SQRT(U886*($G$11-$E$11)*($F$11-$E$11)),$G$11-SQRT((1-U886)*($G$11-$E$11)*($G$11-$F$11))))</f>
        <v>0.102581277042692</v>
      </c>
      <c r="H886" s="39" t="n">
        <f aca="false">(('Business Case'!B11*$C886*'Business Case'!B12*$B886)-'Business Case'!B11*$C886*'Business Case'!B13*$D886-'Business Case'!B14*$E886)-MAX(0,(('Business Case'!B11*$C886*'Business Case'!B12*$B886)-'Business Case'!B11*$C886*'Business Case'!B13*$D886-'Business Case'!B14*$E886))*'Business Case'!$B$7-'Business Case'!$B$8*('Business Case'!B11*$C886*'Business Case'!B12*$B886)-'Business Case'!B15*$F886</f>
        <v>-2034102842.24304</v>
      </c>
      <c r="I886" s="39" t="n">
        <f aca="false">(('Business Case'!C11*$C886*'Business Case'!C12*$B886)-'Business Case'!C11*$C886*'Business Case'!C13*$D886-'Business Case'!C14*$E886)-MAX(0,(('Business Case'!C11*$C886*'Business Case'!C12*$B886)-'Business Case'!C11*$C886*'Business Case'!C13*$D886-'Business Case'!C14*$E886))*'Business Case'!$B$7-'Business Case'!$B$8*(('Business Case'!C11*$C886*'Business Case'!C12*$B886)-('Business Case'!B11*$C886*'Business Case'!B12*$B886))-'Business Case'!C15*$F886</f>
        <v>39992762.3964283</v>
      </c>
      <c r="J886" s="39" t="n">
        <f aca="false">(('Business Case'!D11*$C886*'Business Case'!D12*$B886)-'Business Case'!D11*$C886*'Business Case'!D13*$D886-'Business Case'!D14*$E886)-MAX(0,(('Business Case'!D11*$C886*'Business Case'!D12*$B886)-'Business Case'!D11*$C886*'Business Case'!D13*$D886-'Business Case'!D14*$E886))*'Business Case'!$B$7-'Business Case'!$B$8*(('Business Case'!D11*$C886*'Business Case'!D12*$B886)-('Business Case'!C11*$C886*'Business Case'!C12*$B886))-'Business Case'!D15*$F886</f>
        <v>378802311.317481</v>
      </c>
      <c r="K886" s="39" t="n">
        <f aca="false">(('Business Case'!E11*$C886*'Business Case'!E12*$B886)-'Business Case'!E11*$C886*'Business Case'!E13*$D886-'Business Case'!E14*$E886)-MAX(0,(('Business Case'!E11*$C886*'Business Case'!E12*$B886)-'Business Case'!E11*$C886*'Business Case'!E13*$D886-'Business Case'!E14*$E886))*'Business Case'!$B$7-'Business Case'!$B$8*(('Business Case'!E11*$C886*'Business Case'!E12*$B886)-('Business Case'!D11*$C886*'Business Case'!D12*$B886))-'Business Case'!E15*$F886</f>
        <v>768464431.294609</v>
      </c>
      <c r="L886" s="39" t="n">
        <f aca="false">(('Business Case'!F11*$C886*'Business Case'!F12*$B886)-'Business Case'!F11*$C886*'Business Case'!F13*$D886-'Business Case'!F14*$E886)-MAX(0,(('Business Case'!F11*$C886*'Business Case'!F12*$B886)-'Business Case'!F11*$C886*'Business Case'!F13*$D886-'Business Case'!F14*$E886))*'Business Case'!$B$7-'Business Case'!$B$8*(('Business Case'!F11*$C886*'Business Case'!F12*$B886)-('Business Case'!E11*$C886*'Business Case'!E12*$B886))-'Business Case'!F15*$F886</f>
        <v>917441047.15772</v>
      </c>
      <c r="M886" s="39" t="n">
        <f aca="false">(('Business Case'!G11*$C886*'Business Case'!G12*$B886)-'Business Case'!G11*$C886*'Business Case'!G13*$D886-'Business Case'!G14*$E886)-MAX(0,(('Business Case'!G11*$C886*'Business Case'!G12*$B886)-'Business Case'!G11*$C886*'Business Case'!G13*$D886-'Business Case'!G14*$E886))*'Business Case'!$B$7-'Business Case'!$B$8*(('Business Case'!G11*$C886*'Business Case'!G12*$B886)-('Business Case'!F11*$C886*'Business Case'!F12*$B886))-'Business Case'!G15*$F886+'Business Case'!$B$8*('Business Case'!G11*$C886*'Business Case'!G12*$B886)</f>
        <v>1115661594.71623</v>
      </c>
      <c r="N886" s="39" t="n">
        <f aca="false">IF(COUNT('Business Case'!B11:G11)=0,"",H886+NPV(G886,I886:M886))</f>
        <v>192522107.388927</v>
      </c>
      <c r="P886" s="40" t="n">
        <f aca="true">RAND()</f>
        <v>0.96352241848552</v>
      </c>
      <c r="Q886" s="40" t="n">
        <f aca="true">RAND()</f>
        <v>0.656143537537865</v>
      </c>
      <c r="R886" s="40" t="n">
        <f aca="true">RAND()</f>
        <v>0.260887689125192</v>
      </c>
      <c r="S886" s="40" t="n">
        <f aca="true">RAND()</f>
        <v>0.410783054048434</v>
      </c>
      <c r="T886" s="40" t="n">
        <f aca="true">RAND()</f>
        <v>0.330596349726875</v>
      </c>
      <c r="U886" s="40" t="n">
        <f aca="true">RAND()</f>
        <v>0.494313484227601</v>
      </c>
    </row>
    <row r="887" customFormat="false" ht="15" hidden="false" customHeight="false" outlineLevel="0" collapsed="false">
      <c r="A887" s="36" t="n">
        <v>807</v>
      </c>
      <c r="B887" s="37" t="n">
        <f aca="false">1+IF($G$6=$E$6,$F$6,IF(P887&lt;($F$6-$E$6)/($G$6-$E$6),$E$6+SQRT(P887*($G$6-$E$6)*($F$6-$E$6)),$G$6-SQRT((1-P887)*($G$6-$E$6)*($G$6-$F$6))))</f>
        <v>1.01838923286421</v>
      </c>
      <c r="C887" s="37" t="n">
        <f aca="false">1+IF($G$7=$E$7,$F$7,IF(Q887&lt;($F$7-$E$7)/($G$7-$E$7),$E$7+SQRT(Q887*($G$7-$E$7)*($F$7-$E$7)),$G$7-SQRT((1-Q887)*($G$7-$E$7)*($G$7-$F$7))))</f>
        <v>0.891108862706809</v>
      </c>
      <c r="D887" s="37" t="n">
        <f aca="false">1+IF($G$8=$E$8,$F$8,IF(R887&lt;($F$8-$E$8)/($G$8-$E$8),$E$8+SQRT(R887*($G$8-$E$8)*($F$8-$E$8)),$G$8-SQRT((1-R887)*($G$8-$E$8)*($G$8-$F$8))))</f>
        <v>0.989559988558891</v>
      </c>
      <c r="E887" s="37" t="n">
        <f aca="false">1+IF($G$9=$E$9,$F$9,IF(S887&lt;($F$9-$E$9)/($G$9-$E$9),$E$9+SQRT(S887*($G$9-$E$9)*($F$9-$E$9)),$G$9-SQRT((1-S887)*($G$9-$E$9)*($G$9-$F$9))))</f>
        <v>1.01812258182498</v>
      </c>
      <c r="F887" s="37" t="n">
        <f aca="false">1+IF($G$10=$E$10,$F$10,IF(T887&lt;($F$10-$E$10)/($G$10-$E$10),$E$10+SQRT(T887*($G$10-$E$10)*($F$10-$E$10)),$G$10-SQRT((1-T887)*($G$10-$E$10)*($G$10-$F$10))))</f>
        <v>1.05341911859142</v>
      </c>
      <c r="G887" s="38" t="n">
        <f aca="false">IF($G$11=$E$11,$F$11,IF(U887&lt;($F$11-$E$11)/($G$11-$E$11),$E$11+SQRT(U887*($G$11-$E$11)*($F$11-$E$11)),$G$11-SQRT((1-U887)*($G$11-$E$11)*($G$11-$F$11))))</f>
        <v>0.0953148272945126</v>
      </c>
      <c r="H887" s="39" t="n">
        <f aca="false">(('Business Case'!B11*$C887*'Business Case'!B12*$B887)-'Business Case'!B11*$C887*'Business Case'!B13*$D887-'Business Case'!B14*$E887)-MAX(0,(('Business Case'!B11*$C887*'Business Case'!B12*$B887)-'Business Case'!B11*$C887*'Business Case'!B13*$D887-'Business Case'!B14*$E887))*'Business Case'!$B$7-'Business Case'!$B$8*('Business Case'!B11*$C887*'Business Case'!B12*$B887)-'Business Case'!B15*$F887</f>
        <v>-2106838237.18283</v>
      </c>
      <c r="I887" s="39" t="n">
        <f aca="false">(('Business Case'!C11*$C887*'Business Case'!C12*$B887)-'Business Case'!C11*$C887*'Business Case'!C13*$D887-'Business Case'!C14*$E887)-MAX(0,(('Business Case'!C11*$C887*'Business Case'!C12*$B887)-'Business Case'!C11*$C887*'Business Case'!C13*$D887-'Business Case'!C14*$E887))*'Business Case'!$B$7-'Business Case'!$B$8*(('Business Case'!C11*$C887*'Business Case'!C12*$B887)-('Business Case'!B11*$C887*'Business Case'!B12*$B887))-'Business Case'!C15*$F887</f>
        <v>-5273185.92273472</v>
      </c>
      <c r="J887" s="39" t="n">
        <f aca="false">(('Business Case'!D11*$C887*'Business Case'!D12*$B887)-'Business Case'!D11*$C887*'Business Case'!D13*$D887-'Business Case'!D14*$E887)-MAX(0,(('Business Case'!D11*$C887*'Business Case'!D12*$B887)-'Business Case'!D11*$C887*'Business Case'!D13*$D887-'Business Case'!D14*$E887))*'Business Case'!$B$7-'Business Case'!$B$8*(('Business Case'!D11*$C887*'Business Case'!D12*$B887)-('Business Case'!C11*$C887*'Business Case'!C12*$B887))-'Business Case'!D15*$F887</f>
        <v>286617146.738515</v>
      </c>
      <c r="K887" s="39" t="n">
        <f aca="false">(('Business Case'!E11*$C887*'Business Case'!E12*$B887)-'Business Case'!E11*$C887*'Business Case'!E13*$D887-'Business Case'!E14*$E887)-MAX(0,(('Business Case'!E11*$C887*'Business Case'!E12*$B887)-'Business Case'!E11*$C887*'Business Case'!E13*$D887-'Business Case'!E14*$E887))*'Business Case'!$B$7-'Business Case'!$B$8*(('Business Case'!E11*$C887*'Business Case'!E12*$B887)-('Business Case'!D11*$C887*'Business Case'!D12*$B887))-'Business Case'!E15*$F887</f>
        <v>631178435.329335</v>
      </c>
      <c r="L887" s="39" t="n">
        <f aca="false">(('Business Case'!F11*$C887*'Business Case'!F12*$B887)-'Business Case'!F11*$C887*'Business Case'!F13*$D887-'Business Case'!F14*$E887)-MAX(0,(('Business Case'!F11*$C887*'Business Case'!F12*$B887)-'Business Case'!F11*$C887*'Business Case'!F13*$D887-'Business Case'!F14*$E887))*'Business Case'!$B$7-'Business Case'!$B$8*(('Business Case'!F11*$C887*'Business Case'!F12*$B887)-('Business Case'!E11*$C887*'Business Case'!E12*$B887))-'Business Case'!F15*$F887</f>
        <v>759838263.275972</v>
      </c>
      <c r="M887" s="39" t="n">
        <f aca="false">(('Business Case'!G11*$C887*'Business Case'!G12*$B887)-'Business Case'!G11*$C887*'Business Case'!G13*$D887-'Business Case'!G14*$E887)-MAX(0,(('Business Case'!G11*$C887*'Business Case'!G12*$B887)-'Business Case'!G11*$C887*'Business Case'!G13*$D887-'Business Case'!G14*$E887))*'Business Case'!$B$7-'Business Case'!$B$8*(('Business Case'!G11*$C887*'Business Case'!G12*$B887)-('Business Case'!F11*$C887*'Business Case'!F12*$B887))-'Business Case'!G15*$F887+'Business Case'!$B$8*('Business Case'!G11*$C887*'Business Case'!G12*$B887)</f>
        <v>932335040.436851</v>
      </c>
      <c r="N887" s="39" t="n">
        <f aca="false">IF(COUNT('Business Case'!B11:G11)=0,"",H887+NPV(G887,I887:M887))</f>
        <v>-273112111.872746</v>
      </c>
      <c r="P887" s="40" t="n">
        <f aca="true">RAND()</f>
        <v>0.90270307162556</v>
      </c>
      <c r="Q887" s="40" t="n">
        <f aca="true">RAND()</f>
        <v>0.118583212338974</v>
      </c>
      <c r="R887" s="40" t="n">
        <f aca="true">RAND()</f>
        <v>0.240768106889165</v>
      </c>
      <c r="S887" s="40" t="n">
        <f aca="true">RAND()</f>
        <v>0.553072559532807</v>
      </c>
      <c r="T887" s="40" t="n">
        <f aca="true">RAND()</f>
        <v>0.57028090410966</v>
      </c>
      <c r="U887" s="40" t="n">
        <f aca="true">RAND()</f>
        <v>0.0941579639016526</v>
      </c>
    </row>
    <row r="888" customFormat="false" ht="15" hidden="false" customHeight="false" outlineLevel="0" collapsed="false">
      <c r="A888" s="36" t="n">
        <v>808</v>
      </c>
      <c r="B888" s="37" t="n">
        <f aca="false">1+IF($G$6=$E$6,$F$6,IF(P888&lt;($F$6-$E$6)/($G$6-$E$6),$E$6+SQRT(P888*($G$6-$E$6)*($F$6-$E$6)),$G$6-SQRT((1-P888)*($G$6-$E$6)*($G$6-$F$6))))</f>
        <v>1.01570655230954</v>
      </c>
      <c r="C888" s="37" t="n">
        <f aca="false">1+IF($G$7=$E$7,$F$7,IF(Q888&lt;($F$7-$E$7)/($G$7-$E$7),$E$7+SQRT(Q888*($G$7-$E$7)*($F$7-$E$7)),$G$7-SQRT((1-Q888)*($G$7-$E$7)*($G$7-$F$7))))</f>
        <v>0.913239432989799</v>
      </c>
      <c r="D888" s="37" t="n">
        <f aca="false">1+IF($G$8=$E$8,$F$8,IF(R888&lt;($F$8-$E$8)/($G$8-$E$8),$E$8+SQRT(R888*($G$8-$E$8)*($F$8-$E$8)),$G$8-SQRT((1-R888)*($G$8-$E$8)*($G$8-$F$8))))</f>
        <v>1.00448317766195</v>
      </c>
      <c r="E888" s="37" t="n">
        <f aca="false">1+IF($G$9=$E$9,$F$9,IF(S888&lt;($F$9-$E$9)/($G$9-$E$9),$E$9+SQRT(S888*($G$9-$E$9)*($F$9-$E$9)),$G$9-SQRT((1-S888)*($G$9-$E$9)*($G$9-$F$9))))</f>
        <v>0.985556656342456</v>
      </c>
      <c r="F888" s="37" t="n">
        <f aca="false">1+IF($G$10=$E$10,$F$10,IF(T888&lt;($F$10-$E$10)/($G$10-$E$10),$E$10+SQRT(T888*($G$10-$E$10)*($F$10-$E$10)),$G$10-SQRT((1-T888)*($G$10-$E$10)*($G$10-$F$10))))</f>
        <v>1.05406346548979</v>
      </c>
      <c r="G888" s="38" t="n">
        <f aca="false">IF($G$11=$E$11,$F$11,IF(U888&lt;($F$11-$E$11)/($G$11-$E$11),$E$11+SQRT(U888*($G$11-$E$11)*($F$11-$E$11)),$G$11-SQRT((1-U888)*($G$11-$E$11)*($G$11-$F$11))))</f>
        <v>0.100104814272125</v>
      </c>
      <c r="H888" s="39" t="n">
        <f aca="false">(('Business Case'!B11*$C888*'Business Case'!B12*$B888)-'Business Case'!B11*$C888*'Business Case'!B13*$D888-'Business Case'!B14*$E888)-MAX(0,(('Business Case'!B11*$C888*'Business Case'!B12*$B888)-'Business Case'!B11*$C888*'Business Case'!B13*$D888-'Business Case'!B14*$E888))*'Business Case'!$B$7-'Business Case'!$B$8*('Business Case'!B11*$C888*'Business Case'!B12*$B888)-'Business Case'!B15*$F888</f>
        <v>-2108126930.97958</v>
      </c>
      <c r="I888" s="39" t="n">
        <f aca="false">(('Business Case'!C11*$C888*'Business Case'!C12*$B888)-'Business Case'!C11*$C888*'Business Case'!C13*$D888-'Business Case'!C14*$E888)-MAX(0,(('Business Case'!C11*$C888*'Business Case'!C12*$B888)-'Business Case'!C11*$C888*'Business Case'!C13*$D888-'Business Case'!C14*$E888))*'Business Case'!$B$7-'Business Case'!$B$8*(('Business Case'!C11*$C888*'Business Case'!C12*$B888)-('Business Case'!B11*$C888*'Business Case'!B12*$B888))-'Business Case'!C15*$F888</f>
        <v>-3482372.02139233</v>
      </c>
      <c r="J888" s="39" t="n">
        <f aca="false">(('Business Case'!D11*$C888*'Business Case'!D12*$B888)-'Business Case'!D11*$C888*'Business Case'!D13*$D888-'Business Case'!D14*$E888)-MAX(0,(('Business Case'!D11*$C888*'Business Case'!D12*$B888)-'Business Case'!D11*$C888*'Business Case'!D13*$D888-'Business Case'!D14*$E888))*'Business Case'!$B$7-'Business Case'!$B$8*(('Business Case'!D11*$C888*'Business Case'!D12*$B888)-('Business Case'!C11*$C888*'Business Case'!C12*$B888))-'Business Case'!D15*$F888</f>
        <v>286673676.061535</v>
      </c>
      <c r="K888" s="39" t="n">
        <f aca="false">(('Business Case'!E11*$C888*'Business Case'!E12*$B888)-'Business Case'!E11*$C888*'Business Case'!E13*$D888-'Business Case'!E14*$E888)-MAX(0,(('Business Case'!E11*$C888*'Business Case'!E12*$B888)-'Business Case'!E11*$C888*'Business Case'!E13*$D888-'Business Case'!E14*$E888))*'Business Case'!$B$7-'Business Case'!$B$8*(('Business Case'!E11*$C888*'Business Case'!E12*$B888)-('Business Case'!D11*$C888*'Business Case'!D12*$B888))-'Business Case'!E15*$F888</f>
        <v>629532897.418952</v>
      </c>
      <c r="L888" s="39" t="n">
        <f aca="false">(('Business Case'!F11*$C888*'Business Case'!F12*$B888)-'Business Case'!F11*$C888*'Business Case'!F13*$D888-'Business Case'!F14*$E888)-MAX(0,(('Business Case'!F11*$C888*'Business Case'!F12*$B888)-'Business Case'!F11*$C888*'Business Case'!F13*$D888-'Business Case'!F14*$E888))*'Business Case'!$B$7-'Business Case'!$B$8*(('Business Case'!F11*$C888*'Business Case'!F12*$B888)-('Business Case'!E11*$C888*'Business Case'!E12*$B888))-'Business Case'!F15*$F888</f>
        <v>758308858.12889</v>
      </c>
      <c r="M888" s="39" t="n">
        <f aca="false">(('Business Case'!G11*$C888*'Business Case'!G12*$B888)-'Business Case'!G11*$C888*'Business Case'!G13*$D888-'Business Case'!G14*$E888)-MAX(0,(('Business Case'!G11*$C888*'Business Case'!G12*$B888)-'Business Case'!G11*$C888*'Business Case'!G13*$D888-'Business Case'!G14*$E888))*'Business Case'!$B$7-'Business Case'!$B$8*(('Business Case'!G11*$C888*'Business Case'!G12*$B888)-('Business Case'!F11*$C888*'Business Case'!F12*$B888))-'Business Case'!G15*$F888+'Business Case'!$B$8*('Business Case'!G11*$C888*'Business Case'!G12*$B888)</f>
        <v>934623887.214849</v>
      </c>
      <c r="N888" s="39" t="n">
        <f aca="false">IF(COUNT('Business Case'!B11:G11)=0,"",H888+NPV(G888,I888:M888))</f>
        <v>-303785679.10412</v>
      </c>
      <c r="P888" s="40" t="n">
        <f aca="true">RAND()</f>
        <v>0.877047583189768</v>
      </c>
      <c r="Q888" s="40" t="n">
        <f aca="true">RAND()</f>
        <v>0.183188131197872</v>
      </c>
      <c r="R888" s="40" t="n">
        <f aca="true">RAND()</f>
        <v>0.45165476384269</v>
      </c>
      <c r="S888" s="40" t="n">
        <f aca="true">RAND()</f>
        <v>0.168570108034064</v>
      </c>
      <c r="T888" s="40" t="n">
        <f aca="true">RAND()</f>
        <v>0.574050557903016</v>
      </c>
      <c r="U888" s="40" t="n">
        <f aca="true">RAND()</f>
        <v>0.34030264142224</v>
      </c>
    </row>
    <row r="889" customFormat="false" ht="15" hidden="false" customHeight="false" outlineLevel="0" collapsed="false">
      <c r="A889" s="36" t="n">
        <v>809</v>
      </c>
      <c r="B889" s="37" t="n">
        <f aca="false">1+IF($G$6=$E$6,$F$6,IF(P889&lt;($F$6-$E$6)/($G$6-$E$6),$E$6+SQRT(P889*($G$6-$E$6)*($F$6-$E$6)),$G$6-SQRT((1-P889)*($G$6-$E$6)*($G$6-$F$6))))</f>
        <v>1.01224291169434</v>
      </c>
      <c r="C889" s="37" t="n">
        <f aca="false">1+IF($G$7=$E$7,$F$7,IF(Q889&lt;($F$7-$E$7)/($G$7-$E$7),$E$7+SQRT(Q889*($G$7-$E$7)*($F$7-$E$7)),$G$7-SQRT((1-Q889)*($G$7-$E$7)*($G$7-$F$7))))</f>
        <v>1.01860615415954</v>
      </c>
      <c r="D889" s="37" t="n">
        <f aca="false">1+IF($G$8=$E$8,$F$8,IF(R889&lt;($F$8-$E$8)/($G$8-$E$8),$E$8+SQRT(R889*($G$8-$E$8)*($F$8-$E$8)),$G$8-SQRT((1-R889)*($G$8-$E$8)*($G$8-$F$8))))</f>
        <v>0.993508177122113</v>
      </c>
      <c r="E889" s="37" t="n">
        <f aca="false">1+IF($G$9=$E$9,$F$9,IF(S889&lt;($F$9-$E$9)/($G$9-$E$9),$E$9+SQRT(S889*($G$9-$E$9)*($F$9-$E$9)),$G$9-SQRT((1-S889)*($G$9-$E$9)*($G$9-$F$9))))</f>
        <v>1.09596974828533</v>
      </c>
      <c r="F889" s="37" t="n">
        <f aca="false">1+IF($G$10=$E$10,$F$10,IF(T889&lt;($F$10-$E$10)/($G$10-$E$10),$E$10+SQRT(T889*($G$10-$E$10)*($F$10-$E$10)),$G$10-SQRT((1-T889)*($G$10-$E$10)*($G$10-$F$10))))</f>
        <v>1.02636811786808</v>
      </c>
      <c r="G889" s="38" t="n">
        <f aca="false">IF($G$11=$E$11,$F$11,IF(U889&lt;($F$11-$E$11)/($G$11-$E$11),$E$11+SQRT(U889*($G$11-$E$11)*($F$11-$E$11)),$G$11-SQRT((1-U889)*($G$11-$E$11)*($G$11-$F$11))))</f>
        <v>0.110876149026497</v>
      </c>
      <c r="H889" s="39" t="n">
        <f aca="false">(('Business Case'!B11*$C889*'Business Case'!B12*$B889)-'Business Case'!B11*$C889*'Business Case'!B13*$D889-'Business Case'!B14*$E889)-MAX(0,(('Business Case'!B11*$C889*'Business Case'!B12*$B889)-'Business Case'!B11*$C889*'Business Case'!B13*$D889-'Business Case'!B14*$E889))*'Business Case'!$B$7-'Business Case'!$B$8*('Business Case'!B11*$C889*'Business Case'!B12*$B889)-'Business Case'!B15*$F889</f>
        <v>-2052736235.73616</v>
      </c>
      <c r="I889" s="39" t="n">
        <f aca="false">(('Business Case'!C11*$C889*'Business Case'!C12*$B889)-'Business Case'!C11*$C889*'Business Case'!C13*$D889-'Business Case'!C14*$E889)-MAX(0,(('Business Case'!C11*$C889*'Business Case'!C12*$B889)-'Business Case'!C11*$C889*'Business Case'!C13*$D889-'Business Case'!C14*$E889))*'Business Case'!$B$7-'Business Case'!$B$8*(('Business Case'!C11*$C889*'Business Case'!C12*$B889)-('Business Case'!B11*$C889*'Business Case'!B12*$B889))-'Business Case'!C15*$F889</f>
        <v>14531716.214789</v>
      </c>
      <c r="J889" s="39" t="n">
        <f aca="false">(('Business Case'!D11*$C889*'Business Case'!D12*$B889)-'Business Case'!D11*$C889*'Business Case'!D13*$D889-'Business Case'!D14*$E889)-MAX(0,(('Business Case'!D11*$C889*'Business Case'!D12*$B889)-'Business Case'!D11*$C889*'Business Case'!D13*$D889-'Business Case'!D14*$E889))*'Business Case'!$B$7-'Business Case'!$B$8*(('Business Case'!D11*$C889*'Business Case'!D12*$B889)-('Business Case'!C11*$C889*'Business Case'!C12*$B889))-'Business Case'!D15*$F889</f>
        <v>340998166.811587</v>
      </c>
      <c r="K889" s="39" t="n">
        <f aca="false">(('Business Case'!E11*$C889*'Business Case'!E12*$B889)-'Business Case'!E11*$C889*'Business Case'!E13*$D889-'Business Case'!E14*$E889)-MAX(0,(('Business Case'!E11*$C889*'Business Case'!E12*$B889)-'Business Case'!E11*$C889*'Business Case'!E13*$D889-'Business Case'!E14*$E889))*'Business Case'!$B$7-'Business Case'!$B$8*(('Business Case'!E11*$C889*'Business Case'!E12*$B889)-('Business Case'!D11*$C889*'Business Case'!D12*$B889))-'Business Case'!E15*$F889</f>
        <v>718783023.30179</v>
      </c>
      <c r="L889" s="39" t="n">
        <f aca="false">(('Business Case'!F11*$C889*'Business Case'!F12*$B889)-'Business Case'!F11*$C889*'Business Case'!F13*$D889-'Business Case'!F14*$E889)-MAX(0,(('Business Case'!F11*$C889*'Business Case'!F12*$B889)-'Business Case'!F11*$C889*'Business Case'!F13*$D889-'Business Case'!F14*$E889))*'Business Case'!$B$7-'Business Case'!$B$8*(('Business Case'!F11*$C889*'Business Case'!F12*$B889)-('Business Case'!E11*$C889*'Business Case'!E12*$B889))-'Business Case'!F15*$F889</f>
        <v>863239189.760074</v>
      </c>
      <c r="M889" s="39" t="n">
        <f aca="false">(('Business Case'!G11*$C889*'Business Case'!G12*$B889)-'Business Case'!G11*$C889*'Business Case'!G13*$D889-'Business Case'!G14*$E889)-MAX(0,(('Business Case'!G11*$C889*'Business Case'!G12*$B889)-'Business Case'!G11*$C889*'Business Case'!G13*$D889-'Business Case'!G14*$E889))*'Business Case'!$B$7-'Business Case'!$B$8*(('Business Case'!G11*$C889*'Business Case'!G12*$B889)-('Business Case'!F11*$C889*'Business Case'!F12*$B889))-'Business Case'!G15*$F889+'Business Case'!$B$8*('Business Case'!G11*$C889*'Business Case'!G12*$B889)</f>
        <v>1059226279.18651</v>
      </c>
      <c r="N889" s="39" t="n">
        <f aca="false">IF(COUNT('Business Case'!B11:G11)=0,"",H889+NPV(G889,I889:M889))</f>
        <v>-46029347.1444676</v>
      </c>
      <c r="P889" s="40" t="n">
        <f aca="true">RAND()</f>
        <v>0.839488343498299</v>
      </c>
      <c r="Q889" s="40" t="n">
        <f aca="true">RAND()</f>
        <v>0.671155376671479</v>
      </c>
      <c r="R889" s="40" t="n">
        <f aca="true">RAND()</f>
        <v>0.291224842536796</v>
      </c>
      <c r="S889" s="40" t="n">
        <f aca="true">RAND()</f>
        <v>0.998917138074429</v>
      </c>
      <c r="T889" s="40" t="n">
        <f aca="true">RAND()</f>
        <v>0.397039390146555</v>
      </c>
      <c r="U889" s="40" t="n">
        <f aca="true">RAND()</f>
        <v>0.861258905688838</v>
      </c>
    </row>
    <row r="890" customFormat="false" ht="15" hidden="false" customHeight="false" outlineLevel="0" collapsed="false">
      <c r="A890" s="36" t="n">
        <v>810</v>
      </c>
      <c r="B890" s="37" t="n">
        <f aca="false">1+IF($G$6=$E$6,$F$6,IF(P890&lt;($F$6-$E$6)/($G$6-$E$6),$E$6+SQRT(P890*($G$6-$E$6)*($F$6-$E$6)),$G$6-SQRT((1-P890)*($G$6-$E$6)*($G$6-$F$6))))</f>
        <v>0.935369334816054</v>
      </c>
      <c r="C890" s="37" t="n">
        <f aca="false">1+IF($G$7=$E$7,$F$7,IF(Q890&lt;($F$7-$E$7)/($G$7-$E$7),$E$7+SQRT(Q890*($G$7-$E$7)*($F$7-$E$7)),$G$7-SQRT((1-Q890)*($G$7-$E$7)*($G$7-$F$7))))</f>
        <v>1.01290654494877</v>
      </c>
      <c r="D890" s="37" t="n">
        <f aca="false">1+IF($G$8=$E$8,$F$8,IF(R890&lt;($F$8-$E$8)/($G$8-$E$8),$E$8+SQRT(R890*($G$8-$E$8)*($F$8-$E$8)),$G$8-SQRT((1-R890)*($G$8-$E$8)*($G$8-$F$8))))</f>
        <v>1.01514790218788</v>
      </c>
      <c r="E890" s="37" t="n">
        <f aca="false">1+IF($G$9=$E$9,$F$9,IF(S890&lt;($F$9-$E$9)/($G$9-$E$9),$E$9+SQRT(S890*($G$9-$E$9)*($F$9-$E$9)),$G$9-SQRT((1-S890)*($G$9-$E$9)*($G$9-$F$9))))</f>
        <v>1.00829754144386</v>
      </c>
      <c r="F890" s="37" t="n">
        <f aca="false">1+IF($G$10=$E$10,$F$10,IF(T890&lt;($F$10-$E$10)/($G$10-$E$10),$E$10+SQRT(T890*($G$10-$E$10)*($F$10-$E$10)),$G$10-SQRT((1-T890)*($G$10-$E$10)*($G$10-$F$10))))</f>
        <v>1.0325170375831</v>
      </c>
      <c r="G890" s="38" t="n">
        <f aca="false">IF($G$11=$E$11,$F$11,IF(U890&lt;($F$11-$E$11)/($G$11-$E$11),$E$11+SQRT(U890*($G$11-$E$11)*($F$11-$E$11)),$G$11-SQRT((1-U890)*($G$11-$E$11)*($G$11-$F$11))))</f>
        <v>0.0998463192919122</v>
      </c>
      <c r="H890" s="39" t="n">
        <f aca="false">(('Business Case'!B11*$C890*'Business Case'!B12*$B890)-'Business Case'!B11*$C890*'Business Case'!B13*$D890-'Business Case'!B14*$E890)-MAX(0,(('Business Case'!B11*$C890*'Business Case'!B12*$B890)-'Business Case'!B11*$C890*'Business Case'!B13*$D890-'Business Case'!B14*$E890))*'Business Case'!$B$7-'Business Case'!$B$8*('Business Case'!B11*$C890*'Business Case'!B12*$B890)-'Business Case'!B15*$F890</f>
        <v>-2065034075.16619</v>
      </c>
      <c r="I890" s="39" t="n">
        <f aca="false">(('Business Case'!C11*$C890*'Business Case'!C12*$B890)-'Business Case'!C11*$C890*'Business Case'!C13*$D890-'Business Case'!C14*$E890)-MAX(0,(('Business Case'!C11*$C890*'Business Case'!C12*$B890)-'Business Case'!C11*$C890*'Business Case'!C13*$D890-'Business Case'!C14*$E890))*'Business Case'!$B$7-'Business Case'!$B$8*(('Business Case'!C11*$C890*'Business Case'!C12*$B890)-('Business Case'!B11*$C890*'Business Case'!B12*$B890))-'Business Case'!C15*$F890</f>
        <v>-46105724.0904213</v>
      </c>
      <c r="J890" s="39" t="n">
        <f aca="false">(('Business Case'!D11*$C890*'Business Case'!D12*$B890)-'Business Case'!D11*$C890*'Business Case'!D13*$D890-'Business Case'!D14*$E890)-MAX(0,(('Business Case'!D11*$C890*'Business Case'!D12*$B890)-'Business Case'!D11*$C890*'Business Case'!D13*$D890-'Business Case'!D14*$E890))*'Business Case'!$B$7-'Business Case'!$B$8*(('Business Case'!D11*$C890*'Business Case'!D12*$B890)-('Business Case'!C11*$C890*'Business Case'!C12*$B890))-'Business Case'!D15*$F890</f>
        <v>203535544.796733</v>
      </c>
      <c r="K890" s="39" t="n">
        <f aca="false">(('Business Case'!E11*$C890*'Business Case'!E12*$B890)-'Business Case'!E11*$C890*'Business Case'!E13*$D890-'Business Case'!E14*$E890)-MAX(0,(('Business Case'!E11*$C890*'Business Case'!E12*$B890)-'Business Case'!E11*$C890*'Business Case'!E13*$D890-'Business Case'!E14*$E890))*'Business Case'!$B$7-'Business Case'!$B$8*(('Business Case'!E11*$C890*'Business Case'!E12*$B890)-('Business Case'!D11*$C890*'Business Case'!D12*$B890))-'Business Case'!E15*$F890</f>
        <v>504802665.563041</v>
      </c>
      <c r="L890" s="39" t="n">
        <f aca="false">(('Business Case'!F11*$C890*'Business Case'!F12*$B890)-'Business Case'!F11*$C890*'Business Case'!F13*$D890-'Business Case'!F14*$E890)-MAX(0,(('Business Case'!F11*$C890*'Business Case'!F12*$B890)-'Business Case'!F11*$C890*'Business Case'!F13*$D890-'Business Case'!F14*$E890))*'Business Case'!$B$7-'Business Case'!$B$8*(('Business Case'!F11*$C890*'Business Case'!F12*$B890)-('Business Case'!E11*$C890*'Business Case'!E12*$B890))-'Business Case'!F15*$F890</f>
        <v>620760007.742725</v>
      </c>
      <c r="M890" s="39" t="n">
        <f aca="false">(('Business Case'!G11*$C890*'Business Case'!G12*$B890)-'Business Case'!G11*$C890*'Business Case'!G13*$D890-'Business Case'!G14*$E890)-MAX(0,(('Business Case'!G11*$C890*'Business Case'!G12*$B890)-'Business Case'!G11*$C890*'Business Case'!G13*$D890-'Business Case'!G14*$E890))*'Business Case'!$B$7-'Business Case'!$B$8*(('Business Case'!G11*$C890*'Business Case'!G12*$B890)-('Business Case'!F11*$C890*'Business Case'!F12*$B890))-'Business Case'!G15*$F890+'Business Case'!$B$8*('Business Case'!G11*$C890*'Business Case'!G12*$B890)</f>
        <v>800849730.104535</v>
      </c>
      <c r="N890" s="39" t="n">
        <f aca="false">IF(COUNT('Business Case'!B11:G11)=0,"",H890+NPV(G890,I890:M890))</f>
        <v>-637434656.614855</v>
      </c>
      <c r="P890" s="40" t="n">
        <f aca="true">RAND()</f>
        <v>0.0246058804883308</v>
      </c>
      <c r="Q890" s="40" t="n">
        <f aca="true">RAND()</f>
        <v>0.64200732537363</v>
      </c>
      <c r="R890" s="40" t="n">
        <f aca="true">RAND()</f>
        <v>0.595596673977671</v>
      </c>
      <c r="S890" s="40" t="n">
        <f aca="true">RAND()</f>
        <v>0.439377272984004</v>
      </c>
      <c r="T890" s="40" t="n">
        <f aca="true">RAND()</f>
        <v>0.43898914600116</v>
      </c>
      <c r="U890" s="40" t="n">
        <f aca="true">RAND()</f>
        <v>0.323166678660941</v>
      </c>
    </row>
    <row r="891" customFormat="false" ht="15" hidden="false" customHeight="false" outlineLevel="0" collapsed="false">
      <c r="A891" s="36" t="n">
        <v>811</v>
      </c>
      <c r="B891" s="37" t="n">
        <f aca="false">1+IF($G$6=$E$6,$F$6,IF(P891&lt;($F$6-$E$6)/($G$6-$E$6),$E$6+SQRT(P891*($G$6-$E$6)*($F$6-$E$6)),$G$6-SQRT((1-P891)*($G$6-$E$6)*($G$6-$F$6))))</f>
        <v>0.997152784648582</v>
      </c>
      <c r="C891" s="37" t="n">
        <f aca="false">1+IF($G$7=$E$7,$F$7,IF(Q891&lt;($F$7-$E$7)/($G$7-$E$7),$E$7+SQRT(Q891*($G$7-$E$7)*($F$7-$E$7)),$G$7-SQRT((1-Q891)*($G$7-$E$7)*($G$7-$F$7))))</f>
        <v>1.08103629705233</v>
      </c>
      <c r="D891" s="37" t="n">
        <f aca="false">1+IF($G$8=$E$8,$F$8,IF(R891&lt;($F$8-$E$8)/($G$8-$E$8),$E$8+SQRT(R891*($G$8-$E$8)*($F$8-$E$8)),$G$8-SQRT((1-R891)*($G$8-$E$8)*($G$8-$F$8))))</f>
        <v>0.992373109193556</v>
      </c>
      <c r="E891" s="37" t="n">
        <f aca="false">1+IF($G$9=$E$9,$F$9,IF(S891&lt;($F$9-$E$9)/($G$9-$E$9),$E$9+SQRT(S891*($G$9-$E$9)*($F$9-$E$9)),$G$9-SQRT((1-S891)*($G$9-$E$9)*($G$9-$F$9))))</f>
        <v>1.04579830648476</v>
      </c>
      <c r="F891" s="37" t="n">
        <f aca="false">1+IF($G$10=$E$10,$F$10,IF(T891&lt;($F$10-$E$10)/($G$10-$E$10),$E$10+SQRT(T891*($G$10-$E$10)*($F$10-$E$10)),$G$10-SQRT((1-T891)*($G$10-$E$10)*($G$10-$F$10))))</f>
        <v>1.00833533296889</v>
      </c>
      <c r="G891" s="38" t="n">
        <f aca="false">IF($G$11=$E$11,$F$11,IF(U891&lt;($F$11-$E$11)/($G$11-$E$11),$E$11+SQRT(U891*($G$11-$E$11)*($F$11-$E$11)),$G$11-SQRT((1-U891)*($G$11-$E$11)*($G$11-$F$11))))</f>
        <v>0.0977708359312646</v>
      </c>
      <c r="H891" s="39" t="n">
        <f aca="false">(('Business Case'!B11*$C891*'Business Case'!B12*$B891)-'Business Case'!B11*$C891*'Business Case'!B13*$D891-'Business Case'!B14*$E891)-MAX(0,(('Business Case'!B11*$C891*'Business Case'!B12*$B891)-'Business Case'!B11*$C891*'Business Case'!B13*$D891-'Business Case'!B14*$E891))*'Business Case'!$B$7-'Business Case'!$B$8*('Business Case'!B11*$C891*'Business Case'!B12*$B891)-'Business Case'!B15*$F891</f>
        <v>-2016670665.93777</v>
      </c>
      <c r="I891" s="39" t="n">
        <f aca="false">(('Business Case'!C11*$C891*'Business Case'!C12*$B891)-'Business Case'!C11*$C891*'Business Case'!C13*$D891-'Business Case'!C14*$E891)-MAX(0,(('Business Case'!C11*$C891*'Business Case'!C12*$B891)-'Business Case'!C11*$C891*'Business Case'!C13*$D891-'Business Case'!C14*$E891))*'Business Case'!$B$7-'Business Case'!$B$8*(('Business Case'!C11*$C891*'Business Case'!C12*$B891)-('Business Case'!B11*$C891*'Business Case'!B12*$B891))-'Business Case'!C15*$F891</f>
        <v>28314742.7740952</v>
      </c>
      <c r="J891" s="39" t="n">
        <f aca="false">(('Business Case'!D11*$C891*'Business Case'!D12*$B891)-'Business Case'!D11*$C891*'Business Case'!D13*$D891-'Business Case'!D14*$E891)-MAX(0,(('Business Case'!D11*$C891*'Business Case'!D12*$B891)-'Business Case'!D11*$C891*'Business Case'!D13*$D891-'Business Case'!D14*$E891))*'Business Case'!$B$7-'Business Case'!$B$8*(('Business Case'!D11*$C891*'Business Case'!D12*$B891)-('Business Case'!C11*$C891*'Business Case'!C12*$B891))-'Business Case'!D15*$F891</f>
        <v>362056899.094005</v>
      </c>
      <c r="K891" s="39" t="n">
        <f aca="false">(('Business Case'!E11*$C891*'Business Case'!E12*$B891)-'Business Case'!E11*$C891*'Business Case'!E13*$D891-'Business Case'!E14*$E891)-MAX(0,(('Business Case'!E11*$C891*'Business Case'!E12*$B891)-'Business Case'!E11*$C891*'Business Case'!E13*$D891-'Business Case'!E14*$E891))*'Business Case'!$B$7-'Business Case'!$B$8*(('Business Case'!E11*$C891*'Business Case'!E12*$B891)-('Business Case'!D11*$C891*'Business Case'!D12*$B891))-'Business Case'!E15*$F891</f>
        <v>746215822.06236</v>
      </c>
      <c r="L891" s="39" t="n">
        <f aca="false">(('Business Case'!F11*$C891*'Business Case'!F12*$B891)-'Business Case'!F11*$C891*'Business Case'!F13*$D891-'Business Case'!F14*$E891)-MAX(0,(('Business Case'!F11*$C891*'Business Case'!F12*$B891)-'Business Case'!F11*$C891*'Business Case'!F13*$D891-'Business Case'!F14*$E891))*'Business Case'!$B$7-'Business Case'!$B$8*(('Business Case'!F11*$C891*'Business Case'!F12*$B891)-('Business Case'!E11*$C891*'Business Case'!E12*$B891))-'Business Case'!F15*$F891</f>
        <v>894717448.213526</v>
      </c>
      <c r="M891" s="39" t="n">
        <f aca="false">(('Business Case'!G11*$C891*'Business Case'!G12*$B891)-'Business Case'!G11*$C891*'Business Case'!G13*$D891-'Business Case'!G14*$E891)-MAX(0,(('Business Case'!G11*$C891*'Business Case'!G12*$B891)-'Business Case'!G11*$C891*'Business Case'!G13*$D891-'Business Case'!G14*$E891))*'Business Case'!$B$7-'Business Case'!$B$8*(('Business Case'!G11*$C891*'Business Case'!G12*$B891)-('Business Case'!F11*$C891*'Business Case'!F12*$B891))-'Business Case'!G15*$F891+'Business Case'!$B$8*('Business Case'!G11*$C891*'Business Case'!G12*$B891)</f>
        <v>1099615772.1251</v>
      </c>
      <c r="N891" s="39" t="n">
        <f aca="false">IF(COUNT('Business Case'!B11:G11)=0,"",H891+NPV(G891,I891:M891))</f>
        <v>179442900.604301</v>
      </c>
      <c r="P891" s="40" t="n">
        <f aca="true">RAND()</f>
        <v>0.620057518649003</v>
      </c>
      <c r="Q891" s="40" t="n">
        <f aca="true">RAND()</f>
        <v>0.909409670014209</v>
      </c>
      <c r="R891" s="40" t="n">
        <f aca="true">RAND()</f>
        <v>0.276227751189075</v>
      </c>
      <c r="S891" s="40" t="n">
        <f aca="true">RAND()</f>
        <v>0.804145094671964</v>
      </c>
      <c r="T891" s="40" t="n">
        <f aca="true">RAND()</f>
        <v>0.265293108237043</v>
      </c>
      <c r="U891" s="40" t="n">
        <f aca="true">RAND()</f>
        <v>0.201286303568775</v>
      </c>
    </row>
    <row r="892" customFormat="false" ht="15" hidden="false" customHeight="false" outlineLevel="0" collapsed="false">
      <c r="A892" s="36" t="n">
        <v>812</v>
      </c>
      <c r="B892" s="37" t="n">
        <f aca="false">1+IF($G$6=$E$6,$F$6,IF(P892&lt;($F$6-$E$6)/($G$6-$E$6),$E$6+SQRT(P892*($G$6-$E$6)*($F$6-$E$6)),$G$6-SQRT((1-P892)*($G$6-$E$6)*($G$6-$F$6))))</f>
        <v>1.00321887923588</v>
      </c>
      <c r="C892" s="37" t="n">
        <f aca="false">1+IF($G$7=$E$7,$F$7,IF(Q892&lt;($F$7-$E$7)/($G$7-$E$7),$E$7+SQRT(Q892*($G$7-$E$7)*($F$7-$E$7)),$G$7-SQRT((1-Q892)*($G$7-$E$7)*($G$7-$F$7))))</f>
        <v>0.958280945156084</v>
      </c>
      <c r="D892" s="37" t="n">
        <f aca="false">1+IF($G$8=$E$8,$F$8,IF(R892&lt;($F$8-$E$8)/($G$8-$E$8),$E$8+SQRT(R892*($G$8-$E$8)*($F$8-$E$8)),$G$8-SQRT((1-R892)*($G$8-$E$8)*($G$8-$F$8))))</f>
        <v>0.968588868050534</v>
      </c>
      <c r="E892" s="37" t="n">
        <f aca="false">1+IF($G$9=$E$9,$F$9,IF(S892&lt;($F$9-$E$9)/($G$9-$E$9),$E$9+SQRT(S892*($G$9-$E$9)*($F$9-$E$9)),$G$9-SQRT((1-S892)*($G$9-$E$9)*($G$9-$F$9))))</f>
        <v>1.07014428004509</v>
      </c>
      <c r="F892" s="37" t="n">
        <f aca="false">1+IF($G$10=$E$10,$F$10,IF(T892&lt;($F$10-$E$10)/($G$10-$E$10),$E$10+SQRT(T892*($G$10-$E$10)*($F$10-$E$10)),$G$10-SQRT((1-T892)*($G$10-$E$10)*($G$10-$F$10))))</f>
        <v>1.00640523758727</v>
      </c>
      <c r="G892" s="38" t="n">
        <f aca="false">IF($G$11=$E$11,$F$11,IF(U892&lt;($F$11-$E$11)/($G$11-$E$11),$E$11+SQRT(U892*($G$11-$E$11)*($F$11-$E$11)),$G$11-SQRT((1-U892)*($G$11-$E$11)*($G$11-$F$11))))</f>
        <v>0.106602513381427</v>
      </c>
      <c r="H892" s="39" t="n">
        <f aca="false">(('Business Case'!B11*$C892*'Business Case'!B12*$B892)-'Business Case'!B11*$C892*'Business Case'!B13*$D892-'Business Case'!B14*$E892)-MAX(0,(('Business Case'!B11*$C892*'Business Case'!B12*$B892)-'Business Case'!B11*$C892*'Business Case'!B13*$D892-'Business Case'!B14*$E892))*'Business Case'!$B$7-'Business Case'!$B$8*('Business Case'!B11*$C892*'Business Case'!B12*$B892)-'Business Case'!B15*$F892</f>
        <v>-2012810475.17454</v>
      </c>
      <c r="I892" s="39" t="n">
        <f aca="false">(('Business Case'!C11*$C892*'Business Case'!C12*$B892)-'Business Case'!C11*$C892*'Business Case'!C13*$D892-'Business Case'!C14*$E892)-MAX(0,(('Business Case'!C11*$C892*'Business Case'!C12*$B892)-'Business Case'!C11*$C892*'Business Case'!C13*$D892-'Business Case'!C14*$E892))*'Business Case'!$B$7-'Business Case'!$B$8*(('Business Case'!C11*$C892*'Business Case'!C12*$B892)-('Business Case'!B11*$C892*'Business Case'!B12*$B892))-'Business Case'!C15*$F892</f>
        <v>9621325.75367172</v>
      </c>
      <c r="J892" s="39" t="n">
        <f aca="false">(('Business Case'!D11*$C892*'Business Case'!D12*$B892)-'Business Case'!D11*$C892*'Business Case'!D13*$D892-'Business Case'!D14*$E892)-MAX(0,(('Business Case'!D11*$C892*'Business Case'!D12*$B892)-'Business Case'!D11*$C892*'Business Case'!D13*$D892-'Business Case'!D14*$E892))*'Business Case'!$B$7-'Business Case'!$B$8*(('Business Case'!D11*$C892*'Business Case'!D12*$B892)-('Business Case'!C11*$C892*'Business Case'!C12*$B892))-'Business Case'!D15*$F892</f>
        <v>321894881.26397</v>
      </c>
      <c r="K892" s="39" t="n">
        <f aca="false">(('Business Case'!E11*$C892*'Business Case'!E12*$B892)-'Business Case'!E11*$C892*'Business Case'!E13*$D892-'Business Case'!E14*$E892)-MAX(0,(('Business Case'!E11*$C892*'Business Case'!E12*$B892)-'Business Case'!E11*$C892*'Business Case'!E13*$D892-'Business Case'!E14*$E892))*'Business Case'!$B$7-'Business Case'!$B$8*(('Business Case'!E11*$C892*'Business Case'!E12*$B892)-('Business Case'!D11*$C892*'Business Case'!D12*$B892))-'Business Case'!E15*$F892</f>
        <v>684488698.653632</v>
      </c>
      <c r="L892" s="39" t="n">
        <f aca="false">(('Business Case'!F11*$C892*'Business Case'!F12*$B892)-'Business Case'!F11*$C892*'Business Case'!F13*$D892-'Business Case'!F14*$E892)-MAX(0,(('Business Case'!F11*$C892*'Business Case'!F12*$B892)-'Business Case'!F11*$C892*'Business Case'!F13*$D892-'Business Case'!F14*$E892))*'Business Case'!$B$7-'Business Case'!$B$8*(('Business Case'!F11*$C892*'Business Case'!F12*$B892)-('Business Case'!E11*$C892*'Business Case'!E12*$B892))-'Business Case'!F15*$F892</f>
        <v>821804676.740723</v>
      </c>
      <c r="M892" s="39" t="n">
        <f aca="false">(('Business Case'!G11*$C892*'Business Case'!G12*$B892)-'Business Case'!G11*$C892*'Business Case'!G13*$D892-'Business Case'!G14*$E892)-MAX(0,(('Business Case'!G11*$C892*'Business Case'!G12*$B892)-'Business Case'!G11*$C892*'Business Case'!G13*$D892-'Business Case'!G14*$E892))*'Business Case'!$B$7-'Business Case'!$B$8*(('Business Case'!G11*$C892*'Business Case'!G12*$B892)-('Business Case'!F11*$C892*'Business Case'!F12*$B892))-'Business Case'!G15*$F892+'Business Case'!$B$8*('Business Case'!G11*$C892*'Business Case'!G12*$B892)</f>
        <v>1004541037.78418</v>
      </c>
      <c r="N892" s="39" t="n">
        <f aca="false">IF(COUNT('Business Case'!B11:G11)=0,"",H892+NPV(G892,I892:M892))</f>
        <v>-82754916.4139547</v>
      </c>
      <c r="P892" s="40" t="n">
        <f aca="true">RAND()</f>
        <v>0.71815607402814</v>
      </c>
      <c r="Q892" s="40" t="n">
        <f aca="true">RAND()</f>
        <v>0.357897965707191</v>
      </c>
      <c r="R892" s="40" t="n">
        <f aca="true">RAND()</f>
        <v>0.0531609254461756</v>
      </c>
      <c r="S892" s="40" t="n">
        <f aca="true">RAND()</f>
        <v>0.940575732398271</v>
      </c>
      <c r="T892" s="40" t="n">
        <f aca="true">RAND()</f>
        <v>0.250421359327181</v>
      </c>
      <c r="U892" s="40" t="n">
        <f aca="true">RAND()</f>
        <v>0.700845587175242</v>
      </c>
    </row>
    <row r="893" customFormat="false" ht="15" hidden="false" customHeight="false" outlineLevel="0" collapsed="false">
      <c r="A893" s="36" t="n">
        <v>813</v>
      </c>
      <c r="B893" s="37" t="n">
        <f aca="false">1+IF($G$6=$E$6,$F$6,IF(P893&lt;($F$6-$E$6)/($G$6-$E$6),$E$6+SQRT(P893*($G$6-$E$6)*($F$6-$E$6)),$G$6-SQRT((1-P893)*($G$6-$E$6)*($G$6-$F$6))))</f>
        <v>0.974301937009353</v>
      </c>
      <c r="C893" s="37" t="n">
        <f aca="false">1+IF($G$7=$E$7,$F$7,IF(Q893&lt;($F$7-$E$7)/($G$7-$E$7),$E$7+SQRT(Q893*($G$7-$E$7)*($F$7-$E$7)),$G$7-SQRT((1-Q893)*($G$7-$E$7)*($G$7-$F$7))))</f>
        <v>1.11406994927099</v>
      </c>
      <c r="D893" s="37" t="n">
        <f aca="false">1+IF($G$8=$E$8,$F$8,IF(R893&lt;($F$8-$E$8)/($G$8-$E$8),$E$8+SQRT(R893*($G$8-$E$8)*($F$8-$E$8)),$G$8-SQRT((1-R893)*($G$8-$E$8)*($G$8-$F$8))))</f>
        <v>1.04612094314832</v>
      </c>
      <c r="E893" s="37" t="n">
        <f aca="false">1+IF($G$9=$E$9,$F$9,IF(S893&lt;($F$9-$E$9)/($G$9-$E$9),$E$9+SQRT(S893*($G$9-$E$9)*($F$9-$E$9)),$G$9-SQRT((1-S893)*($G$9-$E$9)*($G$9-$F$9))))</f>
        <v>1.07737111761608</v>
      </c>
      <c r="F893" s="37" t="n">
        <f aca="false">1+IF($G$10=$E$10,$F$10,IF(T893&lt;($F$10-$E$10)/($G$10-$E$10),$E$10+SQRT(T893*($G$10-$E$10)*($F$10-$E$10)),$G$10-SQRT((1-T893)*($G$10-$E$10)*($G$10-$F$10))))</f>
        <v>1.01826943481627</v>
      </c>
      <c r="G893" s="38" t="n">
        <f aca="false">IF($G$11=$E$11,$F$11,IF(U893&lt;($F$11-$E$11)/($G$11-$E$11),$E$11+SQRT(U893*($G$11-$E$11)*($F$11-$E$11)),$G$11-SQRT((1-U893)*($G$11-$E$11)*($G$11-$F$11))))</f>
        <v>0.102551493076254</v>
      </c>
      <c r="H893" s="39" t="n">
        <f aca="false">(('Business Case'!B11*$C893*'Business Case'!B12*$B893)-'Business Case'!B11*$C893*'Business Case'!B13*$D893-'Business Case'!B14*$E893)-MAX(0,(('Business Case'!B11*$C893*'Business Case'!B12*$B893)-'Business Case'!B11*$C893*'Business Case'!B13*$D893-'Business Case'!B14*$E893))*'Business Case'!$B$7-'Business Case'!$B$8*('Business Case'!B11*$C893*'Business Case'!B12*$B893)-'Business Case'!B15*$F893</f>
        <v>-2036538869.63254</v>
      </c>
      <c r="I893" s="39" t="n">
        <f aca="false">(('Business Case'!C11*$C893*'Business Case'!C12*$B893)-'Business Case'!C11*$C893*'Business Case'!C13*$D893-'Business Case'!C14*$E893)-MAX(0,(('Business Case'!C11*$C893*'Business Case'!C12*$B893)-'Business Case'!C11*$C893*'Business Case'!C13*$D893-'Business Case'!C14*$E893))*'Business Case'!$B$7-'Business Case'!$B$8*(('Business Case'!C11*$C893*'Business Case'!C12*$B893)-('Business Case'!B11*$C893*'Business Case'!B12*$B893))-'Business Case'!C15*$F893</f>
        <v>-18862563.144859</v>
      </c>
      <c r="J893" s="39" t="n">
        <f aca="false">(('Business Case'!D11*$C893*'Business Case'!D12*$B893)-'Business Case'!D11*$C893*'Business Case'!D13*$D893-'Business Case'!D14*$E893)-MAX(0,(('Business Case'!D11*$C893*'Business Case'!D12*$B893)-'Business Case'!D11*$C893*'Business Case'!D13*$D893-'Business Case'!D14*$E893))*'Business Case'!$B$7-'Business Case'!$B$8*(('Business Case'!D11*$C893*'Business Case'!D12*$B893)-('Business Case'!C11*$C893*'Business Case'!C12*$B893))-'Business Case'!D15*$F893</f>
        <v>273573226.131398</v>
      </c>
      <c r="K893" s="39" t="n">
        <f aca="false">(('Business Case'!E11*$C893*'Business Case'!E12*$B893)-'Business Case'!E11*$C893*'Business Case'!E13*$D893-'Business Case'!E14*$E893)-MAX(0,(('Business Case'!E11*$C893*'Business Case'!E12*$B893)-'Business Case'!E11*$C893*'Business Case'!E13*$D893-'Business Case'!E14*$E893))*'Business Case'!$B$7-'Business Case'!$B$8*(('Business Case'!E11*$C893*'Business Case'!E12*$B893)-('Business Case'!D11*$C893*'Business Case'!D12*$B893))-'Business Case'!E15*$F893</f>
        <v>616922487.148469</v>
      </c>
      <c r="L893" s="39" t="n">
        <f aca="false">(('Business Case'!F11*$C893*'Business Case'!F12*$B893)-'Business Case'!F11*$C893*'Business Case'!F13*$D893-'Business Case'!F14*$E893)-MAX(0,(('Business Case'!F11*$C893*'Business Case'!F12*$B893)-'Business Case'!F11*$C893*'Business Case'!F13*$D893-'Business Case'!F14*$E893))*'Business Case'!$B$7-'Business Case'!$B$8*(('Business Case'!F11*$C893*'Business Case'!F12*$B893)-('Business Case'!E11*$C893*'Business Case'!E12*$B893))-'Business Case'!F15*$F893</f>
        <v>751913907.583544</v>
      </c>
      <c r="M893" s="39" t="n">
        <f aca="false">(('Business Case'!G11*$C893*'Business Case'!G12*$B893)-'Business Case'!G11*$C893*'Business Case'!G13*$D893-'Business Case'!G14*$E893)-MAX(0,(('Business Case'!G11*$C893*'Business Case'!G12*$B893)-'Business Case'!G11*$C893*'Business Case'!G13*$D893-'Business Case'!G14*$E893))*'Business Case'!$B$7-'Business Case'!$B$8*(('Business Case'!G11*$C893*'Business Case'!G12*$B893)-('Business Case'!F11*$C893*'Business Case'!F12*$B893))-'Business Case'!G15*$F893+'Business Case'!$B$8*('Business Case'!G11*$C893*'Business Case'!G12*$B893)</f>
        <v>958234439.636648</v>
      </c>
      <c r="N893" s="39" t="n">
        <f aca="false">IF(COUNT('Business Case'!B11:G11)=0,"",H893+NPV(G893,I893:M893))</f>
        <v>-271340738.384492</v>
      </c>
      <c r="P893" s="40" t="n">
        <f aca="true">RAND()</f>
        <v>0.307156287809141</v>
      </c>
      <c r="Q893" s="40" t="n">
        <f aca="true">RAND()</f>
        <v>0.975410122944965</v>
      </c>
      <c r="R893" s="40" t="n">
        <f aca="true">RAND()</f>
        <v>0.889635529503892</v>
      </c>
      <c r="S893" s="40" t="n">
        <f aca="true">RAND()</f>
        <v>0.965862245470313</v>
      </c>
      <c r="T893" s="40" t="n">
        <f aca="true">RAND()</f>
        <v>0.339480033560057</v>
      </c>
      <c r="U893" s="40" t="n">
        <f aca="true">RAND()</f>
        <v>0.492582676886641</v>
      </c>
    </row>
    <row r="894" customFormat="false" ht="15" hidden="false" customHeight="false" outlineLevel="0" collapsed="false">
      <c r="A894" s="36" t="n">
        <v>814</v>
      </c>
      <c r="B894" s="37" t="n">
        <f aca="false">1+IF($G$6=$E$6,$F$6,IF(P894&lt;($F$6-$E$6)/($G$6-$E$6),$E$6+SQRT(P894*($G$6-$E$6)*($F$6-$E$6)),$G$6-SQRT((1-P894)*($G$6-$E$6)*($G$6-$F$6))))</f>
        <v>0.978998269337419</v>
      </c>
      <c r="C894" s="37" t="n">
        <f aca="false">1+IF($G$7=$E$7,$F$7,IF(Q894&lt;($F$7-$E$7)/($G$7-$E$7),$E$7+SQRT(Q894*($G$7-$E$7)*($F$7-$E$7)),$G$7-SQRT((1-Q894)*($G$7-$E$7)*($G$7-$F$7))))</f>
        <v>1.01166815305391</v>
      </c>
      <c r="D894" s="37" t="n">
        <f aca="false">1+IF($G$8=$E$8,$F$8,IF(R894&lt;($F$8-$E$8)/($G$8-$E$8),$E$8+SQRT(R894*($G$8-$E$8)*($F$8-$E$8)),$G$8-SQRT((1-R894)*($G$8-$E$8)*($G$8-$F$8))))</f>
        <v>1.07100500038796</v>
      </c>
      <c r="E894" s="37" t="n">
        <f aca="false">1+IF($G$9=$E$9,$F$9,IF(S894&lt;($F$9-$E$9)/($G$9-$E$9),$E$9+SQRT(S894*($G$9-$E$9)*($F$9-$E$9)),$G$9-SQRT((1-S894)*($G$9-$E$9)*($G$9-$F$9))))</f>
        <v>1.01069725106203</v>
      </c>
      <c r="F894" s="37" t="n">
        <f aca="false">1+IF($G$10=$E$10,$F$10,IF(T894&lt;($F$10-$E$10)/($G$10-$E$10),$E$10+SQRT(T894*($G$10-$E$10)*($F$10-$E$10)),$G$10-SQRT((1-T894)*($G$10-$E$10)*($G$10-$F$10))))</f>
        <v>1.11348778842899</v>
      </c>
      <c r="G894" s="38" t="n">
        <f aca="false">IF($G$11=$E$11,$F$11,IF(U894&lt;($F$11-$E$11)/($G$11-$E$11),$E$11+SQRT(U894*($G$11-$E$11)*($F$11-$E$11)),$G$11-SQRT((1-U894)*($G$11-$E$11)*($G$11-$F$11))))</f>
        <v>0.106566818116209</v>
      </c>
      <c r="H894" s="39" t="n">
        <f aca="false">(('Business Case'!B11*$C894*'Business Case'!B12*$B894)-'Business Case'!B11*$C894*'Business Case'!B13*$D894-'Business Case'!B14*$E894)-MAX(0,(('Business Case'!B11*$C894*'Business Case'!B12*$B894)-'Business Case'!B11*$C894*'Business Case'!B13*$D894-'Business Case'!B14*$E894))*'Business Case'!$B$7-'Business Case'!$B$8*('Business Case'!B11*$C894*'Business Case'!B12*$B894)-'Business Case'!B15*$F894</f>
        <v>-2226975576.85797</v>
      </c>
      <c r="I894" s="39" t="n">
        <f aca="false">(('Business Case'!C11*$C894*'Business Case'!C12*$B894)-'Business Case'!C11*$C894*'Business Case'!C13*$D894-'Business Case'!C14*$E894)-MAX(0,(('Business Case'!C11*$C894*'Business Case'!C12*$B894)-'Business Case'!C11*$C894*'Business Case'!C13*$D894-'Business Case'!C14*$E894))*'Business Case'!$B$7-'Business Case'!$B$8*(('Business Case'!C11*$C894*'Business Case'!C12*$B894)-('Business Case'!B11*$C894*'Business Case'!B12*$B894))-'Business Case'!C15*$F894</f>
        <v>-49853123.6442486</v>
      </c>
      <c r="J894" s="39" t="n">
        <f aca="false">(('Business Case'!D11*$C894*'Business Case'!D12*$B894)-'Business Case'!D11*$C894*'Business Case'!D13*$D894-'Business Case'!D14*$E894)-MAX(0,(('Business Case'!D11*$C894*'Business Case'!D12*$B894)-'Business Case'!D11*$C894*'Business Case'!D13*$D894-'Business Case'!D14*$E894))*'Business Case'!$B$7-'Business Case'!$B$8*(('Business Case'!D11*$C894*'Business Case'!D12*$B894)-('Business Case'!C11*$C894*'Business Case'!C12*$B894))-'Business Case'!D15*$F894</f>
        <v>206707124.527209</v>
      </c>
      <c r="K894" s="39" t="n">
        <f aca="false">(('Business Case'!E11*$C894*'Business Case'!E12*$B894)-'Business Case'!E11*$C894*'Business Case'!E13*$D894-'Business Case'!E14*$E894)-MAX(0,(('Business Case'!E11*$C894*'Business Case'!E12*$B894)-'Business Case'!E11*$C894*'Business Case'!E13*$D894-'Business Case'!E14*$E894))*'Business Case'!$B$7-'Business Case'!$B$8*(('Business Case'!E11*$C894*'Business Case'!E12*$B894)-('Business Case'!D11*$C894*'Business Case'!D12*$B894))-'Business Case'!E15*$F894</f>
        <v>518941762.120117</v>
      </c>
      <c r="L894" s="39" t="n">
        <f aca="false">(('Business Case'!F11*$C894*'Business Case'!F12*$B894)-'Business Case'!F11*$C894*'Business Case'!F13*$D894-'Business Case'!F14*$E894)-MAX(0,(('Business Case'!F11*$C894*'Business Case'!F12*$B894)-'Business Case'!F11*$C894*'Business Case'!F13*$D894-'Business Case'!F14*$E894))*'Business Case'!$B$7-'Business Case'!$B$8*(('Business Case'!F11*$C894*'Business Case'!F12*$B894)-('Business Case'!E11*$C894*'Business Case'!E12*$B894))-'Business Case'!F15*$F894</f>
        <v>638690807.425128</v>
      </c>
      <c r="M894" s="39" t="n">
        <f aca="false">(('Business Case'!G11*$C894*'Business Case'!G12*$B894)-'Business Case'!G11*$C894*'Business Case'!G13*$D894-'Business Case'!G14*$E894)-MAX(0,(('Business Case'!G11*$C894*'Business Case'!G12*$B894)-'Business Case'!G11*$C894*'Business Case'!G13*$D894-'Business Case'!G14*$E894))*'Business Case'!$B$7-'Business Case'!$B$8*(('Business Case'!G11*$C894*'Business Case'!G12*$B894)-('Business Case'!F11*$C894*'Business Case'!F12*$B894))-'Business Case'!G15*$F894+'Business Case'!$B$8*('Business Case'!G11*$C894*'Business Case'!G12*$B894)</f>
        <v>826950101.621684</v>
      </c>
      <c r="N894" s="39" t="n">
        <f aca="false">IF(COUNT('Business Case'!B11:G11)=0,"",H894+NPV(G894,I894:M894))</f>
        <v>-795842366.886617</v>
      </c>
      <c r="P894" s="40" t="n">
        <f aca="true">RAND()</f>
        <v>0.362582894251105</v>
      </c>
      <c r="Q894" s="40" t="n">
        <f aca="true">RAND()</f>
        <v>0.635510478485414</v>
      </c>
      <c r="R894" s="40" t="n">
        <f aca="true">RAND()</f>
        <v>0.99222019057494</v>
      </c>
      <c r="S894" s="40" t="n">
        <f aca="true">RAND()</f>
        <v>0.468334602141421</v>
      </c>
      <c r="T894" s="40" t="n">
        <f aca="true">RAND()</f>
        <v>0.850312744981842</v>
      </c>
      <c r="U894" s="40" t="n">
        <f aca="true">RAND()</f>
        <v>0.699249374128317</v>
      </c>
    </row>
    <row r="895" customFormat="false" ht="15" hidden="false" customHeight="false" outlineLevel="0" collapsed="false">
      <c r="A895" s="36" t="n">
        <v>815</v>
      </c>
      <c r="B895" s="37" t="n">
        <f aca="false">1+IF($G$6=$E$6,$F$6,IF(P895&lt;($F$6-$E$6)/($G$6-$E$6),$E$6+SQRT(P895*($G$6-$E$6)*($F$6-$E$6)),$G$6-SQRT((1-P895)*($G$6-$E$6)*($G$6-$F$6))))</f>
        <v>0.979483086295462</v>
      </c>
      <c r="C895" s="37" t="n">
        <f aca="false">1+IF($G$7=$E$7,$F$7,IF(Q895&lt;($F$7-$E$7)/($G$7-$E$7),$E$7+SQRT(Q895*($G$7-$E$7)*($F$7-$E$7)),$G$7-SQRT((1-Q895)*($G$7-$E$7)*($G$7-$F$7))))</f>
        <v>1.03602675911219</v>
      </c>
      <c r="D895" s="37" t="n">
        <f aca="false">1+IF($G$8=$E$8,$F$8,IF(R895&lt;($F$8-$E$8)/($G$8-$E$8),$E$8+SQRT(R895*($G$8-$E$8)*($F$8-$E$8)),$G$8-SQRT((1-R895)*($G$8-$E$8)*($G$8-$F$8))))</f>
        <v>0.998379397557601</v>
      </c>
      <c r="E895" s="37" t="n">
        <f aca="false">1+IF($G$9=$E$9,$F$9,IF(S895&lt;($F$9-$E$9)/($G$9-$E$9),$E$9+SQRT(S895*($G$9-$E$9)*($F$9-$E$9)),$G$9-SQRT((1-S895)*($G$9-$E$9)*($G$9-$F$9))))</f>
        <v>1.07590310395852</v>
      </c>
      <c r="F895" s="37" t="n">
        <f aca="false">1+IF($G$10=$E$10,$F$10,IF(T895&lt;($F$10-$E$10)/($G$10-$E$10),$E$10+SQRT(T895*($G$10-$E$10)*($F$10-$E$10)),$G$10-SQRT((1-T895)*($G$10-$E$10)*($G$10-$F$10))))</f>
        <v>1.1300520006057</v>
      </c>
      <c r="G895" s="38" t="n">
        <f aca="false">IF($G$11=$E$11,$F$11,IF(U895&lt;($F$11-$E$11)/($G$11-$E$11),$E$11+SQRT(U895*($G$11-$E$11)*($F$11-$E$11)),$G$11-SQRT((1-U895)*($G$11-$E$11)*($G$11-$F$11))))</f>
        <v>0.09595126305452</v>
      </c>
      <c r="H895" s="39" t="n">
        <f aca="false">(('Business Case'!B11*$C895*'Business Case'!B12*$B895)-'Business Case'!B11*$C895*'Business Case'!B13*$D895-'Business Case'!B14*$E895)-MAX(0,(('Business Case'!B11*$C895*'Business Case'!B12*$B895)-'Business Case'!B11*$C895*'Business Case'!B13*$D895-'Business Case'!B14*$E895))*'Business Case'!$B$7-'Business Case'!$B$8*('Business Case'!B11*$C895*'Business Case'!B12*$B895)-'Business Case'!B15*$F895</f>
        <v>-2260104001.21139</v>
      </c>
      <c r="I895" s="39" t="n">
        <f aca="false">(('Business Case'!C11*$C895*'Business Case'!C12*$B895)-'Business Case'!C11*$C895*'Business Case'!C13*$D895-'Business Case'!C14*$E895)-MAX(0,(('Business Case'!C11*$C895*'Business Case'!C12*$B895)-'Business Case'!C11*$C895*'Business Case'!C13*$D895-'Business Case'!C14*$E895))*'Business Case'!$B$7-'Business Case'!$B$8*(('Business Case'!C11*$C895*'Business Case'!C12*$B895)-('Business Case'!B11*$C895*'Business Case'!B12*$B895))-'Business Case'!C15*$F895</f>
        <v>-16937388.5772071</v>
      </c>
      <c r="J895" s="39" t="n">
        <f aca="false">(('Business Case'!D11*$C895*'Business Case'!D12*$B895)-'Business Case'!D11*$C895*'Business Case'!D13*$D895-'Business Case'!D14*$E895)-MAX(0,(('Business Case'!D11*$C895*'Business Case'!D12*$B895)-'Business Case'!D11*$C895*'Business Case'!D13*$D895-'Business Case'!D14*$E895))*'Business Case'!$B$7-'Business Case'!$B$8*(('Business Case'!D11*$C895*'Business Case'!D12*$B895)-('Business Case'!C11*$C895*'Business Case'!C12*$B895))-'Business Case'!D15*$F895</f>
        <v>284729556.729052</v>
      </c>
      <c r="K895" s="39" t="n">
        <f aca="false">(('Business Case'!E11*$C895*'Business Case'!E12*$B895)-'Business Case'!E11*$C895*'Business Case'!E13*$D895-'Business Case'!E14*$E895)-MAX(0,(('Business Case'!E11*$C895*'Business Case'!E12*$B895)-'Business Case'!E11*$C895*'Business Case'!E13*$D895-'Business Case'!E14*$E895))*'Business Case'!$B$7-'Business Case'!$B$8*(('Business Case'!E11*$C895*'Business Case'!E12*$B895)-('Business Case'!D11*$C895*'Business Case'!D12*$B895))-'Business Case'!E15*$F895</f>
        <v>642899102.065594</v>
      </c>
      <c r="L895" s="39" t="n">
        <f aca="false">(('Business Case'!F11*$C895*'Business Case'!F12*$B895)-'Business Case'!F11*$C895*'Business Case'!F13*$D895-'Business Case'!F14*$E895)-MAX(0,(('Business Case'!F11*$C895*'Business Case'!F12*$B895)-'Business Case'!F11*$C895*'Business Case'!F13*$D895-'Business Case'!F14*$E895))*'Business Case'!$B$7-'Business Case'!$B$8*(('Business Case'!F11*$C895*'Business Case'!F12*$B895)-('Business Case'!E11*$C895*'Business Case'!E12*$B895))-'Business Case'!F15*$F895</f>
        <v>778525225.461011</v>
      </c>
      <c r="M895" s="39" t="n">
        <f aca="false">(('Business Case'!G11*$C895*'Business Case'!G12*$B895)-'Business Case'!G11*$C895*'Business Case'!G13*$D895-'Business Case'!G14*$E895)-MAX(0,(('Business Case'!G11*$C895*'Business Case'!G12*$B895)-'Business Case'!G11*$C895*'Business Case'!G13*$D895-'Business Case'!G14*$E895))*'Business Case'!$B$7-'Business Case'!$B$8*(('Business Case'!G11*$C895*'Business Case'!G12*$B895)-('Business Case'!F11*$C895*'Business Case'!F12*$B895))-'Business Case'!G15*$F895+'Business Case'!$B$8*('Business Case'!G11*$C895*'Business Case'!G12*$B895)</f>
        <v>971412837.74099</v>
      </c>
      <c r="N895" s="39" t="n">
        <f aca="false">IF(COUNT('Business Case'!B11:G11)=0,"",H895+NPV(G895,I895:M895))</f>
        <v>-396070968.887099</v>
      </c>
      <c r="P895" s="40" t="n">
        <f aca="true">RAND()</f>
        <v>0.368566412003483</v>
      </c>
      <c r="Q895" s="40" t="n">
        <f aca="true">RAND()</f>
        <v>0.752573340219592</v>
      </c>
      <c r="R895" s="40" t="n">
        <f aca="true">RAND()</f>
        <v>0.360087093544059</v>
      </c>
      <c r="S895" s="40" t="n">
        <f aca="true">RAND()</f>
        <v>0.961289306744411</v>
      </c>
      <c r="T895" s="40" t="n">
        <f aca="true">RAND()</f>
        <v>0.902145547614689</v>
      </c>
      <c r="U895" s="40" t="n">
        <f aca="true">RAND()</f>
        <v>0.118058439813648</v>
      </c>
    </row>
    <row r="896" customFormat="false" ht="15" hidden="false" customHeight="false" outlineLevel="0" collapsed="false">
      <c r="A896" s="36" t="n">
        <v>816</v>
      </c>
      <c r="B896" s="37" t="n">
        <f aca="false">1+IF($G$6=$E$6,$F$6,IF(P896&lt;($F$6-$E$6)/($G$6-$E$6),$E$6+SQRT(P896*($G$6-$E$6)*($F$6-$E$6)),$G$6-SQRT((1-P896)*($G$6-$E$6)*($G$6-$F$6))))</f>
        <v>1.01551784618331</v>
      </c>
      <c r="C896" s="37" t="n">
        <f aca="false">1+IF($G$7=$E$7,$F$7,IF(Q896&lt;($F$7-$E$7)/($G$7-$E$7),$E$7+SQRT(Q896*($G$7-$E$7)*($F$7-$E$7)),$G$7-SQRT((1-Q896)*($G$7-$E$7)*($G$7-$F$7))))</f>
        <v>0.876935922701486</v>
      </c>
      <c r="D896" s="37" t="n">
        <f aca="false">1+IF($G$8=$E$8,$F$8,IF(R896&lt;($F$8-$E$8)/($G$8-$E$8),$E$8+SQRT(R896*($G$8-$E$8)*($F$8-$E$8)),$G$8-SQRT((1-R896)*($G$8-$E$8)*($G$8-$F$8))))</f>
        <v>1.01420834535058</v>
      </c>
      <c r="E896" s="37" t="n">
        <f aca="false">1+IF($G$9=$E$9,$F$9,IF(S896&lt;($F$9-$E$9)/($G$9-$E$9),$E$9+SQRT(S896*($G$9-$E$9)*($F$9-$E$9)),$G$9-SQRT((1-S896)*($G$9-$E$9)*($G$9-$F$9))))</f>
        <v>1.01239495006843</v>
      </c>
      <c r="F896" s="37" t="n">
        <f aca="false">1+IF($G$10=$E$10,$F$10,IF(T896&lt;($F$10-$E$10)/($G$10-$E$10),$E$10+SQRT(T896*($G$10-$E$10)*($F$10-$E$10)),$G$10-SQRT((1-T896)*($G$10-$E$10)*($G$10-$F$10))))</f>
        <v>0.959125148915304</v>
      </c>
      <c r="G896" s="38" t="n">
        <f aca="false">IF($G$11=$E$11,$F$11,IF(U896&lt;($F$11-$E$11)/($G$11-$E$11),$E$11+SQRT(U896*($G$11-$E$11)*($F$11-$E$11)),$G$11-SQRT((1-U896)*($G$11-$E$11)*($G$11-$F$11))))</f>
        <v>0.105469336193418</v>
      </c>
      <c r="H896" s="39" t="n">
        <f aca="false">(('Business Case'!B11*$C896*'Business Case'!B12*$B896)-'Business Case'!B11*$C896*'Business Case'!B13*$D896-'Business Case'!B14*$E896)-MAX(0,(('Business Case'!B11*$C896*'Business Case'!B12*$B896)-'Business Case'!B11*$C896*'Business Case'!B13*$D896-'Business Case'!B14*$E896))*'Business Case'!$B$7-'Business Case'!$B$8*('Business Case'!B11*$C896*'Business Case'!B12*$B896)-'Business Case'!B15*$F896</f>
        <v>-1918250297.83061</v>
      </c>
      <c r="I896" s="39" t="n">
        <f aca="false">(('Business Case'!C11*$C896*'Business Case'!C12*$B896)-'Business Case'!C11*$C896*'Business Case'!C13*$D896-'Business Case'!C14*$E896)-MAX(0,(('Business Case'!C11*$C896*'Business Case'!C12*$B896)-'Business Case'!C11*$C896*'Business Case'!C13*$D896-'Business Case'!C14*$E896))*'Business Case'!$B$7-'Business Case'!$B$8*(('Business Case'!C11*$C896*'Business Case'!C12*$B896)-('Business Case'!B11*$C896*'Business Case'!B12*$B896))-'Business Case'!C15*$F896</f>
        <v>-11920624.3030065</v>
      </c>
      <c r="J896" s="39" t="n">
        <f aca="false">(('Business Case'!D11*$C896*'Business Case'!D12*$B896)-'Business Case'!D11*$C896*'Business Case'!D13*$D896-'Business Case'!D14*$E896)-MAX(0,(('Business Case'!D11*$C896*'Business Case'!D12*$B896)-'Business Case'!D11*$C896*'Business Case'!D13*$D896-'Business Case'!D14*$E896))*'Business Case'!$B$7-'Business Case'!$B$8*(('Business Case'!D11*$C896*'Business Case'!D12*$B896)-('Business Case'!C11*$C896*'Business Case'!C12*$B896))-'Business Case'!D15*$F896</f>
        <v>262199633.264588</v>
      </c>
      <c r="K896" s="39" t="n">
        <f aca="false">(('Business Case'!E11*$C896*'Business Case'!E12*$B896)-'Business Case'!E11*$C896*'Business Case'!E13*$D896-'Business Case'!E14*$E896)-MAX(0,(('Business Case'!E11*$C896*'Business Case'!E12*$B896)-'Business Case'!E11*$C896*'Business Case'!E13*$D896-'Business Case'!E14*$E896))*'Business Case'!$B$7-'Business Case'!$B$8*(('Business Case'!E11*$C896*'Business Case'!E12*$B896)-('Business Case'!D11*$C896*'Business Case'!D12*$B896))-'Business Case'!E15*$F896</f>
        <v>584276148.277948</v>
      </c>
      <c r="L896" s="39" t="n">
        <f aca="false">(('Business Case'!F11*$C896*'Business Case'!F12*$B896)-'Business Case'!F11*$C896*'Business Case'!F13*$D896-'Business Case'!F14*$E896)-MAX(0,(('Business Case'!F11*$C896*'Business Case'!F12*$B896)-'Business Case'!F11*$C896*'Business Case'!F13*$D896-'Business Case'!F14*$E896))*'Business Case'!$B$7-'Business Case'!$B$8*(('Business Case'!F11*$C896*'Business Case'!F12*$B896)-('Business Case'!E11*$C896*'Business Case'!E12*$B896))-'Business Case'!F15*$F896</f>
        <v>706426770.853374</v>
      </c>
      <c r="M896" s="39" t="n">
        <f aca="false">(('Business Case'!G11*$C896*'Business Case'!G12*$B896)-'Business Case'!G11*$C896*'Business Case'!G13*$D896-'Business Case'!G14*$E896)-MAX(0,(('Business Case'!G11*$C896*'Business Case'!G12*$B896)-'Business Case'!G11*$C896*'Business Case'!G13*$D896-'Business Case'!G14*$E896))*'Business Case'!$B$7-'Business Case'!$B$8*(('Business Case'!G11*$C896*'Business Case'!G12*$B896)-('Business Case'!F11*$C896*'Business Case'!F12*$B896))-'Business Case'!G15*$F896+'Business Case'!$B$8*('Business Case'!G11*$C896*'Business Case'!G12*$B896)</f>
        <v>875701389.477622</v>
      </c>
      <c r="N896" s="39" t="n">
        <f aca="false">IF(COUNT('Business Case'!B11:G11)=0,"",H896+NPV(G896,I896:M896))</f>
        <v>-278542467.135236</v>
      </c>
      <c r="P896" s="40" t="n">
        <f aca="true">RAND()</f>
        <v>0.875130030103322</v>
      </c>
      <c r="Q896" s="40" t="n">
        <f aca="true">RAND()</f>
        <v>0.0845590885989868</v>
      </c>
      <c r="R896" s="40" t="n">
        <f aca="true">RAND()</f>
        <v>0.583794055624143</v>
      </c>
      <c r="S896" s="40" t="n">
        <f aca="true">RAND()</f>
        <v>0.488357015099116</v>
      </c>
      <c r="T896" s="40" t="n">
        <f aca="true">RAND()</f>
        <v>0.00666146741811771</v>
      </c>
      <c r="U896" s="40" t="n">
        <f aca="true">RAND()</f>
        <v>0.648099682233482</v>
      </c>
    </row>
    <row r="897" customFormat="false" ht="15" hidden="false" customHeight="false" outlineLevel="0" collapsed="false">
      <c r="A897" s="36" t="n">
        <v>817</v>
      </c>
      <c r="B897" s="37" t="n">
        <f aca="false">1+IF($G$6=$E$6,$F$6,IF(P897&lt;($F$6-$E$6)/($G$6-$E$6),$E$6+SQRT(P897*($G$6-$E$6)*($F$6-$E$6)),$G$6-SQRT((1-P897)*($G$6-$E$6)*($G$6-$F$6))))</f>
        <v>1.0147445411586</v>
      </c>
      <c r="C897" s="37" t="n">
        <f aca="false">1+IF($G$7=$E$7,$F$7,IF(Q897&lt;($F$7-$E$7)/($G$7-$E$7),$E$7+SQRT(Q897*($G$7-$E$7)*($F$7-$E$7)),$G$7-SQRT((1-Q897)*($G$7-$E$7)*($G$7-$F$7))))</f>
        <v>1.0123887716717</v>
      </c>
      <c r="D897" s="37" t="n">
        <f aca="false">1+IF($G$8=$E$8,$F$8,IF(R897&lt;($F$8-$E$8)/($G$8-$E$8),$E$8+SQRT(R897*($G$8-$E$8)*($F$8-$E$8)),$G$8-SQRT((1-R897)*($G$8-$E$8)*($G$8-$F$8))))</f>
        <v>1.03917319067692</v>
      </c>
      <c r="E897" s="37" t="n">
        <f aca="false">1+IF($G$9=$E$9,$F$9,IF(S897&lt;($F$9-$E$9)/($G$9-$E$9),$E$9+SQRT(S897*($G$9-$E$9)*($F$9-$E$9)),$G$9-SQRT((1-S897)*($G$9-$E$9)*($G$9-$F$9))))</f>
        <v>1.06917667195399</v>
      </c>
      <c r="F897" s="37" t="n">
        <f aca="false">1+IF($G$10=$E$10,$F$10,IF(T897&lt;($F$10-$E$10)/($G$10-$E$10),$E$10+SQRT(T897*($G$10-$E$10)*($F$10-$E$10)),$G$10-SQRT((1-T897)*($G$10-$E$10)*($G$10-$F$10))))</f>
        <v>1.0286682790724</v>
      </c>
      <c r="G897" s="38" t="n">
        <f aca="false">IF($G$11=$E$11,$F$11,IF(U897&lt;($F$11-$E$11)/($G$11-$E$11),$E$11+SQRT(U897*($G$11-$E$11)*($F$11-$E$11)),$G$11-SQRT((1-U897)*($G$11-$E$11)*($G$11-$F$11))))</f>
        <v>0.108305251422633</v>
      </c>
      <c r="H897" s="39" t="n">
        <f aca="false">(('Business Case'!B11*$C897*'Business Case'!B12*$B897)-'Business Case'!B11*$C897*'Business Case'!B13*$D897-'Business Case'!B14*$E897)-MAX(0,(('Business Case'!B11*$C897*'Business Case'!B12*$B897)-'Business Case'!B11*$C897*'Business Case'!B13*$D897-'Business Case'!B14*$E897))*'Business Case'!$B$7-'Business Case'!$B$8*('Business Case'!B11*$C897*'Business Case'!B12*$B897)-'Business Case'!B15*$F897</f>
        <v>-2057336558.14481</v>
      </c>
      <c r="I897" s="39" t="n">
        <f aca="false">(('Business Case'!C11*$C897*'Business Case'!C12*$B897)-'Business Case'!C11*$C897*'Business Case'!C13*$D897-'Business Case'!C14*$E897)-MAX(0,(('Business Case'!C11*$C897*'Business Case'!C12*$B897)-'Business Case'!C11*$C897*'Business Case'!C13*$D897-'Business Case'!C14*$E897))*'Business Case'!$B$7-'Business Case'!$B$8*(('Business Case'!C11*$C897*'Business Case'!C12*$B897)-('Business Case'!B11*$C897*'Business Case'!B12*$B897))-'Business Case'!C15*$F897</f>
        <v>-5278095.50176086</v>
      </c>
      <c r="J897" s="39" t="n">
        <f aca="false">(('Business Case'!D11*$C897*'Business Case'!D12*$B897)-'Business Case'!D11*$C897*'Business Case'!D13*$D897-'Business Case'!D14*$E897)-MAX(0,(('Business Case'!D11*$C897*'Business Case'!D12*$B897)-'Business Case'!D11*$C897*'Business Case'!D13*$D897-'Business Case'!D14*$E897))*'Business Case'!$B$7-'Business Case'!$B$8*(('Business Case'!D11*$C897*'Business Case'!D12*$B897)-('Business Case'!C11*$C897*'Business Case'!C12*$B897))-'Business Case'!D15*$F897</f>
        <v>297603620.037217</v>
      </c>
      <c r="K897" s="39" t="n">
        <f aca="false">(('Business Case'!E11*$C897*'Business Case'!E12*$B897)-'Business Case'!E11*$C897*'Business Case'!E13*$D897-'Business Case'!E14*$E897)-MAX(0,(('Business Case'!E11*$C897*'Business Case'!E12*$B897)-'Business Case'!E11*$C897*'Business Case'!E13*$D897-'Business Case'!E14*$E897))*'Business Case'!$B$7-'Business Case'!$B$8*(('Business Case'!E11*$C897*'Business Case'!E12*$B897)-('Business Case'!D11*$C897*'Business Case'!D12*$B897))-'Business Case'!E15*$F897</f>
        <v>651918749.529814</v>
      </c>
      <c r="L897" s="39" t="n">
        <f aca="false">(('Business Case'!F11*$C897*'Business Case'!F12*$B897)-'Business Case'!F11*$C897*'Business Case'!F13*$D897-'Business Case'!F14*$E897)-MAX(0,(('Business Case'!F11*$C897*'Business Case'!F12*$B897)-'Business Case'!F11*$C897*'Business Case'!F13*$D897-'Business Case'!F14*$E897))*'Business Case'!$B$7-'Business Case'!$B$8*(('Business Case'!F11*$C897*'Business Case'!F12*$B897)-('Business Case'!E11*$C897*'Business Case'!E12*$B897))-'Business Case'!F15*$F897</f>
        <v>788383361.630567</v>
      </c>
      <c r="M897" s="39" t="n">
        <f aca="false">(('Business Case'!G11*$C897*'Business Case'!G12*$B897)-'Business Case'!G11*$C897*'Business Case'!G13*$D897-'Business Case'!G14*$E897)-MAX(0,(('Business Case'!G11*$C897*'Business Case'!G12*$B897)-'Business Case'!G11*$C897*'Business Case'!G13*$D897-'Business Case'!G14*$E897))*'Business Case'!$B$7-'Business Case'!$B$8*(('Business Case'!G11*$C897*'Business Case'!G12*$B897)-('Business Case'!F11*$C897*'Business Case'!F12*$B897))-'Business Case'!G15*$F897+'Business Case'!$B$8*('Business Case'!G11*$C897*'Business Case'!G12*$B897)</f>
        <v>983655583.029916</v>
      </c>
      <c r="N897" s="39" t="n">
        <f aca="false">IF(COUNT('Business Case'!B11:G11)=0,"",H897+NPV(G897,I897:M897))</f>
        <v>-230205491.295525</v>
      </c>
      <c r="P897" s="40" t="n">
        <f aca="true">RAND()</f>
        <v>0.86711704139796</v>
      </c>
      <c r="Q897" s="40" t="n">
        <f aca="true">RAND()</f>
        <v>0.639298092151931</v>
      </c>
      <c r="R897" s="40" t="n">
        <f aca="true">RAND()</f>
        <v>0.839728042355482</v>
      </c>
      <c r="S897" s="40" t="n">
        <f aca="true">RAND()</f>
        <v>0.936661496544539</v>
      </c>
      <c r="T897" s="40" t="n">
        <f aca="true">RAND()</f>
        <v>0.412908828079758</v>
      </c>
      <c r="U897" s="40" t="n">
        <f aca="true">RAND()</f>
        <v>0.772054759520275</v>
      </c>
    </row>
    <row r="898" customFormat="false" ht="15" hidden="false" customHeight="false" outlineLevel="0" collapsed="false">
      <c r="A898" s="36" t="n">
        <v>818</v>
      </c>
      <c r="B898" s="37" t="n">
        <f aca="false">1+IF($G$6=$E$6,$F$6,IF(P898&lt;($F$6-$E$6)/($G$6-$E$6),$E$6+SQRT(P898*($G$6-$E$6)*($F$6-$E$6)),$G$6-SQRT((1-P898)*($G$6-$E$6)*($G$6-$F$6))))</f>
        <v>0.998340988038399</v>
      </c>
      <c r="C898" s="37" t="n">
        <f aca="false">1+IF($G$7=$E$7,$F$7,IF(Q898&lt;($F$7-$E$7)/($G$7-$E$7),$E$7+SQRT(Q898*($G$7-$E$7)*($F$7-$E$7)),$G$7-SQRT((1-Q898)*($G$7-$E$7)*($G$7-$F$7))))</f>
        <v>1.00615720250426</v>
      </c>
      <c r="D898" s="37" t="n">
        <f aca="false">1+IF($G$8=$E$8,$F$8,IF(R898&lt;($F$8-$E$8)/($G$8-$E$8),$E$8+SQRT(R898*($G$8-$E$8)*($F$8-$E$8)),$G$8-SQRT((1-R898)*($G$8-$E$8)*($G$8-$F$8))))</f>
        <v>0.988814706831287</v>
      </c>
      <c r="E898" s="37" t="n">
        <f aca="false">1+IF($G$9=$E$9,$F$9,IF(S898&lt;($F$9-$E$9)/($G$9-$E$9),$E$9+SQRT(S898*($G$9-$E$9)*($F$9-$E$9)),$G$9-SQRT((1-S898)*($G$9-$E$9)*($G$9-$F$9))))</f>
        <v>1.03973841097274</v>
      </c>
      <c r="F898" s="37" t="n">
        <f aca="false">1+IF($G$10=$E$10,$F$10,IF(T898&lt;($F$10-$E$10)/($G$10-$E$10),$E$10+SQRT(T898*($G$10-$E$10)*($F$10-$E$10)),$G$10-SQRT((1-T898)*($G$10-$E$10)*($G$10-$F$10))))</f>
        <v>1.05061872327669</v>
      </c>
      <c r="G898" s="38" t="n">
        <f aca="false">IF($G$11=$E$11,$F$11,IF(U898&lt;($F$11-$E$11)/($G$11-$E$11),$E$11+SQRT(U898*($G$11-$E$11)*($F$11-$E$11)),$G$11-SQRT((1-U898)*($G$11-$E$11)*($G$11-$F$11))))</f>
        <v>0.114535807562121</v>
      </c>
      <c r="H898" s="39" t="n">
        <f aca="false">(('Business Case'!B11*$C898*'Business Case'!B12*$B898)-'Business Case'!B11*$C898*'Business Case'!B13*$D898-'Business Case'!B14*$E898)-MAX(0,(('Business Case'!B11*$C898*'Business Case'!B12*$B898)-'Business Case'!B11*$C898*'Business Case'!B13*$D898-'Business Case'!B14*$E898))*'Business Case'!$B$7-'Business Case'!$B$8*('Business Case'!B11*$C898*'Business Case'!B12*$B898)-'Business Case'!B15*$F898</f>
        <v>-2101237446.55338</v>
      </c>
      <c r="I898" s="39" t="n">
        <f aca="false">(('Business Case'!C11*$C898*'Business Case'!C12*$B898)-'Business Case'!C11*$C898*'Business Case'!C13*$D898-'Business Case'!C14*$E898)-MAX(0,(('Business Case'!C11*$C898*'Business Case'!C12*$B898)-'Business Case'!C11*$C898*'Business Case'!C13*$D898-'Business Case'!C14*$E898))*'Business Case'!$B$7-'Business Case'!$B$8*(('Business Case'!C11*$C898*'Business Case'!C12*$B898)-('Business Case'!B11*$C898*'Business Case'!B12*$B898))-'Business Case'!C15*$F898</f>
        <v>8451880.34356813</v>
      </c>
      <c r="J898" s="39" t="n">
        <f aca="false">(('Business Case'!D11*$C898*'Business Case'!D12*$B898)-'Business Case'!D11*$C898*'Business Case'!D13*$D898-'Business Case'!D14*$E898)-MAX(0,(('Business Case'!D11*$C898*'Business Case'!D12*$B898)-'Business Case'!D11*$C898*'Business Case'!D13*$D898-'Business Case'!D14*$E898))*'Business Case'!$B$7-'Business Case'!$B$8*(('Business Case'!D11*$C898*'Business Case'!D12*$B898)-('Business Case'!C11*$C898*'Business Case'!C12*$B898))-'Business Case'!D15*$F898</f>
        <v>321889091.713865</v>
      </c>
      <c r="K898" s="39" t="n">
        <f aca="false">(('Business Case'!E11*$C898*'Business Case'!E12*$B898)-'Business Case'!E11*$C898*'Business Case'!E13*$D898-'Business Case'!E14*$E898)-MAX(0,(('Business Case'!E11*$C898*'Business Case'!E12*$B898)-'Business Case'!E11*$C898*'Business Case'!E13*$D898-'Business Case'!E14*$E898))*'Business Case'!$B$7-'Business Case'!$B$8*(('Business Case'!E11*$C898*'Business Case'!E12*$B898)-('Business Case'!D11*$C898*'Business Case'!D12*$B898))-'Business Case'!E15*$F898</f>
        <v>687857239.247995</v>
      </c>
      <c r="L898" s="39" t="n">
        <f aca="false">(('Business Case'!F11*$C898*'Business Case'!F12*$B898)-'Business Case'!F11*$C898*'Business Case'!F13*$D898-'Business Case'!F14*$E898)-MAX(0,(('Business Case'!F11*$C898*'Business Case'!F12*$B898)-'Business Case'!F11*$C898*'Business Case'!F13*$D898-'Business Case'!F14*$E898))*'Business Case'!$B$7-'Business Case'!$B$8*(('Business Case'!F11*$C898*'Business Case'!F12*$B898)-('Business Case'!E11*$C898*'Business Case'!E12*$B898))-'Business Case'!F15*$F898</f>
        <v>827051414.143918</v>
      </c>
      <c r="M898" s="39" t="n">
        <f aca="false">(('Business Case'!G11*$C898*'Business Case'!G12*$B898)-'Business Case'!G11*$C898*'Business Case'!G13*$D898-'Business Case'!G14*$E898)-MAX(0,(('Business Case'!G11*$C898*'Business Case'!G12*$B898)-'Business Case'!G11*$C898*'Business Case'!G13*$D898-'Business Case'!G14*$E898))*'Business Case'!$B$7-'Business Case'!$B$8*(('Business Case'!G11*$C898*'Business Case'!G12*$B898)-('Business Case'!F11*$C898*'Business Case'!F12*$B898))-'Business Case'!G15*$F898+'Business Case'!$B$8*('Business Case'!G11*$C898*'Business Case'!G12*$B898)</f>
        <v>1017984488.55928</v>
      </c>
      <c r="N898" s="39" t="n">
        <f aca="false">IF(COUNT('Business Case'!B11:G11)=0,"",H898+NPV(G898,I898:M898))</f>
        <v>-209763608.99752</v>
      </c>
      <c r="P898" s="40" t="n">
        <f aca="true">RAND()</f>
        <v>0.63930316737839</v>
      </c>
      <c r="Q898" s="40" t="n">
        <f aca="true">RAND()</f>
        <v>0.605890468735228</v>
      </c>
      <c r="R898" s="40" t="n">
        <f aca="true">RAND()</f>
        <v>0.231781764061341</v>
      </c>
      <c r="S898" s="40" t="n">
        <f aca="true">RAND()</f>
        <v>0.757902725860646</v>
      </c>
      <c r="T898" s="40" t="n">
        <f aca="true">RAND()</f>
        <v>0.55370468329028</v>
      </c>
      <c r="U898" s="40" t="n">
        <f aca="true">RAND()</f>
        <v>0.950237668336371</v>
      </c>
    </row>
    <row r="899" customFormat="false" ht="15" hidden="false" customHeight="false" outlineLevel="0" collapsed="false">
      <c r="A899" s="36" t="n">
        <v>819</v>
      </c>
      <c r="B899" s="37" t="n">
        <f aca="false">1+IF($G$6=$E$6,$F$6,IF(P899&lt;($F$6-$E$6)/($G$6-$E$6),$E$6+SQRT(P899*($G$6-$E$6)*($F$6-$E$6)),$G$6-SQRT((1-P899)*($G$6-$E$6)*($G$6-$F$6))))</f>
        <v>0.993784404894348</v>
      </c>
      <c r="C899" s="37" t="n">
        <f aca="false">1+IF($G$7=$E$7,$F$7,IF(Q899&lt;($F$7-$E$7)/($G$7-$E$7),$E$7+SQRT(Q899*($G$7-$E$7)*($F$7-$E$7)),$G$7-SQRT((1-Q899)*($G$7-$E$7)*($G$7-$F$7))))</f>
        <v>0.979319464990883</v>
      </c>
      <c r="D899" s="37" t="n">
        <f aca="false">1+IF($G$8=$E$8,$F$8,IF(R899&lt;($F$8-$E$8)/($G$8-$E$8),$E$8+SQRT(R899*($G$8-$E$8)*($F$8-$E$8)),$G$8-SQRT((1-R899)*($G$8-$E$8)*($G$8-$F$8))))</f>
        <v>1.00005345021589</v>
      </c>
      <c r="E899" s="37" t="n">
        <f aca="false">1+IF($G$9=$E$9,$F$9,IF(S899&lt;($F$9-$E$9)/($G$9-$E$9),$E$9+SQRT(S899*($G$9-$E$9)*($F$9-$E$9)),$G$9-SQRT((1-S899)*($G$9-$E$9)*($G$9-$F$9))))</f>
        <v>0.995069851767954</v>
      </c>
      <c r="F899" s="37" t="n">
        <f aca="false">1+IF($G$10=$E$10,$F$10,IF(T899&lt;($F$10-$E$10)/($G$10-$E$10),$E$10+SQRT(T899*($G$10-$E$10)*($F$10-$E$10)),$G$10-SQRT((1-T899)*($G$10-$E$10)*($G$10-$F$10))))</f>
        <v>1.00579670296816</v>
      </c>
      <c r="G899" s="38" t="n">
        <f aca="false">IF($G$11=$E$11,$F$11,IF(U899&lt;($F$11-$E$11)/($G$11-$E$11),$E$11+SQRT(U899*($G$11-$E$11)*($F$11-$E$11)),$G$11-SQRT((1-U899)*($G$11-$E$11)*($G$11-$F$11))))</f>
        <v>0.109209368014382</v>
      </c>
      <c r="H899" s="39" t="n">
        <f aca="false">(('Business Case'!B11*$C899*'Business Case'!B12*$B899)-'Business Case'!B11*$C899*'Business Case'!B13*$D899-'Business Case'!B14*$E899)-MAX(0,(('Business Case'!B11*$C899*'Business Case'!B12*$B899)-'Business Case'!B11*$C899*'Business Case'!B13*$D899-'Business Case'!B14*$E899))*'Business Case'!$B$7-'Business Case'!$B$8*('Business Case'!B11*$C899*'Business Case'!B12*$B899)-'Business Case'!B15*$F899</f>
        <v>-2011593405.93632</v>
      </c>
      <c r="I899" s="39" t="n">
        <f aca="false">(('Business Case'!C11*$C899*'Business Case'!C12*$B899)-'Business Case'!C11*$C899*'Business Case'!C13*$D899-'Business Case'!C14*$E899)-MAX(0,(('Business Case'!C11*$C899*'Business Case'!C12*$B899)-'Business Case'!C11*$C899*'Business Case'!C13*$D899-'Business Case'!C14*$E899))*'Business Case'!$B$7-'Business Case'!$B$8*(('Business Case'!C11*$C899*'Business Case'!C12*$B899)-('Business Case'!B11*$C899*'Business Case'!B12*$B899))-'Business Case'!C15*$F899</f>
        <v>3256429.60155666</v>
      </c>
      <c r="J899" s="39" t="n">
        <f aca="false">(('Business Case'!D11*$C899*'Business Case'!D12*$B899)-'Business Case'!D11*$C899*'Business Case'!D13*$D899-'Business Case'!D14*$E899)-MAX(0,(('Business Case'!D11*$C899*'Business Case'!D12*$B899)-'Business Case'!D11*$C899*'Business Case'!D13*$D899-'Business Case'!D14*$E899))*'Business Case'!$B$7-'Business Case'!$B$8*(('Business Case'!D11*$C899*'Business Case'!D12*$B899)-('Business Case'!C11*$C899*'Business Case'!C12*$B899))-'Business Case'!D15*$F899</f>
        <v>299043830.644763</v>
      </c>
      <c r="K899" s="39" t="n">
        <f aca="false">(('Business Case'!E11*$C899*'Business Case'!E12*$B899)-'Business Case'!E11*$C899*'Business Case'!E13*$D899-'Business Case'!E14*$E899)-MAX(0,(('Business Case'!E11*$C899*'Business Case'!E12*$B899)-'Business Case'!E11*$C899*'Business Case'!E13*$D899-'Business Case'!E14*$E899))*'Business Case'!$B$7-'Business Case'!$B$8*(('Business Case'!E11*$C899*'Business Case'!E12*$B899)-('Business Case'!D11*$C899*'Business Case'!D12*$B899))-'Business Case'!E15*$F899</f>
        <v>645121066.836378</v>
      </c>
      <c r="L899" s="39" t="n">
        <f aca="false">(('Business Case'!F11*$C899*'Business Case'!F12*$B899)-'Business Case'!F11*$C899*'Business Case'!F13*$D899-'Business Case'!F14*$E899)-MAX(0,(('Business Case'!F11*$C899*'Business Case'!F12*$B899)-'Business Case'!F11*$C899*'Business Case'!F13*$D899-'Business Case'!F14*$E899))*'Business Case'!$B$7-'Business Case'!$B$8*(('Business Case'!F11*$C899*'Business Case'!F12*$B899)-('Business Case'!E11*$C899*'Business Case'!E12*$B899))-'Business Case'!F15*$F899</f>
        <v>777351779.333068</v>
      </c>
      <c r="M899" s="39" t="n">
        <f aca="false">(('Business Case'!G11*$C899*'Business Case'!G12*$B899)-'Business Case'!G11*$C899*'Business Case'!G13*$D899-'Business Case'!G14*$E899)-MAX(0,(('Business Case'!G11*$C899*'Business Case'!G12*$B899)-'Business Case'!G11*$C899*'Business Case'!G13*$D899-'Business Case'!G14*$E899))*'Business Case'!$B$7-'Business Case'!$B$8*(('Business Case'!G11*$C899*'Business Case'!G12*$B899)-('Business Case'!F11*$C899*'Business Case'!F12*$B899))-'Business Case'!G15*$F899+'Business Case'!$B$8*('Business Case'!G11*$C899*'Business Case'!G12*$B899)</f>
        <v>962343796.152314</v>
      </c>
      <c r="N899" s="39" t="n">
        <f aca="false">IF(COUNT('Business Case'!B11:G11)=0,"",H899+NPV(G899,I899:M899))</f>
        <v>-206214695.201538</v>
      </c>
      <c r="P899" s="40" t="n">
        <f aca="true">RAND()</f>
        <v>0.567097750584689</v>
      </c>
      <c r="Q899" s="40" t="n">
        <f aca="true">RAND()</f>
        <v>0.459363864637379</v>
      </c>
      <c r="R899" s="40" t="n">
        <f aca="true">RAND()</f>
        <v>0.385437420924629</v>
      </c>
      <c r="S899" s="40" t="n">
        <f aca="true">RAND()</f>
        <v>0.270838871784712</v>
      </c>
      <c r="T899" s="40" t="n">
        <f aca="true">RAND()</f>
        <v>0.245701588439269</v>
      </c>
      <c r="U899" s="40" t="n">
        <f aca="true">RAND()</f>
        <v>0.805937102251582</v>
      </c>
    </row>
    <row r="900" customFormat="false" ht="15" hidden="false" customHeight="false" outlineLevel="0" collapsed="false">
      <c r="A900" s="36" t="n">
        <v>820</v>
      </c>
      <c r="B900" s="37" t="n">
        <f aca="false">1+IF($G$6=$E$6,$F$6,IF(P900&lt;($F$6-$E$6)/($G$6-$E$6),$E$6+SQRT(P900*($G$6-$E$6)*($F$6-$E$6)),$G$6-SQRT((1-P900)*($G$6-$E$6)*($G$6-$F$6))))</f>
        <v>0.957835273080035</v>
      </c>
      <c r="C900" s="37" t="n">
        <f aca="false">1+IF($G$7=$E$7,$F$7,IF(Q900&lt;($F$7-$E$7)/($G$7-$E$7),$E$7+SQRT(Q900*($G$7-$E$7)*($F$7-$E$7)),$G$7-SQRT((1-Q900)*($G$7-$E$7)*($G$7-$F$7))))</f>
        <v>0.862679975415135</v>
      </c>
      <c r="D900" s="37" t="n">
        <f aca="false">1+IF($G$8=$E$8,$F$8,IF(R900&lt;($F$8-$E$8)/($G$8-$E$8),$E$8+SQRT(R900*($G$8-$E$8)*($F$8-$E$8)),$G$8-SQRT((1-R900)*($G$8-$E$8)*($G$8-$F$8))))</f>
        <v>1.03029170301562</v>
      </c>
      <c r="E900" s="37" t="n">
        <f aca="false">1+IF($G$9=$E$9,$F$9,IF(S900&lt;($F$9-$E$9)/($G$9-$E$9),$E$9+SQRT(S900*($G$9-$E$9)*($F$9-$E$9)),$G$9-SQRT((1-S900)*($G$9-$E$9)*($G$9-$F$9))))</f>
        <v>0.981421172214165</v>
      </c>
      <c r="F900" s="37" t="n">
        <f aca="false">1+IF($G$10=$E$10,$F$10,IF(T900&lt;($F$10-$E$10)/($G$10-$E$10),$E$10+SQRT(T900*($G$10-$E$10)*($F$10-$E$10)),$G$10-SQRT((1-T900)*($G$10-$E$10)*($G$10-$F$10))))</f>
        <v>1.10989508581517</v>
      </c>
      <c r="G900" s="38" t="n">
        <f aca="false">IF($G$11=$E$11,$F$11,IF(U900&lt;($F$11-$E$11)/($G$11-$E$11),$E$11+SQRT(U900*($G$11-$E$11)*($F$11-$E$11)),$G$11-SQRT((1-U900)*($G$11-$E$11)*($G$11-$F$11))))</f>
        <v>0.108865183180655</v>
      </c>
      <c r="H900" s="39" t="n">
        <f aca="false">(('Business Case'!B11*$C900*'Business Case'!B12*$B900)-'Business Case'!B11*$C900*'Business Case'!B13*$D900-'Business Case'!B14*$E900)-MAX(0,(('Business Case'!B11*$C900*'Business Case'!B12*$B900)-'Business Case'!B11*$C900*'Business Case'!B13*$D900-'Business Case'!B14*$E900))*'Business Case'!$B$7-'Business Case'!$B$8*('Business Case'!B11*$C900*'Business Case'!B12*$B900)-'Business Case'!B15*$F900</f>
        <v>-2219790171.63034</v>
      </c>
      <c r="I900" s="39" t="n">
        <f aca="false">(('Business Case'!C11*$C900*'Business Case'!C12*$B900)-'Business Case'!C11*$C900*'Business Case'!C13*$D900-'Business Case'!C14*$E900)-MAX(0,(('Business Case'!C11*$C900*'Business Case'!C12*$B900)-'Business Case'!C11*$C900*'Business Case'!C13*$D900-'Business Case'!C14*$E900))*'Business Case'!$B$7-'Business Case'!$B$8*(('Business Case'!C11*$C900*'Business Case'!C12*$B900)-('Business Case'!B11*$C900*'Business Case'!B12*$B900))-'Business Case'!C15*$F900</f>
        <v>-71580373.601634</v>
      </c>
      <c r="J900" s="39" t="n">
        <f aca="false">(('Business Case'!D11*$C900*'Business Case'!D12*$B900)-'Business Case'!D11*$C900*'Business Case'!D13*$D900-'Business Case'!D14*$E900)-MAX(0,(('Business Case'!D11*$C900*'Business Case'!D12*$B900)-'Business Case'!D11*$C900*'Business Case'!D13*$D900-'Business Case'!D14*$E900))*'Business Case'!$B$7-'Business Case'!$B$8*(('Business Case'!D11*$C900*'Business Case'!D12*$B900)-('Business Case'!C11*$C900*'Business Case'!C12*$B900))-'Business Case'!D15*$F900</f>
        <v>150222519.328817</v>
      </c>
      <c r="K900" s="39" t="n">
        <f aca="false">(('Business Case'!E11*$C900*'Business Case'!E12*$B900)-'Business Case'!E11*$C900*'Business Case'!E13*$D900-'Business Case'!E14*$E900)-MAX(0,(('Business Case'!E11*$C900*'Business Case'!E12*$B900)-'Business Case'!E11*$C900*'Business Case'!E13*$D900-'Business Case'!E14*$E900))*'Business Case'!$B$7-'Business Case'!$B$8*(('Business Case'!E11*$C900*'Business Case'!E12*$B900)-('Business Case'!D11*$C900*'Business Case'!D12*$B900))-'Business Case'!E15*$F900</f>
        <v>427520166.550026</v>
      </c>
      <c r="L900" s="39" t="n">
        <f aca="false">(('Business Case'!F11*$C900*'Business Case'!F12*$B900)-'Business Case'!F11*$C900*'Business Case'!F13*$D900-'Business Case'!F14*$E900)-MAX(0,(('Business Case'!F11*$C900*'Business Case'!F12*$B900)-'Business Case'!F11*$C900*'Business Case'!F13*$D900-'Business Case'!F14*$E900))*'Business Case'!$B$7-'Business Case'!$B$8*(('Business Case'!F11*$C900*'Business Case'!F12*$B900)-('Business Case'!E11*$C900*'Business Case'!E12*$B900))-'Business Case'!F15*$F900</f>
        <v>530011575.701318</v>
      </c>
      <c r="M900" s="39" t="n">
        <f aca="false">(('Business Case'!G11*$C900*'Business Case'!G12*$B900)-'Business Case'!G11*$C900*'Business Case'!G13*$D900-'Business Case'!G14*$E900)-MAX(0,(('Business Case'!G11*$C900*'Business Case'!G12*$B900)-'Business Case'!G11*$C900*'Business Case'!G13*$D900-'Business Case'!G14*$E900))*'Business Case'!$B$7-'Business Case'!$B$8*(('Business Case'!G11*$C900*'Business Case'!G12*$B900)-('Business Case'!F11*$C900*'Business Case'!F12*$B900))-'Business Case'!G15*$F900+'Business Case'!$B$8*('Business Case'!G11*$C900*'Business Case'!G12*$B900)</f>
        <v>687075688.994267</v>
      </c>
      <c r="N900" s="39" t="n">
        <f aca="false">IF(COUNT('Business Case'!B11:G11)=0,"",H900+NPV(G900,I900:M900))</f>
        <v>-1088206392.17617</v>
      </c>
      <c r="P900" s="40" t="n">
        <f aca="true">RAND()</f>
        <v>0.149115405108417</v>
      </c>
      <c r="Q900" s="40" t="n">
        <f aca="true">RAND()</f>
        <v>0.05612541882917</v>
      </c>
      <c r="R900" s="40" t="n">
        <f aca="true">RAND()</f>
        <v>0.762412039510858</v>
      </c>
      <c r="S900" s="40" t="n">
        <f aca="true">RAND()</f>
        <v>0.131638675108291</v>
      </c>
      <c r="T900" s="40" t="n">
        <f aca="true">RAND()</f>
        <v>0.837622088794888</v>
      </c>
      <c r="U900" s="40" t="n">
        <f aca="true">RAND()</f>
        <v>0.793359757332729</v>
      </c>
    </row>
    <row r="901" customFormat="false" ht="15" hidden="false" customHeight="false" outlineLevel="0" collapsed="false">
      <c r="A901" s="36" t="n">
        <v>821</v>
      </c>
      <c r="B901" s="37" t="n">
        <f aca="false">1+IF($G$6=$E$6,$F$6,IF(P901&lt;($F$6-$E$6)/($G$6-$E$6),$E$6+SQRT(P901*($G$6-$E$6)*($F$6-$E$6)),$G$6-SQRT((1-P901)*($G$6-$E$6)*($G$6-$F$6))))</f>
        <v>0.98091942189154</v>
      </c>
      <c r="C901" s="37" t="n">
        <f aca="false">1+IF($G$7=$E$7,$F$7,IF(Q901&lt;($F$7-$E$7)/($G$7-$E$7),$E$7+SQRT(Q901*($G$7-$E$7)*($F$7-$E$7)),$G$7-SQRT((1-Q901)*($G$7-$E$7)*($G$7-$F$7))))</f>
        <v>0.876095180310492</v>
      </c>
      <c r="D901" s="37" t="n">
        <f aca="false">1+IF($G$8=$E$8,$F$8,IF(R901&lt;($F$8-$E$8)/($G$8-$E$8),$E$8+SQRT(R901*($G$8-$E$8)*($F$8-$E$8)),$G$8-SQRT((1-R901)*($G$8-$E$8)*($G$8-$F$8))))</f>
        <v>1.001158398655</v>
      </c>
      <c r="E901" s="37" t="n">
        <f aca="false">1+IF($G$9=$E$9,$F$9,IF(S901&lt;($F$9-$E$9)/($G$9-$E$9),$E$9+SQRT(S901*($G$9-$E$9)*($F$9-$E$9)),$G$9-SQRT((1-S901)*($G$9-$E$9)*($G$9-$F$9))))</f>
        <v>0.989425430306733</v>
      </c>
      <c r="F901" s="37" t="n">
        <f aca="false">1+IF($G$10=$E$10,$F$10,IF(T901&lt;($F$10-$E$10)/($G$10-$E$10),$E$10+SQRT(T901*($G$10-$E$10)*($F$10-$E$10)),$G$10-SQRT((1-T901)*($G$10-$E$10)*($G$10-$F$10))))</f>
        <v>0.98510452343897</v>
      </c>
      <c r="G901" s="38" t="n">
        <f aca="false">IF($G$11=$E$11,$F$11,IF(U901&lt;($F$11-$E$11)/($G$11-$E$11),$E$11+SQRT(U901*($G$11-$E$11)*($F$11-$E$11)),$G$11-SQRT((1-U901)*($G$11-$E$11)*($G$11-$F$11))))</f>
        <v>0.0983527876009982</v>
      </c>
      <c r="H901" s="39" t="n">
        <f aca="false">(('Business Case'!B11*$C901*'Business Case'!B12*$B901)-'Business Case'!B11*$C901*'Business Case'!B13*$D901-'Business Case'!B14*$E901)-MAX(0,(('Business Case'!B11*$C901*'Business Case'!B12*$B901)-'Business Case'!B11*$C901*'Business Case'!B13*$D901-'Business Case'!B14*$E901))*'Business Case'!$B$7-'Business Case'!$B$8*('Business Case'!B11*$C901*'Business Case'!B12*$B901)-'Business Case'!B15*$F901</f>
        <v>-1970209046.87794</v>
      </c>
      <c r="I901" s="39" t="n">
        <f aca="false">(('Business Case'!C11*$C901*'Business Case'!C12*$B901)-'Business Case'!C11*$C901*'Business Case'!C13*$D901-'Business Case'!C14*$E901)-MAX(0,(('Business Case'!C11*$C901*'Business Case'!C12*$B901)-'Business Case'!C11*$C901*'Business Case'!C13*$D901-'Business Case'!C14*$E901))*'Business Case'!$B$7-'Business Case'!$B$8*(('Business Case'!C11*$C901*'Business Case'!C12*$B901)-('Business Case'!B11*$C901*'Business Case'!B12*$B901))-'Business Case'!C15*$F901</f>
        <v>-28874025.7546556</v>
      </c>
      <c r="J901" s="39" t="n">
        <f aca="false">(('Business Case'!D11*$C901*'Business Case'!D12*$B901)-'Business Case'!D11*$C901*'Business Case'!D13*$D901-'Business Case'!D14*$E901)-MAX(0,(('Business Case'!D11*$C901*'Business Case'!D12*$B901)-'Business Case'!D11*$C901*'Business Case'!D13*$D901-'Business Case'!D14*$E901))*'Business Case'!$B$7-'Business Case'!$B$8*(('Business Case'!D11*$C901*'Business Case'!D12*$B901)-('Business Case'!C11*$C901*'Business Case'!C12*$B901))-'Business Case'!D15*$F901</f>
        <v>226008892.864948</v>
      </c>
      <c r="K901" s="39" t="n">
        <f aca="false">(('Business Case'!E11*$C901*'Business Case'!E12*$B901)-'Business Case'!E11*$C901*'Business Case'!E13*$D901-'Business Case'!E14*$E901)-MAX(0,(('Business Case'!E11*$C901*'Business Case'!E12*$B901)-'Business Case'!E11*$C901*'Business Case'!E13*$D901-'Business Case'!E14*$E901))*'Business Case'!$B$7-'Business Case'!$B$8*(('Business Case'!E11*$C901*'Business Case'!E12*$B901)-('Business Case'!D11*$C901*'Business Case'!D12*$B901))-'Business Case'!E15*$F901</f>
        <v>530147037.656499</v>
      </c>
      <c r="L901" s="39" t="n">
        <f aca="false">(('Business Case'!F11*$C901*'Business Case'!F12*$B901)-'Business Case'!F11*$C901*'Business Case'!F13*$D901-'Business Case'!F14*$E901)-MAX(0,(('Business Case'!F11*$C901*'Business Case'!F12*$B901)-'Business Case'!F11*$C901*'Business Case'!F13*$D901-'Business Case'!F14*$E901))*'Business Case'!$B$7-'Business Case'!$B$8*(('Business Case'!F11*$C901*'Business Case'!F12*$B901)-('Business Case'!E11*$C901*'Business Case'!E12*$B901))-'Business Case'!F15*$F901</f>
        <v>644808141.090196</v>
      </c>
      <c r="M901" s="39" t="n">
        <f aca="false">(('Business Case'!G11*$C901*'Business Case'!G12*$B901)-'Business Case'!G11*$C901*'Business Case'!G13*$D901-'Business Case'!G14*$E901)-MAX(0,(('Business Case'!G11*$C901*'Business Case'!G12*$B901)-'Business Case'!G11*$C901*'Business Case'!G13*$D901-'Business Case'!G14*$E901))*'Business Case'!$B$7-'Business Case'!$B$8*(('Business Case'!G11*$C901*'Business Case'!G12*$B901)-('Business Case'!F11*$C901*'Business Case'!F12*$B901))-'Business Case'!G15*$F901+'Business Case'!$B$8*('Business Case'!G11*$C901*'Business Case'!G12*$B901)</f>
        <v>808158859.172925</v>
      </c>
      <c r="N901" s="39" t="n">
        <f aca="false">IF(COUNT('Business Case'!B11:G11)=0,"",H901+NPV(G901,I901:M901))</f>
        <v>-460412886.047875</v>
      </c>
      <c r="P901" s="40" t="n">
        <f aca="true">RAND()</f>
        <v>0.386580829541609</v>
      </c>
      <c r="Q901" s="40" t="n">
        <f aca="true">RAND()</f>
        <v>0.0827210923783761</v>
      </c>
      <c r="R901" s="40" t="n">
        <f aca="true">RAND()</f>
        <v>0.402307874745829</v>
      </c>
      <c r="S901" s="40" t="n">
        <f aca="true">RAND()</f>
        <v>0.207248607316145</v>
      </c>
      <c r="T901" s="40" t="n">
        <f aca="true">RAND()</f>
        <v>0.0985862052701743</v>
      </c>
      <c r="U901" s="40" t="n">
        <f aca="true">RAND()</f>
        <v>0.232563535691296</v>
      </c>
    </row>
    <row r="902" customFormat="false" ht="15" hidden="false" customHeight="false" outlineLevel="0" collapsed="false">
      <c r="A902" s="36" t="n">
        <v>822</v>
      </c>
      <c r="B902" s="37" t="n">
        <f aca="false">1+IF($G$6=$E$6,$F$6,IF(P902&lt;($F$6-$E$6)/($G$6-$E$6),$E$6+SQRT(P902*($G$6-$E$6)*($F$6-$E$6)),$G$6-SQRT((1-P902)*($G$6-$E$6)*($G$6-$F$6))))</f>
        <v>1.00682613166774</v>
      </c>
      <c r="C902" s="37" t="n">
        <f aca="false">1+IF($G$7=$E$7,$F$7,IF(Q902&lt;($F$7-$E$7)/($G$7-$E$7),$E$7+SQRT(Q902*($G$7-$E$7)*($F$7-$E$7)),$G$7-SQRT((1-Q902)*($G$7-$E$7)*($G$7-$F$7))))</f>
        <v>0.937169224718889</v>
      </c>
      <c r="D902" s="37" t="n">
        <f aca="false">1+IF($G$8=$E$8,$F$8,IF(R902&lt;($F$8-$E$8)/($G$8-$E$8),$E$8+SQRT(R902*($G$8-$E$8)*($F$8-$E$8)),$G$8-SQRT((1-R902)*($G$8-$E$8)*($G$8-$F$8))))</f>
        <v>0.983233057628638</v>
      </c>
      <c r="E902" s="37" t="n">
        <f aca="false">1+IF($G$9=$E$9,$F$9,IF(S902&lt;($F$9-$E$9)/($G$9-$E$9),$E$9+SQRT(S902*($G$9-$E$9)*($F$9-$E$9)),$G$9-SQRT((1-S902)*($G$9-$E$9)*($G$9-$F$9))))</f>
        <v>0.988269746574519</v>
      </c>
      <c r="F902" s="37" t="n">
        <f aca="false">1+IF($G$10=$E$10,$F$10,IF(T902&lt;($F$10-$E$10)/($G$10-$E$10),$E$10+SQRT(T902*($G$10-$E$10)*($F$10-$E$10)),$G$10-SQRT((1-T902)*($G$10-$E$10)*($G$10-$F$10))))</f>
        <v>1.01740423304786</v>
      </c>
      <c r="G902" s="38" t="n">
        <f aca="false">IF($G$11=$E$11,$F$11,IF(U902&lt;($F$11-$E$11)/($G$11-$E$11),$E$11+SQRT(U902*($G$11-$E$11)*($F$11-$E$11)),$G$11-SQRT((1-U902)*($G$11-$E$11)*($G$11-$F$11))))</f>
        <v>0.102936745963599</v>
      </c>
      <c r="H902" s="39" t="n">
        <f aca="false">(('Business Case'!B11*$C902*'Business Case'!B12*$B902)-'Business Case'!B11*$C902*'Business Case'!B13*$D902-'Business Case'!B14*$E902)-MAX(0,(('Business Case'!B11*$C902*'Business Case'!B12*$B902)-'Business Case'!B11*$C902*'Business Case'!B13*$D902-'Business Case'!B14*$E902))*'Business Case'!$B$7-'Business Case'!$B$8*('Business Case'!B11*$C902*'Business Case'!B12*$B902)-'Business Case'!B15*$F902</f>
        <v>-2034808466.09571</v>
      </c>
      <c r="I902" s="39" t="n">
        <f aca="false">(('Business Case'!C11*$C902*'Business Case'!C12*$B902)-'Business Case'!C11*$C902*'Business Case'!C13*$D902-'Business Case'!C14*$E902)-MAX(0,(('Business Case'!C11*$C902*'Business Case'!C12*$B902)-'Business Case'!C11*$C902*'Business Case'!C13*$D902-'Business Case'!C14*$E902))*'Business Case'!$B$7-'Business Case'!$B$8*(('Business Case'!C11*$C902*'Business Case'!C12*$B902)-('Business Case'!B11*$C902*'Business Case'!B12*$B902))-'Business Case'!C15*$F902</f>
        <v>9950371.13774176</v>
      </c>
      <c r="J902" s="39" t="n">
        <f aca="false">(('Business Case'!D11*$C902*'Business Case'!D12*$B902)-'Business Case'!D11*$C902*'Business Case'!D13*$D902-'Business Case'!D14*$E902)-MAX(0,(('Business Case'!D11*$C902*'Business Case'!D12*$B902)-'Business Case'!D11*$C902*'Business Case'!D13*$D902-'Business Case'!D14*$E902))*'Business Case'!$B$7-'Business Case'!$B$8*(('Business Case'!D11*$C902*'Business Case'!D12*$B902)-('Business Case'!C11*$C902*'Business Case'!C12*$B902))-'Business Case'!D15*$F902</f>
        <v>311087609.101299</v>
      </c>
      <c r="K902" s="39" t="n">
        <f aca="false">(('Business Case'!E11*$C902*'Business Case'!E12*$B902)-'Business Case'!E11*$C902*'Business Case'!E13*$D902-'Business Case'!E14*$E902)-MAX(0,(('Business Case'!E11*$C902*'Business Case'!E12*$B902)-'Business Case'!E11*$C902*'Business Case'!E13*$D902-'Business Case'!E14*$E902))*'Business Case'!$B$7-'Business Case'!$B$8*(('Business Case'!E11*$C902*'Business Case'!E12*$B902)-('Business Case'!D11*$C902*'Business Case'!D12*$B902))-'Business Case'!E15*$F902</f>
        <v>663095058.71725</v>
      </c>
      <c r="L902" s="39" t="n">
        <f aca="false">(('Business Case'!F11*$C902*'Business Case'!F12*$B902)-'Business Case'!F11*$C902*'Business Case'!F13*$D902-'Business Case'!F14*$E902)-MAX(0,(('Business Case'!F11*$C902*'Business Case'!F12*$B902)-'Business Case'!F11*$C902*'Business Case'!F13*$D902-'Business Case'!F14*$E902))*'Business Case'!$B$7-'Business Case'!$B$8*(('Business Case'!F11*$C902*'Business Case'!F12*$B902)-('Business Case'!E11*$C902*'Business Case'!E12*$B902))-'Business Case'!F15*$F902</f>
        <v>796083795.077191</v>
      </c>
      <c r="M902" s="39" t="n">
        <f aca="false">(('Business Case'!G11*$C902*'Business Case'!G12*$B902)-'Business Case'!G11*$C902*'Business Case'!G13*$D902-'Business Case'!G14*$E902)-MAX(0,(('Business Case'!G11*$C902*'Business Case'!G12*$B902)-'Business Case'!G11*$C902*'Business Case'!G13*$D902-'Business Case'!G14*$E902))*'Business Case'!$B$7-'Business Case'!$B$8*(('Business Case'!G11*$C902*'Business Case'!G12*$B902)-('Business Case'!F11*$C902*'Business Case'!F12*$B902))-'Business Case'!G15*$F902+'Business Case'!$B$8*('Business Case'!G11*$C902*'Business Case'!G12*$B902)</f>
        <v>975436908.790347</v>
      </c>
      <c r="N902" s="39" t="n">
        <f aca="false">IF(COUNT('Business Case'!B11:G11)=0,"",H902+NPV(G902,I902:M902))</f>
        <v>-140215867.029052</v>
      </c>
      <c r="P902" s="40" t="n">
        <f aca="true">RAND()</f>
        <v>0.77072801247366</v>
      </c>
      <c r="Q902" s="40" t="n">
        <f aca="true">RAND()</f>
        <v>0.268791374428303</v>
      </c>
      <c r="R902" s="40" t="n">
        <f aca="true">RAND()</f>
        <v>0.169913249130516</v>
      </c>
      <c r="S902" s="40" t="n">
        <f aca="true">RAND()</f>
        <v>0.195276467050386</v>
      </c>
      <c r="T902" s="40" t="n">
        <f aca="true">RAND()</f>
        <v>0.333175717823175</v>
      </c>
      <c r="U902" s="40" t="n">
        <f aca="true">RAND()</f>
        <v>0.51474226948208</v>
      </c>
    </row>
    <row r="903" customFormat="false" ht="15" hidden="false" customHeight="false" outlineLevel="0" collapsed="false">
      <c r="A903" s="36" t="n">
        <v>823</v>
      </c>
      <c r="B903" s="37" t="n">
        <f aca="false">1+IF($G$6=$E$6,$F$6,IF(P903&lt;($F$6-$E$6)/($G$6-$E$6),$E$6+SQRT(P903*($G$6-$E$6)*($F$6-$E$6)),$G$6-SQRT((1-P903)*($G$6-$E$6)*($G$6-$F$6))))</f>
        <v>1.00632968468977</v>
      </c>
      <c r="C903" s="37" t="n">
        <f aca="false">1+IF($G$7=$E$7,$F$7,IF(Q903&lt;($F$7-$E$7)/($G$7-$E$7),$E$7+SQRT(Q903*($G$7-$E$7)*($F$7-$E$7)),$G$7-SQRT((1-Q903)*($G$7-$E$7)*($G$7-$F$7))))</f>
        <v>1.02669049117807</v>
      </c>
      <c r="D903" s="37" t="n">
        <f aca="false">1+IF($G$8=$E$8,$F$8,IF(R903&lt;($F$8-$E$8)/($G$8-$E$8),$E$8+SQRT(R903*($G$8-$E$8)*($F$8-$E$8)),$G$8-SQRT((1-R903)*($G$8-$E$8)*($G$8-$F$8))))</f>
        <v>1.00288443269158</v>
      </c>
      <c r="E903" s="37" t="n">
        <f aca="false">1+IF($G$9=$E$9,$F$9,IF(S903&lt;($F$9-$E$9)/($G$9-$E$9),$E$9+SQRT(S903*($G$9-$E$9)*($F$9-$E$9)),$G$9-SQRT((1-S903)*($G$9-$E$9)*($G$9-$F$9))))</f>
        <v>0.99447592655715</v>
      </c>
      <c r="F903" s="37" t="n">
        <f aca="false">1+IF($G$10=$E$10,$F$10,IF(T903&lt;($F$10-$E$10)/($G$10-$E$10),$E$10+SQRT(T903*($G$10-$E$10)*($F$10-$E$10)),$G$10-SQRT((1-T903)*($G$10-$E$10)*($G$10-$F$10))))</f>
        <v>1.02759434661272</v>
      </c>
      <c r="G903" s="38" t="n">
        <f aca="false">IF($G$11=$E$11,$F$11,IF(U903&lt;($F$11-$E$11)/($G$11-$E$11),$E$11+SQRT(U903*($G$11-$E$11)*($F$11-$E$11)),$G$11-SQRT((1-U903)*($G$11-$E$11)*($G$11-$F$11))))</f>
        <v>0.102375693834656</v>
      </c>
      <c r="H903" s="39" t="n">
        <f aca="false">(('Business Case'!B11*$C903*'Business Case'!B12*$B903)-'Business Case'!B11*$C903*'Business Case'!B13*$D903-'Business Case'!B14*$E903)-MAX(0,(('Business Case'!B11*$C903*'Business Case'!B12*$B903)-'Business Case'!B11*$C903*'Business Case'!B13*$D903-'Business Case'!B14*$E903))*'Business Case'!$B$7-'Business Case'!$B$8*('Business Case'!B11*$C903*'Business Case'!B12*$B903)-'Business Case'!B15*$F903</f>
        <v>-2055188693.22545</v>
      </c>
      <c r="I903" s="39" t="n">
        <f aca="false">(('Business Case'!C11*$C903*'Business Case'!C12*$B903)-'Business Case'!C11*$C903*'Business Case'!C13*$D903-'Business Case'!C14*$E903)-MAX(0,(('Business Case'!C11*$C903*'Business Case'!C12*$B903)-'Business Case'!C11*$C903*'Business Case'!C13*$D903-'Business Case'!C14*$E903))*'Business Case'!$B$7-'Business Case'!$B$8*(('Business Case'!C11*$C903*'Business Case'!C12*$B903)-('Business Case'!B11*$C903*'Business Case'!B12*$B903))-'Business Case'!C15*$F903</f>
        <v>21422435.9899351</v>
      </c>
      <c r="J903" s="39" t="n">
        <f aca="false">(('Business Case'!D11*$C903*'Business Case'!D12*$B903)-'Business Case'!D11*$C903*'Business Case'!D13*$D903-'Business Case'!D14*$E903)-MAX(0,(('Business Case'!D11*$C903*'Business Case'!D12*$B903)-'Business Case'!D11*$C903*'Business Case'!D13*$D903-'Business Case'!D14*$E903))*'Business Case'!$B$7-'Business Case'!$B$8*(('Business Case'!D11*$C903*'Business Case'!D12*$B903)-('Business Case'!C11*$C903*'Business Case'!C12*$B903))-'Business Case'!D15*$F903</f>
        <v>340579307.288231</v>
      </c>
      <c r="K903" s="39" t="n">
        <f aca="false">(('Business Case'!E11*$C903*'Business Case'!E12*$B903)-'Business Case'!E11*$C903*'Business Case'!E13*$D903-'Business Case'!E14*$E903)-MAX(0,(('Business Case'!E11*$C903*'Business Case'!E12*$B903)-'Business Case'!E11*$C903*'Business Case'!E13*$D903-'Business Case'!E14*$E903))*'Business Case'!$B$7-'Business Case'!$B$8*(('Business Case'!E11*$C903*'Business Case'!E12*$B903)-('Business Case'!D11*$C903*'Business Case'!D12*$B903))-'Business Case'!E15*$F903</f>
        <v>711115895.917163</v>
      </c>
      <c r="L903" s="39" t="n">
        <f aca="false">(('Business Case'!F11*$C903*'Business Case'!F12*$B903)-'Business Case'!F11*$C903*'Business Case'!F13*$D903-'Business Case'!F14*$E903)-MAX(0,(('Business Case'!F11*$C903*'Business Case'!F12*$B903)-'Business Case'!F11*$C903*'Business Case'!F13*$D903-'Business Case'!F14*$E903))*'Business Case'!$B$7-'Business Case'!$B$8*(('Business Case'!F11*$C903*'Business Case'!F12*$B903)-('Business Case'!E11*$C903*'Business Case'!E12*$B903))-'Business Case'!F15*$F903</f>
        <v>853208535.610369</v>
      </c>
      <c r="M903" s="39" t="n">
        <f aca="false">(('Business Case'!G11*$C903*'Business Case'!G12*$B903)-'Business Case'!G11*$C903*'Business Case'!G13*$D903-'Business Case'!G14*$E903)-MAX(0,(('Business Case'!G11*$C903*'Business Case'!G12*$B903)-'Business Case'!G11*$C903*'Business Case'!G13*$D903-'Business Case'!G14*$E903))*'Business Case'!$B$7-'Business Case'!$B$8*(('Business Case'!G11*$C903*'Business Case'!G12*$B903)-('Business Case'!F11*$C903*'Business Case'!F12*$B903))-'Business Case'!G15*$F903+'Business Case'!$B$8*('Business Case'!G11*$C903*'Business Case'!G12*$B903)</f>
        <v>1049597123.20946</v>
      </c>
      <c r="N903" s="39" t="n">
        <f aca="false">IF(COUNT('Business Case'!B11:G11)=0,"",H903+NPV(G903,I903:M903))</f>
        <v>-2201324.0504663</v>
      </c>
      <c r="P903" s="40" t="n">
        <f aca="true">RAND()</f>
        <v>0.763814555606175</v>
      </c>
      <c r="Q903" s="40" t="n">
        <f aca="true">RAND()</f>
        <v>0.710376476839911</v>
      </c>
      <c r="R903" s="40" t="n">
        <f aca="true">RAND()</f>
        <v>0.428191276798059</v>
      </c>
      <c r="S903" s="40" t="n">
        <f aca="true">RAND()</f>
        <v>0.263747739082263</v>
      </c>
      <c r="T903" s="40" t="n">
        <f aca="true">RAND()</f>
        <v>0.405525813602132</v>
      </c>
      <c r="U903" s="40" t="n">
        <f aca="true">RAND()</f>
        <v>0.482306386983684</v>
      </c>
    </row>
    <row r="904" customFormat="false" ht="15" hidden="false" customHeight="false" outlineLevel="0" collapsed="false">
      <c r="A904" s="36" t="n">
        <v>824</v>
      </c>
      <c r="B904" s="37" t="n">
        <f aca="false">1+IF($G$6=$E$6,$F$6,IF(P904&lt;($F$6-$E$6)/($G$6-$E$6),$E$6+SQRT(P904*($G$6-$E$6)*($F$6-$E$6)),$G$6-SQRT((1-P904)*($G$6-$E$6)*($G$6-$F$6))))</f>
        <v>0.994787490383522</v>
      </c>
      <c r="C904" s="37" t="n">
        <f aca="false">1+IF($G$7=$E$7,$F$7,IF(Q904&lt;($F$7-$E$7)/($G$7-$E$7),$E$7+SQRT(Q904*($G$7-$E$7)*($F$7-$E$7)),$G$7-SQRT((1-Q904)*($G$7-$E$7)*($G$7-$F$7))))</f>
        <v>0.951333452265961</v>
      </c>
      <c r="D904" s="37" t="n">
        <f aca="false">1+IF($G$8=$E$8,$F$8,IF(R904&lt;($F$8-$E$8)/($G$8-$E$8),$E$8+SQRT(R904*($G$8-$E$8)*($F$8-$E$8)),$G$8-SQRT((1-R904)*($G$8-$E$8)*($G$8-$F$8))))</f>
        <v>1.01771978825646</v>
      </c>
      <c r="E904" s="37" t="n">
        <f aca="false">1+IF($G$9=$E$9,$F$9,IF(S904&lt;($F$9-$E$9)/($G$9-$E$9),$E$9+SQRT(S904*($G$9-$E$9)*($F$9-$E$9)),$G$9-SQRT((1-S904)*($G$9-$E$9)*($G$9-$F$9))))</f>
        <v>1.04558577270591</v>
      </c>
      <c r="F904" s="37" t="n">
        <f aca="false">1+IF($G$10=$E$10,$F$10,IF(T904&lt;($F$10-$E$10)/($G$10-$E$10),$E$10+SQRT(T904*($G$10-$E$10)*($F$10-$E$10)),$G$10-SQRT((1-T904)*($G$10-$E$10)*($G$10-$F$10))))</f>
        <v>1.03096293522843</v>
      </c>
      <c r="G904" s="38" t="n">
        <f aca="false">IF($G$11=$E$11,$F$11,IF(U904&lt;($F$11-$E$11)/($G$11-$E$11),$E$11+SQRT(U904*($G$11-$E$11)*($F$11-$E$11)),$G$11-SQRT((1-U904)*($G$11-$E$11)*($G$11-$F$11))))</f>
        <v>0.104894459970422</v>
      </c>
      <c r="H904" s="39" t="n">
        <f aca="false">(('Business Case'!B11*$C904*'Business Case'!B12*$B904)-'Business Case'!B11*$C904*'Business Case'!B13*$D904-'Business Case'!B14*$E904)-MAX(0,(('Business Case'!B11*$C904*'Business Case'!B12*$B904)-'Business Case'!B11*$C904*'Business Case'!B13*$D904-'Business Case'!B14*$E904))*'Business Case'!$B$7-'Business Case'!$B$8*('Business Case'!B11*$C904*'Business Case'!B12*$B904)-'Business Case'!B15*$F904</f>
        <v>-2061925870.45686</v>
      </c>
      <c r="I904" s="39" t="n">
        <f aca="false">(('Business Case'!C11*$C904*'Business Case'!C12*$B904)-'Business Case'!C11*$C904*'Business Case'!C13*$D904-'Business Case'!C14*$E904)-MAX(0,(('Business Case'!C11*$C904*'Business Case'!C12*$B904)-'Business Case'!C11*$C904*'Business Case'!C13*$D904-'Business Case'!C14*$E904))*'Business Case'!$B$7-'Business Case'!$B$8*(('Business Case'!C11*$C904*'Business Case'!C12*$B904)-('Business Case'!B11*$C904*'Business Case'!B12*$B904))-'Business Case'!C15*$F904</f>
        <v>-21325974.9552946</v>
      </c>
      <c r="J904" s="39" t="n">
        <f aca="false">(('Business Case'!D11*$C904*'Business Case'!D12*$B904)-'Business Case'!D11*$C904*'Business Case'!D13*$D904-'Business Case'!D14*$E904)-MAX(0,(('Business Case'!D11*$C904*'Business Case'!D12*$B904)-'Business Case'!D11*$C904*'Business Case'!D13*$D904-'Business Case'!D14*$E904))*'Business Case'!$B$7-'Business Case'!$B$8*(('Business Case'!D11*$C904*'Business Case'!D12*$B904)-('Business Case'!C11*$C904*'Business Case'!C12*$B904))-'Business Case'!D15*$F904</f>
        <v>258186700.662108</v>
      </c>
      <c r="K904" s="39" t="n">
        <f aca="false">(('Business Case'!E11*$C904*'Business Case'!E12*$B904)-'Business Case'!E11*$C904*'Business Case'!E13*$D904-'Business Case'!E14*$E904)-MAX(0,(('Business Case'!E11*$C904*'Business Case'!E12*$B904)-'Business Case'!E11*$C904*'Business Case'!E13*$D904-'Business Case'!E14*$E904))*'Business Case'!$B$7-'Business Case'!$B$8*(('Business Case'!E11*$C904*'Business Case'!E12*$B904)-('Business Case'!D11*$C904*'Business Case'!D12*$B904))-'Business Case'!E15*$F904</f>
        <v>589247523.040931</v>
      </c>
      <c r="L904" s="39" t="n">
        <f aca="false">(('Business Case'!F11*$C904*'Business Case'!F12*$B904)-'Business Case'!F11*$C904*'Business Case'!F13*$D904-'Business Case'!F14*$E904)-MAX(0,(('Business Case'!F11*$C904*'Business Case'!F12*$B904)-'Business Case'!F11*$C904*'Business Case'!F13*$D904-'Business Case'!F14*$E904))*'Business Case'!$B$7-'Business Case'!$B$8*(('Business Case'!F11*$C904*'Business Case'!F12*$B904)-('Business Case'!E11*$C904*'Business Case'!E12*$B904))-'Business Case'!F15*$F904</f>
        <v>715125121.694114</v>
      </c>
      <c r="M904" s="39" t="n">
        <f aca="false">(('Business Case'!G11*$C904*'Business Case'!G12*$B904)-'Business Case'!G11*$C904*'Business Case'!G13*$D904-'Business Case'!G14*$E904)-MAX(0,(('Business Case'!G11*$C904*'Business Case'!G12*$B904)-'Business Case'!G11*$C904*'Business Case'!G13*$D904-'Business Case'!G14*$E904))*'Business Case'!$B$7-'Business Case'!$B$8*(('Business Case'!G11*$C904*'Business Case'!G12*$B904)-('Business Case'!F11*$C904*'Business Case'!F12*$B904))-'Business Case'!G15*$F904+'Business Case'!$B$8*('Business Case'!G11*$C904*'Business Case'!G12*$B904)</f>
        <v>895012008.988048</v>
      </c>
      <c r="N904" s="39" t="n">
        <f aca="false">IF(COUNT('Business Case'!B11:G11)=0,"",H904+NPV(G904,I904:M904))</f>
        <v>-409508636.056132</v>
      </c>
      <c r="P904" s="40" t="n">
        <f aca="true">RAND()</f>
        <v>0.582621741444305</v>
      </c>
      <c r="Q904" s="40" t="n">
        <f aca="true">RAND()</f>
        <v>0.327168768210486</v>
      </c>
      <c r="R904" s="40" t="n">
        <f aca="true">RAND()</f>
        <v>0.627036079344203</v>
      </c>
      <c r="S904" s="40" t="n">
        <f aca="true">RAND()</f>
        <v>0.80260612453251</v>
      </c>
      <c r="T904" s="40" t="n">
        <f aca="true">RAND()</f>
        <v>0.428529414668232</v>
      </c>
      <c r="U904" s="40" t="n">
        <f aca="true">RAND()</f>
        <v>0.619704434024697</v>
      </c>
    </row>
    <row r="905" customFormat="false" ht="15" hidden="false" customHeight="false" outlineLevel="0" collapsed="false">
      <c r="A905" s="36" t="n">
        <v>825</v>
      </c>
      <c r="B905" s="37" t="n">
        <f aca="false">1+IF($G$6=$E$6,$F$6,IF(P905&lt;($F$6-$E$6)/($G$6-$E$6),$E$6+SQRT(P905*($G$6-$E$6)*($F$6-$E$6)),$G$6-SQRT((1-P905)*($G$6-$E$6)*($G$6-$F$6))))</f>
        <v>1.03088296056429</v>
      </c>
      <c r="C905" s="37" t="n">
        <f aca="false">1+IF($G$7=$E$7,$F$7,IF(Q905&lt;($F$7-$E$7)/($G$7-$E$7),$E$7+SQRT(Q905*($G$7-$E$7)*($F$7-$E$7)),$G$7-SQRT((1-Q905)*($G$7-$E$7)*($G$7-$F$7))))</f>
        <v>1.07833596500609</v>
      </c>
      <c r="D905" s="37" t="n">
        <f aca="false">1+IF($G$8=$E$8,$F$8,IF(R905&lt;($F$8-$E$8)/($G$8-$E$8),$E$8+SQRT(R905*($G$8-$E$8)*($F$8-$E$8)),$G$8-SQRT((1-R905)*($G$8-$E$8)*($G$8-$F$8))))</f>
        <v>1.01246039655865</v>
      </c>
      <c r="E905" s="37" t="n">
        <f aca="false">1+IF($G$9=$E$9,$F$9,IF(S905&lt;($F$9-$E$9)/($G$9-$E$9),$E$9+SQRT(S905*($G$9-$E$9)*($F$9-$E$9)),$G$9-SQRT((1-S905)*($G$9-$E$9)*($G$9-$F$9))))</f>
        <v>0.993773317789736</v>
      </c>
      <c r="F905" s="37" t="n">
        <f aca="false">1+IF($G$10=$E$10,$F$10,IF(T905&lt;($F$10-$E$10)/($G$10-$E$10),$E$10+SQRT(T905*($G$10-$E$10)*($F$10-$E$10)),$G$10-SQRT((1-T905)*($G$10-$E$10)*($G$10-$F$10))))</f>
        <v>1.03929719482163</v>
      </c>
      <c r="G905" s="38" t="n">
        <f aca="false">IF($G$11=$E$11,$F$11,IF(U905&lt;($F$11-$E$11)/($G$11-$E$11),$E$11+SQRT(U905*($G$11-$E$11)*($F$11-$E$11)),$G$11-SQRT((1-U905)*($G$11-$E$11)*($G$11-$F$11))))</f>
        <v>0.107041027441422</v>
      </c>
      <c r="H905" s="39" t="n">
        <f aca="false">(('Business Case'!B11*$C905*'Business Case'!B12*$B905)-'Business Case'!B11*$C905*'Business Case'!B13*$D905-'Business Case'!B14*$E905)-MAX(0,(('Business Case'!B11*$C905*'Business Case'!B12*$B905)-'Business Case'!B11*$C905*'Business Case'!B13*$D905-'Business Case'!B14*$E905))*'Business Case'!$B$7-'Business Case'!$B$8*('Business Case'!B11*$C905*'Business Case'!B12*$B905)-'Business Case'!B15*$F905</f>
        <v>-2078594389.64325</v>
      </c>
      <c r="I905" s="39" t="n">
        <f aca="false">(('Business Case'!C11*$C905*'Business Case'!C12*$B905)-'Business Case'!C11*$C905*'Business Case'!C13*$D905-'Business Case'!C14*$E905)-MAX(0,(('Business Case'!C11*$C905*'Business Case'!C12*$B905)-'Business Case'!C11*$C905*'Business Case'!C13*$D905-'Business Case'!C14*$E905))*'Business Case'!$B$7-'Business Case'!$B$8*(('Business Case'!C11*$C905*'Business Case'!C12*$B905)-('Business Case'!B11*$C905*'Business Case'!B12*$B905))-'Business Case'!C15*$F905</f>
        <v>48739935.6907802</v>
      </c>
      <c r="J905" s="39" t="n">
        <f aca="false">(('Business Case'!D11*$C905*'Business Case'!D12*$B905)-'Business Case'!D11*$C905*'Business Case'!D13*$D905-'Business Case'!D14*$E905)-MAX(0,(('Business Case'!D11*$C905*'Business Case'!D12*$B905)-'Business Case'!D11*$C905*'Business Case'!D13*$D905-'Business Case'!D14*$E905))*'Business Case'!$B$7-'Business Case'!$B$8*(('Business Case'!D11*$C905*'Business Case'!D12*$B905)-('Business Case'!C11*$C905*'Business Case'!C12*$B905))-'Business Case'!D15*$F905</f>
        <v>400351479.494487</v>
      </c>
      <c r="K905" s="39" t="n">
        <f aca="false">(('Business Case'!E11*$C905*'Business Case'!E12*$B905)-'Business Case'!E11*$C905*'Business Case'!E13*$D905-'Business Case'!E14*$E905)-MAX(0,(('Business Case'!E11*$C905*'Business Case'!E12*$B905)-'Business Case'!E11*$C905*'Business Case'!E13*$D905-'Business Case'!E14*$E905))*'Business Case'!$B$7-'Business Case'!$B$8*(('Business Case'!E11*$C905*'Business Case'!E12*$B905)-('Business Case'!D11*$C905*'Business Case'!D12*$B905))-'Business Case'!E15*$F905</f>
        <v>803927883.039275</v>
      </c>
      <c r="L905" s="39" t="n">
        <f aca="false">(('Business Case'!F11*$C905*'Business Case'!F12*$B905)-'Business Case'!F11*$C905*'Business Case'!F13*$D905-'Business Case'!F14*$E905)-MAX(0,(('Business Case'!F11*$C905*'Business Case'!F12*$B905)-'Business Case'!F11*$C905*'Business Case'!F13*$D905-'Business Case'!F14*$E905))*'Business Case'!$B$7-'Business Case'!$B$8*(('Business Case'!F11*$C905*'Business Case'!F12*$B905)-('Business Case'!E11*$C905*'Business Case'!E12*$B905))-'Business Case'!F15*$F905</f>
        <v>959549946.20122</v>
      </c>
      <c r="M905" s="39" t="n">
        <f aca="false">(('Business Case'!G11*$C905*'Business Case'!G12*$B905)-'Business Case'!G11*$C905*'Business Case'!G13*$D905-'Business Case'!G14*$E905)-MAX(0,(('Business Case'!G11*$C905*'Business Case'!G12*$B905)-'Business Case'!G11*$C905*'Business Case'!G13*$D905-'Business Case'!G14*$E905))*'Business Case'!$B$7-'Business Case'!$B$8*(('Business Case'!G11*$C905*'Business Case'!G12*$B905)-('Business Case'!F11*$C905*'Business Case'!F12*$B905))-'Business Case'!G15*$F905+'Business Case'!$B$8*('Business Case'!G11*$C905*'Business Case'!G12*$B905)</f>
        <v>1170850129.95179</v>
      </c>
      <c r="N905" s="39" t="n">
        <f aca="false">IF(COUNT('Business Case'!B11:G11)=0,"",H905+NPV(G905,I905:M905))</f>
        <v>227706460.973068</v>
      </c>
      <c r="P905" s="40" t="n">
        <f aca="true">RAND()</f>
        <v>0.982683248318256</v>
      </c>
      <c r="Q905" s="40" t="n">
        <f aca="true">RAND()</f>
        <v>0.902176496921735</v>
      </c>
      <c r="R905" s="40" t="n">
        <f aca="true">RAND()</f>
        <v>0.561384804517795</v>
      </c>
      <c r="S905" s="40" t="n">
        <f aca="true">RAND()</f>
        <v>0.2554804467095</v>
      </c>
      <c r="T905" s="40" t="n">
        <f aca="true">RAND()</f>
        <v>0.483492168156026</v>
      </c>
      <c r="U905" s="40" t="n">
        <f aca="true">RAND()</f>
        <v>0.720108383710042</v>
      </c>
    </row>
    <row r="906" customFormat="false" ht="15" hidden="false" customHeight="false" outlineLevel="0" collapsed="false">
      <c r="A906" s="36" t="n">
        <v>826</v>
      </c>
      <c r="B906" s="37" t="n">
        <f aca="false">1+IF($G$6=$E$6,$F$6,IF(P906&lt;($F$6-$E$6)/($G$6-$E$6),$E$6+SQRT(P906*($G$6-$E$6)*($F$6-$E$6)),$G$6-SQRT((1-P906)*($G$6-$E$6)*($G$6-$F$6))))</f>
        <v>1.00619140721757</v>
      </c>
      <c r="C906" s="37" t="n">
        <f aca="false">1+IF($G$7=$E$7,$F$7,IF(Q906&lt;($F$7-$E$7)/($G$7-$E$7),$E$7+SQRT(Q906*($G$7-$E$7)*($F$7-$E$7)),$G$7-SQRT((1-Q906)*($G$7-$E$7)*($G$7-$F$7))))</f>
        <v>1.09432141592214</v>
      </c>
      <c r="D906" s="37" t="n">
        <f aca="false">1+IF($G$8=$E$8,$F$8,IF(R906&lt;($F$8-$E$8)/($G$8-$E$8),$E$8+SQRT(R906*($G$8-$E$8)*($F$8-$E$8)),$G$8-SQRT((1-R906)*($G$8-$E$8)*($G$8-$F$8))))</f>
        <v>0.965957471794372</v>
      </c>
      <c r="E906" s="37" t="n">
        <f aca="false">1+IF($G$9=$E$9,$F$9,IF(S906&lt;($F$9-$E$9)/($G$9-$E$9),$E$9+SQRT(S906*($G$9-$E$9)*($F$9-$E$9)),$G$9-SQRT((1-S906)*($G$9-$E$9)*($G$9-$F$9))))</f>
        <v>1.08895422791646</v>
      </c>
      <c r="F906" s="37" t="n">
        <f aca="false">1+IF($G$10=$E$10,$F$10,IF(T906&lt;($F$10-$E$10)/($G$10-$E$10),$E$10+SQRT(T906*($G$10-$E$10)*($F$10-$E$10)),$G$10-SQRT((1-T906)*($G$10-$E$10)*($G$10-$F$10))))</f>
        <v>1.09586297996564</v>
      </c>
      <c r="G906" s="38" t="n">
        <f aca="false">IF($G$11=$E$11,$F$11,IF(U906&lt;($F$11-$E$11)/($G$11-$E$11),$E$11+SQRT(U906*($G$11-$E$11)*($F$11-$E$11)),$G$11-SQRT((1-U906)*($G$11-$E$11)*($G$11-$F$11))))</f>
        <v>0.106153251467983</v>
      </c>
      <c r="H906" s="39" t="n">
        <f aca="false">(('Business Case'!B11*$C906*'Business Case'!B12*$B906)-'Business Case'!B11*$C906*'Business Case'!B13*$D906-'Business Case'!B14*$E906)-MAX(0,(('Business Case'!B11*$C906*'Business Case'!B12*$B906)-'Business Case'!B11*$C906*'Business Case'!B13*$D906-'Business Case'!B14*$E906))*'Business Case'!$B$7-'Business Case'!$B$8*('Business Case'!B11*$C906*'Business Case'!B12*$B906)-'Business Case'!B15*$F906</f>
        <v>-2191725959.93127</v>
      </c>
      <c r="I906" s="39" t="n">
        <f aca="false">(('Business Case'!C11*$C906*'Business Case'!C12*$B906)-'Business Case'!C11*$C906*'Business Case'!C13*$D906-'Business Case'!C14*$E906)-MAX(0,(('Business Case'!C11*$C906*'Business Case'!C12*$B906)-'Business Case'!C11*$C906*'Business Case'!C13*$D906-'Business Case'!C14*$E906))*'Business Case'!$B$7-'Business Case'!$B$8*(('Business Case'!C11*$C906*'Business Case'!C12*$B906)-('Business Case'!B11*$C906*'Business Case'!B12*$B906))-'Business Case'!C15*$F906</f>
        <v>39226890.9507502</v>
      </c>
      <c r="J906" s="39" t="n">
        <f aca="false">(('Business Case'!D11*$C906*'Business Case'!D12*$B906)-'Business Case'!D11*$C906*'Business Case'!D13*$D906-'Business Case'!D14*$E906)-MAX(0,(('Business Case'!D11*$C906*'Business Case'!D12*$B906)-'Business Case'!D11*$C906*'Business Case'!D13*$D906-'Business Case'!D14*$E906))*'Business Case'!$B$7-'Business Case'!$B$8*(('Business Case'!D11*$C906*'Business Case'!D12*$B906)-('Business Case'!C11*$C906*'Business Case'!C12*$B906))-'Business Case'!D15*$F906</f>
        <v>399970229.501536</v>
      </c>
      <c r="K906" s="39" t="n">
        <f aca="false">(('Business Case'!E11*$C906*'Business Case'!E12*$B906)-'Business Case'!E11*$C906*'Business Case'!E13*$D906-'Business Case'!E14*$E906)-MAX(0,(('Business Case'!E11*$C906*'Business Case'!E12*$B906)-'Business Case'!E11*$C906*'Business Case'!E13*$D906-'Business Case'!E14*$E906))*'Business Case'!$B$7-'Business Case'!$B$8*(('Business Case'!E11*$C906*'Business Case'!E12*$B906)-('Business Case'!D11*$C906*'Business Case'!D12*$B906))-'Business Case'!E15*$F906</f>
        <v>815506717.050602</v>
      </c>
      <c r="L906" s="39" t="n">
        <f aca="false">(('Business Case'!F11*$C906*'Business Case'!F12*$B906)-'Business Case'!F11*$C906*'Business Case'!F13*$D906-'Business Case'!F14*$E906)-MAX(0,(('Business Case'!F11*$C906*'Business Case'!F12*$B906)-'Business Case'!F11*$C906*'Business Case'!F13*$D906-'Business Case'!F14*$E906))*'Business Case'!$B$7-'Business Case'!$B$8*(('Business Case'!F11*$C906*'Business Case'!F12*$B906)-('Business Case'!E11*$C906*'Business Case'!E12*$B906))-'Business Case'!F15*$F906</f>
        <v>973808402.163365</v>
      </c>
      <c r="M906" s="39" t="n">
        <f aca="false">(('Business Case'!G11*$C906*'Business Case'!G12*$B906)-'Business Case'!G11*$C906*'Business Case'!G13*$D906-'Business Case'!G14*$E906)-MAX(0,(('Business Case'!G11*$C906*'Business Case'!G12*$B906)-'Business Case'!G11*$C906*'Business Case'!G13*$D906-'Business Case'!G14*$E906))*'Business Case'!$B$7-'Business Case'!$B$8*(('Business Case'!G11*$C906*'Business Case'!G12*$B906)-('Business Case'!F11*$C906*'Business Case'!F12*$B906))-'Business Case'!G15*$F906+'Business Case'!$B$8*('Business Case'!G11*$C906*'Business Case'!G12*$B906)</f>
        <v>1183104882.94045</v>
      </c>
      <c r="N906" s="39" t="n">
        <f aca="false">IF(COUNT('Business Case'!B11:G11)=0,"",H906+NPV(G906,I906:M906))</f>
        <v>138013473.829331</v>
      </c>
      <c r="P906" s="40" t="n">
        <f aca="true">RAND()</f>
        <v>0.761870636264987</v>
      </c>
      <c r="Q906" s="40" t="n">
        <f aca="true">RAND()</f>
        <v>0.940950386192079</v>
      </c>
      <c r="R906" s="40" t="n">
        <f aca="true">RAND()</f>
        <v>0.0391755240104903</v>
      </c>
      <c r="S906" s="40" t="n">
        <f aca="true">RAND()</f>
        <v>0.991866061271893</v>
      </c>
      <c r="T906" s="40" t="n">
        <f aca="true">RAND()</f>
        <v>0.783109621167253</v>
      </c>
      <c r="U906" s="40" t="n">
        <f aca="true">RAND()</f>
        <v>0.680445925151792</v>
      </c>
    </row>
    <row r="907" customFormat="false" ht="15" hidden="false" customHeight="false" outlineLevel="0" collapsed="false">
      <c r="A907" s="36" t="n">
        <v>827</v>
      </c>
      <c r="B907" s="37" t="n">
        <f aca="false">1+IF($G$6=$E$6,$F$6,IF(P907&lt;($F$6-$E$6)/($G$6-$E$6),$E$6+SQRT(P907*($G$6-$E$6)*($F$6-$E$6)),$G$6-SQRT((1-P907)*($G$6-$E$6)*($G$6-$F$6))))</f>
        <v>1.00149336015131</v>
      </c>
      <c r="C907" s="37" t="n">
        <f aca="false">1+IF($G$7=$E$7,$F$7,IF(Q907&lt;($F$7-$E$7)/($G$7-$E$7),$E$7+SQRT(Q907*($G$7-$E$7)*($F$7-$E$7)),$G$7-SQRT((1-Q907)*($G$7-$E$7)*($G$7-$F$7))))</f>
        <v>1.03050759140274</v>
      </c>
      <c r="D907" s="37" t="n">
        <f aca="false">1+IF($G$8=$E$8,$F$8,IF(R907&lt;($F$8-$E$8)/($G$8-$E$8),$E$8+SQRT(R907*($G$8-$E$8)*($F$8-$E$8)),$G$8-SQRT((1-R907)*($G$8-$E$8)*($G$8-$F$8))))</f>
        <v>1.03016496607402</v>
      </c>
      <c r="E907" s="37" t="n">
        <f aca="false">1+IF($G$9=$E$9,$F$9,IF(S907&lt;($F$9-$E$9)/($G$9-$E$9),$E$9+SQRT(S907*($G$9-$E$9)*($F$9-$E$9)),$G$9-SQRT((1-S907)*($G$9-$E$9)*($G$9-$F$9))))</f>
        <v>1.0311632315206</v>
      </c>
      <c r="F907" s="37" t="n">
        <f aca="false">1+IF($G$10=$E$10,$F$10,IF(T907&lt;($F$10-$E$10)/($G$10-$E$10),$E$10+SQRT(T907*($G$10-$E$10)*($F$10-$E$10)),$G$10-SQRT((1-T907)*($G$10-$E$10)*($G$10-$F$10))))</f>
        <v>1.05173729661705</v>
      </c>
      <c r="G907" s="38" t="n">
        <f aca="false">IF($G$11=$E$11,$F$11,IF(U907&lt;($F$11-$E$11)/($G$11-$E$11),$E$11+SQRT(U907*($G$11-$E$11)*($F$11-$E$11)),$G$11-SQRT((1-U907)*($G$11-$E$11)*($G$11-$F$11))))</f>
        <v>0.101419437313348</v>
      </c>
      <c r="H907" s="39" t="n">
        <f aca="false">(('Business Case'!B11*$C907*'Business Case'!B12*$B907)-'Business Case'!B11*$C907*'Business Case'!B13*$D907-'Business Case'!B14*$E907)-MAX(0,(('Business Case'!B11*$C907*'Business Case'!B12*$B907)-'Business Case'!B11*$C907*'Business Case'!B13*$D907-'Business Case'!B14*$E907))*'Business Case'!$B$7-'Business Case'!$B$8*('Business Case'!B11*$C907*'Business Case'!B12*$B907)-'Business Case'!B15*$F907</f>
        <v>-2103474593.2341</v>
      </c>
      <c r="I907" s="39" t="n">
        <f aca="false">(('Business Case'!C11*$C907*'Business Case'!C12*$B907)-'Business Case'!C11*$C907*'Business Case'!C13*$D907-'Business Case'!C14*$E907)-MAX(0,(('Business Case'!C11*$C907*'Business Case'!C12*$B907)-'Business Case'!C11*$C907*'Business Case'!C13*$D907-'Business Case'!C14*$E907))*'Business Case'!$B$7-'Business Case'!$B$8*(('Business Case'!C11*$C907*'Business Case'!C12*$B907)-('Business Case'!B11*$C907*'Business Case'!B12*$B907))-'Business Case'!C15*$F907</f>
        <v>-3436628.29363622</v>
      </c>
      <c r="J907" s="39" t="n">
        <f aca="false">(('Business Case'!D11*$C907*'Business Case'!D12*$B907)-'Business Case'!D11*$C907*'Business Case'!D13*$D907-'Business Case'!D14*$E907)-MAX(0,(('Business Case'!D11*$C907*'Business Case'!D12*$B907)-'Business Case'!D11*$C907*'Business Case'!D13*$D907-'Business Case'!D14*$E907))*'Business Case'!$B$7-'Business Case'!$B$8*(('Business Case'!D11*$C907*'Business Case'!D12*$B907)-('Business Case'!C11*$C907*'Business Case'!C12*$B907))-'Business Case'!D15*$F907</f>
        <v>298433175.694521</v>
      </c>
      <c r="K907" s="39" t="n">
        <f aca="false">(('Business Case'!E11*$C907*'Business Case'!E12*$B907)-'Business Case'!E11*$C907*'Business Case'!E13*$D907-'Business Case'!E14*$E907)-MAX(0,(('Business Case'!E11*$C907*'Business Case'!E12*$B907)-'Business Case'!E11*$C907*'Business Case'!E13*$D907-'Business Case'!E14*$E907))*'Business Case'!$B$7-'Business Case'!$B$8*(('Business Case'!E11*$C907*'Business Case'!E12*$B907)-('Business Case'!D11*$C907*'Business Case'!D12*$B907))-'Business Case'!E15*$F907</f>
        <v>652889844.51353</v>
      </c>
      <c r="L907" s="39" t="n">
        <f aca="false">(('Business Case'!F11*$C907*'Business Case'!F12*$B907)-'Business Case'!F11*$C907*'Business Case'!F13*$D907-'Business Case'!F14*$E907)-MAX(0,(('Business Case'!F11*$C907*'Business Case'!F12*$B907)-'Business Case'!F11*$C907*'Business Case'!F13*$D907-'Business Case'!F14*$E907))*'Business Case'!$B$7-'Business Case'!$B$8*(('Business Case'!F11*$C907*'Business Case'!F12*$B907)-('Business Case'!E11*$C907*'Business Case'!E12*$B907))-'Business Case'!F15*$F907</f>
        <v>789180639.908155</v>
      </c>
      <c r="M907" s="39" t="n">
        <f aca="false">(('Business Case'!G11*$C907*'Business Case'!G12*$B907)-'Business Case'!G11*$C907*'Business Case'!G13*$D907-'Business Case'!G14*$E907)-MAX(0,(('Business Case'!G11*$C907*'Business Case'!G12*$B907)-'Business Case'!G11*$C907*'Business Case'!G13*$D907-'Business Case'!G14*$E907))*'Business Case'!$B$7-'Business Case'!$B$8*(('Business Case'!G11*$C907*'Business Case'!G12*$B907)-('Business Case'!F11*$C907*'Business Case'!F12*$B907))-'Business Case'!G15*$F907+'Business Case'!$B$8*('Business Case'!G11*$C907*'Business Case'!G12*$B907)</f>
        <v>985352040.600305</v>
      </c>
      <c r="N907" s="39" t="n">
        <f aca="false">IF(COUNT('Business Case'!B11:G11)=0,"",H907+NPV(G907,I907:M907))</f>
        <v>-227817730.830657</v>
      </c>
      <c r="P907" s="40" t="n">
        <f aca="true">RAND()</f>
        <v>0.691091393242391</v>
      </c>
      <c r="Q907" s="40" t="n">
        <f aca="true">RAND()</f>
        <v>0.728029795954778</v>
      </c>
      <c r="R907" s="40" t="n">
        <f aca="true">RAND()</f>
        <v>0.761198980153521</v>
      </c>
      <c r="S907" s="40" t="n">
        <f aca="true">RAND()</f>
        <v>0.684099953687558</v>
      </c>
      <c r="T907" s="40" t="n">
        <f aca="true">RAND()</f>
        <v>0.560363415711596</v>
      </c>
      <c r="U907" s="40" t="n">
        <f aca="true">RAND()</f>
        <v>0.424604483745635</v>
      </c>
    </row>
    <row r="908" customFormat="false" ht="15" hidden="false" customHeight="false" outlineLevel="0" collapsed="false">
      <c r="A908" s="36" t="n">
        <v>828</v>
      </c>
      <c r="B908" s="37" t="n">
        <f aca="false">1+IF($G$6=$E$6,$F$6,IF(P908&lt;($F$6-$E$6)/($G$6-$E$6),$E$6+SQRT(P908*($G$6-$E$6)*($F$6-$E$6)),$G$6-SQRT((1-P908)*($G$6-$E$6)*($G$6-$F$6))))</f>
        <v>0.988347823305472</v>
      </c>
      <c r="C908" s="37" t="n">
        <f aca="false">1+IF($G$7=$E$7,$F$7,IF(Q908&lt;($F$7-$E$7)/($G$7-$E$7),$E$7+SQRT(Q908*($G$7-$E$7)*($F$7-$E$7)),$G$7-SQRT((1-Q908)*($G$7-$E$7)*($G$7-$F$7))))</f>
        <v>1.00670946137566</v>
      </c>
      <c r="D908" s="37" t="n">
        <f aca="false">1+IF($G$8=$E$8,$F$8,IF(R908&lt;($F$8-$E$8)/($G$8-$E$8),$E$8+SQRT(R908*($G$8-$E$8)*($F$8-$E$8)),$G$8-SQRT((1-R908)*($G$8-$E$8)*($G$8-$F$8))))</f>
        <v>1.00086110414238</v>
      </c>
      <c r="E908" s="37" t="n">
        <f aca="false">1+IF($G$9=$E$9,$F$9,IF(S908&lt;($F$9-$E$9)/($G$9-$E$9),$E$9+SQRT(S908*($G$9-$E$9)*($F$9-$E$9)),$G$9-SQRT((1-S908)*($G$9-$E$9)*($G$9-$F$9))))</f>
        <v>1.08902901048761</v>
      </c>
      <c r="F908" s="37" t="n">
        <f aca="false">1+IF($G$10=$E$10,$F$10,IF(T908&lt;($F$10-$E$10)/($G$10-$E$10),$E$10+SQRT(T908*($G$10-$E$10)*($F$10-$E$10)),$G$10-SQRT((1-T908)*($G$10-$E$10)*($G$10-$F$10))))</f>
        <v>1.03873496433879</v>
      </c>
      <c r="G908" s="38" t="n">
        <f aca="false">IF($G$11=$E$11,$F$11,IF(U908&lt;($F$11-$E$11)/($G$11-$E$11),$E$11+SQRT(U908*($G$11-$E$11)*($F$11-$E$11)),$G$11-SQRT((1-U908)*($G$11-$E$11)*($G$11-$F$11))))</f>
        <v>0.0986787178201525</v>
      </c>
      <c r="H908" s="39" t="n">
        <f aca="false">(('Business Case'!B11*$C908*'Business Case'!B12*$B908)-'Business Case'!B11*$C908*'Business Case'!B13*$D908-'Business Case'!B14*$E908)-MAX(0,(('Business Case'!B11*$C908*'Business Case'!B12*$B908)-'Business Case'!B11*$C908*'Business Case'!B13*$D908-'Business Case'!B14*$E908))*'Business Case'!$B$7-'Business Case'!$B$8*('Business Case'!B11*$C908*'Business Case'!B12*$B908)-'Business Case'!B15*$F908</f>
        <v>-2077469928.67759</v>
      </c>
      <c r="I908" s="39" t="n">
        <f aca="false">(('Business Case'!C11*$C908*'Business Case'!C12*$B908)-'Business Case'!C11*$C908*'Business Case'!C13*$D908-'Business Case'!C14*$E908)-MAX(0,(('Business Case'!C11*$C908*'Business Case'!C12*$B908)-'Business Case'!C11*$C908*'Business Case'!C13*$D908-'Business Case'!C14*$E908))*'Business Case'!$B$7-'Business Case'!$B$8*(('Business Case'!C11*$C908*'Business Case'!C12*$B908)-('Business Case'!B11*$C908*'Business Case'!B12*$B908))-'Business Case'!C15*$F908</f>
        <v>-11152094.6924928</v>
      </c>
      <c r="J908" s="39" t="n">
        <f aca="false">(('Business Case'!D11*$C908*'Business Case'!D12*$B908)-'Business Case'!D11*$C908*'Business Case'!D13*$D908-'Business Case'!D14*$E908)-MAX(0,(('Business Case'!D11*$C908*'Business Case'!D12*$B908)-'Business Case'!D11*$C908*'Business Case'!D13*$D908-'Business Case'!D14*$E908))*'Business Case'!$B$7-'Business Case'!$B$8*(('Business Case'!D11*$C908*'Business Case'!D12*$B908)-('Business Case'!C11*$C908*'Business Case'!C12*$B908))-'Business Case'!D15*$F908</f>
        <v>288008949.135741</v>
      </c>
      <c r="K908" s="39" t="n">
        <f aca="false">(('Business Case'!E11*$C908*'Business Case'!E12*$B908)-'Business Case'!E11*$C908*'Business Case'!E13*$D908-'Business Case'!E14*$E908)-MAX(0,(('Business Case'!E11*$C908*'Business Case'!E12*$B908)-'Business Case'!E11*$C908*'Business Case'!E13*$D908-'Business Case'!E14*$E908))*'Business Case'!$B$7-'Business Case'!$B$8*(('Business Case'!E11*$C908*'Business Case'!E12*$B908)-('Business Case'!D11*$C908*'Business Case'!D12*$B908))-'Business Case'!E15*$F908</f>
        <v>639106741.180915</v>
      </c>
      <c r="L908" s="39" t="n">
        <f aca="false">(('Business Case'!F11*$C908*'Business Case'!F12*$B908)-'Business Case'!F11*$C908*'Business Case'!F13*$D908-'Business Case'!F14*$E908)-MAX(0,(('Business Case'!F11*$C908*'Business Case'!F12*$B908)-'Business Case'!F11*$C908*'Business Case'!F13*$D908-'Business Case'!F14*$E908))*'Business Case'!$B$7-'Business Case'!$B$8*(('Business Case'!F11*$C908*'Business Case'!F12*$B908)-('Business Case'!E11*$C908*'Business Case'!E12*$B908))-'Business Case'!F15*$F908</f>
        <v>773213566.987333</v>
      </c>
      <c r="M908" s="39" t="n">
        <f aca="false">(('Business Case'!G11*$C908*'Business Case'!G12*$B908)-'Business Case'!G11*$C908*'Business Case'!G13*$D908-'Business Case'!G14*$E908)-MAX(0,(('Business Case'!G11*$C908*'Business Case'!G12*$B908)-'Business Case'!G11*$C908*'Business Case'!G13*$D908-'Business Case'!G14*$E908))*'Business Case'!$B$7-'Business Case'!$B$8*(('Business Case'!G11*$C908*'Business Case'!G12*$B908)-('Business Case'!F11*$C908*'Business Case'!F12*$B908))-'Business Case'!G15*$F908+'Business Case'!$B$8*('Business Case'!G11*$C908*'Business Case'!G12*$B908)</f>
        <v>962339195.237536</v>
      </c>
      <c r="N908" s="39" t="n">
        <f aca="false">IF(COUNT('Business Case'!B11:G11)=0,"",H908+NPV(G908,I908:M908))</f>
        <v>-235319886.058596</v>
      </c>
      <c r="P908" s="40" t="n">
        <f aca="true">RAND()</f>
        <v>0.486606765687089</v>
      </c>
      <c r="Q908" s="40" t="n">
        <f aca="true">RAND()</f>
        <v>0.608910886490405</v>
      </c>
      <c r="R908" s="40" t="n">
        <f aca="true">RAND()</f>
        <v>0.39779184254199</v>
      </c>
      <c r="S908" s="40" t="n">
        <f aca="true">RAND()</f>
        <v>0.991975825941263</v>
      </c>
      <c r="T908" s="40" t="n">
        <f aca="true">RAND()</f>
        <v>0.47987176546379</v>
      </c>
      <c r="U908" s="40" t="n">
        <f aca="true">RAND()</f>
        <v>0.251067143339439</v>
      </c>
    </row>
    <row r="909" customFormat="false" ht="15" hidden="false" customHeight="false" outlineLevel="0" collapsed="false">
      <c r="A909" s="36" t="n">
        <v>829</v>
      </c>
      <c r="B909" s="37" t="n">
        <f aca="false">1+IF($G$6=$E$6,$F$6,IF(P909&lt;($F$6-$E$6)/($G$6-$E$6),$E$6+SQRT(P909*($G$6-$E$6)*($F$6-$E$6)),$G$6-SQRT((1-P909)*($G$6-$E$6)*($G$6-$F$6))))</f>
        <v>0.962256549570809</v>
      </c>
      <c r="C909" s="37" t="n">
        <f aca="false">1+IF($G$7=$E$7,$F$7,IF(Q909&lt;($F$7-$E$7)/($G$7-$E$7),$E$7+SQRT(Q909*($G$7-$E$7)*($F$7-$E$7)),$G$7-SQRT((1-Q909)*($G$7-$E$7)*($G$7-$F$7))))</f>
        <v>0.978376465415833</v>
      </c>
      <c r="D909" s="37" t="n">
        <f aca="false">1+IF($G$8=$E$8,$F$8,IF(R909&lt;($F$8-$E$8)/($G$8-$E$8),$E$8+SQRT(R909*($G$8-$E$8)*($F$8-$E$8)),$G$8-SQRT((1-R909)*($G$8-$E$8)*($G$8-$F$8))))</f>
        <v>1.02106863175996</v>
      </c>
      <c r="E909" s="37" t="n">
        <f aca="false">1+IF($G$9=$E$9,$F$9,IF(S909&lt;($F$9-$E$9)/($G$9-$E$9),$E$9+SQRT(S909*($G$9-$E$9)*($F$9-$E$9)),$G$9-SQRT((1-S909)*($G$9-$E$9)*($G$9-$F$9))))</f>
        <v>1.03624242367547</v>
      </c>
      <c r="F909" s="37" t="n">
        <f aca="false">1+IF($G$10=$E$10,$F$10,IF(T909&lt;($F$10-$E$10)/($G$10-$E$10),$E$10+SQRT(T909*($G$10-$E$10)*($F$10-$E$10)),$G$10-SQRT((1-T909)*($G$10-$E$10)*($G$10-$F$10))))</f>
        <v>0.966130602554341</v>
      </c>
      <c r="G909" s="38" t="n">
        <f aca="false">IF($G$11=$E$11,$F$11,IF(U909&lt;($F$11-$E$11)/($G$11-$E$11),$E$11+SQRT(U909*($G$11-$E$11)*($F$11-$E$11)),$G$11-SQRT((1-U909)*($G$11-$E$11)*($G$11-$F$11))))</f>
        <v>0.10811838716765</v>
      </c>
      <c r="H909" s="39" t="n">
        <f aca="false">(('Business Case'!B11*$C909*'Business Case'!B12*$B909)-'Business Case'!B11*$C909*'Business Case'!B13*$D909-'Business Case'!B14*$E909)-MAX(0,(('Business Case'!B11*$C909*'Business Case'!B12*$B909)-'Business Case'!B11*$C909*'Business Case'!B13*$D909-'Business Case'!B14*$E909))*'Business Case'!$B$7-'Business Case'!$B$8*('Business Case'!B11*$C909*'Business Case'!B12*$B909)-'Business Case'!B15*$F909</f>
        <v>-1932261205.10868</v>
      </c>
      <c r="I909" s="39" t="n">
        <f aca="false">(('Business Case'!C11*$C909*'Business Case'!C12*$B909)-'Business Case'!C11*$C909*'Business Case'!C13*$D909-'Business Case'!C14*$E909)-MAX(0,(('Business Case'!C11*$C909*'Business Case'!C12*$B909)-'Business Case'!C11*$C909*'Business Case'!C13*$D909-'Business Case'!C14*$E909))*'Business Case'!$B$7-'Business Case'!$B$8*(('Business Case'!C11*$C909*'Business Case'!C12*$B909)-('Business Case'!B11*$C909*'Business Case'!B12*$B909))-'Business Case'!C15*$F909</f>
        <v>-33059524.1111317</v>
      </c>
      <c r="J909" s="39" t="n">
        <f aca="false">(('Business Case'!D11*$C909*'Business Case'!D12*$B909)-'Business Case'!D11*$C909*'Business Case'!D13*$D909-'Business Case'!D14*$E909)-MAX(0,(('Business Case'!D11*$C909*'Business Case'!D12*$B909)-'Business Case'!D11*$C909*'Business Case'!D13*$D909-'Business Case'!D14*$E909))*'Business Case'!$B$7-'Business Case'!$B$8*(('Business Case'!D11*$C909*'Business Case'!D12*$B909)-('Business Case'!C11*$C909*'Business Case'!C12*$B909))-'Business Case'!D15*$F909</f>
        <v>226652409.227137</v>
      </c>
      <c r="K909" s="39" t="n">
        <f aca="false">(('Business Case'!E11*$C909*'Business Case'!E12*$B909)-'Business Case'!E11*$C909*'Business Case'!E13*$D909-'Business Case'!E14*$E909)-MAX(0,(('Business Case'!E11*$C909*'Business Case'!E12*$B909)-'Business Case'!E11*$C909*'Business Case'!E13*$D909-'Business Case'!E14*$E909))*'Business Case'!$B$7-'Business Case'!$B$8*(('Business Case'!E11*$C909*'Business Case'!E12*$B909)-('Business Case'!D11*$C909*'Business Case'!D12*$B909))-'Business Case'!E15*$F909</f>
        <v>534670872.693124</v>
      </c>
      <c r="L909" s="39" t="n">
        <f aca="false">(('Business Case'!F11*$C909*'Business Case'!F12*$B909)-'Business Case'!F11*$C909*'Business Case'!F13*$D909-'Business Case'!F14*$E909)-MAX(0,(('Business Case'!F11*$C909*'Business Case'!F12*$B909)-'Business Case'!F11*$C909*'Business Case'!F13*$D909-'Business Case'!F14*$E909))*'Business Case'!$B$7-'Business Case'!$B$8*(('Business Case'!F11*$C909*'Business Case'!F12*$B909)-('Business Case'!E11*$C909*'Business Case'!E12*$B909))-'Business Case'!F15*$F909</f>
        <v>653778000.170756</v>
      </c>
      <c r="M909" s="39" t="n">
        <f aca="false">(('Business Case'!G11*$C909*'Business Case'!G12*$B909)-'Business Case'!G11*$C909*'Business Case'!G13*$D909-'Business Case'!G14*$E909)-MAX(0,(('Business Case'!G11*$C909*'Business Case'!G12*$B909)-'Business Case'!G11*$C909*'Business Case'!G13*$D909-'Business Case'!G14*$E909))*'Business Case'!$B$7-'Business Case'!$B$8*(('Business Case'!G11*$C909*'Business Case'!G12*$B909)-('Business Case'!F11*$C909*'Business Case'!F12*$B909))-'Business Case'!G15*$F909+'Business Case'!$B$8*('Business Case'!G11*$C909*'Business Case'!G12*$B909)</f>
        <v>832728656.84424</v>
      </c>
      <c r="N909" s="39" t="n">
        <f aca="false">IF(COUNT('Business Case'!B11:G11)=0,"",H909+NPV(G909,I909:M909))</f>
        <v>-452581795.288085</v>
      </c>
      <c r="P909" s="40" t="n">
        <f aca="true">RAND()</f>
        <v>0.186001664753147</v>
      </c>
      <c r="Q909" s="40" t="n">
        <f aca="true">RAND()</f>
        <v>0.454545191632083</v>
      </c>
      <c r="R909" s="40" t="n">
        <f aca="true">RAND()</f>
        <v>0.666066715130438</v>
      </c>
      <c r="S909" s="40" t="n">
        <f aca="true">RAND()</f>
        <v>0.728998097414821</v>
      </c>
      <c r="T909" s="40" t="n">
        <f aca="true">RAND()</f>
        <v>0.0208157071012895</v>
      </c>
      <c r="U909" s="40" t="n">
        <f aca="true">RAND()</f>
        <v>0.764712127503578</v>
      </c>
    </row>
    <row r="910" customFormat="false" ht="15" hidden="false" customHeight="false" outlineLevel="0" collapsed="false">
      <c r="A910" s="36" t="n">
        <v>830</v>
      </c>
      <c r="B910" s="37" t="n">
        <f aca="false">1+IF($G$6=$E$6,$F$6,IF(P910&lt;($F$6-$E$6)/($G$6-$E$6),$E$6+SQRT(P910*($G$6-$E$6)*($F$6-$E$6)),$G$6-SQRT((1-P910)*($G$6-$E$6)*($G$6-$F$6))))</f>
        <v>1.01934523768897</v>
      </c>
      <c r="C910" s="37" t="n">
        <f aca="false">1+IF($G$7=$E$7,$F$7,IF(Q910&lt;($F$7-$E$7)/($G$7-$E$7),$E$7+SQRT(Q910*($G$7-$E$7)*($F$7-$E$7)),$G$7-SQRT((1-Q910)*($G$7-$E$7)*($G$7-$F$7))))</f>
        <v>0.95872995307948</v>
      </c>
      <c r="D910" s="37" t="n">
        <f aca="false">1+IF($G$8=$E$8,$F$8,IF(R910&lt;($F$8-$E$8)/($G$8-$E$8),$E$8+SQRT(R910*($G$8-$E$8)*($F$8-$E$8)),$G$8-SQRT((1-R910)*($G$8-$E$8)*($G$8-$F$8))))</f>
        <v>1.00667851408725</v>
      </c>
      <c r="E910" s="37" t="n">
        <f aca="false">1+IF($G$9=$E$9,$F$9,IF(S910&lt;($F$9-$E$9)/($G$9-$E$9),$E$9+SQRT(S910*($G$9-$E$9)*($F$9-$E$9)),$G$9-SQRT((1-S910)*($G$9-$E$9)*($G$9-$F$9))))</f>
        <v>1.00358035821619</v>
      </c>
      <c r="F910" s="37" t="n">
        <f aca="false">1+IF($G$10=$E$10,$F$10,IF(T910&lt;($F$10-$E$10)/($G$10-$E$10),$E$10+SQRT(T910*($G$10-$E$10)*($F$10-$E$10)),$G$10-SQRT((1-T910)*($G$10-$E$10)*($G$10-$F$10))))</f>
        <v>1.03572495842282</v>
      </c>
      <c r="G910" s="38" t="n">
        <f aca="false">IF($G$11=$E$11,$F$11,IF(U910&lt;($F$11-$E$11)/($G$11-$E$11),$E$11+SQRT(U910*($G$11-$E$11)*($F$11-$E$11)),$G$11-SQRT((1-U910)*($G$11-$E$11)*($G$11-$F$11))))</f>
        <v>0.108907987695391</v>
      </c>
      <c r="H910" s="39" t="n">
        <f aca="false">(('Business Case'!B11*$C910*'Business Case'!B12*$B910)-'Business Case'!B11*$C910*'Business Case'!B13*$D910-'Business Case'!B14*$E910)-MAX(0,(('Business Case'!B11*$C910*'Business Case'!B12*$B910)-'Business Case'!B11*$C910*'Business Case'!B13*$D910-'Business Case'!B14*$E910))*'Business Case'!$B$7-'Business Case'!$B$8*('Business Case'!B11*$C910*'Business Case'!B12*$B910)-'Business Case'!B15*$F910</f>
        <v>-2071449916.84565</v>
      </c>
      <c r="I910" s="39" t="n">
        <f aca="false">(('Business Case'!C11*$C910*'Business Case'!C12*$B910)-'Business Case'!C11*$C910*'Business Case'!C13*$D910-'Business Case'!C14*$E910)-MAX(0,(('Business Case'!C11*$C910*'Business Case'!C12*$B910)-'Business Case'!C11*$C910*'Business Case'!C13*$D910-'Business Case'!C14*$E910))*'Business Case'!$B$7-'Business Case'!$B$8*(('Business Case'!C11*$C910*'Business Case'!C12*$B910)-('Business Case'!B11*$C910*'Business Case'!B12*$B910))-'Business Case'!C15*$F910</f>
        <v>9445614.37221287</v>
      </c>
      <c r="J910" s="39" t="n">
        <f aca="false">(('Business Case'!D11*$C910*'Business Case'!D12*$B910)-'Business Case'!D11*$C910*'Business Case'!D13*$D910-'Business Case'!D14*$E910)-MAX(0,(('Business Case'!D11*$C910*'Business Case'!D12*$B910)-'Business Case'!D11*$C910*'Business Case'!D13*$D910-'Business Case'!D14*$E910))*'Business Case'!$B$7-'Business Case'!$B$8*(('Business Case'!D11*$C910*'Business Case'!D12*$B910)-('Business Case'!C11*$C910*'Business Case'!C12*$B910))-'Business Case'!D15*$F910</f>
        <v>315834881.454015</v>
      </c>
      <c r="K910" s="39" t="n">
        <f aca="false">(('Business Case'!E11*$C910*'Business Case'!E12*$B910)-'Business Case'!E11*$C910*'Business Case'!E13*$D910-'Business Case'!E14*$E910)-MAX(0,(('Business Case'!E11*$C910*'Business Case'!E12*$B910)-'Business Case'!E11*$C910*'Business Case'!E13*$D910-'Business Case'!E14*$E910))*'Business Case'!$B$7-'Business Case'!$B$8*(('Business Case'!E11*$C910*'Business Case'!E12*$B910)-('Business Case'!D11*$C910*'Business Case'!D12*$B910))-'Business Case'!E15*$F910</f>
        <v>674010396.456959</v>
      </c>
      <c r="L910" s="39" t="n">
        <f aca="false">(('Business Case'!F11*$C910*'Business Case'!F12*$B910)-'Business Case'!F11*$C910*'Business Case'!F13*$D910-'Business Case'!F14*$E910)-MAX(0,(('Business Case'!F11*$C910*'Business Case'!F12*$B910)-'Business Case'!F11*$C910*'Business Case'!F13*$D910-'Business Case'!F14*$E910))*'Business Case'!$B$7-'Business Case'!$B$8*(('Business Case'!F11*$C910*'Business Case'!F12*$B910)-('Business Case'!E11*$C910*'Business Case'!E12*$B910))-'Business Case'!F15*$F910</f>
        <v>809914838.770203</v>
      </c>
      <c r="M910" s="39" t="n">
        <f aca="false">(('Business Case'!G11*$C910*'Business Case'!G12*$B910)-'Business Case'!G11*$C910*'Business Case'!G13*$D910-'Business Case'!G14*$E910)-MAX(0,(('Business Case'!G11*$C910*'Business Case'!G12*$B910)-'Business Case'!G11*$C910*'Business Case'!G13*$D910-'Business Case'!G14*$E910))*'Business Case'!$B$7-'Business Case'!$B$8*(('Business Case'!G11*$C910*'Business Case'!G12*$B910)-('Business Case'!F11*$C910*'Business Case'!F12*$B910))-'Business Case'!G15*$F910+'Business Case'!$B$8*('Business Case'!G11*$C910*'Business Case'!G12*$B910)</f>
        <v>995675615.17641</v>
      </c>
      <c r="N910" s="39" t="n">
        <f aca="false">IF(COUNT('Business Case'!B11:G11)=0,"",H910+NPV(G910,I910:M910))</f>
        <v>-182379384.61976</v>
      </c>
      <c r="P910" s="40" t="n">
        <f aca="true">RAND()</f>
        <v>0.911120998723941</v>
      </c>
      <c r="Q910" s="40" t="n">
        <f aca="true">RAND()</f>
        <v>0.359931400065913</v>
      </c>
      <c r="R910" s="40" t="n">
        <f aca="true">RAND()</f>
        <v>0.483073048417885</v>
      </c>
      <c r="S910" s="40" t="n">
        <f aca="true">RAND()</f>
        <v>0.380216845218741</v>
      </c>
      <c r="T910" s="40" t="n">
        <f aca="true">RAND()</f>
        <v>0.460274214296334</v>
      </c>
      <c r="U910" s="40" t="n">
        <f aca="true">RAND()</f>
        <v>0.794945438390679</v>
      </c>
    </row>
    <row r="911" customFormat="false" ht="15" hidden="false" customHeight="false" outlineLevel="0" collapsed="false">
      <c r="A911" s="36" t="n">
        <v>831</v>
      </c>
      <c r="B911" s="37" t="n">
        <f aca="false">1+IF($G$6=$E$6,$F$6,IF(P911&lt;($F$6-$E$6)/($G$6-$E$6),$E$6+SQRT(P911*($G$6-$E$6)*($F$6-$E$6)),$G$6-SQRT((1-P911)*($G$6-$E$6)*($G$6-$F$6))))</f>
        <v>0.959082418132209</v>
      </c>
      <c r="C911" s="37" t="n">
        <f aca="false">1+IF($G$7=$E$7,$F$7,IF(Q911&lt;($F$7-$E$7)/($G$7-$E$7),$E$7+SQRT(Q911*($G$7-$E$7)*($F$7-$E$7)),$G$7-SQRT((1-Q911)*($G$7-$E$7)*($G$7-$F$7))))</f>
        <v>0.928021659112132</v>
      </c>
      <c r="D911" s="37" t="n">
        <f aca="false">1+IF($G$8=$E$8,$F$8,IF(R911&lt;($F$8-$E$8)/($G$8-$E$8),$E$8+SQRT(R911*($G$8-$E$8)*($F$8-$E$8)),$G$8-SQRT((1-R911)*($G$8-$E$8)*($G$8-$F$8))))</f>
        <v>0.986985921345189</v>
      </c>
      <c r="E911" s="37" t="n">
        <f aca="false">1+IF($G$9=$E$9,$F$9,IF(S911&lt;($F$9-$E$9)/($G$9-$E$9),$E$9+SQRT(S911*($G$9-$E$9)*($F$9-$E$9)),$G$9-SQRT((1-S911)*($G$9-$E$9)*($G$9-$F$9))))</f>
        <v>1.03299252744826</v>
      </c>
      <c r="F911" s="37" t="n">
        <f aca="false">1+IF($G$10=$E$10,$F$10,IF(T911&lt;($F$10-$E$10)/($G$10-$E$10),$E$10+SQRT(T911*($G$10-$E$10)*($F$10-$E$10)),$G$10-SQRT((1-T911)*($G$10-$E$10)*($G$10-$F$10))))</f>
        <v>1.13551932565693</v>
      </c>
      <c r="G911" s="38" t="n">
        <f aca="false">IF($G$11=$E$11,$F$11,IF(U911&lt;($F$11-$E$11)/($G$11-$E$11),$E$11+SQRT(U911*($G$11-$E$11)*($F$11-$E$11)),$G$11-SQRT((1-U911)*($G$11-$E$11)*($G$11-$F$11))))</f>
        <v>0.0972448219033215</v>
      </c>
      <c r="H911" s="39" t="n">
        <f aca="false">(('Business Case'!B11*$C911*'Business Case'!B12*$B911)-'Business Case'!B11*$C911*'Business Case'!B13*$D911-'Business Case'!B14*$E911)-MAX(0,(('Business Case'!B11*$C911*'Business Case'!B12*$B911)-'Business Case'!B11*$C911*'Business Case'!B13*$D911-'Business Case'!B14*$E911))*'Business Case'!$B$7-'Business Case'!$B$8*('Business Case'!B11*$C911*'Business Case'!B12*$B911)-'Business Case'!B15*$F911</f>
        <v>-2271038651.31385</v>
      </c>
      <c r="I911" s="39" t="n">
        <f aca="false">(('Business Case'!C11*$C911*'Business Case'!C12*$B911)-'Business Case'!C11*$C911*'Business Case'!C13*$D911-'Business Case'!C14*$E911)-MAX(0,(('Business Case'!C11*$C911*'Business Case'!C12*$B911)-'Business Case'!C11*$C911*'Business Case'!C13*$D911-'Business Case'!C14*$E911))*'Business Case'!$B$7-'Business Case'!$B$8*(('Business Case'!C11*$C911*'Business Case'!C12*$B911)-('Business Case'!B11*$C911*'Business Case'!B12*$B911))-'Business Case'!C15*$F911</f>
        <v>-46459410.8242063</v>
      </c>
      <c r="J911" s="39" t="n">
        <f aca="false">(('Business Case'!D11*$C911*'Business Case'!D12*$B911)-'Business Case'!D11*$C911*'Business Case'!D13*$D911-'Business Case'!D14*$E911)-MAX(0,(('Business Case'!D11*$C911*'Business Case'!D12*$B911)-'Business Case'!D11*$C911*'Business Case'!D13*$D911-'Business Case'!D14*$E911))*'Business Case'!$B$7-'Business Case'!$B$8*(('Business Case'!D11*$C911*'Business Case'!D12*$B911)-('Business Case'!C11*$C911*'Business Case'!C12*$B911))-'Business Case'!D15*$F911</f>
        <v>213664801.798135</v>
      </c>
      <c r="K911" s="39" t="n">
        <f aca="false">(('Business Case'!E11*$C911*'Business Case'!E12*$B911)-'Business Case'!E11*$C911*'Business Case'!E13*$D911-'Business Case'!E14*$E911)-MAX(0,(('Business Case'!E11*$C911*'Business Case'!E12*$B911)-'Business Case'!E11*$C911*'Business Case'!E13*$D911-'Business Case'!E14*$E911))*'Business Case'!$B$7-'Business Case'!$B$8*(('Business Case'!E11*$C911*'Business Case'!E12*$B911)-('Business Case'!D11*$C911*'Business Case'!D12*$B911))-'Business Case'!E15*$F911</f>
        <v>530564980.703323</v>
      </c>
      <c r="L911" s="39" t="n">
        <f aca="false">(('Business Case'!F11*$C911*'Business Case'!F12*$B911)-'Business Case'!F11*$C911*'Business Case'!F13*$D911-'Business Case'!F14*$E911)-MAX(0,(('Business Case'!F11*$C911*'Business Case'!F12*$B911)-'Business Case'!F11*$C911*'Business Case'!F13*$D911-'Business Case'!F14*$E911))*'Business Case'!$B$7-'Business Case'!$B$8*(('Business Case'!F11*$C911*'Business Case'!F12*$B911)-('Business Case'!E11*$C911*'Business Case'!E12*$B911))-'Business Case'!F15*$F911</f>
        <v>648033153.895912</v>
      </c>
      <c r="M911" s="39" t="n">
        <f aca="false">(('Business Case'!G11*$C911*'Business Case'!G12*$B911)-'Business Case'!G11*$C911*'Business Case'!G13*$D911-'Business Case'!G14*$E911)-MAX(0,(('Business Case'!G11*$C911*'Business Case'!G12*$B911)-'Business Case'!G11*$C911*'Business Case'!G13*$D911-'Business Case'!G14*$E911))*'Business Case'!$B$7-'Business Case'!$B$8*(('Business Case'!G11*$C911*'Business Case'!G12*$B911)-('Business Case'!F11*$C911*'Business Case'!F12*$B911))-'Business Case'!G15*$F911+'Business Case'!$B$8*('Business Case'!G11*$C911*'Business Case'!G12*$B911)</f>
        <v>817213716.647526</v>
      </c>
      <c r="N911" s="39" t="n">
        <f aca="false">IF(COUNT('Business Case'!B11:G11)=0,"",H911+NPV(G911,I911:M911))</f>
        <v>-773372490.520568</v>
      </c>
      <c r="P911" s="40" t="n">
        <f aca="true">RAND()</f>
        <v>0.159107854902172</v>
      </c>
      <c r="Q911" s="40" t="n">
        <f aca="true">RAND()</f>
        <v>0.234136360026041</v>
      </c>
      <c r="R911" s="40" t="n">
        <f aca="true">RAND()</f>
        <v>0.210455135038847</v>
      </c>
      <c r="S911" s="40" t="n">
        <f aca="true">RAND()</f>
        <v>0.700666574815153</v>
      </c>
      <c r="T911" s="40" t="n">
        <f aca="true">RAND()</f>
        <v>0.916844852725247</v>
      </c>
      <c r="U911" s="40" t="n">
        <f aca="true">RAND()</f>
        <v>0.174958148036155</v>
      </c>
    </row>
    <row r="912" customFormat="false" ht="15" hidden="false" customHeight="false" outlineLevel="0" collapsed="false">
      <c r="A912" s="36" t="n">
        <v>832</v>
      </c>
      <c r="B912" s="37" t="n">
        <f aca="false">1+IF($G$6=$E$6,$F$6,IF(P912&lt;($F$6-$E$6)/($G$6-$E$6),$E$6+SQRT(P912*($G$6-$E$6)*($F$6-$E$6)),$G$6-SQRT((1-P912)*($G$6-$E$6)*($G$6-$F$6))))</f>
        <v>0.9599997997175</v>
      </c>
      <c r="C912" s="37" t="n">
        <f aca="false">1+IF($G$7=$E$7,$F$7,IF(Q912&lt;($F$7-$E$7)/($G$7-$E$7),$E$7+SQRT(Q912*($G$7-$E$7)*($F$7-$E$7)),$G$7-SQRT((1-Q912)*($G$7-$E$7)*($G$7-$F$7))))</f>
        <v>1.02836158351447</v>
      </c>
      <c r="D912" s="37" t="n">
        <f aca="false">1+IF($G$8=$E$8,$F$8,IF(R912&lt;($F$8-$E$8)/($G$8-$E$8),$E$8+SQRT(R912*($G$8-$E$8)*($F$8-$E$8)),$G$8-SQRT((1-R912)*($G$8-$E$8)*($G$8-$F$8))))</f>
        <v>1.01004108079675</v>
      </c>
      <c r="E912" s="37" t="n">
        <f aca="false">1+IF($G$9=$E$9,$F$9,IF(S912&lt;($F$9-$E$9)/($G$9-$E$9),$E$9+SQRT(S912*($G$9-$E$9)*($F$9-$E$9)),$G$9-SQRT((1-S912)*($G$9-$E$9)*($G$9-$F$9))))</f>
        <v>1.02188989519816</v>
      </c>
      <c r="F912" s="37" t="n">
        <f aca="false">1+IF($G$10=$E$10,$F$10,IF(T912&lt;($F$10-$E$10)/($G$10-$E$10),$E$10+SQRT(T912*($G$10-$E$10)*($F$10-$E$10)),$G$10-SQRT((1-T912)*($G$10-$E$10)*($G$10-$F$10))))</f>
        <v>0.995969626321269</v>
      </c>
      <c r="G912" s="38" t="n">
        <f aca="false">IF($G$11=$E$11,$F$11,IF(U912&lt;($F$11-$E$11)/($G$11-$E$11),$E$11+SQRT(U912*($G$11-$E$11)*($F$11-$E$11)),$G$11-SQRT((1-U912)*($G$11-$E$11)*($G$11-$F$11))))</f>
        <v>0.0999597315885083</v>
      </c>
      <c r="H912" s="39" t="n">
        <f aca="false">(('Business Case'!B11*$C912*'Business Case'!B12*$B912)-'Business Case'!B11*$C912*'Business Case'!B13*$D912-'Business Case'!B14*$E912)-MAX(0,(('Business Case'!B11*$C912*'Business Case'!B12*$B912)-'Business Case'!B11*$C912*'Business Case'!B13*$D912-'Business Case'!B14*$E912))*'Business Case'!$B$7-'Business Case'!$B$8*('Business Case'!B11*$C912*'Business Case'!B12*$B912)-'Business Case'!B15*$F912</f>
        <v>-1991939252.64254</v>
      </c>
      <c r="I912" s="39" t="n">
        <f aca="false">(('Business Case'!C11*$C912*'Business Case'!C12*$B912)-'Business Case'!C11*$C912*'Business Case'!C13*$D912-'Business Case'!C14*$E912)-MAX(0,(('Business Case'!C11*$C912*'Business Case'!C12*$B912)-'Business Case'!C11*$C912*'Business Case'!C13*$D912-'Business Case'!C14*$E912))*'Business Case'!$B$7-'Business Case'!$B$8*(('Business Case'!C11*$C912*'Business Case'!C12*$B912)-('Business Case'!B11*$C912*'Business Case'!B12*$B912))-'Business Case'!C15*$F912</f>
        <v>-19202502.8642595</v>
      </c>
      <c r="J912" s="39" t="n">
        <f aca="false">(('Business Case'!D11*$C912*'Business Case'!D12*$B912)-'Business Case'!D11*$C912*'Business Case'!D13*$D912-'Business Case'!D14*$E912)-MAX(0,(('Business Case'!D11*$C912*'Business Case'!D12*$B912)-'Business Case'!D11*$C912*'Business Case'!D13*$D912-'Business Case'!D14*$E912))*'Business Case'!$B$7-'Business Case'!$B$8*(('Business Case'!D11*$C912*'Business Case'!D12*$B912)-('Business Case'!C11*$C912*'Business Case'!C12*$B912))-'Business Case'!D15*$F912</f>
        <v>257682543.233488</v>
      </c>
      <c r="K912" s="39" t="n">
        <f aca="false">(('Business Case'!E11*$C912*'Business Case'!E12*$B912)-'Business Case'!E11*$C912*'Business Case'!E13*$D912-'Business Case'!E14*$E912)-MAX(0,(('Business Case'!E11*$C912*'Business Case'!E12*$B912)-'Business Case'!E11*$C912*'Business Case'!E13*$D912-'Business Case'!E14*$E912))*'Business Case'!$B$7-'Business Case'!$B$8*(('Business Case'!E11*$C912*'Business Case'!E12*$B912)-('Business Case'!D11*$C912*'Business Case'!D12*$B912))-'Business Case'!E15*$F912</f>
        <v>584366070.647299</v>
      </c>
      <c r="L912" s="39" t="n">
        <f aca="false">(('Business Case'!F11*$C912*'Business Case'!F12*$B912)-'Business Case'!F11*$C912*'Business Case'!F13*$D912-'Business Case'!F14*$E912)-MAX(0,(('Business Case'!F11*$C912*'Business Case'!F12*$B912)-'Business Case'!F11*$C912*'Business Case'!F13*$D912-'Business Case'!F14*$E912))*'Business Case'!$B$7-'Business Case'!$B$8*(('Business Case'!F11*$C912*'Business Case'!F12*$B912)-('Business Case'!E11*$C912*'Business Case'!E12*$B912))-'Business Case'!F15*$F912</f>
        <v>710779648.16835</v>
      </c>
      <c r="M912" s="39" t="n">
        <f aca="false">(('Business Case'!G11*$C912*'Business Case'!G12*$B912)-'Business Case'!G11*$C912*'Business Case'!G13*$D912-'Business Case'!G14*$E912)-MAX(0,(('Business Case'!G11*$C912*'Business Case'!G12*$B912)-'Business Case'!G11*$C912*'Business Case'!G13*$D912-'Business Case'!G14*$E912))*'Business Case'!$B$7-'Business Case'!$B$8*(('Business Case'!G11*$C912*'Business Case'!G12*$B912)-('Business Case'!F11*$C912*'Business Case'!F12*$B912))-'Business Case'!G15*$F912+'Business Case'!$B$8*('Business Case'!G11*$C912*'Business Case'!G12*$B912)</f>
        <v>898431740.021589</v>
      </c>
      <c r="N912" s="39" t="n">
        <f aca="false">IF(COUNT('Business Case'!B11:G11)=0,"",H912+NPV(G912,I912:M912))</f>
        <v>-313828538.854875</v>
      </c>
      <c r="P912" s="40" t="n">
        <f aca="true">RAND()</f>
        <v>0.16666499765001</v>
      </c>
      <c r="Q912" s="40" t="n">
        <f aca="true">RAND()</f>
        <v>0.718173250188452</v>
      </c>
      <c r="R912" s="40" t="n">
        <f aca="true">RAND()</f>
        <v>0.529399002299279</v>
      </c>
      <c r="S912" s="40" t="n">
        <f aca="true">RAND()</f>
        <v>0.59325410185638</v>
      </c>
      <c r="T912" s="40" t="n">
        <f aca="true">RAND()</f>
        <v>0.169056523529367</v>
      </c>
      <c r="U912" s="40" t="n">
        <f aca="true">RAND()</f>
        <v>0.3306541777171</v>
      </c>
    </row>
    <row r="913" customFormat="false" ht="15" hidden="false" customHeight="false" outlineLevel="0" collapsed="false">
      <c r="A913" s="36" t="n">
        <v>833</v>
      </c>
      <c r="B913" s="37" t="n">
        <f aca="false">1+IF($G$6=$E$6,$F$6,IF(P913&lt;($F$6-$E$6)/($G$6-$E$6),$E$6+SQRT(P913*($G$6-$E$6)*($F$6-$E$6)),$G$6-SQRT((1-P913)*($G$6-$E$6)*($G$6-$F$6))))</f>
        <v>0.944100253315862</v>
      </c>
      <c r="C913" s="37" t="n">
        <f aca="false">1+IF($G$7=$E$7,$F$7,IF(Q913&lt;($F$7-$E$7)/($G$7-$E$7),$E$7+SQRT(Q913*($G$7-$E$7)*($F$7-$E$7)),$G$7-SQRT((1-Q913)*($G$7-$E$7)*($G$7-$F$7))))</f>
        <v>1.04537313119532</v>
      </c>
      <c r="D913" s="37" t="n">
        <f aca="false">1+IF($G$8=$E$8,$F$8,IF(R913&lt;($F$8-$E$8)/($G$8-$E$8),$E$8+SQRT(R913*($G$8-$E$8)*($F$8-$E$8)),$G$8-SQRT((1-R913)*($G$8-$E$8)*($G$8-$F$8))))</f>
        <v>1.04403376637463</v>
      </c>
      <c r="E913" s="37" t="n">
        <f aca="false">1+IF($G$9=$E$9,$F$9,IF(S913&lt;($F$9-$E$9)/($G$9-$E$9),$E$9+SQRT(S913*($G$9-$E$9)*($F$9-$E$9)),$G$9-SQRT((1-S913)*($G$9-$E$9)*($G$9-$F$9))))</f>
        <v>1.05517907317286</v>
      </c>
      <c r="F913" s="37" t="n">
        <f aca="false">1+IF($G$10=$E$10,$F$10,IF(T913&lt;($F$10-$E$10)/($G$10-$E$10),$E$10+SQRT(T913*($G$10-$E$10)*($F$10-$E$10)),$G$10-SQRT((1-T913)*($G$10-$E$10)*($G$10-$F$10))))</f>
        <v>1.07507691565008</v>
      </c>
      <c r="G913" s="38" t="n">
        <f aca="false">IF($G$11=$E$11,$F$11,IF(U913&lt;($F$11-$E$11)/($G$11-$E$11),$E$11+SQRT(U913*($G$11-$E$11)*($F$11-$E$11)),$G$11-SQRT((1-U913)*($G$11-$E$11)*($G$11-$F$11))))</f>
        <v>0.109667052067658</v>
      </c>
      <c r="H913" s="39" t="n">
        <f aca="false">(('Business Case'!B11*$C913*'Business Case'!B12*$B913)-'Business Case'!B11*$C913*'Business Case'!B13*$D913-'Business Case'!B14*$E913)-MAX(0,(('Business Case'!B11*$C913*'Business Case'!B12*$B913)-'Business Case'!B11*$C913*'Business Case'!B13*$D913-'Business Case'!B14*$E913))*'Business Case'!$B$7-'Business Case'!$B$8*('Business Case'!B11*$C913*'Business Case'!B12*$B913)-'Business Case'!B15*$F913</f>
        <v>-2150153831.30016</v>
      </c>
      <c r="I913" s="39" t="n">
        <f aca="false">(('Business Case'!C11*$C913*'Business Case'!C12*$B913)-'Business Case'!C11*$C913*'Business Case'!C13*$D913-'Business Case'!C14*$E913)-MAX(0,(('Business Case'!C11*$C913*'Business Case'!C12*$B913)-'Business Case'!C11*$C913*'Business Case'!C13*$D913-'Business Case'!C14*$E913))*'Business Case'!$B$7-'Business Case'!$B$8*(('Business Case'!C11*$C913*'Business Case'!C12*$B913)-('Business Case'!B11*$C913*'Business Case'!B12*$B913))-'Business Case'!C15*$F913</f>
        <v>-59056447.7492401</v>
      </c>
      <c r="J913" s="39" t="n">
        <f aca="false">(('Business Case'!D11*$C913*'Business Case'!D12*$B913)-'Business Case'!D11*$C913*'Business Case'!D13*$D913-'Business Case'!D14*$E913)-MAX(0,(('Business Case'!D11*$C913*'Business Case'!D12*$B913)-'Business Case'!D11*$C913*'Business Case'!D13*$D913-'Business Case'!D14*$E913))*'Business Case'!$B$7-'Business Case'!$B$8*(('Business Case'!D11*$C913*'Business Case'!D12*$B913)-('Business Case'!C11*$C913*'Business Case'!C12*$B913))-'Business Case'!D15*$F913</f>
        <v>190604076.32013</v>
      </c>
      <c r="K913" s="39" t="n">
        <f aca="false">(('Business Case'!E11*$C913*'Business Case'!E12*$B913)-'Business Case'!E11*$C913*'Business Case'!E13*$D913-'Business Case'!E14*$E913)-MAX(0,(('Business Case'!E11*$C913*'Business Case'!E12*$B913)-'Business Case'!E11*$C913*'Business Case'!E13*$D913-'Business Case'!E14*$E913))*'Business Case'!$B$7-'Business Case'!$B$8*(('Business Case'!E11*$C913*'Business Case'!E12*$B913)-('Business Case'!D11*$C913*'Business Case'!D12*$B913))-'Business Case'!E15*$F913</f>
        <v>494018446.172003</v>
      </c>
      <c r="L913" s="39" t="n">
        <f aca="false">(('Business Case'!F11*$C913*'Business Case'!F12*$B913)-'Business Case'!F11*$C913*'Business Case'!F13*$D913-'Business Case'!F14*$E913)-MAX(0,(('Business Case'!F11*$C913*'Business Case'!F12*$B913)-'Business Case'!F11*$C913*'Business Case'!F13*$D913-'Business Case'!F14*$E913))*'Business Case'!$B$7-'Business Case'!$B$8*(('Business Case'!F11*$C913*'Business Case'!F12*$B913)-('Business Case'!E11*$C913*'Business Case'!E12*$B913))-'Business Case'!F15*$F913</f>
        <v>611347164.894074</v>
      </c>
      <c r="M913" s="39" t="n">
        <f aca="false">(('Business Case'!G11*$C913*'Business Case'!G12*$B913)-'Business Case'!G11*$C913*'Business Case'!G13*$D913-'Business Case'!G14*$E913)-MAX(0,(('Business Case'!G11*$C913*'Business Case'!G12*$B913)-'Business Case'!G11*$C913*'Business Case'!G13*$D913-'Business Case'!G14*$E913))*'Business Case'!$B$7-'Business Case'!$B$8*(('Business Case'!G11*$C913*'Business Case'!G12*$B913)-('Business Case'!F11*$C913*'Business Case'!F12*$B913))-'Business Case'!G15*$F913+'Business Case'!$B$8*('Business Case'!G11*$C913*'Business Case'!G12*$B913)</f>
        <v>798944157.07162</v>
      </c>
      <c r="N913" s="39" t="n">
        <f aca="false">IF(COUNT('Business Case'!B11:G11)=0,"",H913+NPV(G913,I913:M913))</f>
        <v>-808992078.7216</v>
      </c>
      <c r="P913" s="40" t="n">
        <f aca="true">RAND()</f>
        <v>0.060502313530076</v>
      </c>
      <c r="Q913" s="40" t="n">
        <f aca="true">RAND()</f>
        <v>0.791489872840528</v>
      </c>
      <c r="R913" s="40" t="n">
        <f aca="true">RAND()</f>
        <v>0.875618272962017</v>
      </c>
      <c r="S913" s="40" t="n">
        <f aca="true">RAND()</f>
        <v>0.866072301223733</v>
      </c>
      <c r="T913" s="40" t="n">
        <f aca="true">RAND()</f>
        <v>0.68788445993005</v>
      </c>
      <c r="U913" s="40" t="n">
        <f aca="true">RAND()</f>
        <v>0.822050311712509</v>
      </c>
    </row>
    <row r="914" customFormat="false" ht="15" hidden="false" customHeight="false" outlineLevel="0" collapsed="false">
      <c r="A914" s="36" t="n">
        <v>834</v>
      </c>
      <c r="B914" s="37" t="n">
        <f aca="false">1+IF($G$6=$E$6,$F$6,IF(P914&lt;($F$6-$E$6)/($G$6-$E$6),$E$6+SQRT(P914*($G$6-$E$6)*($F$6-$E$6)),$G$6-SQRT((1-P914)*($G$6-$E$6)*($G$6-$F$6))))</f>
        <v>0.951834386670353</v>
      </c>
      <c r="C914" s="37" t="n">
        <f aca="false">1+IF($G$7=$E$7,$F$7,IF(Q914&lt;($F$7-$E$7)/($G$7-$E$7),$E$7+SQRT(Q914*($G$7-$E$7)*($F$7-$E$7)),$G$7-SQRT((1-Q914)*($G$7-$E$7)*($G$7-$F$7))))</f>
        <v>0.99215173196959</v>
      </c>
      <c r="D914" s="37" t="n">
        <f aca="false">1+IF($G$8=$E$8,$F$8,IF(R914&lt;($F$8-$E$8)/($G$8-$E$8),$E$8+SQRT(R914*($G$8-$E$8)*($F$8-$E$8)),$G$8-SQRT((1-R914)*($G$8-$E$8)*($G$8-$F$8))))</f>
        <v>1.01452913209819</v>
      </c>
      <c r="E914" s="37" t="n">
        <f aca="false">1+IF($G$9=$E$9,$F$9,IF(S914&lt;($F$9-$E$9)/($G$9-$E$9),$E$9+SQRT(S914*($G$9-$E$9)*($F$9-$E$9)),$G$9-SQRT((1-S914)*($G$9-$E$9)*($G$9-$F$9))))</f>
        <v>1.0189640295079</v>
      </c>
      <c r="F914" s="37" t="n">
        <f aca="false">1+IF($G$10=$E$10,$F$10,IF(T914&lt;($F$10-$E$10)/($G$10-$E$10),$E$10+SQRT(T914*($G$10-$E$10)*($F$10-$E$10)),$G$10-SQRT((1-T914)*($G$10-$E$10)*($G$10-$F$10))))</f>
        <v>1.05429121248144</v>
      </c>
      <c r="G914" s="38" t="n">
        <f aca="false">IF($G$11=$E$11,$F$11,IF(U914&lt;($F$11-$E$11)/($G$11-$E$11),$E$11+SQRT(U914*($G$11-$E$11)*($F$11-$E$11)),$G$11-SQRT((1-U914)*($G$11-$E$11)*($G$11-$F$11))))</f>
        <v>0.0995264760197701</v>
      </c>
      <c r="H914" s="39" t="n">
        <f aca="false">(('Business Case'!B11*$C914*'Business Case'!B12*$B914)-'Business Case'!B11*$C914*'Business Case'!B13*$D914-'Business Case'!B14*$E914)-MAX(0,(('Business Case'!B11*$C914*'Business Case'!B12*$B914)-'Business Case'!B11*$C914*'Business Case'!B13*$D914-'Business Case'!B14*$E914))*'Business Case'!$B$7-'Business Case'!$B$8*('Business Case'!B11*$C914*'Business Case'!B12*$B914)-'Business Case'!B15*$F914</f>
        <v>-2108582424.96288</v>
      </c>
      <c r="I914" s="39" t="n">
        <f aca="false">(('Business Case'!C11*$C914*'Business Case'!C12*$B914)-'Business Case'!C11*$C914*'Business Case'!C13*$D914-'Business Case'!C14*$E914)-MAX(0,(('Business Case'!C11*$C914*'Business Case'!C12*$B914)-'Business Case'!C11*$C914*'Business Case'!C13*$D914-'Business Case'!C14*$E914))*'Business Case'!$B$7-'Business Case'!$B$8*(('Business Case'!C11*$C914*'Business Case'!C12*$B914)-('Business Case'!B11*$C914*'Business Case'!B12*$B914))-'Business Case'!C15*$F914</f>
        <v>-41061116.4546681</v>
      </c>
      <c r="J914" s="39" t="n">
        <f aca="false">(('Business Case'!D11*$C914*'Business Case'!D12*$B914)-'Business Case'!D11*$C914*'Business Case'!D13*$D914-'Business Case'!D14*$E914)-MAX(0,(('Business Case'!D11*$C914*'Business Case'!D12*$B914)-'Business Case'!D11*$C914*'Business Case'!D13*$D914-'Business Case'!D14*$E914))*'Business Case'!$B$7-'Business Case'!$B$8*(('Business Case'!D11*$C914*'Business Case'!D12*$B914)-('Business Case'!C11*$C914*'Business Case'!C12*$B914))-'Business Case'!D15*$F914</f>
        <v>217159410.107912</v>
      </c>
      <c r="K914" s="39" t="n">
        <f aca="false">(('Business Case'!E11*$C914*'Business Case'!E12*$B914)-'Business Case'!E11*$C914*'Business Case'!E13*$D914-'Business Case'!E14*$E914)-MAX(0,(('Business Case'!E11*$C914*'Business Case'!E12*$B914)-'Business Case'!E11*$C914*'Business Case'!E13*$D914-'Business Case'!E14*$E914))*'Business Case'!$B$7-'Business Case'!$B$8*(('Business Case'!E11*$C914*'Business Case'!E12*$B914)-('Business Case'!D11*$C914*'Business Case'!D12*$B914))-'Business Case'!E15*$F914</f>
        <v>528094497.294563</v>
      </c>
      <c r="L914" s="39" t="n">
        <f aca="false">(('Business Case'!F11*$C914*'Business Case'!F12*$B914)-'Business Case'!F11*$C914*'Business Case'!F13*$D914-'Business Case'!F14*$E914)-MAX(0,(('Business Case'!F11*$C914*'Business Case'!F12*$B914)-'Business Case'!F11*$C914*'Business Case'!F13*$D914-'Business Case'!F14*$E914))*'Business Case'!$B$7-'Business Case'!$B$8*(('Business Case'!F11*$C914*'Business Case'!F12*$B914)-('Business Case'!E11*$C914*'Business Case'!E12*$B914))-'Business Case'!F15*$F914</f>
        <v>646805230.664144</v>
      </c>
      <c r="M914" s="39" t="n">
        <f aca="false">(('Business Case'!G11*$C914*'Business Case'!G12*$B914)-'Business Case'!G11*$C914*'Business Case'!G13*$D914-'Business Case'!G14*$E914)-MAX(0,(('Business Case'!G11*$C914*'Business Case'!G12*$B914)-'Business Case'!G11*$C914*'Business Case'!G13*$D914-'Business Case'!G14*$E914))*'Business Case'!$B$7-'Business Case'!$B$8*(('Business Case'!G11*$C914*'Business Case'!G12*$B914)-('Business Case'!F11*$C914*'Business Case'!F12*$B914))-'Business Case'!G15*$F914+'Business Case'!$B$8*('Business Case'!G11*$C914*'Business Case'!G12*$B914)</f>
        <v>826309965.498775</v>
      </c>
      <c r="N914" s="39" t="n">
        <f aca="false">IF(COUNT('Business Case'!B11:G11)=0,"",H914+NPV(G914,I914:M914))</f>
        <v>-612306111.311179</v>
      </c>
      <c r="P914" s="40" t="n">
        <f aca="true">RAND()</f>
        <v>0.105565434862245</v>
      </c>
      <c r="Q914" s="40" t="n">
        <f aca="true">RAND()</f>
        <v>0.5274612585559</v>
      </c>
      <c r="R914" s="40" t="n">
        <f aca="true">RAND()</f>
        <v>0.587842832325302</v>
      </c>
      <c r="S914" s="40" t="n">
        <f aca="true">RAND()</f>
        <v>0.562211432426852</v>
      </c>
      <c r="T914" s="40" t="n">
        <f aca="true">RAND()</f>
        <v>0.575378984797414</v>
      </c>
      <c r="U914" s="40" t="n">
        <f aca="true">RAND()</f>
        <v>0.302512484517516</v>
      </c>
    </row>
    <row r="915" customFormat="false" ht="15" hidden="false" customHeight="false" outlineLevel="0" collapsed="false">
      <c r="A915" s="36" t="n">
        <v>835</v>
      </c>
      <c r="B915" s="37" t="n">
        <f aca="false">1+IF($G$6=$E$6,$F$6,IF(P915&lt;($F$6-$E$6)/($G$6-$E$6),$E$6+SQRT(P915*($G$6-$E$6)*($F$6-$E$6)),$G$6-SQRT((1-P915)*($G$6-$E$6)*($G$6-$F$6))))</f>
        <v>1.00807782476023</v>
      </c>
      <c r="C915" s="37" t="n">
        <f aca="false">1+IF($G$7=$E$7,$F$7,IF(Q915&lt;($F$7-$E$7)/($G$7-$E$7),$E$7+SQRT(Q915*($G$7-$E$7)*($F$7-$E$7)),$G$7-SQRT((1-Q915)*($G$7-$E$7)*($G$7-$F$7))))</f>
        <v>1.05608703820937</v>
      </c>
      <c r="D915" s="37" t="n">
        <f aca="false">1+IF($G$8=$E$8,$F$8,IF(R915&lt;($F$8-$E$8)/($G$8-$E$8),$E$8+SQRT(R915*($G$8-$E$8)*($F$8-$E$8)),$G$8-SQRT((1-R915)*($G$8-$E$8)*($G$8-$F$8))))</f>
        <v>0.997711362759239</v>
      </c>
      <c r="E915" s="37" t="n">
        <f aca="false">1+IF($G$9=$E$9,$F$9,IF(S915&lt;($F$9-$E$9)/($G$9-$E$9),$E$9+SQRT(S915*($G$9-$E$9)*($F$9-$E$9)),$G$9-SQRT((1-S915)*($G$9-$E$9)*($G$9-$F$9))))</f>
        <v>1.02877401940976</v>
      </c>
      <c r="F915" s="37" t="n">
        <f aca="false">1+IF($G$10=$E$10,$F$10,IF(T915&lt;($F$10-$E$10)/($G$10-$E$10),$E$10+SQRT(T915*($G$10-$E$10)*($F$10-$E$10)),$G$10-SQRT((1-T915)*($G$10-$E$10)*($G$10-$F$10))))</f>
        <v>1.05710877774626</v>
      </c>
      <c r="G915" s="38" t="n">
        <f aca="false">IF($G$11=$E$11,$F$11,IF(U915&lt;($F$11-$E$11)/($G$11-$E$11),$E$11+SQRT(U915*($G$11-$E$11)*($F$11-$E$11)),$G$11-SQRT((1-U915)*($G$11-$E$11)*($G$11-$F$11))))</f>
        <v>0.092702730442206</v>
      </c>
      <c r="H915" s="39" t="n">
        <f aca="false">(('Business Case'!B11*$C915*'Business Case'!B12*$B915)-'Business Case'!B11*$C915*'Business Case'!B13*$D915-'Business Case'!B14*$E915)-MAX(0,(('Business Case'!B11*$C915*'Business Case'!B12*$B915)-'Business Case'!B11*$C915*'Business Case'!B13*$D915-'Business Case'!B14*$E915))*'Business Case'!$B$7-'Business Case'!$B$8*('Business Case'!B11*$C915*'Business Case'!B12*$B915)-'Business Case'!B15*$F915</f>
        <v>-2114217555.49252</v>
      </c>
      <c r="I915" s="39" t="n">
        <f aca="false">(('Business Case'!C11*$C915*'Business Case'!C12*$B915)-'Business Case'!C11*$C915*'Business Case'!C13*$D915-'Business Case'!C14*$E915)-MAX(0,(('Business Case'!C11*$C915*'Business Case'!C12*$B915)-'Business Case'!C11*$C915*'Business Case'!C13*$D915-'Business Case'!C14*$E915))*'Business Case'!$B$7-'Business Case'!$B$8*(('Business Case'!C11*$C915*'Business Case'!C12*$B915)-('Business Case'!B11*$C915*'Business Case'!B12*$B915))-'Business Case'!C15*$F915</f>
        <v>25411630.0163289</v>
      </c>
      <c r="J915" s="39" t="n">
        <f aca="false">(('Business Case'!D11*$C915*'Business Case'!D12*$B915)-'Business Case'!D11*$C915*'Business Case'!D13*$D915-'Business Case'!D14*$E915)-MAX(0,(('Business Case'!D11*$C915*'Business Case'!D12*$B915)-'Business Case'!D11*$C915*'Business Case'!D13*$D915-'Business Case'!D14*$E915))*'Business Case'!$B$7-'Business Case'!$B$8*(('Business Case'!D11*$C915*'Business Case'!D12*$B915)-('Business Case'!C11*$C915*'Business Case'!C12*$B915))-'Business Case'!D15*$F915</f>
        <v>358015596.559724</v>
      </c>
      <c r="K915" s="39" t="n">
        <f aca="false">(('Business Case'!E11*$C915*'Business Case'!E12*$B915)-'Business Case'!E11*$C915*'Business Case'!E13*$D915-'Business Case'!E14*$E915)-MAX(0,(('Business Case'!E11*$C915*'Business Case'!E12*$B915)-'Business Case'!E11*$C915*'Business Case'!E13*$D915-'Business Case'!E14*$E915))*'Business Case'!$B$7-'Business Case'!$B$8*(('Business Case'!E11*$C915*'Business Case'!E12*$B915)-('Business Case'!D11*$C915*'Business Case'!D12*$B915))-'Business Case'!E15*$F915</f>
        <v>743475001.990432</v>
      </c>
      <c r="L915" s="39" t="n">
        <f aca="false">(('Business Case'!F11*$C915*'Business Case'!F12*$B915)-'Business Case'!F11*$C915*'Business Case'!F13*$D915-'Business Case'!F14*$E915)-MAX(0,(('Business Case'!F11*$C915*'Business Case'!F12*$B915)-'Business Case'!F11*$C915*'Business Case'!F13*$D915-'Business Case'!F14*$E915))*'Business Case'!$B$7-'Business Case'!$B$8*(('Business Case'!F11*$C915*'Business Case'!F12*$B915)-('Business Case'!E11*$C915*'Business Case'!E12*$B915))-'Business Case'!F15*$F915</f>
        <v>891136186.299812</v>
      </c>
      <c r="M915" s="39" t="n">
        <f aca="false">(('Business Case'!G11*$C915*'Business Case'!G12*$B915)-'Business Case'!G11*$C915*'Business Case'!G13*$D915-'Business Case'!G14*$E915)-MAX(0,(('Business Case'!G11*$C915*'Business Case'!G12*$B915)-'Business Case'!G11*$C915*'Business Case'!G13*$D915-'Business Case'!G14*$E915))*'Business Case'!$B$7-'Business Case'!$B$8*(('Business Case'!G11*$C915*'Business Case'!G12*$B915)-('Business Case'!F11*$C915*'Business Case'!F12*$B915))-'Business Case'!G15*$F915+'Business Case'!$B$8*('Business Case'!G11*$C915*'Business Case'!G12*$B915)</f>
        <v>1093498761.33851</v>
      </c>
      <c r="N915" s="39" t="n">
        <f aca="false">IF(COUNT('Business Case'!B11:G11)=0,"",H915+NPV(G915,I915:M915))</f>
        <v>105767312.337472</v>
      </c>
      <c r="P915" s="40" t="n">
        <f aca="true">RAND()</f>
        <v>0.787703068325277</v>
      </c>
      <c r="Q915" s="40" t="n">
        <f aca="true">RAND()</f>
        <v>0.832006773480205</v>
      </c>
      <c r="R915" s="40" t="n">
        <f aca="true">RAND()</f>
        <v>0.350211405591334</v>
      </c>
      <c r="S915" s="40" t="n">
        <f aca="true">RAND()</f>
        <v>0.661790645930604</v>
      </c>
      <c r="T915" s="40" t="n">
        <f aca="true">RAND()</f>
        <v>0.591641972056658</v>
      </c>
      <c r="U915" s="40" t="n">
        <f aca="true">RAND()</f>
        <v>0.0243491728107559</v>
      </c>
    </row>
    <row r="916" customFormat="false" ht="15" hidden="false" customHeight="false" outlineLevel="0" collapsed="false">
      <c r="A916" s="36" t="n">
        <v>836</v>
      </c>
      <c r="B916" s="37" t="n">
        <f aca="false">1+IF($G$6=$E$6,$F$6,IF(P916&lt;($F$6-$E$6)/($G$6-$E$6),$E$6+SQRT(P916*($G$6-$E$6)*($F$6-$E$6)),$G$6-SQRT((1-P916)*($G$6-$E$6)*($G$6-$F$6))))</f>
        <v>0.98774449255311</v>
      </c>
      <c r="C916" s="37" t="n">
        <f aca="false">1+IF($G$7=$E$7,$F$7,IF(Q916&lt;($F$7-$E$7)/($G$7-$E$7),$E$7+SQRT(Q916*($G$7-$E$7)*($F$7-$E$7)),$G$7-SQRT((1-Q916)*($G$7-$E$7)*($G$7-$F$7))))</f>
        <v>0.892018942563857</v>
      </c>
      <c r="D916" s="37" t="n">
        <f aca="false">1+IF($G$8=$E$8,$F$8,IF(R916&lt;($F$8-$E$8)/($G$8-$E$8),$E$8+SQRT(R916*($G$8-$E$8)*($F$8-$E$8)),$G$8-SQRT((1-R916)*($G$8-$E$8)*($G$8-$F$8))))</f>
        <v>1.03017154864131</v>
      </c>
      <c r="E916" s="37" t="n">
        <f aca="false">1+IF($G$9=$E$9,$F$9,IF(S916&lt;($F$9-$E$9)/($G$9-$E$9),$E$9+SQRT(S916*($G$9-$E$9)*($F$9-$E$9)),$G$9-SQRT((1-S916)*($G$9-$E$9)*($G$9-$F$9))))</f>
        <v>1.00871384689808</v>
      </c>
      <c r="F916" s="37" t="n">
        <f aca="false">1+IF($G$10=$E$10,$F$10,IF(T916&lt;($F$10-$E$10)/($G$10-$E$10),$E$10+SQRT(T916*($G$10-$E$10)*($F$10-$E$10)),$G$10-SQRT((1-T916)*($G$10-$E$10)*($G$10-$F$10))))</f>
        <v>0.999914099959973</v>
      </c>
      <c r="G916" s="38" t="n">
        <f aca="false">IF($G$11=$E$11,$F$11,IF(U916&lt;($F$11-$E$11)/($G$11-$E$11),$E$11+SQRT(U916*($G$11-$E$11)*($F$11-$E$11)),$G$11-SQRT((1-U916)*($G$11-$E$11)*($G$11-$F$11))))</f>
        <v>0.115649545692097</v>
      </c>
      <c r="H916" s="39" t="n">
        <f aca="false">(('Business Case'!B11*$C916*'Business Case'!B12*$B916)-'Business Case'!B11*$C916*'Business Case'!B13*$D916-'Business Case'!B14*$E916)-MAX(0,(('Business Case'!B11*$C916*'Business Case'!B12*$B916)-'Business Case'!B11*$C916*'Business Case'!B13*$D916-'Business Case'!B14*$E916))*'Business Case'!$B$7-'Business Case'!$B$8*('Business Case'!B11*$C916*'Business Case'!B12*$B916)-'Business Case'!B15*$F916</f>
        <v>-1999828199.91995</v>
      </c>
      <c r="I916" s="39" t="n">
        <f aca="false">(('Business Case'!C11*$C916*'Business Case'!C12*$B916)-'Business Case'!C11*$C916*'Business Case'!C13*$D916-'Business Case'!C14*$E916)-MAX(0,(('Business Case'!C11*$C916*'Business Case'!C12*$B916)-'Business Case'!C11*$C916*'Business Case'!C13*$D916-'Business Case'!C14*$E916))*'Business Case'!$B$7-'Business Case'!$B$8*(('Business Case'!C11*$C916*'Business Case'!C12*$B916)-('Business Case'!B11*$C916*'Business Case'!B12*$B916))-'Business Case'!C15*$F916</f>
        <v>-37852476.5599501</v>
      </c>
      <c r="J916" s="39" t="n">
        <f aca="false">(('Business Case'!D11*$C916*'Business Case'!D12*$B916)-'Business Case'!D11*$C916*'Business Case'!D13*$D916-'Business Case'!D14*$E916)-MAX(0,(('Business Case'!D11*$C916*'Business Case'!D12*$B916)-'Business Case'!D11*$C916*'Business Case'!D13*$D916-'Business Case'!D14*$E916))*'Business Case'!$B$7-'Business Case'!$B$8*(('Business Case'!D11*$C916*'Business Case'!D12*$B916)-('Business Case'!C11*$C916*'Business Case'!C12*$B916))-'Business Case'!D15*$F916</f>
        <v>213401105.501427</v>
      </c>
      <c r="K916" s="39" t="n">
        <f aca="false">(('Business Case'!E11*$C916*'Business Case'!E12*$B916)-'Business Case'!E11*$C916*'Business Case'!E13*$D916-'Business Case'!E14*$E916)-MAX(0,(('Business Case'!E11*$C916*'Business Case'!E12*$B916)-'Business Case'!E11*$C916*'Business Case'!E13*$D916-'Business Case'!E14*$E916))*'Business Case'!$B$7-'Business Case'!$B$8*(('Business Case'!E11*$C916*'Business Case'!E12*$B916)-('Business Case'!D11*$C916*'Business Case'!D12*$B916))-'Business Case'!E15*$F916</f>
        <v>514650392.560803</v>
      </c>
      <c r="L916" s="39" t="n">
        <f aca="false">(('Business Case'!F11*$C916*'Business Case'!F12*$B916)-'Business Case'!F11*$C916*'Business Case'!F13*$D916-'Business Case'!F14*$E916)-MAX(0,(('Business Case'!F11*$C916*'Business Case'!F12*$B916)-'Business Case'!F11*$C916*'Business Case'!F13*$D916-'Business Case'!F14*$E916))*'Business Case'!$B$7-'Business Case'!$B$8*(('Business Case'!F11*$C916*'Business Case'!F12*$B916)-('Business Case'!E11*$C916*'Business Case'!E12*$B916))-'Business Case'!F15*$F916</f>
        <v>628851946.312211</v>
      </c>
      <c r="M916" s="39" t="n">
        <f aca="false">(('Business Case'!G11*$C916*'Business Case'!G12*$B916)-'Business Case'!G11*$C916*'Business Case'!G13*$D916-'Business Case'!G14*$E916)-MAX(0,(('Business Case'!G11*$C916*'Business Case'!G12*$B916)-'Business Case'!G11*$C916*'Business Case'!G13*$D916-'Business Case'!G14*$E916))*'Business Case'!$B$7-'Business Case'!$B$8*(('Business Case'!G11*$C916*'Business Case'!G12*$B916)-('Business Case'!F11*$C916*'Business Case'!F12*$B916))-'Business Case'!G15*$F916+'Business Case'!$B$8*('Business Case'!G11*$C916*'Business Case'!G12*$B916)</f>
        <v>796328924.832427</v>
      </c>
      <c r="N916" s="39" t="n">
        <f aca="false">IF(COUNT('Business Case'!B11:G11)=0,"",H916+NPV(G916,I916:M916))</f>
        <v>-625030900.335841</v>
      </c>
      <c r="P916" s="40" t="n">
        <f aca="true">RAND()</f>
        <v>0.478053778258161</v>
      </c>
      <c r="Q916" s="40" t="n">
        <f aca="true">RAND()</f>
        <v>0.120964082722436</v>
      </c>
      <c r="R916" s="40" t="n">
        <f aca="true">RAND()</f>
        <v>0.761262061076449</v>
      </c>
      <c r="S916" s="40" t="n">
        <f aca="true">RAND()</f>
        <v>0.444455883456905</v>
      </c>
      <c r="T916" s="40" t="n">
        <f aca="true">RAND()</f>
        <v>0.199313389985131</v>
      </c>
      <c r="U916" s="40" t="n">
        <f aca="true">RAND()</f>
        <v>0.968455912191416</v>
      </c>
    </row>
    <row r="917" customFormat="false" ht="15" hidden="false" customHeight="false" outlineLevel="0" collapsed="false">
      <c r="A917" s="36" t="n">
        <v>837</v>
      </c>
      <c r="B917" s="37" t="n">
        <f aca="false">1+IF($G$6=$E$6,$F$6,IF(P917&lt;($F$6-$E$6)/($G$6-$E$6),$E$6+SQRT(P917*($G$6-$E$6)*($F$6-$E$6)),$G$6-SQRT((1-P917)*($G$6-$E$6)*($G$6-$F$6))))</f>
        <v>1.03044768698336</v>
      </c>
      <c r="C917" s="37" t="n">
        <f aca="false">1+IF($G$7=$E$7,$F$7,IF(Q917&lt;($F$7-$E$7)/($G$7-$E$7),$E$7+SQRT(Q917*($G$7-$E$7)*($F$7-$E$7)),$G$7-SQRT((1-Q917)*($G$7-$E$7)*($G$7-$F$7))))</f>
        <v>0.881297884866536</v>
      </c>
      <c r="D917" s="37" t="n">
        <f aca="false">1+IF($G$8=$E$8,$F$8,IF(R917&lt;($F$8-$E$8)/($G$8-$E$8),$E$8+SQRT(R917*($G$8-$E$8)*($F$8-$E$8)),$G$8-SQRT((1-R917)*($G$8-$E$8)*($G$8-$F$8))))</f>
        <v>1.05663059016755</v>
      </c>
      <c r="E917" s="37" t="n">
        <f aca="false">1+IF($G$9=$E$9,$F$9,IF(S917&lt;($F$9-$E$9)/($G$9-$E$9),$E$9+SQRT(S917*($G$9-$E$9)*($F$9-$E$9)),$G$9-SQRT((1-S917)*($G$9-$E$9)*($G$9-$F$9))))</f>
        <v>0.97062920139749</v>
      </c>
      <c r="F917" s="37" t="n">
        <f aca="false">1+IF($G$10=$E$10,$F$10,IF(T917&lt;($F$10-$E$10)/($G$10-$E$10),$E$10+SQRT(T917*($G$10-$E$10)*($F$10-$E$10)),$G$10-SQRT((1-T917)*($G$10-$E$10)*($G$10-$F$10))))</f>
        <v>1.10072798322814</v>
      </c>
      <c r="G917" s="38" t="n">
        <f aca="false">IF($G$11=$E$11,$F$11,IF(U917&lt;($F$11-$E$11)/($G$11-$E$11),$E$11+SQRT(U917*($G$11-$E$11)*($F$11-$E$11)),$G$11-SQRT((1-U917)*($G$11-$E$11)*($G$11-$F$11))))</f>
        <v>0.0980357637490998</v>
      </c>
      <c r="H917" s="39" t="n">
        <f aca="false">(('Business Case'!B11*$C917*'Business Case'!B12*$B917)-'Business Case'!B11*$C917*'Business Case'!B13*$D917-'Business Case'!B14*$E917)-MAX(0,(('Business Case'!B11*$C917*'Business Case'!B12*$B917)-'Business Case'!B11*$C917*'Business Case'!B13*$D917-'Business Case'!B14*$E917))*'Business Case'!$B$7-'Business Case'!$B$8*('Business Case'!B11*$C917*'Business Case'!B12*$B917)-'Business Case'!B15*$F917</f>
        <v>-2201455966.45628</v>
      </c>
      <c r="I917" s="39" t="n">
        <f aca="false">(('Business Case'!C11*$C917*'Business Case'!C12*$B917)-'Business Case'!C11*$C917*'Business Case'!C13*$D917-'Business Case'!C14*$E917)-MAX(0,(('Business Case'!C11*$C917*'Business Case'!C12*$B917)-'Business Case'!C11*$C917*'Business Case'!C13*$D917-'Business Case'!C14*$E917))*'Business Case'!$B$7-'Business Case'!$B$8*(('Business Case'!C11*$C917*'Business Case'!C12*$B917)-('Business Case'!B11*$C917*'Business Case'!B12*$B917))-'Business Case'!C15*$F917</f>
        <v>-28051957.0383224</v>
      </c>
      <c r="J917" s="39" t="n">
        <f aca="false">(('Business Case'!D11*$C917*'Business Case'!D12*$B917)-'Business Case'!D11*$C917*'Business Case'!D13*$D917-'Business Case'!D14*$E917)-MAX(0,(('Business Case'!D11*$C917*'Business Case'!D12*$B917)-'Business Case'!D11*$C917*'Business Case'!D13*$D917-'Business Case'!D14*$E917))*'Business Case'!$B$7-'Business Case'!$B$8*(('Business Case'!D11*$C917*'Business Case'!D12*$B917)-('Business Case'!C11*$C917*'Business Case'!C12*$B917))-'Business Case'!D15*$F917</f>
        <v>239069886.750382</v>
      </c>
      <c r="K917" s="39" t="n">
        <f aca="false">(('Business Case'!E11*$C917*'Business Case'!E12*$B917)-'Business Case'!E11*$C917*'Business Case'!E13*$D917-'Business Case'!E14*$E917)-MAX(0,(('Business Case'!E11*$C917*'Business Case'!E12*$B917)-'Business Case'!E11*$C917*'Business Case'!E13*$D917-'Business Case'!E14*$E917))*'Business Case'!$B$7-'Business Case'!$B$8*(('Business Case'!E11*$C917*'Business Case'!E12*$B917)-('Business Case'!D11*$C917*'Business Case'!D12*$B917))-'Business Case'!E15*$F917</f>
        <v>561228129.700493</v>
      </c>
      <c r="L917" s="39" t="n">
        <f aca="false">(('Business Case'!F11*$C917*'Business Case'!F12*$B917)-'Business Case'!F11*$C917*'Business Case'!F13*$D917-'Business Case'!F14*$E917)-MAX(0,(('Business Case'!F11*$C917*'Business Case'!F12*$B917)-'Business Case'!F11*$C917*'Business Case'!F13*$D917-'Business Case'!F14*$E917))*'Business Case'!$B$7-'Business Case'!$B$8*(('Business Case'!F11*$C917*'Business Case'!F12*$B917)-('Business Case'!E11*$C917*'Business Case'!E12*$B917))-'Business Case'!F15*$F917</f>
        <v>681653764.340387</v>
      </c>
      <c r="M917" s="39" t="n">
        <f aca="false">(('Business Case'!G11*$C917*'Business Case'!G12*$B917)-'Business Case'!G11*$C917*'Business Case'!G13*$D917-'Business Case'!G14*$E917)-MAX(0,(('Business Case'!G11*$C917*'Business Case'!G12*$B917)-'Business Case'!G11*$C917*'Business Case'!G13*$D917-'Business Case'!G14*$E917))*'Business Case'!$B$7-'Business Case'!$B$8*(('Business Case'!G11*$C917*'Business Case'!G12*$B917)-('Business Case'!F11*$C917*'Business Case'!F12*$B917))-'Business Case'!G15*$F917+'Business Case'!$B$8*('Business Case'!G11*$C917*'Business Case'!G12*$B917)</f>
        <v>854271374.580516</v>
      </c>
      <c r="N917" s="39" t="n">
        <f aca="false">IF(COUNT('Business Case'!B11:G11)=0,"",H917+NPV(G917,I917:M917))</f>
        <v>-600675740.905273</v>
      </c>
      <c r="P917" s="40" t="n">
        <f aca="true">RAND()</f>
        <v>0.980990274173347</v>
      </c>
      <c r="Q917" s="40" t="n">
        <f aca="true">RAND()</f>
        <v>0.0944192297681798</v>
      </c>
      <c r="R917" s="40" t="n">
        <f aca="true">RAND()</f>
        <v>0.947487565777214</v>
      </c>
      <c r="S917" s="40" t="n">
        <f aca="true">RAND()</f>
        <v>0.0567418600397619</v>
      </c>
      <c r="T917" s="40" t="n">
        <f aca="true">RAND()</f>
        <v>0.802901333720944</v>
      </c>
      <c r="U917" s="40" t="n">
        <f aca="true">RAND()</f>
        <v>0.215244996771157</v>
      </c>
    </row>
    <row r="918" customFormat="false" ht="15" hidden="false" customHeight="false" outlineLevel="0" collapsed="false">
      <c r="A918" s="36" t="n">
        <v>838</v>
      </c>
      <c r="B918" s="37" t="n">
        <f aca="false">1+IF($G$6=$E$6,$F$6,IF(P918&lt;($F$6-$E$6)/($G$6-$E$6),$E$6+SQRT(P918*($G$6-$E$6)*($F$6-$E$6)),$G$6-SQRT((1-P918)*($G$6-$E$6)*($G$6-$F$6))))</f>
        <v>0.981165591259325</v>
      </c>
      <c r="C918" s="37" t="n">
        <f aca="false">1+IF($G$7=$E$7,$F$7,IF(Q918&lt;($F$7-$E$7)/($G$7-$E$7),$E$7+SQRT(Q918*($G$7-$E$7)*($F$7-$E$7)),$G$7-SQRT((1-Q918)*($G$7-$E$7)*($G$7-$F$7))))</f>
        <v>0.849520285091764</v>
      </c>
      <c r="D918" s="37" t="n">
        <f aca="false">1+IF($G$8=$E$8,$F$8,IF(R918&lt;($F$8-$E$8)/($G$8-$E$8),$E$8+SQRT(R918*($G$8-$E$8)*($F$8-$E$8)),$G$8-SQRT((1-R918)*($G$8-$E$8)*($G$8-$F$8))))</f>
        <v>1.06669802087461</v>
      </c>
      <c r="E918" s="37" t="n">
        <f aca="false">1+IF($G$9=$E$9,$F$9,IF(S918&lt;($F$9-$E$9)/($G$9-$E$9),$E$9+SQRT(S918*($G$9-$E$9)*($F$9-$E$9)),$G$9-SQRT((1-S918)*($G$9-$E$9)*($G$9-$F$9))))</f>
        <v>1.02615951301832</v>
      </c>
      <c r="F918" s="37" t="n">
        <f aca="false">1+IF($G$10=$E$10,$F$10,IF(T918&lt;($F$10-$E$10)/($G$10-$E$10),$E$10+SQRT(T918*($G$10-$E$10)*($F$10-$E$10)),$G$10-SQRT((1-T918)*($G$10-$E$10)*($G$10-$F$10))))</f>
        <v>1.10757204419687</v>
      </c>
      <c r="G918" s="38" t="n">
        <f aca="false">IF($G$11=$E$11,$F$11,IF(U918&lt;($F$11-$E$11)/($G$11-$E$11),$E$11+SQRT(U918*($G$11-$E$11)*($F$11-$E$11)),$G$11-SQRT((1-U918)*($G$11-$E$11)*($G$11-$F$11))))</f>
        <v>0.0930855460519026</v>
      </c>
      <c r="H918" s="39" t="n">
        <f aca="false">(('Business Case'!B11*$C918*'Business Case'!B12*$B918)-'Business Case'!B11*$C918*'Business Case'!B13*$D918-'Business Case'!B14*$E918)-MAX(0,(('Business Case'!B11*$C918*'Business Case'!B12*$B918)-'Business Case'!B11*$C918*'Business Case'!B13*$D918-'Business Case'!B14*$E918))*'Business Case'!$B$7-'Business Case'!$B$8*('Business Case'!B11*$C918*'Business Case'!B12*$B918)-'Business Case'!B15*$F918</f>
        <v>-2215144088.39374</v>
      </c>
      <c r="I918" s="39" t="n">
        <f aca="false">(('Business Case'!C11*$C918*'Business Case'!C12*$B918)-'Business Case'!C11*$C918*'Business Case'!C13*$D918-'Business Case'!C14*$E918)-MAX(0,(('Business Case'!C11*$C918*'Business Case'!C12*$B918)-'Business Case'!C11*$C918*'Business Case'!C13*$D918-'Business Case'!C14*$E918))*'Business Case'!$B$7-'Business Case'!$B$8*(('Business Case'!C11*$C918*'Business Case'!C12*$B918)-('Business Case'!B11*$C918*'Business Case'!B12*$B918))-'Business Case'!C15*$F918</f>
        <v>-81066302.8227818</v>
      </c>
      <c r="J918" s="39" t="n">
        <f aca="false">(('Business Case'!D11*$C918*'Business Case'!D12*$B918)-'Business Case'!D11*$C918*'Business Case'!D13*$D918-'Business Case'!D14*$E918)-MAX(0,(('Business Case'!D11*$C918*'Business Case'!D12*$B918)-'Business Case'!D11*$C918*'Business Case'!D13*$D918-'Business Case'!D14*$E918))*'Business Case'!$B$7-'Business Case'!$B$8*(('Business Case'!D11*$C918*'Business Case'!D12*$B918)-('Business Case'!C11*$C918*'Business Case'!C12*$B918))-'Business Case'!D15*$F918</f>
        <v>137754162.099739</v>
      </c>
      <c r="K918" s="39" t="n">
        <f aca="false">(('Business Case'!E11*$C918*'Business Case'!E12*$B918)-'Business Case'!E11*$C918*'Business Case'!E13*$D918-'Business Case'!E14*$E918)-MAX(0,(('Business Case'!E11*$C918*'Business Case'!E12*$B918)-'Business Case'!E11*$C918*'Business Case'!E13*$D918-'Business Case'!E14*$E918))*'Business Case'!$B$7-'Business Case'!$B$8*(('Business Case'!E11*$C918*'Business Case'!E12*$B918)-('Business Case'!D11*$C918*'Business Case'!D12*$B918))-'Business Case'!E15*$F918</f>
        <v>411953229.232103</v>
      </c>
      <c r="L918" s="39" t="n">
        <f aca="false">(('Business Case'!F11*$C918*'Business Case'!F12*$B918)-'Business Case'!F11*$C918*'Business Case'!F13*$D918-'Business Case'!F14*$E918)-MAX(0,(('Business Case'!F11*$C918*'Business Case'!F12*$B918)-'Business Case'!F11*$C918*'Business Case'!F13*$D918-'Business Case'!F14*$E918))*'Business Case'!$B$7-'Business Case'!$B$8*(('Business Case'!F11*$C918*'Business Case'!F12*$B918)-('Business Case'!E11*$C918*'Business Case'!E12*$B918))-'Business Case'!F15*$F918</f>
        <v>513699837.922551</v>
      </c>
      <c r="M918" s="39" t="n">
        <f aca="false">(('Business Case'!G11*$C918*'Business Case'!G12*$B918)-'Business Case'!G11*$C918*'Business Case'!G13*$D918-'Business Case'!G14*$E918)-MAX(0,(('Business Case'!G11*$C918*'Business Case'!G12*$B918)-'Business Case'!G11*$C918*'Business Case'!G13*$D918-'Business Case'!G14*$E918))*'Business Case'!$B$7-'Business Case'!$B$8*(('Business Case'!G11*$C918*'Business Case'!G12*$B918)-('Business Case'!F11*$C918*'Business Case'!F12*$B918))-'Business Case'!G15*$F918+'Business Case'!$B$8*('Business Case'!G11*$C918*'Business Case'!G12*$B918)</f>
        <v>672135333.362057</v>
      </c>
      <c r="N918" s="39" t="n">
        <f aca="false">IF(COUNT('Business Case'!B11:G11)=0,"",H918+NPV(G918,I918:M918))</f>
        <v>-1068061135.09322</v>
      </c>
      <c r="P918" s="40" t="n">
        <f aca="true">RAND()</f>
        <v>0.389711411885705</v>
      </c>
      <c r="Q918" s="40" t="n">
        <f aca="true">RAND()</f>
        <v>0.035032266222423</v>
      </c>
      <c r="R918" s="40" t="n">
        <f aca="true">RAND()</f>
        <v>0.982986283783442</v>
      </c>
      <c r="S918" s="40" t="n">
        <f aca="true">RAND()</f>
        <v>0.636505498820569</v>
      </c>
      <c r="T918" s="40" t="n">
        <f aca="true">RAND()</f>
        <v>0.829141459721085</v>
      </c>
      <c r="U918" s="40" t="n">
        <f aca="true">RAND()</f>
        <v>0.0317353147947056</v>
      </c>
    </row>
    <row r="919" customFormat="false" ht="15" hidden="false" customHeight="false" outlineLevel="0" collapsed="false">
      <c r="A919" s="36" t="n">
        <v>839</v>
      </c>
      <c r="B919" s="37" t="n">
        <f aca="false">1+IF($G$6=$E$6,$F$6,IF(P919&lt;($F$6-$E$6)/($G$6-$E$6),$E$6+SQRT(P919*($G$6-$E$6)*($F$6-$E$6)),$G$6-SQRT((1-P919)*($G$6-$E$6)*($G$6-$F$6))))</f>
        <v>1.01635647923997</v>
      </c>
      <c r="C919" s="37" t="n">
        <f aca="false">1+IF($G$7=$E$7,$F$7,IF(Q919&lt;($F$7-$E$7)/($G$7-$E$7),$E$7+SQRT(Q919*($G$7-$E$7)*($F$7-$E$7)),$G$7-SQRT((1-Q919)*($G$7-$E$7)*($G$7-$F$7))))</f>
        <v>1.14709268917077</v>
      </c>
      <c r="D919" s="37" t="n">
        <f aca="false">1+IF($G$8=$E$8,$F$8,IF(R919&lt;($F$8-$E$8)/($G$8-$E$8),$E$8+SQRT(R919*($G$8-$E$8)*($F$8-$E$8)),$G$8-SQRT((1-R919)*($G$8-$E$8)*($G$8-$F$8))))</f>
        <v>1.00091893358443</v>
      </c>
      <c r="E919" s="37" t="n">
        <f aca="false">1+IF($G$9=$E$9,$F$9,IF(S919&lt;($F$9-$E$9)/($G$9-$E$9),$E$9+SQRT(S919*($G$9-$E$9)*($F$9-$E$9)),$G$9-SQRT((1-S919)*($G$9-$E$9)*($G$9-$F$9))))</f>
        <v>0.961432769362975</v>
      </c>
      <c r="F919" s="37" t="n">
        <f aca="false">1+IF($G$10=$E$10,$F$10,IF(T919&lt;($F$10-$E$10)/($G$10-$E$10),$E$10+SQRT(T919*($G$10-$E$10)*($F$10-$E$10)),$G$10-SQRT((1-T919)*($G$10-$E$10)*($G$10-$F$10))))</f>
        <v>1.06677603363096</v>
      </c>
      <c r="G919" s="38" t="n">
        <f aca="false">IF($G$11=$E$11,$F$11,IF(U919&lt;($F$11-$E$11)/($G$11-$E$11),$E$11+SQRT(U919*($G$11-$E$11)*($F$11-$E$11)),$G$11-SQRT((1-U919)*($G$11-$E$11)*($G$11-$F$11))))</f>
        <v>0.0992200365166212</v>
      </c>
      <c r="H919" s="39" t="n">
        <f aca="false">(('Business Case'!B11*$C919*'Business Case'!B12*$B919)-'Business Case'!B11*$C919*'Business Case'!B13*$D919-'Business Case'!B14*$E919)-MAX(0,(('Business Case'!B11*$C919*'Business Case'!B12*$B919)-'Business Case'!B11*$C919*'Business Case'!B13*$D919-'Business Case'!B14*$E919))*'Business Case'!$B$7-'Business Case'!$B$8*('Business Case'!B11*$C919*'Business Case'!B12*$B919)-'Business Case'!B15*$F919</f>
        <v>-2133552067.26191</v>
      </c>
      <c r="I919" s="39" t="n">
        <f aca="false">(('Business Case'!C11*$C919*'Business Case'!C12*$B919)-'Business Case'!C11*$C919*'Business Case'!C13*$D919-'Business Case'!C14*$E919)-MAX(0,(('Business Case'!C11*$C919*'Business Case'!C12*$B919)-'Business Case'!C11*$C919*'Business Case'!C13*$D919-'Business Case'!C14*$E919))*'Business Case'!$B$7-'Business Case'!$B$8*(('Business Case'!C11*$C919*'Business Case'!C12*$B919)-('Business Case'!B11*$C919*'Business Case'!B12*$B919))-'Business Case'!C15*$F919</f>
        <v>63328681.552692</v>
      </c>
      <c r="J919" s="39" t="n">
        <f aca="false">(('Business Case'!D11*$C919*'Business Case'!D12*$B919)-'Business Case'!D11*$C919*'Business Case'!D13*$D919-'Business Case'!D14*$E919)-MAX(0,(('Business Case'!D11*$C919*'Business Case'!D12*$B919)-'Business Case'!D11*$C919*'Business Case'!D13*$D919-'Business Case'!D14*$E919))*'Business Case'!$B$7-'Business Case'!$B$8*(('Business Case'!D11*$C919*'Business Case'!D12*$B919)-('Business Case'!C11*$C919*'Business Case'!C12*$B919))-'Business Case'!D15*$F919</f>
        <v>430488633.978217</v>
      </c>
      <c r="K919" s="39" t="n">
        <f aca="false">(('Business Case'!E11*$C919*'Business Case'!E12*$B919)-'Business Case'!E11*$C919*'Business Case'!E13*$D919-'Business Case'!E14*$E919)-MAX(0,(('Business Case'!E11*$C919*'Business Case'!E12*$B919)-'Business Case'!E11*$C919*'Business Case'!E13*$D919-'Business Case'!E14*$E919))*'Business Case'!$B$7-'Business Case'!$B$8*(('Business Case'!E11*$C919*'Business Case'!E12*$B919)-('Business Case'!D11*$C919*'Business Case'!D12*$B919))-'Business Case'!E15*$F919</f>
        <v>850987388.08529</v>
      </c>
      <c r="L919" s="39" t="n">
        <f aca="false">(('Business Case'!F11*$C919*'Business Case'!F12*$B919)-'Business Case'!F11*$C919*'Business Case'!F13*$D919-'Business Case'!F14*$E919)-MAX(0,(('Business Case'!F11*$C919*'Business Case'!F12*$B919)-'Business Case'!F11*$C919*'Business Case'!F13*$D919-'Business Case'!F14*$E919))*'Business Case'!$B$7-'Business Case'!$B$8*(('Business Case'!F11*$C919*'Business Case'!F12*$B919)-('Business Case'!E11*$C919*'Business Case'!E12*$B919))-'Business Case'!F15*$F919</f>
        <v>1013665990.69801</v>
      </c>
      <c r="M919" s="39" t="n">
        <f aca="false">(('Business Case'!G11*$C919*'Business Case'!G12*$B919)-'Business Case'!G11*$C919*'Business Case'!G13*$D919-'Business Case'!G14*$E919)-MAX(0,(('Business Case'!G11*$C919*'Business Case'!G12*$B919)-'Business Case'!G11*$C919*'Business Case'!G13*$D919-'Business Case'!G14*$E919))*'Business Case'!$B$7-'Business Case'!$B$8*(('Business Case'!G11*$C919*'Business Case'!G12*$B919)-('Business Case'!F11*$C919*'Business Case'!F12*$B919))-'Business Case'!G15*$F919+'Business Case'!$B$8*('Business Case'!G11*$C919*'Business Case'!G12*$B919)</f>
        <v>1235271725.62119</v>
      </c>
      <c r="N919" s="39" t="n">
        <f aca="false">IF(COUNT('Business Case'!B11:G11)=0,"",H919+NPV(G919,I919:M919))</f>
        <v>385108751.608477</v>
      </c>
      <c r="P919" s="40" t="n">
        <f aca="true">RAND()</f>
        <v>0.883538317931239</v>
      </c>
      <c r="Q919" s="40" t="n">
        <f aca="true">RAND()</f>
        <v>0.999839000833186</v>
      </c>
      <c r="R919" s="40" t="n">
        <f aca="true">RAND()</f>
        <v>0.398671628324631</v>
      </c>
      <c r="S919" s="40" t="n">
        <f aca="true">RAND()</f>
        <v>0.0174277620409293</v>
      </c>
      <c r="T919" s="40" t="n">
        <f aca="true">RAND()</f>
        <v>0.645027495698001</v>
      </c>
      <c r="U919" s="40" t="n">
        <f aca="true">RAND()</f>
        <v>0.28336357789276</v>
      </c>
    </row>
    <row r="920" customFormat="false" ht="15" hidden="false" customHeight="false" outlineLevel="0" collapsed="false">
      <c r="A920" s="36" t="n">
        <v>840</v>
      </c>
      <c r="B920" s="37" t="n">
        <f aca="false">1+IF($G$6=$E$6,$F$6,IF(P920&lt;($F$6-$E$6)/($G$6-$E$6),$E$6+SQRT(P920*($G$6-$E$6)*($F$6-$E$6)),$G$6-SQRT((1-P920)*($G$6-$E$6)*($G$6-$F$6))))</f>
        <v>0.990885646472979</v>
      </c>
      <c r="C920" s="37" t="n">
        <f aca="false">1+IF($G$7=$E$7,$F$7,IF(Q920&lt;($F$7-$E$7)/($G$7-$E$7),$E$7+SQRT(Q920*($G$7-$E$7)*($F$7-$E$7)),$G$7-SQRT((1-Q920)*($G$7-$E$7)*($G$7-$F$7))))</f>
        <v>0.914689294548437</v>
      </c>
      <c r="D920" s="37" t="n">
        <f aca="false">1+IF($G$8=$E$8,$F$8,IF(R920&lt;($F$8-$E$8)/($G$8-$E$8),$E$8+SQRT(R920*($G$8-$E$8)*($F$8-$E$8)),$G$8-SQRT((1-R920)*($G$8-$E$8)*($G$8-$F$8))))</f>
        <v>1.00647858758463</v>
      </c>
      <c r="E920" s="37" t="n">
        <f aca="false">1+IF($G$9=$E$9,$F$9,IF(S920&lt;($F$9-$E$9)/($G$9-$E$9),$E$9+SQRT(S920*($G$9-$E$9)*($F$9-$E$9)),$G$9-SQRT((1-S920)*($G$9-$E$9)*($G$9-$F$9))))</f>
        <v>1.01691939129455</v>
      </c>
      <c r="F920" s="37" t="n">
        <f aca="false">1+IF($G$10=$E$10,$F$10,IF(T920&lt;($F$10-$E$10)/($G$10-$E$10),$E$10+SQRT(T920*($G$10-$E$10)*($F$10-$E$10)),$G$10-SQRT((1-T920)*($G$10-$E$10)*($G$10-$F$10))))</f>
        <v>1.11465326099015</v>
      </c>
      <c r="G920" s="38" t="n">
        <f aca="false">IF($G$11=$E$11,$F$11,IF(U920&lt;($F$11-$E$11)/($G$11-$E$11),$E$11+SQRT(U920*($G$11-$E$11)*($F$11-$E$11)),$G$11-SQRT((1-U920)*($G$11-$E$11)*($G$11-$F$11))))</f>
        <v>0.103017916151015</v>
      </c>
      <c r="H920" s="39" t="n">
        <f aca="false">(('Business Case'!B11*$C920*'Business Case'!B12*$B920)-'Business Case'!B11*$C920*'Business Case'!B13*$D920-'Business Case'!B14*$E920)-MAX(0,(('Business Case'!B11*$C920*'Business Case'!B12*$B920)-'Business Case'!B11*$C920*'Business Case'!B13*$D920-'Business Case'!B14*$E920))*'Business Case'!$B$7-'Business Case'!$B$8*('Business Case'!B11*$C920*'Business Case'!B12*$B920)-'Business Case'!B15*$F920</f>
        <v>-2229306521.9803</v>
      </c>
      <c r="I920" s="39" t="n">
        <f aca="false">(('Business Case'!C11*$C920*'Business Case'!C12*$B920)-'Business Case'!C11*$C920*'Business Case'!C13*$D920-'Business Case'!C14*$E920)-MAX(0,(('Business Case'!C11*$C920*'Business Case'!C12*$B920)-'Business Case'!C11*$C920*'Business Case'!C13*$D920-'Business Case'!C14*$E920))*'Business Case'!$B$7-'Business Case'!$B$8*(('Business Case'!C11*$C920*'Business Case'!C12*$B920)-('Business Case'!B11*$C920*'Business Case'!B12*$B920))-'Business Case'!C15*$F920</f>
        <v>-31969955.3535474</v>
      </c>
      <c r="J920" s="39" t="n">
        <f aca="false">(('Business Case'!D11*$C920*'Business Case'!D12*$B920)-'Business Case'!D11*$C920*'Business Case'!D13*$D920-'Business Case'!D14*$E920)-MAX(0,(('Business Case'!D11*$C920*'Business Case'!D12*$B920)-'Business Case'!D11*$C920*'Business Case'!D13*$D920-'Business Case'!D14*$E920))*'Business Case'!$B$7-'Business Case'!$B$8*(('Business Case'!D11*$C920*'Business Case'!D12*$B920)-('Business Case'!C11*$C920*'Business Case'!C12*$B920))-'Business Case'!D15*$F920</f>
        <v>239116666.06856</v>
      </c>
      <c r="K920" s="39" t="n">
        <f aca="false">(('Business Case'!E11*$C920*'Business Case'!E12*$B920)-'Business Case'!E11*$C920*'Business Case'!E13*$D920-'Business Case'!E14*$E920)-MAX(0,(('Business Case'!E11*$C920*'Business Case'!E12*$B920)-'Business Case'!E11*$C920*'Business Case'!E13*$D920-'Business Case'!E14*$E920))*'Business Case'!$B$7-'Business Case'!$B$8*(('Business Case'!E11*$C920*'Business Case'!E12*$B920)-('Business Case'!D11*$C920*'Business Case'!D12*$B920))-'Business Case'!E15*$F920</f>
        <v>565935950.540175</v>
      </c>
      <c r="L920" s="39" t="n">
        <f aca="false">(('Business Case'!F11*$C920*'Business Case'!F12*$B920)-'Business Case'!F11*$C920*'Business Case'!F13*$D920-'Business Case'!F14*$E920)-MAX(0,(('Business Case'!F11*$C920*'Business Case'!F12*$B920)-'Business Case'!F11*$C920*'Business Case'!F13*$D920-'Business Case'!F14*$E920))*'Business Case'!$B$7-'Business Case'!$B$8*(('Business Case'!F11*$C920*'Business Case'!F12*$B920)-('Business Case'!E11*$C920*'Business Case'!E12*$B920))-'Business Case'!F15*$F920</f>
        <v>687621699.837249</v>
      </c>
      <c r="M920" s="39" t="n">
        <f aca="false">(('Business Case'!G11*$C920*'Business Case'!G12*$B920)-'Business Case'!G11*$C920*'Business Case'!G13*$D920-'Business Case'!G14*$E920)-MAX(0,(('Business Case'!G11*$C920*'Business Case'!G12*$B920)-'Business Case'!G11*$C920*'Business Case'!G13*$D920-'Business Case'!G14*$E920))*'Business Case'!$B$7-'Business Case'!$B$8*(('Business Case'!G11*$C920*'Business Case'!G12*$B920)-('Business Case'!F11*$C920*'Business Case'!F12*$B920))-'Business Case'!G15*$F920+'Business Case'!$B$8*('Business Case'!G11*$C920*'Business Case'!G12*$B920)</f>
        <v>859901181.697288</v>
      </c>
      <c r="N920" s="39" t="n">
        <f aca="false">IF(COUNT('Business Case'!B11:G11)=0,"",H920+NPV(G920,I920:M920))</f>
        <v>-648835455.160586</v>
      </c>
      <c r="P920" s="40" t="n">
        <f aca="true">RAND()</f>
        <v>0.523414049572097</v>
      </c>
      <c r="Q920" s="40" t="n">
        <f aca="true">RAND()</f>
        <v>0.18790906120026</v>
      </c>
      <c r="R920" s="40" t="n">
        <f aca="true">RAND()</f>
        <v>0.480250184273992</v>
      </c>
      <c r="S920" s="40" t="n">
        <f aca="true">RAND()</f>
        <v>0.539840830475406</v>
      </c>
      <c r="T920" s="40" t="n">
        <f aca="true">RAND()</f>
        <v>0.854318682807685</v>
      </c>
      <c r="U920" s="40" t="n">
        <f aca="true">RAND()</f>
        <v>0.519348046910058</v>
      </c>
    </row>
    <row r="921" customFormat="false" ht="15" hidden="false" customHeight="false" outlineLevel="0" collapsed="false">
      <c r="A921" s="36" t="n">
        <v>841</v>
      </c>
      <c r="B921" s="37" t="n">
        <f aca="false">1+IF($G$6=$E$6,$F$6,IF(P921&lt;($F$6-$E$6)/($G$6-$E$6),$E$6+SQRT(P921*($G$6-$E$6)*($F$6-$E$6)),$G$6-SQRT((1-P921)*($G$6-$E$6)*($G$6-$F$6))))</f>
        <v>0.979082777312143</v>
      </c>
      <c r="C921" s="37" t="n">
        <f aca="false">1+IF($G$7=$E$7,$F$7,IF(Q921&lt;($F$7-$E$7)/($G$7-$E$7),$E$7+SQRT(Q921*($G$7-$E$7)*($F$7-$E$7)),$G$7-SQRT((1-Q921)*($G$7-$E$7)*($G$7-$F$7))))</f>
        <v>1.00194701386952</v>
      </c>
      <c r="D921" s="37" t="n">
        <f aca="false">1+IF($G$8=$E$8,$F$8,IF(R921&lt;($F$8-$E$8)/($G$8-$E$8),$E$8+SQRT(R921*($G$8-$E$8)*($F$8-$E$8)),$G$8-SQRT((1-R921)*($G$8-$E$8)*($G$8-$F$8))))</f>
        <v>0.981389469852637</v>
      </c>
      <c r="E921" s="37" t="n">
        <f aca="false">1+IF($G$9=$E$9,$F$9,IF(S921&lt;($F$9-$E$9)/($G$9-$E$9),$E$9+SQRT(S921*($G$9-$E$9)*($F$9-$E$9)),$G$9-SQRT((1-S921)*($G$9-$E$9)*($G$9-$F$9))))</f>
        <v>1.06718063110211</v>
      </c>
      <c r="F921" s="37" t="n">
        <f aca="false">1+IF($G$10=$E$10,$F$10,IF(T921&lt;($F$10-$E$10)/($G$10-$E$10),$E$10+SQRT(T921*($G$10-$E$10)*($F$10-$E$10)),$G$10-SQRT((1-T921)*($G$10-$E$10)*($G$10-$F$10))))</f>
        <v>1.01218219888766</v>
      </c>
      <c r="G921" s="38" t="n">
        <f aca="false">IF($G$11=$E$11,$F$11,IF(U921&lt;($F$11-$E$11)/($G$11-$E$11),$E$11+SQRT(U921*($G$11-$E$11)*($F$11-$E$11)),$G$11-SQRT((1-U921)*($G$11-$E$11)*($G$11-$F$11))))</f>
        <v>0.101850171087197</v>
      </c>
      <c r="H921" s="39" t="n">
        <f aca="false">(('Business Case'!B11*$C921*'Business Case'!B12*$B921)-'Business Case'!B11*$C921*'Business Case'!B13*$D921-'Business Case'!B14*$E921)-MAX(0,(('Business Case'!B11*$C921*'Business Case'!B12*$B921)-'Business Case'!B11*$C921*'Business Case'!B13*$D921-'Business Case'!B14*$E921))*'Business Case'!$B$7-'Business Case'!$B$8*('Business Case'!B11*$C921*'Business Case'!B12*$B921)-'Business Case'!B15*$F921</f>
        <v>-2024364397.77533</v>
      </c>
      <c r="I921" s="39" t="n">
        <f aca="false">(('Business Case'!C11*$C921*'Business Case'!C12*$B921)-'Business Case'!C11*$C921*'Business Case'!C13*$D921-'Business Case'!C14*$E921)-MAX(0,(('Business Case'!C11*$C921*'Business Case'!C12*$B921)-'Business Case'!C11*$C921*'Business Case'!C13*$D921-'Business Case'!C14*$E921))*'Business Case'!$B$7-'Business Case'!$B$8*(('Business Case'!C11*$C921*'Business Case'!C12*$B921)-('Business Case'!B11*$C921*'Business Case'!B12*$B921))-'Business Case'!C15*$F921</f>
        <v>-3696166.61431816</v>
      </c>
      <c r="J921" s="39" t="n">
        <f aca="false">(('Business Case'!D11*$C921*'Business Case'!D12*$B921)-'Business Case'!D11*$C921*'Business Case'!D13*$D921-'Business Case'!D14*$E921)-MAX(0,(('Business Case'!D11*$C921*'Business Case'!D12*$B921)-'Business Case'!D11*$C921*'Business Case'!D13*$D921-'Business Case'!D14*$E921))*'Business Case'!$B$7-'Business Case'!$B$8*(('Business Case'!D11*$C921*'Business Case'!D12*$B921)-('Business Case'!C11*$C921*'Business Case'!C12*$B921))-'Business Case'!D15*$F921</f>
        <v>296433445.535508</v>
      </c>
      <c r="K921" s="39" t="n">
        <f aca="false">(('Business Case'!E11*$C921*'Business Case'!E12*$B921)-'Business Case'!E11*$C921*'Business Case'!E13*$D921-'Business Case'!E14*$E921)-MAX(0,(('Business Case'!E11*$C921*'Business Case'!E12*$B921)-'Business Case'!E11*$C921*'Business Case'!E13*$D921-'Business Case'!E14*$E921))*'Business Case'!$B$7-'Business Case'!$B$8*(('Business Case'!E11*$C921*'Business Case'!E12*$B921)-('Business Case'!D11*$C921*'Business Case'!D12*$B921))-'Business Case'!E15*$F921</f>
        <v>647172167.629718</v>
      </c>
      <c r="L921" s="39" t="n">
        <f aca="false">(('Business Case'!F11*$C921*'Business Case'!F12*$B921)-'Business Case'!F11*$C921*'Business Case'!F13*$D921-'Business Case'!F14*$E921)-MAX(0,(('Business Case'!F11*$C921*'Business Case'!F12*$B921)-'Business Case'!F11*$C921*'Business Case'!F13*$D921-'Business Case'!F14*$E921))*'Business Case'!$B$7-'Business Case'!$B$8*(('Business Case'!F11*$C921*'Business Case'!F12*$B921)-('Business Case'!E11*$C921*'Business Case'!E12*$B921))-'Business Case'!F15*$F921</f>
        <v>781118353.768098</v>
      </c>
      <c r="M921" s="39" t="n">
        <f aca="false">(('Business Case'!G11*$C921*'Business Case'!G12*$B921)-'Business Case'!G11*$C921*'Business Case'!G13*$D921-'Business Case'!G14*$E921)-MAX(0,(('Business Case'!G11*$C921*'Business Case'!G12*$B921)-'Business Case'!G11*$C921*'Business Case'!G13*$D921-'Business Case'!G14*$E921))*'Business Case'!$B$7-'Business Case'!$B$8*(('Business Case'!G11*$C921*'Business Case'!G12*$B921)-('Business Case'!F11*$C921*'Business Case'!F12*$B921))-'Business Case'!G15*$F921+'Business Case'!$B$8*('Business Case'!G11*$C921*'Business Case'!G12*$B921)</f>
        <v>967584755.254509</v>
      </c>
      <c r="N921" s="39" t="n">
        <f aca="false">IF(COUNT('Business Case'!B11:G11)=0,"",H921+NPV(G921,I921:M921))</f>
        <v>-174063091.587273</v>
      </c>
      <c r="P921" s="40" t="n">
        <f aca="true">RAND()</f>
        <v>0.363622351553778</v>
      </c>
      <c r="Q921" s="40" t="n">
        <f aca="true">RAND()</f>
        <v>0.582482158054267</v>
      </c>
      <c r="R921" s="40" t="n">
        <f aca="true">RAND()</f>
        <v>0.15158443348148</v>
      </c>
      <c r="S921" s="40" t="n">
        <f aca="true">RAND()</f>
        <v>0.928192601676302</v>
      </c>
      <c r="T921" s="40" t="n">
        <f aca="true">RAND()</f>
        <v>0.294489471706532</v>
      </c>
      <c r="U921" s="40" t="n">
        <f aca="true">RAND()</f>
        <v>0.450972850726629</v>
      </c>
    </row>
    <row r="922" customFormat="false" ht="15" hidden="false" customHeight="false" outlineLevel="0" collapsed="false">
      <c r="A922" s="36" t="n">
        <v>842</v>
      </c>
      <c r="B922" s="37" t="n">
        <f aca="false">1+IF($G$6=$E$6,$F$6,IF(P922&lt;($F$6-$E$6)/($G$6-$E$6),$E$6+SQRT(P922*($G$6-$E$6)*($F$6-$E$6)),$G$6-SQRT((1-P922)*($G$6-$E$6)*($G$6-$F$6))))</f>
        <v>0.942324756680636</v>
      </c>
      <c r="C922" s="37" t="n">
        <f aca="false">1+IF($G$7=$E$7,$F$7,IF(Q922&lt;($F$7-$E$7)/($G$7-$E$7),$E$7+SQRT(Q922*($G$7-$E$7)*($F$7-$E$7)),$G$7-SQRT((1-Q922)*($G$7-$E$7)*($G$7-$F$7))))</f>
        <v>1.07939951850343</v>
      </c>
      <c r="D922" s="37" t="n">
        <f aca="false">1+IF($G$8=$E$8,$F$8,IF(R922&lt;($F$8-$E$8)/($G$8-$E$8),$E$8+SQRT(R922*($G$8-$E$8)*($F$8-$E$8)),$G$8-SQRT((1-R922)*($G$8-$E$8)*($G$8-$F$8))))</f>
        <v>0.985317737675644</v>
      </c>
      <c r="E922" s="37" t="n">
        <f aca="false">1+IF($G$9=$E$9,$F$9,IF(S922&lt;($F$9-$E$9)/($G$9-$E$9),$E$9+SQRT(S922*($G$9-$E$9)*($F$9-$E$9)),$G$9-SQRT((1-S922)*($G$9-$E$9)*($G$9-$F$9))))</f>
        <v>1.06193293519132</v>
      </c>
      <c r="F922" s="37" t="n">
        <f aca="false">1+IF($G$10=$E$10,$F$10,IF(T922&lt;($F$10-$E$10)/($G$10-$E$10),$E$10+SQRT(T922*($G$10-$E$10)*($F$10-$E$10)),$G$10-SQRT((1-T922)*($G$10-$E$10)*($G$10-$F$10))))</f>
        <v>1.11809997561955</v>
      </c>
      <c r="G922" s="38" t="n">
        <f aca="false">IF($G$11=$E$11,$F$11,IF(U922&lt;($F$11-$E$11)/($G$11-$E$11),$E$11+SQRT(U922*($G$11-$E$11)*($F$11-$E$11)),$G$11-SQRT((1-U922)*($G$11-$E$11)*($G$11-$F$11))))</f>
        <v>0.11497986558183</v>
      </c>
      <c r="H922" s="39" t="n">
        <f aca="false">(('Business Case'!B11*$C922*'Business Case'!B12*$B922)-'Business Case'!B11*$C922*'Business Case'!B13*$D922-'Business Case'!B14*$E922)-MAX(0,(('Business Case'!B11*$C922*'Business Case'!B12*$B922)-'Business Case'!B11*$C922*'Business Case'!B13*$D922-'Business Case'!B14*$E922))*'Business Case'!$B$7-'Business Case'!$B$8*('Business Case'!B11*$C922*'Business Case'!B12*$B922)-'Business Case'!B15*$F922</f>
        <v>-2236199951.23909</v>
      </c>
      <c r="I922" s="39" t="n">
        <f aca="false">(('Business Case'!C11*$C922*'Business Case'!C12*$B922)-'Business Case'!C11*$C922*'Business Case'!C13*$D922-'Business Case'!C14*$E922)-MAX(0,(('Business Case'!C11*$C922*'Business Case'!C12*$B922)-'Business Case'!C11*$C922*'Business Case'!C13*$D922-'Business Case'!C14*$E922))*'Business Case'!$B$7-'Business Case'!$B$8*(('Business Case'!C11*$C922*'Business Case'!C12*$B922)-('Business Case'!B11*$C922*'Business Case'!B12*$B922))-'Business Case'!C15*$F922</f>
        <v>-26884033.339097</v>
      </c>
      <c r="J922" s="39" t="n">
        <f aca="false">(('Business Case'!D11*$C922*'Business Case'!D12*$B922)-'Business Case'!D11*$C922*'Business Case'!D13*$D922-'Business Case'!D14*$E922)-MAX(0,(('Business Case'!D11*$C922*'Business Case'!D12*$B922)-'Business Case'!D11*$C922*'Business Case'!D13*$D922-'Business Case'!D14*$E922))*'Business Case'!$B$7-'Business Case'!$B$8*(('Business Case'!D11*$C922*'Business Case'!D12*$B922)-('Business Case'!C11*$C922*'Business Case'!C12*$B922))-'Business Case'!D15*$F922</f>
        <v>261777585.294802</v>
      </c>
      <c r="K922" s="39" t="n">
        <f aca="false">(('Business Case'!E11*$C922*'Business Case'!E12*$B922)-'Business Case'!E11*$C922*'Business Case'!E13*$D922-'Business Case'!E14*$E922)-MAX(0,(('Business Case'!E11*$C922*'Business Case'!E12*$B922)-'Business Case'!E11*$C922*'Business Case'!E13*$D922-'Business Case'!E14*$E922))*'Business Case'!$B$7-'Business Case'!$B$8*(('Business Case'!E11*$C922*'Business Case'!E12*$B922)-('Business Case'!D11*$C922*'Business Case'!D12*$B922))-'Business Case'!E15*$F922</f>
        <v>606344202.709678</v>
      </c>
      <c r="L922" s="39" t="n">
        <f aca="false">(('Business Case'!F11*$C922*'Business Case'!F12*$B922)-'Business Case'!F11*$C922*'Business Case'!F13*$D922-'Business Case'!F14*$E922)-MAX(0,(('Business Case'!F11*$C922*'Business Case'!F12*$B922)-'Business Case'!F11*$C922*'Business Case'!F13*$D922-'Business Case'!F14*$E922))*'Business Case'!$B$7-'Business Case'!$B$8*(('Business Case'!F11*$C922*'Business Case'!F12*$B922)-('Business Case'!E11*$C922*'Business Case'!E12*$B922))-'Business Case'!F15*$F922</f>
        <v>737717269.605535</v>
      </c>
      <c r="M922" s="39" t="n">
        <f aca="false">(('Business Case'!G11*$C922*'Business Case'!G12*$B922)-'Business Case'!G11*$C922*'Business Case'!G13*$D922-'Business Case'!G14*$E922)-MAX(0,(('Business Case'!G11*$C922*'Business Case'!G12*$B922)-'Business Case'!G11*$C922*'Business Case'!G13*$D922-'Business Case'!G14*$E922))*'Business Case'!$B$7-'Business Case'!$B$8*(('Business Case'!G11*$C922*'Business Case'!G12*$B922)-('Business Case'!F11*$C922*'Business Case'!F12*$B922))-'Business Case'!G15*$F922+'Business Case'!$B$8*('Business Case'!G11*$C922*'Business Case'!G12*$B922)</f>
        <v>931056170.037265</v>
      </c>
      <c r="N922" s="39" t="n">
        <f aca="false">IF(COUNT('Business Case'!B11:G11)=0,"",H922+NPV(G922,I922:M922))</f>
        <v>-594660408.564345</v>
      </c>
      <c r="P922" s="40" t="n">
        <f aca="true">RAND()</f>
        <v>0.0519161209218342</v>
      </c>
      <c r="Q922" s="40" t="n">
        <f aca="true">RAND()</f>
        <v>0.905058514522911</v>
      </c>
      <c r="R922" s="40" t="n">
        <f aca="true">RAND()</f>
        <v>0.191898860696243</v>
      </c>
      <c r="S922" s="40" t="n">
        <f aca="true">RAND()</f>
        <v>0.903393238456806</v>
      </c>
      <c r="T922" s="40" t="n">
        <f aca="true">RAND()</f>
        <v>0.865847720129618</v>
      </c>
      <c r="U922" s="40" t="n">
        <f aca="true">RAND()</f>
        <v>0.957997084039182</v>
      </c>
    </row>
    <row r="923" customFormat="false" ht="15" hidden="false" customHeight="false" outlineLevel="0" collapsed="false">
      <c r="A923" s="36" t="n">
        <v>843</v>
      </c>
      <c r="B923" s="37" t="n">
        <f aca="false">1+IF($G$6=$E$6,$F$6,IF(P923&lt;($F$6-$E$6)/($G$6-$E$6),$E$6+SQRT(P923*($G$6-$E$6)*($F$6-$E$6)),$G$6-SQRT((1-P923)*($G$6-$E$6)*($G$6-$F$6))))</f>
        <v>0.923185997293136</v>
      </c>
      <c r="C923" s="37" t="n">
        <f aca="false">1+IF($G$7=$E$7,$F$7,IF(Q923&lt;($F$7-$E$7)/($G$7-$E$7),$E$7+SQRT(Q923*($G$7-$E$7)*($F$7-$E$7)),$G$7-SQRT((1-Q923)*($G$7-$E$7)*($G$7-$F$7))))</f>
        <v>1.01977678617516</v>
      </c>
      <c r="D923" s="37" t="n">
        <f aca="false">1+IF($G$8=$E$8,$F$8,IF(R923&lt;($F$8-$E$8)/($G$8-$E$8),$E$8+SQRT(R923*($G$8-$E$8)*($F$8-$E$8)),$G$8-SQRT((1-R923)*($G$8-$E$8)*($G$8-$F$8))))</f>
        <v>0.98584814696311</v>
      </c>
      <c r="E923" s="37" t="n">
        <f aca="false">1+IF($G$9=$E$9,$F$9,IF(S923&lt;($F$9-$E$9)/($G$9-$E$9),$E$9+SQRT(S923*($G$9-$E$9)*($F$9-$E$9)),$G$9-SQRT((1-S923)*($G$9-$E$9)*($G$9-$F$9))))</f>
        <v>1.00911026839524</v>
      </c>
      <c r="F923" s="37" t="n">
        <f aca="false">1+IF($G$10=$E$10,$F$10,IF(T923&lt;($F$10-$E$10)/($G$10-$E$10),$E$10+SQRT(T923*($G$10-$E$10)*($F$10-$E$10)),$G$10-SQRT((1-T923)*($G$10-$E$10)*($G$10-$F$10))))</f>
        <v>1.0324456345832</v>
      </c>
      <c r="G923" s="38" t="n">
        <f aca="false">IF($G$11=$E$11,$F$11,IF(U923&lt;($F$11-$E$11)/($G$11-$E$11),$E$11+SQRT(U923*($G$11-$E$11)*($F$11-$E$11)),$G$11-SQRT((1-U923)*($G$11-$E$11)*($G$11-$F$11))))</f>
        <v>0.113789673588797</v>
      </c>
      <c r="H923" s="39" t="n">
        <f aca="false">(('Business Case'!B11*$C923*'Business Case'!B12*$B923)-'Business Case'!B11*$C923*'Business Case'!B13*$D923-'Business Case'!B14*$E923)-MAX(0,(('Business Case'!B11*$C923*'Business Case'!B12*$B923)-'Business Case'!B11*$C923*'Business Case'!B13*$D923-'Business Case'!B14*$E923))*'Business Case'!$B$7-'Business Case'!$B$8*('Business Case'!B11*$C923*'Business Case'!B12*$B923)-'Business Case'!B15*$F923</f>
        <v>-2064891269.1664</v>
      </c>
      <c r="I923" s="39" t="n">
        <f aca="false">(('Business Case'!C11*$C923*'Business Case'!C12*$B923)-'Business Case'!C11*$C923*'Business Case'!C13*$D923-'Business Case'!C14*$E923)-MAX(0,(('Business Case'!C11*$C923*'Business Case'!C12*$B923)-'Business Case'!C11*$C923*'Business Case'!C13*$D923-'Business Case'!C14*$E923))*'Business Case'!$B$7-'Business Case'!$B$8*(('Business Case'!C11*$C923*'Business Case'!C12*$B923)-('Business Case'!B11*$C923*'Business Case'!B12*$B923))-'Business Case'!C15*$F923</f>
        <v>-39090590.1757894</v>
      </c>
      <c r="J923" s="39" t="n">
        <f aca="false">(('Business Case'!D11*$C923*'Business Case'!D12*$B923)-'Business Case'!D11*$C923*'Business Case'!D13*$D923-'Business Case'!D14*$E923)-MAX(0,(('Business Case'!D11*$C923*'Business Case'!D12*$B923)-'Business Case'!D11*$C923*'Business Case'!D13*$D923-'Business Case'!D14*$E923))*'Business Case'!$B$7-'Business Case'!$B$8*(('Business Case'!D11*$C923*'Business Case'!D12*$B923)-('Business Case'!C11*$C923*'Business Case'!C12*$B923))-'Business Case'!D15*$F923</f>
        <v>217363302.055444</v>
      </c>
      <c r="K923" s="39" t="n">
        <f aca="false">(('Business Case'!E11*$C923*'Business Case'!E12*$B923)-'Business Case'!E11*$C923*'Business Case'!E13*$D923-'Business Case'!E14*$E923)-MAX(0,(('Business Case'!E11*$C923*'Business Case'!E12*$B923)-'Business Case'!E11*$C923*'Business Case'!E13*$D923-'Business Case'!E14*$E923))*'Business Case'!$B$7-'Business Case'!$B$8*(('Business Case'!E11*$C923*'Business Case'!E12*$B923)-('Business Case'!D11*$C923*'Business Case'!D12*$B923))-'Business Case'!E15*$F923</f>
        <v>525439476.015838</v>
      </c>
      <c r="L923" s="39" t="n">
        <f aca="false">(('Business Case'!F11*$C923*'Business Case'!F12*$B923)-'Business Case'!F11*$C923*'Business Case'!F13*$D923-'Business Case'!F14*$E923)-MAX(0,(('Business Case'!F11*$C923*'Business Case'!F12*$B923)-'Business Case'!F11*$C923*'Business Case'!F13*$D923-'Business Case'!F14*$E923))*'Business Case'!$B$7-'Business Case'!$B$8*(('Business Case'!F11*$C923*'Business Case'!F12*$B923)-('Business Case'!E11*$C923*'Business Case'!E12*$B923))-'Business Case'!F15*$F923</f>
        <v>643460399.281517</v>
      </c>
      <c r="M923" s="39" t="n">
        <f aca="false">(('Business Case'!G11*$C923*'Business Case'!G12*$B923)-'Business Case'!G11*$C923*'Business Case'!G13*$D923-'Business Case'!G14*$E923)-MAX(0,(('Business Case'!G11*$C923*'Business Case'!G12*$B923)-'Business Case'!G11*$C923*'Business Case'!G13*$D923-'Business Case'!G14*$E923))*'Business Case'!$B$7-'Business Case'!$B$8*(('Business Case'!G11*$C923*'Business Case'!G12*$B923)-('Business Case'!F11*$C923*'Business Case'!F12*$B923))-'Business Case'!G15*$F923+'Business Case'!$B$8*('Business Case'!G11*$C923*'Business Case'!G12*$B923)</f>
        <v>822410008.152151</v>
      </c>
      <c r="N923" s="39" t="n">
        <f aca="false">IF(COUNT('Business Case'!B11:G11)=0,"",H923+NPV(G923,I923:M923))</f>
        <v>-646539966.136028</v>
      </c>
      <c r="P923" s="40" t="n">
        <f aca="true">RAND()</f>
        <v>0.00105735195331971</v>
      </c>
      <c r="Q923" s="40" t="n">
        <f aca="true">RAND()</f>
        <v>0.676988849164385</v>
      </c>
      <c r="R923" s="40" t="n">
        <f aca="true">RAND()</f>
        <v>0.197706098567492</v>
      </c>
      <c r="S923" s="40" t="n">
        <f aca="true">RAND()</f>
        <v>0.449270445920919</v>
      </c>
      <c r="T923" s="40" t="n">
        <f aca="true">RAND()</f>
        <v>0.438510692595484</v>
      </c>
      <c r="U923" s="40" t="n">
        <f aca="true">RAND()</f>
        <v>0.93571974311053</v>
      </c>
    </row>
    <row r="924" customFormat="false" ht="15" hidden="false" customHeight="false" outlineLevel="0" collapsed="false">
      <c r="A924" s="36" t="n">
        <v>844</v>
      </c>
      <c r="B924" s="37" t="n">
        <f aca="false">1+IF($G$6=$E$6,$F$6,IF(P924&lt;($F$6-$E$6)/($G$6-$E$6),$E$6+SQRT(P924*($G$6-$E$6)*($F$6-$E$6)),$G$6-SQRT((1-P924)*($G$6-$E$6)*($G$6-$F$6))))</f>
        <v>0.951158878171865</v>
      </c>
      <c r="C924" s="37" t="n">
        <f aca="false">1+IF($G$7=$E$7,$F$7,IF(Q924&lt;($F$7-$E$7)/($G$7-$E$7),$E$7+SQRT(Q924*($G$7-$E$7)*($F$7-$E$7)),$G$7-SQRT((1-Q924)*($G$7-$E$7)*($G$7-$F$7))))</f>
        <v>0.961794697535585</v>
      </c>
      <c r="D924" s="37" t="n">
        <f aca="false">1+IF($G$8=$E$8,$F$8,IF(R924&lt;($F$8-$E$8)/($G$8-$E$8),$E$8+SQRT(R924*($G$8-$E$8)*($F$8-$E$8)),$G$8-SQRT((1-R924)*($G$8-$E$8)*($G$8-$F$8))))</f>
        <v>0.99431935961824</v>
      </c>
      <c r="E924" s="37" t="n">
        <f aca="false">1+IF($G$9=$E$9,$F$9,IF(S924&lt;($F$9-$E$9)/($G$9-$E$9),$E$9+SQRT(S924*($G$9-$E$9)*($F$9-$E$9)),$G$9-SQRT((1-S924)*($G$9-$E$9)*($G$9-$F$9))))</f>
        <v>1.01895845096455</v>
      </c>
      <c r="F924" s="37" t="n">
        <f aca="false">1+IF($G$10=$E$10,$F$10,IF(T924&lt;($F$10-$E$10)/($G$10-$E$10),$E$10+SQRT(T924*($G$10-$E$10)*($F$10-$E$10)),$G$10-SQRT((1-T924)*($G$10-$E$10)*($G$10-$F$10))))</f>
        <v>0.99476273074367</v>
      </c>
      <c r="G924" s="38" t="n">
        <f aca="false">IF($G$11=$E$11,$F$11,IF(U924&lt;($F$11-$E$11)/($G$11-$E$11),$E$11+SQRT(U924*($G$11-$E$11)*($F$11-$E$11)),$G$11-SQRT((1-U924)*($G$11-$E$11)*($G$11-$F$11))))</f>
        <v>0.107871110705461</v>
      </c>
      <c r="H924" s="39" t="n">
        <f aca="false">(('Business Case'!B11*$C924*'Business Case'!B12*$B924)-'Business Case'!B11*$C924*'Business Case'!B13*$D924-'Business Case'!B14*$E924)-MAX(0,(('Business Case'!B11*$C924*'Business Case'!B12*$B924)-'Business Case'!B11*$C924*'Business Case'!B13*$D924-'Business Case'!B14*$E924))*'Business Case'!$B$7-'Business Case'!$B$8*('Business Case'!B11*$C924*'Business Case'!B12*$B924)-'Business Case'!B15*$F924</f>
        <v>-1989525461.48734</v>
      </c>
      <c r="I924" s="39" t="n">
        <f aca="false">(('Business Case'!C11*$C924*'Business Case'!C12*$B924)-'Business Case'!C11*$C924*'Business Case'!C13*$D924-'Business Case'!C14*$E924)-MAX(0,(('Business Case'!C11*$C924*'Business Case'!C12*$B924)-'Business Case'!C11*$C924*'Business Case'!C13*$D924-'Business Case'!C14*$E924))*'Business Case'!$B$7-'Business Case'!$B$8*(('Business Case'!C11*$C924*'Business Case'!C12*$B924)-('Business Case'!B11*$C924*'Business Case'!B12*$B924))-'Business Case'!C15*$F924</f>
        <v>-32058330.3281868</v>
      </c>
      <c r="J924" s="39" t="n">
        <f aca="false">(('Business Case'!D11*$C924*'Business Case'!D12*$B924)-'Business Case'!D11*$C924*'Business Case'!D13*$D924-'Business Case'!D14*$E924)-MAX(0,(('Business Case'!D11*$C924*'Business Case'!D12*$B924)-'Business Case'!D11*$C924*'Business Case'!D13*$D924-'Business Case'!D14*$E924))*'Business Case'!$B$7-'Business Case'!$B$8*(('Business Case'!D11*$C924*'Business Case'!D12*$B924)-('Business Case'!C11*$C924*'Business Case'!C12*$B924))-'Business Case'!D15*$F924</f>
        <v>227679750.422725</v>
      </c>
      <c r="K924" s="39" t="n">
        <f aca="false">(('Business Case'!E11*$C924*'Business Case'!E12*$B924)-'Business Case'!E11*$C924*'Business Case'!E13*$D924-'Business Case'!E14*$E924)-MAX(0,(('Business Case'!E11*$C924*'Business Case'!E12*$B924)-'Business Case'!E11*$C924*'Business Case'!E13*$D924-'Business Case'!E14*$E924))*'Business Case'!$B$7-'Business Case'!$B$8*(('Business Case'!E11*$C924*'Business Case'!E12*$B924)-('Business Case'!D11*$C924*'Business Case'!D12*$B924))-'Business Case'!E15*$F924</f>
        <v>537155967.71082</v>
      </c>
      <c r="L924" s="39" t="n">
        <f aca="false">(('Business Case'!F11*$C924*'Business Case'!F12*$B924)-'Business Case'!F11*$C924*'Business Case'!F13*$D924-'Business Case'!F14*$E924)-MAX(0,(('Business Case'!F11*$C924*'Business Case'!F12*$B924)-'Business Case'!F11*$C924*'Business Case'!F13*$D924-'Business Case'!F14*$E924))*'Business Case'!$B$7-'Business Case'!$B$8*(('Business Case'!F11*$C924*'Business Case'!F12*$B924)-('Business Case'!E11*$C924*'Business Case'!E12*$B924))-'Business Case'!F15*$F924</f>
        <v>655351492.146172</v>
      </c>
      <c r="M924" s="39" t="n">
        <f aca="false">(('Business Case'!G11*$C924*'Business Case'!G12*$B924)-'Business Case'!G11*$C924*'Business Case'!G13*$D924-'Business Case'!G14*$E924)-MAX(0,(('Business Case'!G11*$C924*'Business Case'!G12*$B924)-'Business Case'!G11*$C924*'Business Case'!G13*$D924-'Business Case'!G14*$E924))*'Business Case'!$B$7-'Business Case'!$B$8*(('Business Case'!G11*$C924*'Business Case'!G12*$B924)-('Business Case'!F11*$C924*'Business Case'!F12*$B924))-'Business Case'!G15*$F924+'Business Case'!$B$8*('Business Case'!G11*$C924*'Business Case'!G12*$B924)</f>
        <v>829240395.163938</v>
      </c>
      <c r="N924" s="39" t="n">
        <f aca="false">IF(COUNT('Business Case'!B11:G11)=0,"",H924+NPV(G924,I924:M924))</f>
        <v>-506040709.495574</v>
      </c>
      <c r="P924" s="40" t="n">
        <f aca="true">RAND()</f>
        <v>0.101132884263447</v>
      </c>
      <c r="Q924" s="40" t="n">
        <f aca="true">RAND()</f>
        <v>0.373964630723305</v>
      </c>
      <c r="R924" s="40" t="n">
        <f aca="true">RAND()</f>
        <v>0.302185482610902</v>
      </c>
      <c r="S924" s="40" t="n">
        <f aca="true">RAND()</f>
        <v>0.562151155328961</v>
      </c>
      <c r="T924" s="40" t="n">
        <f aca="true">RAND()</f>
        <v>0.160296165090427</v>
      </c>
      <c r="U924" s="40" t="n">
        <f aca="true">RAND()</f>
        <v>0.754816740801359</v>
      </c>
    </row>
    <row r="925" customFormat="false" ht="15" hidden="false" customHeight="false" outlineLevel="0" collapsed="false">
      <c r="A925" s="36" t="n">
        <v>845</v>
      </c>
      <c r="B925" s="37" t="n">
        <f aca="false">1+IF($G$6=$E$6,$F$6,IF(P925&lt;($F$6-$E$6)/($G$6-$E$6),$E$6+SQRT(P925*($G$6-$E$6)*($F$6-$E$6)),$G$6-SQRT((1-P925)*($G$6-$E$6)*($G$6-$F$6))))</f>
        <v>1.00943432630137</v>
      </c>
      <c r="C925" s="37" t="n">
        <f aca="false">1+IF($G$7=$E$7,$F$7,IF(Q925&lt;($F$7-$E$7)/($G$7-$E$7),$E$7+SQRT(Q925*($G$7-$E$7)*($F$7-$E$7)),$G$7-SQRT((1-Q925)*($G$7-$E$7)*($G$7-$F$7))))</f>
        <v>0.858081783902067</v>
      </c>
      <c r="D925" s="37" t="n">
        <f aca="false">1+IF($G$8=$E$8,$F$8,IF(R925&lt;($F$8-$E$8)/($G$8-$E$8),$E$8+SQRT(R925*($G$8-$E$8)*($F$8-$E$8)),$G$8-SQRT((1-R925)*($G$8-$E$8)*($G$8-$F$8))))</f>
        <v>0.971216149912731</v>
      </c>
      <c r="E925" s="37" t="n">
        <f aca="false">1+IF($G$9=$E$9,$F$9,IF(S925&lt;($F$9-$E$9)/($G$9-$E$9),$E$9+SQRT(S925*($G$9-$E$9)*($F$9-$E$9)),$G$9-SQRT((1-S925)*($G$9-$E$9)*($G$9-$F$9))))</f>
        <v>0.987801526025667</v>
      </c>
      <c r="F925" s="37" t="n">
        <f aca="false">1+IF($G$10=$E$10,$F$10,IF(T925&lt;($F$10-$E$10)/($G$10-$E$10),$E$10+SQRT(T925*($G$10-$E$10)*($F$10-$E$10)),$G$10-SQRT((1-T925)*($G$10-$E$10)*($G$10-$F$10))))</f>
        <v>1.07633022264615</v>
      </c>
      <c r="G925" s="38" t="n">
        <f aca="false">IF($G$11=$E$11,$F$11,IF(U925&lt;($F$11-$E$11)/($G$11-$E$11),$E$11+SQRT(U925*($G$11-$E$11)*($F$11-$E$11)),$G$11-SQRT((1-U925)*($G$11-$E$11)*($G$11-$F$11))))</f>
        <v>0.0946453158031945</v>
      </c>
      <c r="H925" s="39" t="n">
        <f aca="false">(('Business Case'!B11*$C925*'Business Case'!B12*$B925)-'Business Case'!B11*$C925*'Business Case'!B13*$D925-'Business Case'!B14*$E925)-MAX(0,(('Business Case'!B11*$C925*'Business Case'!B12*$B925)-'Business Case'!B11*$C925*'Business Case'!B13*$D925-'Business Case'!B14*$E925))*'Business Case'!$B$7-'Business Case'!$B$8*('Business Case'!B11*$C925*'Business Case'!B12*$B925)-'Business Case'!B15*$F925</f>
        <v>-2152660445.29231</v>
      </c>
      <c r="I925" s="39" t="n">
        <f aca="false">(('Business Case'!C11*$C925*'Business Case'!C12*$B925)-'Business Case'!C11*$C925*'Business Case'!C13*$D925-'Business Case'!C14*$E925)-MAX(0,(('Business Case'!C11*$C925*'Business Case'!C12*$B925)-'Business Case'!C11*$C925*'Business Case'!C13*$D925-'Business Case'!C14*$E925))*'Business Case'!$B$7-'Business Case'!$B$8*(('Business Case'!C11*$C925*'Business Case'!C12*$B925)-('Business Case'!B11*$C925*'Business Case'!B12*$B925))-'Business Case'!C15*$F925</f>
        <v>-10164895.2858315</v>
      </c>
      <c r="J925" s="39" t="n">
        <f aca="false">(('Business Case'!D11*$C925*'Business Case'!D12*$B925)-'Business Case'!D11*$C925*'Business Case'!D13*$D925-'Business Case'!D14*$E925)-MAX(0,(('Business Case'!D11*$C925*'Business Case'!D12*$B925)-'Business Case'!D11*$C925*'Business Case'!D13*$D925-'Business Case'!D14*$E925))*'Business Case'!$B$7-'Business Case'!$B$8*(('Business Case'!D11*$C925*'Business Case'!D12*$B925)-('Business Case'!C11*$C925*'Business Case'!C12*$B925))-'Business Case'!D15*$F925</f>
        <v>272671235.127733</v>
      </c>
      <c r="K925" s="39" t="n">
        <f aca="false">(('Business Case'!E11*$C925*'Business Case'!E12*$B925)-'Business Case'!E11*$C925*'Business Case'!E13*$D925-'Business Case'!E14*$E925)-MAX(0,(('Business Case'!E11*$C925*'Business Case'!E12*$B925)-'Business Case'!E11*$C925*'Business Case'!E13*$D925-'Business Case'!E14*$E925))*'Business Case'!$B$7-'Business Case'!$B$8*(('Business Case'!E11*$C925*'Business Case'!E12*$B925)-('Business Case'!D11*$C925*'Business Case'!D12*$B925))-'Business Case'!E15*$F925</f>
        <v>609323876.673607</v>
      </c>
      <c r="L925" s="39" t="n">
        <f aca="false">(('Business Case'!F11*$C925*'Business Case'!F12*$B925)-'Business Case'!F11*$C925*'Business Case'!F13*$D925-'Business Case'!F14*$E925)-MAX(0,(('Business Case'!F11*$C925*'Business Case'!F12*$B925)-'Business Case'!F11*$C925*'Business Case'!F13*$D925-'Business Case'!F14*$E925))*'Business Case'!$B$7-'Business Case'!$B$8*(('Business Case'!F11*$C925*'Business Case'!F12*$B925)-('Business Case'!E11*$C925*'Business Case'!E12*$B925))-'Business Case'!F15*$F925</f>
        <v>733537671.100749</v>
      </c>
      <c r="M925" s="39" t="n">
        <f aca="false">(('Business Case'!G11*$C925*'Business Case'!G12*$B925)-'Business Case'!G11*$C925*'Business Case'!G13*$D925-'Business Case'!G14*$E925)-MAX(0,(('Business Case'!G11*$C925*'Business Case'!G12*$B925)-'Business Case'!G11*$C925*'Business Case'!G13*$D925-'Business Case'!G14*$E925))*'Business Case'!$B$7-'Business Case'!$B$8*(('Business Case'!G11*$C925*'Business Case'!G12*$B925)-('Business Case'!F11*$C925*'Business Case'!F12*$B925))-'Business Case'!G15*$F925+'Business Case'!$B$8*('Business Case'!G11*$C925*'Business Case'!G12*$B925)</f>
        <v>898180634.69183</v>
      </c>
      <c r="N925" s="39" t="n">
        <f aca="false">IF(COUNT('Business Case'!B11:G11)=0,"",H925+NPV(G925,I925:M925))</f>
        <v>-387477432.115283</v>
      </c>
      <c r="P925" s="40" t="n">
        <f aca="true">RAND()</f>
        <v>0.805362414864353</v>
      </c>
      <c r="Q925" s="40" t="n">
        <f aca="true">RAND()</f>
        <v>0.0481927660178063</v>
      </c>
      <c r="R925" s="40" t="n">
        <f aca="true">RAND()</f>
        <v>0.069250002633765</v>
      </c>
      <c r="S925" s="40" t="n">
        <f aca="true">RAND()</f>
        <v>0.190527382649226</v>
      </c>
      <c r="T925" s="40" t="n">
        <f aca="true">RAND()</f>
        <v>0.694115723385003</v>
      </c>
      <c r="U925" s="40" t="n">
        <f aca="true">RAND()</f>
        <v>0.0719298630380275</v>
      </c>
    </row>
    <row r="926" customFormat="false" ht="15" hidden="false" customHeight="false" outlineLevel="0" collapsed="false">
      <c r="A926" s="36" t="n">
        <v>846</v>
      </c>
      <c r="B926" s="37" t="n">
        <f aca="false">1+IF($G$6=$E$6,$F$6,IF(P926&lt;($F$6-$E$6)/($G$6-$E$6),$E$6+SQRT(P926*($G$6-$E$6)*($F$6-$E$6)),$G$6-SQRT((1-P926)*($G$6-$E$6)*($G$6-$F$6))))</f>
        <v>0.986979884005168</v>
      </c>
      <c r="C926" s="37" t="n">
        <f aca="false">1+IF($G$7=$E$7,$F$7,IF(Q926&lt;($F$7-$E$7)/($G$7-$E$7),$E$7+SQRT(Q926*($G$7-$E$7)*($F$7-$E$7)),$G$7-SQRT((1-Q926)*($G$7-$E$7)*($G$7-$F$7))))</f>
        <v>0.973768682542429</v>
      </c>
      <c r="D926" s="37" t="n">
        <f aca="false">1+IF($G$8=$E$8,$F$8,IF(R926&lt;($F$8-$E$8)/($G$8-$E$8),$E$8+SQRT(R926*($G$8-$E$8)*($F$8-$E$8)),$G$8-SQRT((1-R926)*($G$8-$E$8)*($G$8-$F$8))))</f>
        <v>1.06555439045666</v>
      </c>
      <c r="E926" s="37" t="n">
        <f aca="false">1+IF($G$9=$E$9,$F$9,IF(S926&lt;($F$9-$E$9)/($G$9-$E$9),$E$9+SQRT(S926*($G$9-$E$9)*($F$9-$E$9)),$G$9-SQRT((1-S926)*($G$9-$E$9)*($G$9-$F$9))))</f>
        <v>1.07993538893122</v>
      </c>
      <c r="F926" s="37" t="n">
        <f aca="false">1+IF($G$10=$E$10,$F$10,IF(T926&lt;($F$10-$E$10)/($G$10-$E$10),$E$10+SQRT(T926*($G$10-$E$10)*($F$10-$E$10)),$G$10-SQRT((1-T926)*($G$10-$E$10)*($G$10-$F$10))))</f>
        <v>0.977839082905394</v>
      </c>
      <c r="G926" s="38" t="n">
        <f aca="false">IF($G$11=$E$11,$F$11,IF(U926&lt;($F$11-$E$11)/($G$11-$E$11),$E$11+SQRT(U926*($G$11-$E$11)*($F$11-$E$11)),$G$11-SQRT((1-U926)*($G$11-$E$11)*($G$11-$F$11))))</f>
        <v>0.0946848434274251</v>
      </c>
      <c r="H926" s="39" t="n">
        <f aca="false">(('Business Case'!B11*$C926*'Business Case'!B12*$B926)-'Business Case'!B11*$C926*'Business Case'!B13*$D926-'Business Case'!B14*$E926)-MAX(0,(('Business Case'!B11*$C926*'Business Case'!B12*$B926)-'Business Case'!B11*$C926*'Business Case'!B13*$D926-'Business Case'!B14*$E926))*'Business Case'!$B$7-'Business Case'!$B$8*('Business Case'!B11*$C926*'Business Case'!B12*$B926)-'Business Case'!B15*$F926</f>
        <v>-1955678165.81079</v>
      </c>
      <c r="I926" s="39" t="n">
        <f aca="false">(('Business Case'!C11*$C926*'Business Case'!C12*$B926)-'Business Case'!C11*$C926*'Business Case'!C13*$D926-'Business Case'!C14*$E926)-MAX(0,(('Business Case'!C11*$C926*'Business Case'!C12*$B926)-'Business Case'!C11*$C926*'Business Case'!C13*$D926-'Business Case'!C14*$E926))*'Business Case'!$B$7-'Business Case'!$B$8*(('Business Case'!C11*$C926*'Business Case'!C12*$B926)-('Business Case'!B11*$C926*'Business Case'!B12*$B926))-'Business Case'!C15*$F926</f>
        <v>-45141621.1087244</v>
      </c>
      <c r="J926" s="39" t="n">
        <f aca="false">(('Business Case'!D11*$C926*'Business Case'!D12*$B926)-'Business Case'!D11*$C926*'Business Case'!D13*$D926-'Business Case'!D14*$E926)-MAX(0,(('Business Case'!D11*$C926*'Business Case'!D12*$B926)-'Business Case'!D11*$C926*'Business Case'!D13*$D926-'Business Case'!D14*$E926))*'Business Case'!$B$7-'Business Case'!$B$8*(('Business Case'!D11*$C926*'Business Case'!D12*$B926)-('Business Case'!C11*$C926*'Business Case'!C12*$B926))-'Business Case'!D15*$F926</f>
        <v>210890389.232761</v>
      </c>
      <c r="K926" s="39" t="n">
        <f aca="false">(('Business Case'!E11*$C926*'Business Case'!E12*$B926)-'Business Case'!E11*$C926*'Business Case'!E13*$D926-'Business Case'!E14*$E926)-MAX(0,(('Business Case'!E11*$C926*'Business Case'!E12*$B926)-'Business Case'!E11*$C926*'Business Case'!E13*$D926-'Business Case'!E14*$E926))*'Business Case'!$B$7-'Business Case'!$B$8*(('Business Case'!E11*$C926*'Business Case'!E12*$B926)-('Business Case'!D11*$C926*'Business Case'!D12*$B926))-'Business Case'!E15*$F926</f>
        <v>515814353.719517</v>
      </c>
      <c r="L926" s="39" t="n">
        <f aca="false">(('Business Case'!F11*$C926*'Business Case'!F12*$B926)-'Business Case'!F11*$C926*'Business Case'!F13*$D926-'Business Case'!F14*$E926)-MAX(0,(('Business Case'!F11*$C926*'Business Case'!F12*$B926)-'Business Case'!F11*$C926*'Business Case'!F13*$D926-'Business Case'!F14*$E926))*'Business Case'!$B$7-'Business Case'!$B$8*(('Business Case'!F11*$C926*'Business Case'!F12*$B926)-('Business Case'!E11*$C926*'Business Case'!E12*$B926))-'Business Case'!F15*$F926</f>
        <v>634373631.069113</v>
      </c>
      <c r="M926" s="39" t="n">
        <f aca="false">(('Business Case'!G11*$C926*'Business Case'!G12*$B926)-'Business Case'!G11*$C926*'Business Case'!G13*$D926-'Business Case'!G14*$E926)-MAX(0,(('Business Case'!G11*$C926*'Business Case'!G12*$B926)-'Business Case'!G11*$C926*'Business Case'!G13*$D926-'Business Case'!G14*$E926))*'Business Case'!$B$7-'Business Case'!$B$8*(('Business Case'!G11*$C926*'Business Case'!G12*$B926)-('Business Case'!F11*$C926*'Business Case'!F12*$B926))-'Business Case'!G15*$F926+'Business Case'!$B$8*('Business Case'!G11*$C926*'Business Case'!G12*$B926)</f>
        <v>817057637.532503</v>
      </c>
      <c r="N926" s="39" t="n">
        <f aca="false">IF(COUNT('Business Case'!B11:G11)=0,"",H926+NPV(G926,I926:M926))</f>
        <v>-466190149.961366</v>
      </c>
      <c r="P926" s="40" t="n">
        <f aca="true">RAND()</f>
        <v>0.467323423056844</v>
      </c>
      <c r="Q926" s="40" t="n">
        <f aca="true">RAND()</f>
        <v>0.431365071893306</v>
      </c>
      <c r="R926" s="40" t="n">
        <f aca="true">RAND()</f>
        <v>0.9799350350886</v>
      </c>
      <c r="S926" s="40" t="n">
        <f aca="true">RAND()</f>
        <v>0.973160758843897</v>
      </c>
      <c r="T926" s="40" t="n">
        <f aca="true">RAND()</f>
        <v>0.0620011629610701</v>
      </c>
      <c r="U926" s="40" t="n">
        <f aca="true">RAND()</f>
        <v>0.0731591931316273</v>
      </c>
    </row>
    <row r="927" customFormat="false" ht="15" hidden="false" customHeight="false" outlineLevel="0" collapsed="false">
      <c r="A927" s="36" t="n">
        <v>847</v>
      </c>
      <c r="B927" s="37" t="n">
        <f aca="false">1+IF($G$6=$E$6,$F$6,IF(P927&lt;($F$6-$E$6)/($G$6-$E$6),$E$6+SQRT(P927*($G$6-$E$6)*($F$6-$E$6)),$G$6-SQRT((1-P927)*($G$6-$E$6)*($G$6-$F$6))))</f>
        <v>0.965812584614885</v>
      </c>
      <c r="C927" s="37" t="n">
        <f aca="false">1+IF($G$7=$E$7,$F$7,IF(Q927&lt;($F$7-$E$7)/($G$7-$E$7),$E$7+SQRT(Q927*($G$7-$E$7)*($F$7-$E$7)),$G$7-SQRT((1-Q927)*($G$7-$E$7)*($G$7-$F$7))))</f>
        <v>1.04014164123708</v>
      </c>
      <c r="D927" s="37" t="n">
        <f aca="false">1+IF($G$8=$E$8,$F$8,IF(R927&lt;($F$8-$E$8)/($G$8-$E$8),$E$8+SQRT(R927*($G$8-$E$8)*($F$8-$E$8)),$G$8-SQRT((1-R927)*($G$8-$E$8)*($G$8-$F$8))))</f>
        <v>0.994029955916625</v>
      </c>
      <c r="E927" s="37" t="n">
        <f aca="false">1+IF($G$9=$E$9,$F$9,IF(S927&lt;($F$9-$E$9)/($G$9-$E$9),$E$9+SQRT(S927*($G$9-$E$9)*($F$9-$E$9)),$G$9-SQRT((1-S927)*($G$9-$E$9)*($G$9-$F$9))))</f>
        <v>0.979434337715692</v>
      </c>
      <c r="F927" s="37" t="n">
        <f aca="false">1+IF($G$10=$E$10,$F$10,IF(T927&lt;($F$10-$E$10)/($G$10-$E$10),$E$10+SQRT(T927*($G$10-$E$10)*($F$10-$E$10)),$G$10-SQRT((1-T927)*($G$10-$E$10)*($G$10-$F$10))))</f>
        <v>1.06102900368959</v>
      </c>
      <c r="G927" s="38" t="n">
        <f aca="false">IF($G$11=$E$11,$F$11,IF(U927&lt;($F$11-$E$11)/($G$11-$E$11),$E$11+SQRT(U927*($G$11-$E$11)*($F$11-$E$11)),$G$11-SQRT((1-U927)*($G$11-$E$11)*($G$11-$F$11))))</f>
        <v>0.111319619507293</v>
      </c>
      <c r="H927" s="39" t="n">
        <f aca="false">(('Business Case'!B11*$C927*'Business Case'!B12*$B927)-'Business Case'!B11*$C927*'Business Case'!B13*$D927-'Business Case'!B14*$E927)-MAX(0,(('Business Case'!B11*$C927*'Business Case'!B12*$B927)-'Business Case'!B11*$C927*'Business Case'!B13*$D927-'Business Case'!B14*$E927))*'Business Case'!$B$7-'Business Case'!$B$8*('Business Case'!B11*$C927*'Business Case'!B12*$B927)-'Business Case'!B15*$F927</f>
        <v>-2122058007.37918</v>
      </c>
      <c r="I927" s="39" t="n">
        <f aca="false">(('Business Case'!C11*$C927*'Business Case'!C12*$B927)-'Business Case'!C11*$C927*'Business Case'!C13*$D927-'Business Case'!C14*$E927)-MAX(0,(('Business Case'!C11*$C927*'Business Case'!C12*$B927)-'Business Case'!C11*$C927*'Business Case'!C13*$D927-'Business Case'!C14*$E927))*'Business Case'!$B$7-'Business Case'!$B$8*(('Business Case'!C11*$C927*'Business Case'!C12*$B927)-('Business Case'!B11*$C927*'Business Case'!B12*$B927))-'Business Case'!C15*$F927</f>
        <v>-3921536.68511909</v>
      </c>
      <c r="J927" s="39" t="n">
        <f aca="false">(('Business Case'!D11*$C927*'Business Case'!D12*$B927)-'Business Case'!D11*$C927*'Business Case'!D13*$D927-'Business Case'!D14*$E927)-MAX(0,(('Business Case'!D11*$C927*'Business Case'!D12*$B927)-'Business Case'!D11*$C927*'Business Case'!D13*$D927-'Business Case'!D14*$E927))*'Business Case'!$B$7-'Business Case'!$B$8*(('Business Case'!D11*$C927*'Business Case'!D12*$B927)-('Business Case'!C11*$C927*'Business Case'!C12*$B927))-'Business Case'!D15*$F927</f>
        <v>289612914.838205</v>
      </c>
      <c r="K927" s="39" t="n">
        <f aca="false">(('Business Case'!E11*$C927*'Business Case'!E12*$B927)-'Business Case'!E11*$C927*'Business Case'!E13*$D927-'Business Case'!E14*$E927)-MAX(0,(('Business Case'!E11*$C927*'Business Case'!E12*$B927)-'Business Case'!E11*$C927*'Business Case'!E13*$D927-'Business Case'!E14*$E927))*'Business Case'!$B$7-'Business Case'!$B$8*(('Business Case'!E11*$C927*'Business Case'!E12*$B927)-('Business Case'!D11*$C927*'Business Case'!D12*$B927))-'Business Case'!E15*$F927</f>
        <v>636198816.546008</v>
      </c>
      <c r="L927" s="39" t="n">
        <f aca="false">(('Business Case'!F11*$C927*'Business Case'!F12*$B927)-'Business Case'!F11*$C927*'Business Case'!F13*$D927-'Business Case'!F14*$E927)-MAX(0,(('Business Case'!F11*$C927*'Business Case'!F12*$B927)-'Business Case'!F11*$C927*'Business Case'!F13*$D927-'Business Case'!F14*$E927))*'Business Case'!$B$7-'Business Case'!$B$8*(('Business Case'!F11*$C927*'Business Case'!F12*$B927)-('Business Case'!E11*$C927*'Business Case'!E12*$B927))-'Business Case'!F15*$F927</f>
        <v>768761983.731324</v>
      </c>
      <c r="M927" s="39" t="n">
        <f aca="false">(('Business Case'!G11*$C927*'Business Case'!G12*$B927)-'Business Case'!G11*$C927*'Business Case'!G13*$D927-'Business Case'!G14*$E927)-MAX(0,(('Business Case'!G11*$C927*'Business Case'!G12*$B927)-'Business Case'!G11*$C927*'Business Case'!G13*$D927-'Business Case'!G14*$E927))*'Business Case'!$B$7-'Business Case'!$B$8*(('Business Case'!G11*$C927*'Business Case'!G12*$B927)-('Business Case'!F11*$C927*'Business Case'!F12*$B927))-'Business Case'!G15*$F927+'Business Case'!$B$8*('Business Case'!G11*$C927*'Business Case'!G12*$B927)</f>
        <v>959712908.791137</v>
      </c>
      <c r="N927" s="39" t="n">
        <f aca="false">IF(COUNT('Business Case'!B11:G11)=0,"",H927+NPV(G927,I927:M927))</f>
        <v>-357384596.650361</v>
      </c>
      <c r="P927" s="40" t="n">
        <f aca="true">RAND()</f>
        <v>0.218624261364162</v>
      </c>
      <c r="Q927" s="40" t="n">
        <f aca="true">RAND()</f>
        <v>0.770116971617457</v>
      </c>
      <c r="R927" s="40" t="n">
        <f aca="true">RAND()</f>
        <v>0.298251848926145</v>
      </c>
      <c r="S927" s="40" t="n">
        <f aca="true">RAND()</f>
        <v>0.115517364901525</v>
      </c>
      <c r="T927" s="40" t="n">
        <f aca="true">RAND()</f>
        <v>0.613741243689832</v>
      </c>
      <c r="U927" s="40" t="n">
        <f aca="true">RAND()</f>
        <v>0.874418324169731</v>
      </c>
    </row>
    <row r="928" customFormat="false" ht="15" hidden="false" customHeight="false" outlineLevel="0" collapsed="false">
      <c r="A928" s="36" t="n">
        <v>848</v>
      </c>
      <c r="B928" s="37" t="n">
        <f aca="false">1+IF($G$6=$E$6,$F$6,IF(P928&lt;($F$6-$E$6)/($G$6-$E$6),$E$6+SQRT(P928*($G$6-$E$6)*($F$6-$E$6)),$G$6-SQRT((1-P928)*($G$6-$E$6)*($G$6-$F$6))))</f>
        <v>0.965602574338764</v>
      </c>
      <c r="C928" s="37" t="n">
        <f aca="false">1+IF($G$7=$E$7,$F$7,IF(Q928&lt;($F$7-$E$7)/($G$7-$E$7),$E$7+SQRT(Q928*($G$7-$E$7)*($F$7-$E$7)),$G$7-SQRT((1-Q928)*($G$7-$E$7)*($G$7-$F$7))))</f>
        <v>0.997065936201589</v>
      </c>
      <c r="D928" s="37" t="n">
        <f aca="false">1+IF($G$8=$E$8,$F$8,IF(R928&lt;($F$8-$E$8)/($G$8-$E$8),$E$8+SQRT(R928*($G$8-$E$8)*($F$8-$E$8)),$G$8-SQRT((1-R928)*($G$8-$E$8)*($G$8-$F$8))))</f>
        <v>1.00711880458787</v>
      </c>
      <c r="E928" s="37" t="n">
        <f aca="false">1+IF($G$9=$E$9,$F$9,IF(S928&lt;($F$9-$E$9)/($G$9-$E$9),$E$9+SQRT(S928*($G$9-$E$9)*($F$9-$E$9)),$G$9-SQRT((1-S928)*($G$9-$E$9)*($G$9-$F$9))))</f>
        <v>1.01041390636206</v>
      </c>
      <c r="F928" s="37" t="n">
        <f aca="false">1+IF($G$10=$E$10,$F$10,IF(T928&lt;($F$10-$E$10)/($G$10-$E$10),$E$10+SQRT(T928*($G$10-$E$10)*($F$10-$E$10)),$G$10-SQRT((1-T928)*($G$10-$E$10)*($G$10-$F$10))))</f>
        <v>1.11017309950996</v>
      </c>
      <c r="G928" s="38" t="n">
        <f aca="false">IF($G$11=$E$11,$F$11,IF(U928&lt;($F$11-$E$11)/($G$11-$E$11),$E$11+SQRT(U928*($G$11-$E$11)*($F$11-$E$11)),$G$11-SQRT((1-U928)*($G$11-$E$11)*($G$11-$F$11))))</f>
        <v>0.105302350317848</v>
      </c>
      <c r="H928" s="39" t="n">
        <f aca="false">(('Business Case'!B11*$C928*'Business Case'!B12*$B928)-'Business Case'!B11*$C928*'Business Case'!B13*$D928-'Business Case'!B14*$E928)-MAX(0,(('Business Case'!B11*$C928*'Business Case'!B12*$B928)-'Business Case'!B11*$C928*'Business Case'!B13*$D928-'Business Case'!B14*$E928))*'Business Case'!$B$7-'Business Case'!$B$8*('Business Case'!B11*$C928*'Business Case'!B12*$B928)-'Business Case'!B15*$F928</f>
        <v>-2220346199.01992</v>
      </c>
      <c r="I928" s="39" t="n">
        <f aca="false">(('Business Case'!C11*$C928*'Business Case'!C12*$B928)-'Business Case'!C11*$C928*'Business Case'!C13*$D928-'Business Case'!C14*$E928)-MAX(0,(('Business Case'!C11*$C928*'Business Case'!C12*$B928)-'Business Case'!C11*$C928*'Business Case'!C13*$D928-'Business Case'!C14*$E928))*'Business Case'!$B$7-'Business Case'!$B$8*(('Business Case'!C11*$C928*'Business Case'!C12*$B928)-('Business Case'!B11*$C928*'Business Case'!B12*$B928))-'Business Case'!C15*$F928</f>
        <v>-30082208.4673767</v>
      </c>
      <c r="J928" s="39" t="n">
        <f aca="false">(('Business Case'!D11*$C928*'Business Case'!D12*$B928)-'Business Case'!D11*$C928*'Business Case'!D13*$D928-'Business Case'!D14*$E928)-MAX(0,(('Business Case'!D11*$C928*'Business Case'!D12*$B928)-'Business Case'!D11*$C928*'Business Case'!D13*$D928-'Business Case'!D14*$E928))*'Business Case'!$B$7-'Business Case'!$B$8*(('Business Case'!D11*$C928*'Business Case'!D12*$B928)-('Business Case'!C11*$C928*'Business Case'!C12*$B928))-'Business Case'!D15*$F928</f>
        <v>244443718.000013</v>
      </c>
      <c r="K928" s="39" t="n">
        <f aca="false">(('Business Case'!E11*$C928*'Business Case'!E12*$B928)-'Business Case'!E11*$C928*'Business Case'!E13*$D928-'Business Case'!E14*$E928)-MAX(0,(('Business Case'!E11*$C928*'Business Case'!E12*$B928)-'Business Case'!E11*$C928*'Business Case'!E13*$D928-'Business Case'!E14*$E928))*'Business Case'!$B$7-'Business Case'!$B$8*(('Business Case'!E11*$C928*'Business Case'!E12*$B928)-('Business Case'!D11*$C928*'Business Case'!D12*$B928))-'Business Case'!E15*$F928</f>
        <v>574478299.4429</v>
      </c>
      <c r="L928" s="39" t="n">
        <f aca="false">(('Business Case'!F11*$C928*'Business Case'!F12*$B928)-'Business Case'!F11*$C928*'Business Case'!F13*$D928-'Business Case'!F14*$E928)-MAX(0,(('Business Case'!F11*$C928*'Business Case'!F12*$B928)-'Business Case'!F11*$C928*'Business Case'!F13*$D928-'Business Case'!F14*$E928))*'Business Case'!$B$7-'Business Case'!$B$8*(('Business Case'!F11*$C928*'Business Case'!F12*$B928)-('Business Case'!E11*$C928*'Business Case'!E12*$B928))-'Business Case'!F15*$F928</f>
        <v>699260253.264754</v>
      </c>
      <c r="M928" s="39" t="n">
        <f aca="false">(('Business Case'!G11*$C928*'Business Case'!G12*$B928)-'Business Case'!G11*$C928*'Business Case'!G13*$D928-'Business Case'!G14*$E928)-MAX(0,(('Business Case'!G11*$C928*'Business Case'!G12*$B928)-'Business Case'!G11*$C928*'Business Case'!G13*$D928-'Business Case'!G14*$E928))*'Business Case'!$B$7-'Business Case'!$B$8*(('Business Case'!G11*$C928*'Business Case'!G12*$B928)-('Business Case'!F11*$C928*'Business Case'!F12*$B928))-'Business Case'!G15*$F928+'Business Case'!$B$8*('Business Case'!G11*$C928*'Business Case'!G12*$B928)</f>
        <v>882263467.428068</v>
      </c>
      <c r="N928" s="39" t="n">
        <f aca="false">IF(COUNT('Business Case'!B11:G11)=0,"",H928+NPV(G928,I928:M928))</f>
        <v>-618737264.71447</v>
      </c>
      <c r="P928" s="40" t="n">
        <f aca="true">RAND()</f>
        <v>0.216624456908596</v>
      </c>
      <c r="Q928" s="40" t="n">
        <f aca="true">RAND()</f>
        <v>0.554785474442983</v>
      </c>
      <c r="R928" s="40" t="n">
        <f aca="true">RAND()</f>
        <v>0.489262630317151</v>
      </c>
      <c r="S928" s="40" t="n">
        <f aca="true">RAND()</f>
        <v>0.464955455112927</v>
      </c>
      <c r="T928" s="40" t="n">
        <f aca="true">RAND()</f>
        <v>0.838622558967046</v>
      </c>
      <c r="U928" s="40" t="n">
        <f aca="true">RAND()</f>
        <v>0.639965156367884</v>
      </c>
    </row>
    <row r="929" customFormat="false" ht="15" hidden="false" customHeight="false" outlineLevel="0" collapsed="false">
      <c r="A929" s="36" t="n">
        <v>849</v>
      </c>
      <c r="B929" s="37" t="n">
        <f aca="false">1+IF($G$6=$E$6,$F$6,IF(P929&lt;($F$6-$E$6)/($G$6-$E$6),$E$6+SQRT(P929*($G$6-$E$6)*($F$6-$E$6)),$G$6-SQRT((1-P929)*($G$6-$E$6)*($G$6-$F$6))))</f>
        <v>1.00401100979697</v>
      </c>
      <c r="C929" s="37" t="n">
        <f aca="false">1+IF($G$7=$E$7,$F$7,IF(Q929&lt;($F$7-$E$7)/($G$7-$E$7),$E$7+SQRT(Q929*($G$7-$E$7)*($F$7-$E$7)),$G$7-SQRT((1-Q929)*($G$7-$E$7)*($G$7-$F$7))))</f>
        <v>0.828795704930507</v>
      </c>
      <c r="D929" s="37" t="n">
        <f aca="false">1+IF($G$8=$E$8,$F$8,IF(R929&lt;($F$8-$E$8)/($G$8-$E$8),$E$8+SQRT(R929*($G$8-$E$8)*($F$8-$E$8)),$G$8-SQRT((1-R929)*($G$8-$E$8)*($G$8-$F$8))))</f>
        <v>1.04013544047588</v>
      </c>
      <c r="E929" s="37" t="n">
        <f aca="false">1+IF($G$9=$E$9,$F$9,IF(S929&lt;($F$9-$E$9)/($G$9-$E$9),$E$9+SQRT(S929*($G$9-$E$9)*($F$9-$E$9)),$G$9-SQRT((1-S929)*($G$9-$E$9)*($G$9-$F$9))))</f>
        <v>1.04824634050423</v>
      </c>
      <c r="F929" s="37" t="n">
        <f aca="false">1+IF($G$10=$E$10,$F$10,IF(T929&lt;($F$10-$E$10)/($G$10-$E$10),$E$10+SQRT(T929*($G$10-$E$10)*($F$10-$E$10)),$G$10-SQRT((1-T929)*($G$10-$E$10)*($G$10-$F$10))))</f>
        <v>0.993738903213836</v>
      </c>
      <c r="G929" s="38" t="n">
        <f aca="false">IF($G$11=$E$11,$F$11,IF(U929&lt;($F$11-$E$11)/($G$11-$E$11),$E$11+SQRT(U929*($G$11-$E$11)*($F$11-$E$11)),$G$11-SQRT((1-U929)*($G$11-$E$11)*($G$11-$F$11))))</f>
        <v>0.105510217457162</v>
      </c>
      <c r="H929" s="39" t="n">
        <f aca="false">(('Business Case'!B11*$C929*'Business Case'!B12*$B929)-'Business Case'!B11*$C929*'Business Case'!B13*$D929-'Business Case'!B14*$E929)-MAX(0,(('Business Case'!B11*$C929*'Business Case'!B12*$B929)-'Business Case'!B11*$C929*'Business Case'!B13*$D929-'Business Case'!B14*$E929))*'Business Case'!$B$7-'Business Case'!$B$8*('Business Case'!B11*$C929*'Business Case'!B12*$B929)-'Business Case'!B15*$F929</f>
        <v>-1987477806.42767</v>
      </c>
      <c r="I929" s="39" t="n">
        <f aca="false">(('Business Case'!C11*$C929*'Business Case'!C12*$B929)-'Business Case'!C11*$C929*'Business Case'!C13*$D929-'Business Case'!C14*$E929)-MAX(0,(('Business Case'!C11*$C929*'Business Case'!C12*$B929)-'Business Case'!C11*$C929*'Business Case'!C13*$D929-'Business Case'!C14*$E929))*'Business Case'!$B$7-'Business Case'!$B$8*(('Business Case'!C11*$C929*'Business Case'!C12*$B929)-('Business Case'!B11*$C929*'Business Case'!B12*$B929))-'Business Case'!C15*$F929</f>
        <v>-51311063.8672743</v>
      </c>
      <c r="J929" s="39" t="n">
        <f aca="false">(('Business Case'!D11*$C929*'Business Case'!D12*$B929)-'Business Case'!D11*$C929*'Business Case'!D13*$D929-'Business Case'!D14*$E929)-MAX(0,(('Business Case'!D11*$C929*'Business Case'!D12*$B929)-'Business Case'!D11*$C929*'Business Case'!D13*$D929-'Business Case'!D14*$E929))*'Business Case'!$B$7-'Business Case'!$B$8*(('Business Case'!D11*$C929*'Business Case'!D12*$B929)-('Business Case'!C11*$C929*'Business Case'!C12*$B929))-'Business Case'!D15*$F929</f>
        <v>188949493.660896</v>
      </c>
      <c r="K929" s="39" t="n">
        <f aca="false">(('Business Case'!E11*$C929*'Business Case'!E12*$B929)-'Business Case'!E11*$C929*'Business Case'!E13*$D929-'Business Case'!E14*$E929)-MAX(0,(('Business Case'!E11*$C929*'Business Case'!E12*$B929)-'Business Case'!E11*$C929*'Business Case'!E13*$D929-'Business Case'!E14*$E929))*'Business Case'!$B$7-'Business Case'!$B$8*(('Business Case'!E11*$C929*'Business Case'!E12*$B929)-('Business Case'!D11*$C929*'Business Case'!D12*$B929))-'Business Case'!E15*$F929</f>
        <v>478896996.349758</v>
      </c>
      <c r="L929" s="39" t="n">
        <f aca="false">(('Business Case'!F11*$C929*'Business Case'!F12*$B929)-'Business Case'!F11*$C929*'Business Case'!F13*$D929-'Business Case'!F14*$E929)-MAX(0,(('Business Case'!F11*$C929*'Business Case'!F12*$B929)-'Business Case'!F11*$C929*'Business Case'!F13*$D929-'Business Case'!F14*$E929))*'Business Case'!$B$7-'Business Case'!$B$8*(('Business Case'!F11*$C929*'Business Case'!F12*$B929)-('Business Case'!E11*$C929*'Business Case'!E12*$B929))-'Business Case'!F15*$F929</f>
        <v>587741916.495388</v>
      </c>
      <c r="M929" s="39" t="n">
        <f aca="false">(('Business Case'!G11*$C929*'Business Case'!G12*$B929)-'Business Case'!G11*$C929*'Business Case'!G13*$D929-'Business Case'!G14*$E929)-MAX(0,(('Business Case'!G11*$C929*'Business Case'!G12*$B929)-'Business Case'!G11*$C929*'Business Case'!G13*$D929-'Business Case'!G14*$E929))*'Business Case'!$B$7-'Business Case'!$B$8*(('Business Case'!G11*$C929*'Business Case'!G12*$B929)-('Business Case'!F11*$C929*'Business Case'!F12*$B929))-'Business Case'!G15*$F929+'Business Case'!$B$8*('Business Case'!G11*$C929*'Business Case'!G12*$B929)</f>
        <v>745911288.494705</v>
      </c>
      <c r="N929" s="39" t="n">
        <f aca="false">IF(COUNT('Business Case'!B11:G11)=0,"",H929+NPV(G929,I929:M929))</f>
        <v>-679622889.264715</v>
      </c>
      <c r="P929" s="40" t="n">
        <f aca="true">RAND()</f>
        <v>0.730165121701279</v>
      </c>
      <c r="Q929" s="40" t="n">
        <f aca="true">RAND()</f>
        <v>0.011845608892069</v>
      </c>
      <c r="R929" s="40" t="n">
        <f aca="true">RAND()</f>
        <v>0.847193932110362</v>
      </c>
      <c r="S929" s="40" t="n">
        <f aca="true">RAND()</f>
        <v>0.821437248586417</v>
      </c>
      <c r="T929" s="40" t="n">
        <f aca="true">RAND()</f>
        <v>0.153047332347947</v>
      </c>
      <c r="U929" s="40" t="n">
        <f aca="true">RAND()</f>
        <v>0.650077003102133</v>
      </c>
    </row>
    <row r="930" customFormat="false" ht="15" hidden="false" customHeight="false" outlineLevel="0" collapsed="false">
      <c r="A930" s="36" t="n">
        <v>850</v>
      </c>
      <c r="B930" s="37" t="n">
        <f aca="false">1+IF($G$6=$E$6,$F$6,IF(P930&lt;($F$6-$E$6)/($G$6-$E$6),$E$6+SQRT(P930*($G$6-$E$6)*($F$6-$E$6)),$G$6-SQRT((1-P930)*($G$6-$E$6)*($G$6-$F$6))))</f>
        <v>1.00425954528507</v>
      </c>
      <c r="C930" s="37" t="n">
        <f aca="false">1+IF($G$7=$E$7,$F$7,IF(Q930&lt;($F$7-$E$7)/($G$7-$E$7),$E$7+SQRT(Q930*($G$7-$E$7)*($F$7-$E$7)),$G$7-SQRT((1-Q930)*($G$7-$E$7)*($G$7-$F$7))))</f>
        <v>0.991187362866814</v>
      </c>
      <c r="D930" s="37" t="n">
        <f aca="false">1+IF($G$8=$E$8,$F$8,IF(R930&lt;($F$8-$E$8)/($G$8-$E$8),$E$8+SQRT(R930*($G$8-$E$8)*($F$8-$E$8)),$G$8-SQRT((1-R930)*($G$8-$E$8)*($G$8-$F$8))))</f>
        <v>0.993840594557596</v>
      </c>
      <c r="E930" s="37" t="n">
        <f aca="false">1+IF($G$9=$E$9,$F$9,IF(S930&lt;($F$9-$E$9)/($G$9-$E$9),$E$9+SQRT(S930*($G$9-$E$9)*($F$9-$E$9)),$G$9-SQRT((1-S930)*($G$9-$E$9)*($G$9-$F$9))))</f>
        <v>1.01978002220948</v>
      </c>
      <c r="F930" s="37" t="n">
        <f aca="false">1+IF($G$10=$E$10,$F$10,IF(T930&lt;($F$10-$E$10)/($G$10-$E$10),$E$10+SQRT(T930*($G$10-$E$10)*($F$10-$E$10)),$G$10-SQRT((1-T930)*($G$10-$E$10)*($G$10-$F$10))))</f>
        <v>1.05646140241075</v>
      </c>
      <c r="G930" s="38" t="n">
        <f aca="false">IF($G$11=$E$11,$F$11,IF(U930&lt;($F$11-$E$11)/($G$11-$E$11),$E$11+SQRT(U930*($G$11-$E$11)*($F$11-$E$11)),$G$11-SQRT((1-U930)*($G$11-$E$11)*($G$11-$F$11))))</f>
        <v>0.0962025927018427</v>
      </c>
      <c r="H930" s="39" t="n">
        <f aca="false">(('Business Case'!B11*$C930*'Business Case'!B12*$B930)-'Business Case'!B11*$C930*'Business Case'!B13*$D930-'Business Case'!B14*$E930)-MAX(0,(('Business Case'!B11*$C930*'Business Case'!B12*$B930)-'Business Case'!B11*$C930*'Business Case'!B13*$D930-'Business Case'!B14*$E930))*'Business Case'!$B$7-'Business Case'!$B$8*('Business Case'!B11*$C930*'Business Case'!B12*$B930)-'Business Case'!B15*$F930</f>
        <v>-2112922804.8215</v>
      </c>
      <c r="I930" s="39" t="n">
        <f aca="false">(('Business Case'!C11*$C930*'Business Case'!C12*$B930)-'Business Case'!C11*$C930*'Business Case'!C13*$D930-'Business Case'!C14*$E930)-MAX(0,(('Business Case'!C11*$C930*'Business Case'!C12*$B930)-'Business Case'!C11*$C930*'Business Case'!C13*$D930-'Business Case'!C14*$E930))*'Business Case'!$B$7-'Business Case'!$B$8*(('Business Case'!C11*$C930*'Business Case'!C12*$B930)-('Business Case'!B11*$C930*'Business Case'!B12*$B930))-'Business Case'!C15*$F930</f>
        <v>8767763.32180342</v>
      </c>
      <c r="J930" s="39" t="n">
        <f aca="false">(('Business Case'!D11*$C930*'Business Case'!D12*$B930)-'Business Case'!D11*$C930*'Business Case'!D13*$D930-'Business Case'!D14*$E930)-MAX(0,(('Business Case'!D11*$C930*'Business Case'!D12*$B930)-'Business Case'!D11*$C930*'Business Case'!D13*$D930-'Business Case'!D14*$E930))*'Business Case'!$B$7-'Business Case'!$B$8*(('Business Case'!D11*$C930*'Business Case'!D12*$B930)-('Business Case'!C11*$C930*'Business Case'!C12*$B930))-'Business Case'!D15*$F930</f>
        <v>319796407.800514</v>
      </c>
      <c r="K930" s="39" t="n">
        <f aca="false">(('Business Case'!E11*$C930*'Business Case'!E12*$B930)-'Business Case'!E11*$C930*'Business Case'!E13*$D930-'Business Case'!E14*$E930)-MAX(0,(('Business Case'!E11*$C930*'Business Case'!E12*$B930)-'Business Case'!E11*$C930*'Business Case'!E13*$D930-'Business Case'!E14*$E930))*'Business Case'!$B$7-'Business Case'!$B$8*(('Business Case'!E11*$C930*'Business Case'!E12*$B930)-('Business Case'!D11*$C930*'Business Case'!D12*$B930))-'Business Case'!E15*$F930</f>
        <v>683648122.399762</v>
      </c>
      <c r="L930" s="39" t="n">
        <f aca="false">(('Business Case'!F11*$C930*'Business Case'!F12*$B930)-'Business Case'!F11*$C930*'Business Case'!F13*$D930-'Business Case'!F14*$E930)-MAX(0,(('Business Case'!F11*$C930*'Business Case'!F12*$B930)-'Business Case'!F11*$C930*'Business Case'!F13*$D930-'Business Case'!F14*$E930))*'Business Case'!$B$7-'Business Case'!$B$8*(('Business Case'!F11*$C930*'Business Case'!F12*$B930)-('Business Case'!E11*$C930*'Business Case'!E12*$B930))-'Business Case'!F15*$F930</f>
        <v>821725685.064428</v>
      </c>
      <c r="M930" s="39" t="n">
        <f aca="false">(('Business Case'!G11*$C930*'Business Case'!G12*$B930)-'Business Case'!G11*$C930*'Business Case'!G13*$D930-'Business Case'!G14*$E930)-MAX(0,(('Business Case'!G11*$C930*'Business Case'!G12*$B930)-'Business Case'!G11*$C930*'Business Case'!G13*$D930-'Business Case'!G14*$E930))*'Business Case'!$B$7-'Business Case'!$B$8*(('Business Case'!G11*$C930*'Business Case'!G12*$B930)-('Business Case'!F11*$C930*'Business Case'!F12*$B930))-'Business Case'!G15*$F930+'Business Case'!$B$8*('Business Case'!G11*$C930*'Business Case'!G12*$B930)</f>
        <v>1010933098.17579</v>
      </c>
      <c r="N930" s="39" t="n">
        <f aca="false">IF(COUNT('Business Case'!B11:G11)=0,"",H930+NPV(G930,I930:M930))</f>
        <v>-112079163.82722</v>
      </c>
      <c r="P930" s="40" t="n">
        <f aca="true">RAND()</f>
        <v>0.733879145160475</v>
      </c>
      <c r="Q930" s="40" t="n">
        <f aca="true">RAND()</f>
        <v>0.522180110285243</v>
      </c>
      <c r="R930" s="40" t="n">
        <f aca="true">RAND()</f>
        <v>0.295691958640538</v>
      </c>
      <c r="S930" s="40" t="n">
        <f aca="true">RAND()</f>
        <v>0.570983677552524</v>
      </c>
      <c r="T930" s="40" t="n">
        <f aca="true">RAND()</f>
        <v>0.587933420042216</v>
      </c>
      <c r="U930" s="40" t="n">
        <f aca="true">RAND()</f>
        <v>0.128240520749842</v>
      </c>
    </row>
    <row r="931" customFormat="false" ht="15" hidden="false" customHeight="false" outlineLevel="0" collapsed="false">
      <c r="A931" s="36" t="n">
        <v>851</v>
      </c>
      <c r="B931" s="37" t="n">
        <f aca="false">1+IF($G$6=$E$6,$F$6,IF(P931&lt;($F$6-$E$6)/($G$6-$E$6),$E$6+SQRT(P931*($G$6-$E$6)*($F$6-$E$6)),$G$6-SQRT((1-P931)*($G$6-$E$6)*($G$6-$F$6))))</f>
        <v>0.986028257444145</v>
      </c>
      <c r="C931" s="37" t="n">
        <f aca="false">1+IF($G$7=$E$7,$F$7,IF(Q931&lt;($F$7-$E$7)/($G$7-$E$7),$E$7+SQRT(Q931*($G$7-$E$7)*($F$7-$E$7)),$G$7-SQRT((1-Q931)*($G$7-$E$7)*($G$7-$F$7))))</f>
        <v>1.03414590142365</v>
      </c>
      <c r="D931" s="37" t="n">
        <f aca="false">1+IF($G$8=$E$8,$F$8,IF(R931&lt;($F$8-$E$8)/($G$8-$E$8),$E$8+SQRT(R931*($G$8-$E$8)*($F$8-$E$8)),$G$8-SQRT((1-R931)*($G$8-$E$8)*($G$8-$F$8))))</f>
        <v>1.00095090934266</v>
      </c>
      <c r="E931" s="37" t="n">
        <f aca="false">1+IF($G$9=$E$9,$F$9,IF(S931&lt;($F$9-$E$9)/($G$9-$E$9),$E$9+SQRT(S931*($G$9-$E$9)*($F$9-$E$9)),$G$9-SQRT((1-S931)*($G$9-$E$9)*($G$9-$F$9))))</f>
        <v>0.973060089948922</v>
      </c>
      <c r="F931" s="37" t="n">
        <f aca="false">1+IF($G$10=$E$10,$F$10,IF(T931&lt;($F$10-$E$10)/($G$10-$E$10),$E$10+SQRT(T931*($G$10-$E$10)*($F$10-$E$10)),$G$10-SQRT((1-T931)*($G$10-$E$10)*($G$10-$F$10))))</f>
        <v>0.973624558942887</v>
      </c>
      <c r="G931" s="38" t="n">
        <f aca="false">IF($G$11=$E$11,$F$11,IF(U931&lt;($F$11-$E$11)/($G$11-$E$11),$E$11+SQRT(U931*($G$11-$E$11)*($F$11-$E$11)),$G$11-SQRT((1-U931)*($G$11-$E$11)*($G$11-$F$11))))</f>
        <v>0.0986327488978793</v>
      </c>
      <c r="H931" s="39" t="n">
        <f aca="false">(('Business Case'!B11*$C931*'Business Case'!B12*$B931)-'Business Case'!B11*$C931*'Business Case'!B13*$D931-'Business Case'!B14*$E931)-MAX(0,(('Business Case'!B11*$C931*'Business Case'!B12*$B931)-'Business Case'!B11*$C931*'Business Case'!B13*$D931-'Business Case'!B14*$E931))*'Business Case'!$B$7-'Business Case'!$B$8*('Business Case'!B11*$C931*'Business Case'!B12*$B931)-'Business Case'!B15*$F931</f>
        <v>-1947249117.88577</v>
      </c>
      <c r="I931" s="39" t="n">
        <f aca="false">(('Business Case'!C11*$C931*'Business Case'!C12*$B931)-'Business Case'!C11*$C931*'Business Case'!C13*$D931-'Business Case'!C14*$E931)-MAX(0,(('Business Case'!C11*$C931*'Business Case'!C12*$B931)-'Business Case'!C11*$C931*'Business Case'!C13*$D931-'Business Case'!C14*$E931))*'Business Case'!$B$7-'Business Case'!$B$8*(('Business Case'!C11*$C931*'Business Case'!C12*$B931)-('Business Case'!B11*$C931*'Business Case'!B12*$B931))-'Business Case'!C15*$F931</f>
        <v>16709249.0255865</v>
      </c>
      <c r="J931" s="39" t="n">
        <f aca="false">(('Business Case'!D11*$C931*'Business Case'!D12*$B931)-'Business Case'!D11*$C931*'Business Case'!D13*$D931-'Business Case'!D14*$E931)-MAX(0,(('Business Case'!D11*$C931*'Business Case'!D12*$B931)-'Business Case'!D11*$C931*'Business Case'!D13*$D931-'Business Case'!D14*$E931))*'Business Case'!$B$7-'Business Case'!$B$8*(('Business Case'!D11*$C931*'Business Case'!D12*$B931)-('Business Case'!C11*$C931*'Business Case'!C12*$B931))-'Business Case'!D15*$F931</f>
        <v>322011195.421654</v>
      </c>
      <c r="K931" s="39" t="n">
        <f aca="false">(('Business Case'!E11*$C931*'Business Case'!E12*$B931)-'Business Case'!E11*$C931*'Business Case'!E13*$D931-'Business Case'!E14*$E931)-MAX(0,(('Business Case'!E11*$C931*'Business Case'!E12*$B931)-'Business Case'!E11*$C931*'Business Case'!E13*$D931-'Business Case'!E14*$E931))*'Business Case'!$B$7-'Business Case'!$B$8*(('Business Case'!E11*$C931*'Business Case'!E12*$B931)-('Business Case'!D11*$C931*'Business Case'!D12*$B931))-'Business Case'!E15*$F931</f>
        <v>675994369.764867</v>
      </c>
      <c r="L931" s="39" t="n">
        <f aca="false">(('Business Case'!F11*$C931*'Business Case'!F12*$B931)-'Business Case'!F11*$C931*'Business Case'!F13*$D931-'Business Case'!F14*$E931)-MAX(0,(('Business Case'!F11*$C931*'Business Case'!F12*$B931)-'Business Case'!F11*$C931*'Business Case'!F13*$D931-'Business Case'!F14*$E931))*'Business Case'!$B$7-'Business Case'!$B$8*(('Business Case'!F11*$C931*'Business Case'!F12*$B931)-('Business Case'!E11*$C931*'Business Case'!E12*$B931))-'Business Case'!F15*$F931</f>
        <v>813002416.35386</v>
      </c>
      <c r="M931" s="39" t="n">
        <f aca="false">(('Business Case'!G11*$C931*'Business Case'!G12*$B931)-'Business Case'!G11*$C931*'Business Case'!G13*$D931-'Business Case'!G14*$E931)-MAX(0,(('Business Case'!G11*$C931*'Business Case'!G12*$B931)-'Business Case'!G11*$C931*'Business Case'!G13*$D931-'Business Case'!G14*$E931))*'Business Case'!$B$7-'Business Case'!$B$8*(('Business Case'!G11*$C931*'Business Case'!G12*$B931)-('Business Case'!F11*$C931*'Business Case'!F12*$B931))-'Business Case'!G15*$F931+'Business Case'!$B$8*('Business Case'!G11*$C931*'Business Case'!G12*$B931)</f>
        <v>1006826437.53387</v>
      </c>
      <c r="N931" s="39" t="n">
        <f aca="false">IF(COUNT('Business Case'!B11:G11)=0,"",H931+NPV(G931,I931:M931))</f>
        <v>31651657.7216458</v>
      </c>
      <c r="P931" s="40" t="n">
        <f aca="true">RAND()</f>
        <v>0.45413862303232</v>
      </c>
      <c r="Q931" s="40" t="n">
        <f aca="true">RAND()</f>
        <v>0.744339577963069</v>
      </c>
      <c r="R931" s="40" t="n">
        <f aca="true">RAND()</f>
        <v>0.399157814062313</v>
      </c>
      <c r="S931" s="40" t="n">
        <f aca="true">RAND()</f>
        <v>0.0709023664603172</v>
      </c>
      <c r="T931" s="40" t="n">
        <f aca="true">RAND()</f>
        <v>0.0446495828196754</v>
      </c>
      <c r="U931" s="40" t="n">
        <f aca="true">RAND()</f>
        <v>0.248414511779452</v>
      </c>
    </row>
    <row r="932" customFormat="false" ht="15" hidden="false" customHeight="false" outlineLevel="0" collapsed="false">
      <c r="A932" s="36" t="n">
        <v>852</v>
      </c>
      <c r="B932" s="37" t="n">
        <f aca="false">1+IF($G$6=$E$6,$F$6,IF(P932&lt;($F$6-$E$6)/($G$6-$E$6),$E$6+SQRT(P932*($G$6-$E$6)*($F$6-$E$6)),$G$6-SQRT((1-P932)*($G$6-$E$6)*($G$6-$F$6))))</f>
        <v>1.00055694075546</v>
      </c>
      <c r="C932" s="37" t="n">
        <f aca="false">1+IF($G$7=$E$7,$F$7,IF(Q932&lt;($F$7-$E$7)/($G$7-$E$7),$E$7+SQRT(Q932*($G$7-$E$7)*($F$7-$E$7)),$G$7-SQRT((1-Q932)*($G$7-$E$7)*($G$7-$F$7))))</f>
        <v>1.1054362612609</v>
      </c>
      <c r="D932" s="37" t="n">
        <f aca="false">1+IF($G$8=$E$8,$F$8,IF(R932&lt;($F$8-$E$8)/($G$8-$E$8),$E$8+SQRT(R932*($G$8-$E$8)*($F$8-$E$8)),$G$8-SQRT((1-R932)*($G$8-$E$8)*($G$8-$F$8))))</f>
        <v>0.992799417113628</v>
      </c>
      <c r="E932" s="37" t="n">
        <f aca="false">1+IF($G$9=$E$9,$F$9,IF(S932&lt;($F$9-$E$9)/($G$9-$E$9),$E$9+SQRT(S932*($G$9-$E$9)*($F$9-$E$9)),$G$9-SQRT((1-S932)*($G$9-$E$9)*($G$9-$F$9))))</f>
        <v>1.00643164741102</v>
      </c>
      <c r="F932" s="37" t="n">
        <f aca="false">1+IF($G$10=$E$10,$F$10,IF(T932&lt;($F$10-$E$10)/($G$10-$E$10),$E$10+SQRT(T932*($G$10-$E$10)*($F$10-$E$10)),$G$10-SQRT((1-T932)*($G$10-$E$10)*($G$10-$F$10))))</f>
        <v>1.00002761049373</v>
      </c>
      <c r="G932" s="38" t="n">
        <f aca="false">IF($G$11=$E$11,$F$11,IF(U932&lt;($F$11-$E$11)/($G$11-$E$11),$E$11+SQRT(U932*($G$11-$E$11)*($F$11-$E$11)),$G$11-SQRT((1-U932)*($G$11-$E$11)*($G$11-$F$11))))</f>
        <v>0.101029272477245</v>
      </c>
      <c r="H932" s="39" t="n">
        <f aca="false">(('Business Case'!B11*$C932*'Business Case'!B12*$B932)-'Business Case'!B11*$C932*'Business Case'!B13*$D932-'Business Case'!B14*$E932)-MAX(0,(('Business Case'!B11*$C932*'Business Case'!B12*$B932)-'Business Case'!B11*$C932*'Business Case'!B13*$D932-'Business Case'!B14*$E932))*'Business Case'!$B$7-'Business Case'!$B$8*('Business Case'!B11*$C932*'Business Case'!B12*$B932)-'Business Case'!B15*$F932</f>
        <v>-2000055220.98747</v>
      </c>
      <c r="I932" s="39" t="n">
        <f aca="false">(('Business Case'!C11*$C932*'Business Case'!C12*$B932)-'Business Case'!C11*$C932*'Business Case'!C13*$D932-'Business Case'!C14*$E932)-MAX(0,(('Business Case'!C11*$C932*'Business Case'!C12*$B932)-'Business Case'!C11*$C932*'Business Case'!C13*$D932-'Business Case'!C14*$E932))*'Business Case'!$B$7-'Business Case'!$B$8*(('Business Case'!C11*$C932*'Business Case'!C12*$B932)-('Business Case'!B11*$C932*'Business Case'!B12*$B932))-'Business Case'!C15*$F932</f>
        <v>43660930.7546502</v>
      </c>
      <c r="J932" s="39" t="n">
        <f aca="false">(('Business Case'!D11*$C932*'Business Case'!D12*$B932)-'Business Case'!D11*$C932*'Business Case'!D13*$D932-'Business Case'!D14*$E932)-MAX(0,(('Business Case'!D11*$C932*'Business Case'!D12*$B932)-'Business Case'!D11*$C932*'Business Case'!D13*$D932-'Business Case'!D14*$E932))*'Business Case'!$B$7-'Business Case'!$B$8*(('Business Case'!D11*$C932*'Business Case'!D12*$B932)-('Business Case'!C11*$C932*'Business Case'!C12*$B932))-'Business Case'!D15*$F932</f>
        <v>387776934.548621</v>
      </c>
      <c r="K932" s="39" t="n">
        <f aca="false">(('Business Case'!E11*$C932*'Business Case'!E12*$B932)-'Business Case'!E11*$C932*'Business Case'!E13*$D932-'Business Case'!E14*$E932)-MAX(0,(('Business Case'!E11*$C932*'Business Case'!E12*$B932)-'Business Case'!E11*$C932*'Business Case'!E13*$D932-'Business Case'!E14*$E932))*'Business Case'!$B$7-'Business Case'!$B$8*(('Business Case'!E11*$C932*'Business Case'!E12*$B932)-('Business Case'!D11*$C932*'Business Case'!D12*$B932))-'Business Case'!E15*$F932</f>
        <v>781894318.867279</v>
      </c>
      <c r="L932" s="39" t="n">
        <f aca="false">(('Business Case'!F11*$C932*'Business Case'!F12*$B932)-'Business Case'!F11*$C932*'Business Case'!F13*$D932-'Business Case'!F14*$E932)-MAX(0,(('Business Case'!F11*$C932*'Business Case'!F12*$B932)-'Business Case'!F11*$C932*'Business Case'!F13*$D932-'Business Case'!F14*$E932))*'Business Case'!$B$7-'Business Case'!$B$8*(('Business Case'!F11*$C932*'Business Case'!F12*$B932)-('Business Case'!E11*$C932*'Business Case'!E12*$B932))-'Business Case'!F15*$F932</f>
        <v>934824807.950669</v>
      </c>
      <c r="M932" s="39" t="n">
        <f aca="false">(('Business Case'!G11*$C932*'Business Case'!G12*$B932)-'Business Case'!G11*$C932*'Business Case'!G13*$D932-'Business Case'!G14*$E932)-MAX(0,(('Business Case'!G11*$C932*'Business Case'!G12*$B932)-'Business Case'!G11*$C932*'Business Case'!G13*$D932-'Business Case'!G14*$E932))*'Business Case'!$B$7-'Business Case'!$B$8*(('Business Case'!G11*$C932*'Business Case'!G12*$B932)-('Business Case'!F11*$C932*'Business Case'!F12*$B932))-'Business Case'!G15*$F932+'Business Case'!$B$8*('Business Case'!G11*$C932*'Business Case'!G12*$B932)</f>
        <v>1145063157.62037</v>
      </c>
      <c r="N932" s="39" t="n">
        <f aca="false">IF(COUNT('Business Case'!B11:G11)=0,"",H932+NPV(G932,I932:M932))</f>
        <v>289070938.254725</v>
      </c>
      <c r="P932" s="40" t="n">
        <f aca="true">RAND()</f>
        <v>0.675884391131673</v>
      </c>
      <c r="Q932" s="40" t="n">
        <f aca="true">RAND()</f>
        <v>0.962172822658918</v>
      </c>
      <c r="R932" s="40" t="n">
        <f aca="true">RAND()</f>
        <v>0.281813862348665</v>
      </c>
      <c r="S932" s="40" t="n">
        <f aca="true">RAND()</f>
        <v>0.416330892918993</v>
      </c>
      <c r="T932" s="40" t="n">
        <f aca="true">RAND()</f>
        <v>0.200220868703076</v>
      </c>
      <c r="U932" s="40" t="n">
        <f aca="true">RAND()</f>
        <v>0.400185828762313</v>
      </c>
    </row>
    <row r="933" customFormat="false" ht="15" hidden="false" customHeight="false" outlineLevel="0" collapsed="false">
      <c r="A933" s="36" t="n">
        <v>853</v>
      </c>
      <c r="B933" s="37" t="n">
        <f aca="false">1+IF($G$6=$E$6,$F$6,IF(P933&lt;($F$6-$E$6)/($G$6-$E$6),$E$6+SQRT(P933*($G$6-$E$6)*($F$6-$E$6)),$G$6-SQRT((1-P933)*($G$6-$E$6)*($G$6-$F$6))))</f>
        <v>0.999090865890852</v>
      </c>
      <c r="C933" s="37" t="n">
        <f aca="false">1+IF($G$7=$E$7,$F$7,IF(Q933&lt;($F$7-$E$7)/($G$7-$E$7),$E$7+SQRT(Q933*($G$7-$E$7)*($F$7-$E$7)),$G$7-SQRT((1-Q933)*($G$7-$E$7)*($G$7-$F$7))))</f>
        <v>1.01675035994226</v>
      </c>
      <c r="D933" s="37" t="n">
        <f aca="false">1+IF($G$8=$E$8,$F$8,IF(R933&lt;($F$8-$E$8)/($G$8-$E$8),$E$8+SQRT(R933*($G$8-$E$8)*($F$8-$E$8)),$G$8-SQRT((1-R933)*($G$8-$E$8)*($G$8-$F$8))))</f>
        <v>1.00435094797913</v>
      </c>
      <c r="E933" s="37" t="n">
        <f aca="false">1+IF($G$9=$E$9,$F$9,IF(S933&lt;($F$9-$E$9)/($G$9-$E$9),$E$9+SQRT(S933*($G$9-$E$9)*($F$9-$E$9)),$G$9-SQRT((1-S933)*($G$9-$E$9)*($G$9-$F$9))))</f>
        <v>1.01464906307512</v>
      </c>
      <c r="F933" s="37" t="n">
        <f aca="false">1+IF($G$10=$E$10,$F$10,IF(T933&lt;($F$10-$E$10)/($G$10-$E$10),$E$10+SQRT(T933*($G$10-$E$10)*($F$10-$E$10)),$G$10-SQRT((1-T933)*($G$10-$E$10)*($G$10-$F$10))))</f>
        <v>1.07605098677229</v>
      </c>
      <c r="G933" s="38" t="n">
        <f aca="false">IF($G$11=$E$11,$F$11,IF(U933&lt;($F$11-$E$11)/($G$11-$E$11),$E$11+SQRT(U933*($G$11-$E$11)*($F$11-$E$11)),$G$11-SQRT((1-U933)*($G$11-$E$11)*($G$11-$F$11))))</f>
        <v>0.0958502730663435</v>
      </c>
      <c r="H933" s="39" t="n">
        <f aca="false">(('Business Case'!B11*$C933*'Business Case'!B12*$B933)-'Business Case'!B11*$C933*'Business Case'!B13*$D933-'Business Case'!B14*$E933)-MAX(0,(('Business Case'!B11*$C933*'Business Case'!B12*$B933)-'Business Case'!B11*$C933*'Business Case'!B13*$D933-'Business Case'!B14*$E933))*'Business Case'!$B$7-'Business Case'!$B$8*('Business Case'!B11*$C933*'Business Case'!B12*$B933)-'Business Case'!B15*$F933</f>
        <v>-2152101973.54458</v>
      </c>
      <c r="I933" s="39" t="n">
        <f aca="false">(('Business Case'!C11*$C933*'Business Case'!C12*$B933)-'Business Case'!C11*$C933*'Business Case'!C13*$D933-'Business Case'!C14*$E933)-MAX(0,(('Business Case'!C11*$C933*'Business Case'!C12*$B933)-'Business Case'!C11*$C933*'Business Case'!C13*$D933-'Business Case'!C14*$E933))*'Business Case'!$B$7-'Business Case'!$B$8*(('Business Case'!C11*$C933*'Business Case'!C12*$B933)-('Business Case'!B11*$C933*'Business Case'!B12*$B933))-'Business Case'!C15*$F933</f>
        <v>4726526.02230609</v>
      </c>
      <c r="J933" s="39" t="n">
        <f aca="false">(('Business Case'!D11*$C933*'Business Case'!D12*$B933)-'Business Case'!D11*$C933*'Business Case'!D13*$D933-'Business Case'!D14*$E933)-MAX(0,(('Business Case'!D11*$C933*'Business Case'!D12*$B933)-'Business Case'!D11*$C933*'Business Case'!D13*$D933-'Business Case'!D14*$E933))*'Business Case'!$B$7-'Business Case'!$B$8*(('Business Case'!D11*$C933*'Business Case'!D12*$B933)-('Business Case'!C11*$C933*'Business Case'!C12*$B933))-'Business Case'!D15*$F933</f>
        <v>314001667.202017</v>
      </c>
      <c r="K933" s="39" t="n">
        <f aca="false">(('Business Case'!E11*$C933*'Business Case'!E12*$B933)-'Business Case'!E11*$C933*'Business Case'!E13*$D933-'Business Case'!E14*$E933)-MAX(0,(('Business Case'!E11*$C933*'Business Case'!E12*$B933)-'Business Case'!E11*$C933*'Business Case'!E13*$D933-'Business Case'!E14*$E933))*'Business Case'!$B$7-'Business Case'!$B$8*(('Business Case'!E11*$C933*'Business Case'!E12*$B933)-('Business Case'!D11*$C933*'Business Case'!D12*$B933))-'Business Case'!E15*$F933</f>
        <v>677079357.720343</v>
      </c>
      <c r="L933" s="39" t="n">
        <f aca="false">(('Business Case'!F11*$C933*'Business Case'!F12*$B933)-'Business Case'!F11*$C933*'Business Case'!F13*$D933-'Business Case'!F14*$E933)-MAX(0,(('Business Case'!F11*$C933*'Business Case'!F12*$B933)-'Business Case'!F11*$C933*'Business Case'!F13*$D933-'Business Case'!F14*$E933))*'Business Case'!$B$7-'Business Case'!$B$8*(('Business Case'!F11*$C933*'Business Case'!F12*$B933)-('Business Case'!E11*$C933*'Business Case'!E12*$B933))-'Business Case'!F15*$F933</f>
        <v>815278017.920843</v>
      </c>
      <c r="M933" s="39" t="n">
        <f aca="false">(('Business Case'!G11*$C933*'Business Case'!G12*$B933)-'Business Case'!G11*$C933*'Business Case'!G13*$D933-'Business Case'!G14*$E933)-MAX(0,(('Business Case'!G11*$C933*'Business Case'!G12*$B933)-'Business Case'!G11*$C933*'Business Case'!G13*$D933-'Business Case'!G14*$E933))*'Business Case'!$B$7-'Business Case'!$B$8*(('Business Case'!G11*$C933*'Business Case'!G12*$B933)-('Business Case'!F11*$C933*'Business Case'!F12*$B933))-'Business Case'!G15*$F933+'Business Case'!$B$8*('Business Case'!G11*$C933*'Business Case'!G12*$B933)</f>
        <v>1008366223.52746</v>
      </c>
      <c r="N933" s="39" t="n">
        <f aca="false">IF(COUNT('Business Case'!B11:G11)=0,"",H933+NPV(G933,I933:M933))</f>
        <v>-168424177.253641</v>
      </c>
      <c r="P933" s="40" t="n">
        <f aca="true">RAND()</f>
        <v>0.651600527850486</v>
      </c>
      <c r="Q933" s="40" t="n">
        <f aca="true">RAND()</f>
        <v>0.661800636656803</v>
      </c>
      <c r="R933" s="40" t="n">
        <f aca="true">RAND()</f>
        <v>0.449732781571473</v>
      </c>
      <c r="S933" s="40" t="n">
        <f aca="true">RAND()</f>
        <v>0.51434783773629</v>
      </c>
      <c r="T933" s="40" t="n">
        <f aca="true">RAND()</f>
        <v>0.69273284239753</v>
      </c>
      <c r="U933" s="40" t="n">
        <f aca="true">RAND()</f>
        <v>0.114085649835949</v>
      </c>
    </row>
    <row r="934" customFormat="false" ht="15" hidden="false" customHeight="false" outlineLevel="0" collapsed="false">
      <c r="A934" s="36" t="n">
        <v>854</v>
      </c>
      <c r="B934" s="37" t="n">
        <f aca="false">1+IF($G$6=$E$6,$F$6,IF(P934&lt;($F$6-$E$6)/($G$6-$E$6),$E$6+SQRT(P934*($G$6-$E$6)*($F$6-$E$6)),$G$6-SQRT((1-P934)*($G$6-$E$6)*($G$6-$F$6))))</f>
        <v>0.987847808426575</v>
      </c>
      <c r="C934" s="37" t="n">
        <f aca="false">1+IF($G$7=$E$7,$F$7,IF(Q934&lt;($F$7-$E$7)/($G$7-$E$7),$E$7+SQRT(Q934*($G$7-$E$7)*($F$7-$E$7)),$G$7-SQRT((1-Q934)*($G$7-$E$7)*($G$7-$F$7))))</f>
        <v>1.07206045420592</v>
      </c>
      <c r="D934" s="37" t="n">
        <f aca="false">1+IF($G$8=$E$8,$F$8,IF(R934&lt;($F$8-$E$8)/($G$8-$E$8),$E$8+SQRT(R934*($G$8-$E$8)*($F$8-$E$8)),$G$8-SQRT((1-R934)*($G$8-$E$8)*($G$8-$F$8))))</f>
        <v>0.998292807889848</v>
      </c>
      <c r="E934" s="37" t="n">
        <f aca="false">1+IF($G$9=$E$9,$F$9,IF(S934&lt;($F$9-$E$9)/($G$9-$E$9),$E$9+SQRT(S934*($G$9-$E$9)*($F$9-$E$9)),$G$9-SQRT((1-S934)*($G$9-$E$9)*($G$9-$F$9))))</f>
        <v>1.01411478971472</v>
      </c>
      <c r="F934" s="37" t="n">
        <f aca="false">1+IF($G$10=$E$10,$F$10,IF(T934&lt;($F$10-$E$10)/($G$10-$E$10),$E$10+SQRT(T934*($G$10-$E$10)*($F$10-$E$10)),$G$10-SQRT((1-T934)*($G$10-$E$10)*($G$10-$F$10))))</f>
        <v>1.09119628805957</v>
      </c>
      <c r="G934" s="38" t="n">
        <f aca="false">IF($G$11=$E$11,$F$11,IF(U934&lt;($F$11-$E$11)/($G$11-$E$11),$E$11+SQRT(U934*($G$11-$E$11)*($F$11-$E$11)),$G$11-SQRT((1-U934)*($G$11-$E$11)*($G$11-$F$11))))</f>
        <v>0.101302147090225</v>
      </c>
      <c r="H934" s="39" t="n">
        <f aca="false">(('Business Case'!B11*$C934*'Business Case'!B12*$B934)-'Business Case'!B11*$C934*'Business Case'!B13*$D934-'Business Case'!B14*$E934)-MAX(0,(('Business Case'!B11*$C934*'Business Case'!B12*$B934)-'Business Case'!B11*$C934*'Business Case'!B13*$D934-'Business Case'!B14*$E934))*'Business Case'!$B$7-'Business Case'!$B$8*('Business Case'!B11*$C934*'Business Case'!B12*$B934)-'Business Case'!B15*$F934</f>
        <v>-2182392576.11915</v>
      </c>
      <c r="I934" s="39" t="n">
        <f aca="false">(('Business Case'!C11*$C934*'Business Case'!C12*$B934)-'Business Case'!C11*$C934*'Business Case'!C13*$D934-'Business Case'!C14*$E934)-MAX(0,(('Business Case'!C11*$C934*'Business Case'!C12*$B934)-'Business Case'!C11*$C934*'Business Case'!C13*$D934-'Business Case'!C14*$E934))*'Business Case'!$B$7-'Business Case'!$B$8*(('Business Case'!C11*$C934*'Business Case'!C12*$B934)-('Business Case'!B11*$C934*'Business Case'!B12*$B934))-'Business Case'!C15*$F934</f>
        <v>11324659.9853323</v>
      </c>
      <c r="J934" s="39" t="n">
        <f aca="false">(('Business Case'!D11*$C934*'Business Case'!D12*$B934)-'Business Case'!D11*$C934*'Business Case'!D13*$D934-'Business Case'!D14*$E934)-MAX(0,(('Business Case'!D11*$C934*'Business Case'!D12*$B934)-'Business Case'!D11*$C934*'Business Case'!D13*$D934-'Business Case'!D14*$E934))*'Business Case'!$B$7-'Business Case'!$B$8*(('Business Case'!D11*$C934*'Business Case'!D12*$B934)-('Business Case'!C11*$C934*'Business Case'!C12*$B934))-'Business Case'!D15*$F934</f>
        <v>330876320.312608</v>
      </c>
      <c r="K934" s="39" t="n">
        <f aca="false">(('Business Case'!E11*$C934*'Business Case'!E12*$B934)-'Business Case'!E11*$C934*'Business Case'!E13*$D934-'Business Case'!E14*$E934)-MAX(0,(('Business Case'!E11*$C934*'Business Case'!E12*$B934)-'Business Case'!E11*$C934*'Business Case'!E13*$D934-'Business Case'!E14*$E934))*'Business Case'!$B$7-'Business Case'!$B$8*(('Business Case'!E11*$C934*'Business Case'!E12*$B934)-('Business Case'!D11*$C934*'Business Case'!D12*$B934))-'Business Case'!E15*$F934</f>
        <v>704987795.042861</v>
      </c>
      <c r="L934" s="39" t="n">
        <f aca="false">(('Business Case'!F11*$C934*'Business Case'!F12*$B934)-'Business Case'!F11*$C934*'Business Case'!F13*$D934-'Business Case'!F14*$E934)-MAX(0,(('Business Case'!F11*$C934*'Business Case'!F12*$B934)-'Business Case'!F11*$C934*'Business Case'!F13*$D934-'Business Case'!F14*$E934))*'Business Case'!$B$7-'Business Case'!$B$8*(('Business Case'!F11*$C934*'Business Case'!F12*$B934)-('Business Case'!E11*$C934*'Business Case'!E12*$B934))-'Business Case'!F15*$F934</f>
        <v>848105180.777654</v>
      </c>
      <c r="M934" s="39" t="n">
        <f aca="false">(('Business Case'!G11*$C934*'Business Case'!G12*$B934)-'Business Case'!G11*$C934*'Business Case'!G13*$D934-'Business Case'!G14*$E934)-MAX(0,(('Business Case'!G11*$C934*'Business Case'!G12*$B934)-'Business Case'!G11*$C934*'Business Case'!G13*$D934-'Business Case'!G14*$E934))*'Business Case'!$B$7-'Business Case'!$B$8*(('Business Case'!G11*$C934*'Business Case'!G12*$B934)-('Business Case'!F11*$C934*'Business Case'!F12*$B934))-'Business Case'!G15*$F934+'Business Case'!$B$8*('Business Case'!G11*$C934*'Business Case'!G12*$B934)</f>
        <v>1049406091.71901</v>
      </c>
      <c r="N934" s="39" t="n">
        <f aca="false">IF(COUNT('Business Case'!B11:G11)=0,"",H934+NPV(G934,I934:M934))</f>
        <v>-147225129.675776</v>
      </c>
      <c r="P934" s="40" t="n">
        <f aca="true">RAND()</f>
        <v>0.479513032113461</v>
      </c>
      <c r="Q934" s="40" t="n">
        <f aca="true">RAND()</f>
        <v>0.884293851455466</v>
      </c>
      <c r="R934" s="40" t="n">
        <f aca="true">RAND()</f>
        <v>0.358799275982422</v>
      </c>
      <c r="S934" s="40" t="n">
        <f aca="true">RAND()</f>
        <v>0.508248710283601</v>
      </c>
      <c r="T934" s="40" t="n">
        <f aca="true">RAND()</f>
        <v>0.763235045359694</v>
      </c>
      <c r="U934" s="40" t="n">
        <f aca="true">RAND()</f>
        <v>0.41731716094069</v>
      </c>
    </row>
    <row r="935" customFormat="false" ht="15" hidden="false" customHeight="false" outlineLevel="0" collapsed="false">
      <c r="A935" s="36" t="n">
        <v>855</v>
      </c>
      <c r="B935" s="37" t="n">
        <f aca="false">1+IF($G$6=$E$6,$F$6,IF(P935&lt;($F$6-$E$6)/($G$6-$E$6),$E$6+SQRT(P935*($G$6-$E$6)*($F$6-$E$6)),$G$6-SQRT((1-P935)*($G$6-$E$6)*($G$6-$F$6))))</f>
        <v>1.01307839355982</v>
      </c>
      <c r="C935" s="37" t="n">
        <f aca="false">1+IF($G$7=$E$7,$F$7,IF(Q935&lt;($F$7-$E$7)/($G$7-$E$7),$E$7+SQRT(Q935*($G$7-$E$7)*($F$7-$E$7)),$G$7-SQRT((1-Q935)*($G$7-$E$7)*($G$7-$F$7))))</f>
        <v>0.895789876044504</v>
      </c>
      <c r="D935" s="37" t="n">
        <f aca="false">1+IF($G$8=$E$8,$F$8,IF(R935&lt;($F$8-$E$8)/($G$8-$E$8),$E$8+SQRT(R935*($G$8-$E$8)*($F$8-$E$8)),$G$8-SQRT((1-R935)*($G$8-$E$8)*($G$8-$F$8))))</f>
        <v>0.996229828592534</v>
      </c>
      <c r="E935" s="37" t="n">
        <f aca="false">1+IF($G$9=$E$9,$F$9,IF(S935&lt;($F$9-$E$9)/($G$9-$E$9),$E$9+SQRT(S935*($G$9-$E$9)*($F$9-$E$9)),$G$9-SQRT((1-S935)*($G$9-$E$9)*($G$9-$F$9))))</f>
        <v>1.05103084887189</v>
      </c>
      <c r="F935" s="37" t="n">
        <f aca="false">1+IF($G$10=$E$10,$F$10,IF(T935&lt;($F$10-$E$10)/($G$10-$E$10),$E$10+SQRT(T935*($G$10-$E$10)*($F$10-$E$10)),$G$10-SQRT((1-T935)*($G$10-$E$10)*($G$10-$F$10))))</f>
        <v>1.16710213545485</v>
      </c>
      <c r="G935" s="38" t="n">
        <f aca="false">IF($G$11=$E$11,$F$11,IF(U935&lt;($F$11-$E$11)/($G$11-$E$11),$E$11+SQRT(U935*($G$11-$E$11)*($F$11-$E$11)),$G$11-SQRT((1-U935)*($G$11-$E$11)*($G$11-$F$11))))</f>
        <v>0.099003015367932</v>
      </c>
      <c r="H935" s="39" t="n">
        <f aca="false">(('Business Case'!B11*$C935*'Business Case'!B12*$B935)-'Business Case'!B11*$C935*'Business Case'!B13*$D935-'Business Case'!B14*$E935)-MAX(0,(('Business Case'!B11*$C935*'Business Case'!B12*$B935)-'Business Case'!B11*$C935*'Business Case'!B13*$D935-'Business Case'!B14*$E935))*'Business Case'!$B$7-'Business Case'!$B$8*('Business Case'!B11*$C935*'Business Case'!B12*$B935)-'Business Case'!B15*$F935</f>
        <v>-2334204270.90971</v>
      </c>
      <c r="I935" s="39" t="n">
        <f aca="false">(('Business Case'!C11*$C935*'Business Case'!C12*$B935)-'Business Case'!C11*$C935*'Business Case'!C13*$D935-'Business Case'!C14*$E935)-MAX(0,(('Business Case'!C11*$C935*'Business Case'!C12*$B935)-'Business Case'!C11*$C935*'Business Case'!C13*$D935-'Business Case'!C14*$E935))*'Business Case'!$B$7-'Business Case'!$B$8*(('Business Case'!C11*$C935*'Business Case'!C12*$B935)-('Business Case'!B11*$C935*'Business Case'!B12*$B935))-'Business Case'!C15*$F935</f>
        <v>-26743496.7625825</v>
      </c>
      <c r="J935" s="39" t="n">
        <f aca="false">(('Business Case'!D11*$C935*'Business Case'!D12*$B935)-'Business Case'!D11*$C935*'Business Case'!D13*$D935-'Business Case'!D14*$E935)-MAX(0,(('Business Case'!D11*$C935*'Business Case'!D12*$B935)-'Business Case'!D11*$C935*'Business Case'!D13*$D935-'Business Case'!D14*$E935))*'Business Case'!$B$7-'Business Case'!$B$8*(('Business Case'!D11*$C935*'Business Case'!D12*$B935)-('Business Case'!C11*$C935*'Business Case'!C12*$B935))-'Business Case'!D15*$F935</f>
        <v>259724885.037625</v>
      </c>
      <c r="K935" s="39" t="n">
        <f aca="false">(('Business Case'!E11*$C935*'Business Case'!E12*$B935)-'Business Case'!E11*$C935*'Business Case'!E13*$D935-'Business Case'!E14*$E935)-MAX(0,(('Business Case'!E11*$C935*'Business Case'!E12*$B935)-'Business Case'!E11*$C935*'Business Case'!E13*$D935-'Business Case'!E14*$E935))*'Business Case'!$B$7-'Business Case'!$B$8*(('Business Case'!E11*$C935*'Business Case'!E12*$B935)-('Business Case'!D11*$C935*'Business Case'!D12*$B935))-'Business Case'!E15*$F935</f>
        <v>604548373.610575</v>
      </c>
      <c r="L935" s="39" t="n">
        <f aca="false">(('Business Case'!F11*$C935*'Business Case'!F12*$B935)-'Business Case'!F11*$C935*'Business Case'!F13*$D935-'Business Case'!F14*$E935)-MAX(0,(('Business Case'!F11*$C935*'Business Case'!F12*$B935)-'Business Case'!F11*$C935*'Business Case'!F13*$D935-'Business Case'!F14*$E935))*'Business Case'!$B$7-'Business Case'!$B$8*(('Business Case'!F11*$C935*'Business Case'!F12*$B935)-('Business Case'!E11*$C935*'Business Case'!E12*$B935))-'Business Case'!F15*$F935</f>
        <v>731401219.749126</v>
      </c>
      <c r="M935" s="39" t="n">
        <f aca="false">(('Business Case'!G11*$C935*'Business Case'!G12*$B935)-'Business Case'!G11*$C935*'Business Case'!G13*$D935-'Business Case'!G14*$E935)-MAX(0,(('Business Case'!G11*$C935*'Business Case'!G12*$B935)-'Business Case'!G11*$C935*'Business Case'!G13*$D935-'Business Case'!G14*$E935))*'Business Case'!$B$7-'Business Case'!$B$8*(('Business Case'!G11*$C935*'Business Case'!G12*$B935)-('Business Case'!F11*$C935*'Business Case'!F12*$B935))-'Business Case'!G15*$F935+'Business Case'!$B$8*('Business Case'!G11*$C935*'Business Case'!G12*$B935)</f>
        <v>903899840.210773</v>
      </c>
      <c r="N935" s="39" t="n">
        <f aca="false">IF(COUNT('Business Case'!B11:G11)=0,"",H935+NPV(G935,I935:M935))</f>
        <v>-622883775.575472</v>
      </c>
      <c r="P935" s="40" t="n">
        <f aca="true">RAND()</f>
        <v>0.849005647224998</v>
      </c>
      <c r="Q935" s="40" t="n">
        <f aca="true">RAND()</f>
        <v>0.131081433608877</v>
      </c>
      <c r="R935" s="40" t="n">
        <f aca="true">RAND()</f>
        <v>0.328799546414623</v>
      </c>
      <c r="S935" s="40" t="n">
        <f aca="true">RAND()</f>
        <v>0.840134815852808</v>
      </c>
      <c r="T935" s="40" t="n">
        <f aca="true">RAND()</f>
        <v>0.978354610167384</v>
      </c>
      <c r="U935" s="40" t="n">
        <f aca="true">RAND()</f>
        <v>0.270180952384065</v>
      </c>
    </row>
    <row r="936" customFormat="false" ht="15" hidden="false" customHeight="false" outlineLevel="0" collapsed="false">
      <c r="A936" s="36" t="n">
        <v>856</v>
      </c>
      <c r="B936" s="37" t="n">
        <f aca="false">1+IF($G$6=$E$6,$F$6,IF(P936&lt;($F$6-$E$6)/($G$6-$E$6),$E$6+SQRT(P936*($G$6-$E$6)*($F$6-$E$6)),$G$6-SQRT((1-P936)*($G$6-$E$6)*($G$6-$F$6))))</f>
        <v>0.985028010286302</v>
      </c>
      <c r="C936" s="37" t="n">
        <f aca="false">1+IF($G$7=$E$7,$F$7,IF(Q936&lt;($F$7-$E$7)/($G$7-$E$7),$E$7+SQRT(Q936*($G$7-$E$7)*($F$7-$E$7)),$G$7-SQRT((1-Q936)*($G$7-$E$7)*($G$7-$F$7))))</f>
        <v>0.889000807075123</v>
      </c>
      <c r="D936" s="37" t="n">
        <f aca="false">1+IF($G$8=$E$8,$F$8,IF(R936&lt;($F$8-$E$8)/($G$8-$E$8),$E$8+SQRT(R936*($G$8-$E$8)*($F$8-$E$8)),$G$8-SQRT((1-R936)*($G$8-$E$8)*($G$8-$F$8))))</f>
        <v>1.02445277247294</v>
      </c>
      <c r="E936" s="37" t="n">
        <f aca="false">1+IF($G$9=$E$9,$F$9,IF(S936&lt;($F$9-$E$9)/($G$9-$E$9),$E$9+SQRT(S936*($G$9-$E$9)*($F$9-$E$9)),$G$9-SQRT((1-S936)*($G$9-$E$9)*($G$9-$F$9))))</f>
        <v>1.03670621282317</v>
      </c>
      <c r="F936" s="37" t="n">
        <f aca="false">1+IF($G$10=$E$10,$F$10,IF(T936&lt;($F$10-$E$10)/($G$10-$E$10),$E$10+SQRT(T936*($G$10-$E$10)*($F$10-$E$10)),$G$10-SQRT((1-T936)*($G$10-$E$10)*($G$10-$F$10))))</f>
        <v>1.02235795272057</v>
      </c>
      <c r="G936" s="38" t="n">
        <f aca="false">IF($G$11=$E$11,$F$11,IF(U936&lt;($F$11-$E$11)/($G$11-$E$11),$E$11+SQRT(U936*($G$11-$E$11)*($F$11-$E$11)),$G$11-SQRT((1-U936)*($G$11-$E$11)*($G$11-$F$11))))</f>
        <v>0.111891685245451</v>
      </c>
      <c r="H936" s="39" t="n">
        <f aca="false">(('Business Case'!B11*$C936*'Business Case'!B12*$B936)-'Business Case'!B11*$C936*'Business Case'!B13*$D936-'Business Case'!B14*$E936)-MAX(0,(('Business Case'!B11*$C936*'Business Case'!B12*$B936)-'Business Case'!B11*$C936*'Business Case'!B13*$D936-'Business Case'!B14*$E936))*'Business Case'!$B$7-'Business Case'!$B$8*('Business Case'!B11*$C936*'Business Case'!B12*$B936)-'Business Case'!B15*$F936</f>
        <v>-2044715905.44115</v>
      </c>
      <c r="I936" s="39" t="n">
        <f aca="false">(('Business Case'!C11*$C936*'Business Case'!C12*$B936)-'Business Case'!C11*$C936*'Business Case'!C13*$D936-'Business Case'!C14*$E936)-MAX(0,(('Business Case'!C11*$C936*'Business Case'!C12*$B936)-'Business Case'!C11*$C936*'Business Case'!C13*$D936-'Business Case'!C14*$E936))*'Business Case'!$B$7-'Business Case'!$B$8*(('Business Case'!C11*$C936*'Business Case'!C12*$B936)-('Business Case'!B11*$C936*'Business Case'!B12*$B936))-'Business Case'!C15*$F936</f>
        <v>-44023178.2781386</v>
      </c>
      <c r="J936" s="39" t="n">
        <f aca="false">(('Business Case'!D11*$C936*'Business Case'!D12*$B936)-'Business Case'!D11*$C936*'Business Case'!D13*$D936-'Business Case'!D14*$E936)-MAX(0,(('Business Case'!D11*$C936*'Business Case'!D12*$B936)-'Business Case'!D11*$C936*'Business Case'!D13*$D936-'Business Case'!D14*$E936))*'Business Case'!$B$7-'Business Case'!$B$8*(('Business Case'!D11*$C936*'Business Case'!D12*$B936)-('Business Case'!C11*$C936*'Business Case'!C12*$B936))-'Business Case'!D15*$F936</f>
        <v>207004867.866932</v>
      </c>
      <c r="K936" s="39" t="n">
        <f aca="false">(('Business Case'!E11*$C936*'Business Case'!E12*$B936)-'Business Case'!E11*$C936*'Business Case'!E13*$D936-'Business Case'!E14*$E936)-MAX(0,(('Business Case'!E11*$C936*'Business Case'!E12*$B936)-'Business Case'!E11*$C936*'Business Case'!E13*$D936-'Business Case'!E14*$E936))*'Business Case'!$B$7-'Business Case'!$B$8*(('Business Case'!E11*$C936*'Business Case'!E12*$B936)-('Business Case'!D11*$C936*'Business Case'!D12*$B936))-'Business Case'!E15*$F936</f>
        <v>509150811.648032</v>
      </c>
      <c r="L936" s="39" t="n">
        <f aca="false">(('Business Case'!F11*$C936*'Business Case'!F12*$B936)-'Business Case'!F11*$C936*'Business Case'!F13*$D936-'Business Case'!F14*$E936)-MAX(0,(('Business Case'!F11*$C936*'Business Case'!F12*$B936)-'Business Case'!F11*$C936*'Business Case'!F13*$D936-'Business Case'!F14*$E936))*'Business Case'!$B$7-'Business Case'!$B$8*(('Business Case'!F11*$C936*'Business Case'!F12*$B936)-('Business Case'!E11*$C936*'Business Case'!E12*$B936))-'Business Case'!F15*$F936</f>
        <v>623090697.488187</v>
      </c>
      <c r="M936" s="39" t="n">
        <f aca="false">(('Business Case'!G11*$C936*'Business Case'!G12*$B936)-'Business Case'!G11*$C936*'Business Case'!G13*$D936-'Business Case'!G14*$E936)-MAX(0,(('Business Case'!G11*$C936*'Business Case'!G12*$B936)-'Business Case'!G11*$C936*'Business Case'!G13*$D936-'Business Case'!G14*$E936))*'Business Case'!$B$7-'Business Case'!$B$8*(('Business Case'!G11*$C936*'Business Case'!G12*$B936)-('Business Case'!F11*$C936*'Business Case'!F12*$B936))-'Business Case'!G15*$F936+'Business Case'!$B$8*('Business Case'!G11*$C936*'Business Case'!G12*$B936)</f>
        <v>789541985.009741</v>
      </c>
      <c r="N936" s="39" t="n">
        <f aca="false">IF(COUNT('Business Case'!B11:G11)=0,"",H936+NPV(G936,I936:M936))</f>
        <v>-674235063.489743</v>
      </c>
      <c r="P936" s="40" t="n">
        <f aca="true">RAND()</f>
        <v>0.440483554353685</v>
      </c>
      <c r="Q936" s="40" t="n">
        <f aca="true">RAND()</f>
        <v>0.11315919514319</v>
      </c>
      <c r="R936" s="40" t="n">
        <f aca="true">RAND()</f>
        <v>0.703317837890081</v>
      </c>
      <c r="S936" s="40" t="n">
        <f aca="true">RAND()</f>
        <v>0.732926433654306</v>
      </c>
      <c r="T936" s="40" t="n">
        <f aca="true">RAND()</f>
        <v>0.368866060767488</v>
      </c>
      <c r="U936" s="40" t="n">
        <f aca="true">RAND()</f>
        <v>0.890425386401939</v>
      </c>
    </row>
    <row r="937" customFormat="false" ht="15" hidden="false" customHeight="false" outlineLevel="0" collapsed="false">
      <c r="A937" s="36" t="n">
        <v>857</v>
      </c>
      <c r="B937" s="37" t="n">
        <f aca="false">1+IF($G$6=$E$6,$F$6,IF(P937&lt;($F$6-$E$6)/($G$6-$E$6),$E$6+SQRT(P937*($G$6-$E$6)*($F$6-$E$6)),$G$6-SQRT((1-P937)*($G$6-$E$6)*($G$6-$F$6))))</f>
        <v>1.02562304494353</v>
      </c>
      <c r="C937" s="37" t="n">
        <f aca="false">1+IF($G$7=$E$7,$F$7,IF(Q937&lt;($F$7-$E$7)/($G$7-$E$7),$E$7+SQRT(Q937*($G$7-$E$7)*($F$7-$E$7)),$G$7-SQRT((1-Q937)*($G$7-$E$7)*($G$7-$F$7))))</f>
        <v>0.836338658540805</v>
      </c>
      <c r="D937" s="37" t="n">
        <f aca="false">1+IF($G$8=$E$8,$F$8,IF(R937&lt;($F$8-$E$8)/($G$8-$E$8),$E$8+SQRT(R937*($G$8-$E$8)*($F$8-$E$8)),$G$8-SQRT((1-R937)*($G$8-$E$8)*($G$8-$F$8))))</f>
        <v>1.02804080097155</v>
      </c>
      <c r="E937" s="37" t="n">
        <f aca="false">1+IF($G$9=$E$9,$F$9,IF(S937&lt;($F$9-$E$9)/($G$9-$E$9),$E$9+SQRT(S937*($G$9-$E$9)*($F$9-$E$9)),$G$9-SQRT((1-S937)*($G$9-$E$9)*($G$9-$F$9))))</f>
        <v>1.07606753534346</v>
      </c>
      <c r="F937" s="37" t="n">
        <f aca="false">1+IF($G$10=$E$10,$F$10,IF(T937&lt;($F$10-$E$10)/($G$10-$E$10),$E$10+SQRT(T937*($G$10-$E$10)*($F$10-$E$10)),$G$10-SQRT((1-T937)*($G$10-$E$10)*($G$10-$F$10))))</f>
        <v>1.00456695192941</v>
      </c>
      <c r="G937" s="38" t="n">
        <f aca="false">IF($G$11=$E$11,$F$11,IF(U937&lt;($F$11-$E$11)/($G$11-$E$11),$E$11+SQRT(U937*($G$11-$E$11)*($F$11-$E$11)),$G$11-SQRT((1-U937)*($G$11-$E$11)*($G$11-$F$11))))</f>
        <v>0.106214915205885</v>
      </c>
      <c r="H937" s="39" t="n">
        <f aca="false">(('Business Case'!B11*$C937*'Business Case'!B12*$B937)-'Business Case'!B11*$C937*'Business Case'!B13*$D937-'Business Case'!B14*$E937)-MAX(0,(('Business Case'!B11*$C937*'Business Case'!B12*$B937)-'Business Case'!B11*$C937*'Business Case'!B13*$D937-'Business Case'!B14*$E937))*'Business Case'!$B$7-'Business Case'!$B$8*('Business Case'!B11*$C937*'Business Case'!B12*$B937)-'Business Case'!B15*$F937</f>
        <v>-2009133903.85883</v>
      </c>
      <c r="I937" s="39" t="n">
        <f aca="false">(('Business Case'!C11*$C937*'Business Case'!C12*$B937)-'Business Case'!C11*$C937*'Business Case'!C13*$D937-'Business Case'!C14*$E937)-MAX(0,(('Business Case'!C11*$C937*'Business Case'!C12*$B937)-'Business Case'!C11*$C937*'Business Case'!C13*$D937-'Business Case'!C14*$E937))*'Business Case'!$B$7-'Business Case'!$B$8*(('Business Case'!C11*$C937*'Business Case'!C12*$B937)-('Business Case'!B11*$C937*'Business Case'!B12*$B937))-'Business Case'!C15*$F937</f>
        <v>-35510118.0434005</v>
      </c>
      <c r="J937" s="39" t="n">
        <f aca="false">(('Business Case'!D11*$C937*'Business Case'!D12*$B937)-'Business Case'!D11*$C937*'Business Case'!D13*$D937-'Business Case'!D14*$E937)-MAX(0,(('Business Case'!D11*$C937*'Business Case'!D12*$B937)-'Business Case'!D11*$C937*'Business Case'!D13*$D937-'Business Case'!D14*$E937))*'Business Case'!$B$7-'Business Case'!$B$8*(('Business Case'!D11*$C937*'Business Case'!D12*$B937)-('Business Case'!C11*$C937*'Business Case'!C12*$B937))-'Business Case'!D15*$F937</f>
        <v>226919966.201711</v>
      </c>
      <c r="K937" s="39" t="n">
        <f aca="false">(('Business Case'!E11*$C937*'Business Case'!E12*$B937)-'Business Case'!E11*$C937*'Business Case'!E13*$D937-'Business Case'!E14*$E937)-MAX(0,(('Business Case'!E11*$C937*'Business Case'!E12*$B937)-'Business Case'!E11*$C937*'Business Case'!E13*$D937-'Business Case'!E14*$E937))*'Business Case'!$B$7-'Business Case'!$B$8*(('Business Case'!E11*$C937*'Business Case'!E12*$B937)-('Business Case'!D11*$C937*'Business Case'!D12*$B937))-'Business Case'!E15*$F937</f>
        <v>539578398.043293</v>
      </c>
      <c r="L937" s="39" t="n">
        <f aca="false">(('Business Case'!F11*$C937*'Business Case'!F12*$B937)-'Business Case'!F11*$C937*'Business Case'!F13*$D937-'Business Case'!F14*$E937)-MAX(0,(('Business Case'!F11*$C937*'Business Case'!F12*$B937)-'Business Case'!F11*$C937*'Business Case'!F13*$D937-'Business Case'!F14*$E937))*'Business Case'!$B$7-'Business Case'!$B$8*(('Business Case'!F11*$C937*'Business Case'!F12*$B937)-('Business Case'!E11*$C937*'Business Case'!E12*$B937))-'Business Case'!F15*$F937</f>
        <v>656699561.838152</v>
      </c>
      <c r="M937" s="39" t="n">
        <f aca="false">(('Business Case'!G11*$C937*'Business Case'!G12*$B937)-'Business Case'!G11*$C937*'Business Case'!G13*$D937-'Business Case'!G14*$E937)-MAX(0,(('Business Case'!G11*$C937*'Business Case'!G12*$B937)-'Business Case'!G11*$C937*'Business Case'!G13*$D937-'Business Case'!G14*$E937))*'Business Case'!$B$7-'Business Case'!$B$8*(('Business Case'!G11*$C937*'Business Case'!G12*$B937)-('Business Case'!F11*$C937*'Business Case'!F12*$B937))-'Business Case'!G15*$F937+'Business Case'!$B$8*('Business Case'!G11*$C937*'Business Case'!G12*$B937)</f>
        <v>819744141.593833</v>
      </c>
      <c r="N937" s="39" t="n">
        <f aca="false">IF(COUNT('Business Case'!B11:G11)=0,"",H937+NPV(G937,I937:M937))</f>
        <v>-523802110.875714</v>
      </c>
      <c r="P937" s="40" t="n">
        <f aca="true">RAND()</f>
        <v>0.956938159021712</v>
      </c>
      <c r="Q937" s="40" t="n">
        <f aca="true">RAND()</f>
        <v>0.0188642586363604</v>
      </c>
      <c r="R937" s="40" t="n">
        <f aca="true">RAND()</f>
        <v>0.740407849646297</v>
      </c>
      <c r="S937" s="40" t="n">
        <f aca="true">RAND()</f>
        <v>0.961815809030886</v>
      </c>
      <c r="T937" s="40" t="n">
        <f aca="true">RAND()</f>
        <v>0.236118474436792</v>
      </c>
      <c r="U937" s="40" t="n">
        <f aca="true">RAND()</f>
        <v>0.683285728698419</v>
      </c>
    </row>
    <row r="938" customFormat="false" ht="15" hidden="false" customHeight="false" outlineLevel="0" collapsed="false">
      <c r="A938" s="36" t="n">
        <v>858</v>
      </c>
      <c r="B938" s="37" t="n">
        <f aca="false">1+IF($G$6=$E$6,$F$6,IF(P938&lt;($F$6-$E$6)/($G$6-$E$6),$E$6+SQRT(P938*($G$6-$E$6)*($F$6-$E$6)),$G$6-SQRT((1-P938)*($G$6-$E$6)*($G$6-$F$6))))</f>
        <v>0.999478676096708</v>
      </c>
      <c r="C938" s="37" t="n">
        <f aca="false">1+IF($G$7=$E$7,$F$7,IF(Q938&lt;($F$7-$E$7)/($G$7-$E$7),$E$7+SQRT(Q938*($G$7-$E$7)*($F$7-$E$7)),$G$7-SQRT((1-Q938)*($G$7-$E$7)*($G$7-$F$7))))</f>
        <v>0.9272375629838</v>
      </c>
      <c r="D938" s="37" t="n">
        <f aca="false">1+IF($G$8=$E$8,$F$8,IF(R938&lt;($F$8-$E$8)/($G$8-$E$8),$E$8+SQRT(R938*($G$8-$E$8)*($F$8-$E$8)),$G$8-SQRT((1-R938)*($G$8-$E$8)*($G$8-$F$8))))</f>
        <v>1.04139070635847</v>
      </c>
      <c r="E938" s="37" t="n">
        <f aca="false">1+IF($G$9=$E$9,$F$9,IF(S938&lt;($F$9-$E$9)/($G$9-$E$9),$E$9+SQRT(S938*($G$9-$E$9)*($F$9-$E$9)),$G$9-SQRT((1-S938)*($G$9-$E$9)*($G$9-$F$9))))</f>
        <v>1.03467375980452</v>
      </c>
      <c r="F938" s="37" t="n">
        <f aca="false">1+IF($G$10=$E$10,$F$10,IF(T938&lt;($F$10-$E$10)/($G$10-$E$10),$E$10+SQRT(T938*($G$10-$E$10)*($F$10-$E$10)),$G$10-SQRT((1-T938)*($G$10-$E$10)*($G$10-$F$10))))</f>
        <v>1.01354759279153</v>
      </c>
      <c r="G938" s="38" t="n">
        <f aca="false">IF($G$11=$E$11,$F$11,IF(U938&lt;($F$11-$E$11)/($G$11-$E$11),$E$11+SQRT(U938*($G$11-$E$11)*($F$11-$E$11)),$G$11-SQRT((1-U938)*($G$11-$E$11)*($G$11-$F$11))))</f>
        <v>0.114762788949184</v>
      </c>
      <c r="H938" s="39" t="n">
        <f aca="false">(('Business Case'!B11*$C938*'Business Case'!B12*$B938)-'Business Case'!B11*$C938*'Business Case'!B13*$D938-'Business Case'!B14*$E938)-MAX(0,(('Business Case'!B11*$C938*'Business Case'!B12*$B938)-'Business Case'!B11*$C938*'Business Case'!B13*$D938-'Business Case'!B14*$E938))*'Business Case'!$B$7-'Business Case'!$B$8*('Business Case'!B11*$C938*'Business Case'!B12*$B938)-'Business Case'!B15*$F938</f>
        <v>-2027095185.58305</v>
      </c>
      <c r="I938" s="39" t="n">
        <f aca="false">(('Business Case'!C11*$C938*'Business Case'!C12*$B938)-'Business Case'!C11*$C938*'Business Case'!C13*$D938-'Business Case'!C14*$E938)-MAX(0,(('Business Case'!C11*$C938*'Business Case'!C12*$B938)-'Business Case'!C11*$C938*'Business Case'!C13*$D938-'Business Case'!C14*$E938))*'Business Case'!$B$7-'Business Case'!$B$8*(('Business Case'!C11*$C938*'Business Case'!C12*$B938)-('Business Case'!B11*$C938*'Business Case'!B12*$B938))-'Business Case'!C15*$F938</f>
        <v>-31768351.1054923</v>
      </c>
      <c r="J938" s="39" t="n">
        <f aca="false">(('Business Case'!D11*$C938*'Business Case'!D12*$B938)-'Business Case'!D11*$C938*'Business Case'!D13*$D938-'Business Case'!D14*$E938)-MAX(0,(('Business Case'!D11*$C938*'Business Case'!D12*$B938)-'Business Case'!D11*$C938*'Business Case'!D13*$D938-'Business Case'!D14*$E938))*'Business Case'!$B$7-'Business Case'!$B$8*(('Business Case'!D11*$C938*'Business Case'!D12*$B938)-('Business Case'!C11*$C938*'Business Case'!C12*$B938))-'Business Case'!D15*$F938</f>
        <v>232991601.982536</v>
      </c>
      <c r="K938" s="39" t="n">
        <f aca="false">(('Business Case'!E11*$C938*'Business Case'!E12*$B938)-'Business Case'!E11*$C938*'Business Case'!E13*$D938-'Business Case'!E14*$E938)-MAX(0,(('Business Case'!E11*$C938*'Business Case'!E12*$B938)-'Business Case'!E11*$C938*'Business Case'!E13*$D938-'Business Case'!E14*$E938))*'Business Case'!$B$7-'Business Case'!$B$8*(('Business Case'!E11*$C938*'Business Case'!E12*$B938)-('Business Case'!D11*$C938*'Business Case'!D12*$B938))-'Business Case'!E15*$F938</f>
        <v>548428934.710141</v>
      </c>
      <c r="L938" s="39" t="n">
        <f aca="false">(('Business Case'!F11*$C938*'Business Case'!F12*$B938)-'Business Case'!F11*$C938*'Business Case'!F13*$D938-'Business Case'!F14*$E938)-MAX(0,(('Business Case'!F11*$C938*'Business Case'!F12*$B938)-'Business Case'!F11*$C938*'Business Case'!F13*$D938-'Business Case'!F14*$E938))*'Business Case'!$B$7-'Business Case'!$B$8*(('Business Case'!F11*$C938*'Business Case'!F12*$B938)-('Business Case'!E11*$C938*'Business Case'!E12*$B938))-'Business Case'!F15*$F938</f>
        <v>668710876.586261</v>
      </c>
      <c r="M938" s="39" t="n">
        <f aca="false">(('Business Case'!G11*$C938*'Business Case'!G12*$B938)-'Business Case'!G11*$C938*'Business Case'!G13*$D938-'Business Case'!G14*$E938)-MAX(0,(('Business Case'!G11*$C938*'Business Case'!G12*$B938)-'Business Case'!G11*$C938*'Business Case'!G13*$D938-'Business Case'!G14*$E938))*'Business Case'!$B$7-'Business Case'!$B$8*(('Business Case'!G11*$C938*'Business Case'!G12*$B938)-('Business Case'!F11*$C938*'Business Case'!F12*$B938))-'Business Case'!G15*$F938+'Business Case'!$B$8*('Business Case'!G11*$C938*'Business Case'!G12*$B938)</f>
        <v>844868309.576866</v>
      </c>
      <c r="N938" s="39" t="n">
        <f aca="false">IF(COUNT('Business Case'!B11:G11)=0,"",H938+NPV(G938,I938:M938))</f>
        <v>-548426559.94243</v>
      </c>
      <c r="P938" s="40" t="n">
        <f aca="true">RAND()</f>
        <v>0.658006245217227</v>
      </c>
      <c r="Q938" s="40" t="n">
        <f aca="true">RAND()</f>
        <v>0.231277106200808</v>
      </c>
      <c r="R938" s="40" t="n">
        <f aca="true">RAND()</f>
        <v>0.856665619663647</v>
      </c>
      <c r="S938" s="40" t="n">
        <f aca="true">RAND()</f>
        <v>0.715498822794846</v>
      </c>
      <c r="T938" s="40" t="n">
        <f aca="true">RAND()</f>
        <v>0.3047099969233</v>
      </c>
      <c r="U938" s="40" t="n">
        <f aca="true">RAND()</f>
        <v>0.954286034015359</v>
      </c>
    </row>
    <row r="939" customFormat="false" ht="15" hidden="false" customHeight="false" outlineLevel="0" collapsed="false">
      <c r="A939" s="36" t="n">
        <v>859</v>
      </c>
      <c r="B939" s="37" t="n">
        <f aca="false">1+IF($G$6=$E$6,$F$6,IF(P939&lt;($F$6-$E$6)/($G$6-$E$6),$E$6+SQRT(P939*($G$6-$E$6)*($F$6-$E$6)),$G$6-SQRT((1-P939)*($G$6-$E$6)*($G$6-$F$6))))</f>
        <v>1.00367575857796</v>
      </c>
      <c r="C939" s="37" t="n">
        <f aca="false">1+IF($G$7=$E$7,$F$7,IF(Q939&lt;($F$7-$E$7)/($G$7-$E$7),$E$7+SQRT(Q939*($G$7-$E$7)*($F$7-$E$7)),$G$7-SQRT((1-Q939)*($G$7-$E$7)*($G$7-$F$7))))</f>
        <v>1.01377060700325</v>
      </c>
      <c r="D939" s="37" t="n">
        <f aca="false">1+IF($G$8=$E$8,$F$8,IF(R939&lt;($F$8-$E$8)/($G$8-$E$8),$E$8+SQRT(R939*($G$8-$E$8)*($F$8-$E$8)),$G$8-SQRT((1-R939)*($G$8-$E$8)*($G$8-$F$8))))</f>
        <v>1.00573469768956</v>
      </c>
      <c r="E939" s="37" t="n">
        <f aca="false">1+IF($G$9=$E$9,$F$9,IF(S939&lt;($F$9-$E$9)/($G$9-$E$9),$E$9+SQRT(S939*($G$9-$E$9)*($F$9-$E$9)),$G$9-SQRT((1-S939)*($G$9-$E$9)*($G$9-$F$9))))</f>
        <v>1.0238147248722</v>
      </c>
      <c r="F939" s="37" t="n">
        <f aca="false">1+IF($G$10=$E$10,$F$10,IF(T939&lt;($F$10-$E$10)/($G$10-$E$10),$E$10+SQRT(T939*($G$10-$E$10)*($F$10-$E$10)),$G$10-SQRT((1-T939)*($G$10-$E$10)*($G$10-$F$10))))</f>
        <v>1.07528222022822</v>
      </c>
      <c r="G939" s="38" t="n">
        <f aca="false">IF($G$11=$E$11,$F$11,IF(U939&lt;($F$11-$E$11)/($G$11-$E$11),$E$11+SQRT(U939*($G$11-$E$11)*($F$11-$E$11)),$G$11-SQRT((1-U939)*($G$11-$E$11)*($G$11-$F$11))))</f>
        <v>0.105027917964437</v>
      </c>
      <c r="H939" s="39" t="n">
        <f aca="false">(('Business Case'!B11*$C939*'Business Case'!B12*$B939)-'Business Case'!B11*$C939*'Business Case'!B13*$D939-'Business Case'!B14*$E939)-MAX(0,(('Business Case'!B11*$C939*'Business Case'!B12*$B939)-'Business Case'!B11*$C939*'Business Case'!B13*$D939-'Business Case'!B14*$E939))*'Business Case'!$B$7-'Business Case'!$B$8*('Business Case'!B11*$C939*'Business Case'!B12*$B939)-'Business Case'!B15*$F939</f>
        <v>-2150564440.45645</v>
      </c>
      <c r="I939" s="39" t="n">
        <f aca="false">(('Business Case'!C11*$C939*'Business Case'!C12*$B939)-'Business Case'!C11*$C939*'Business Case'!C13*$D939-'Business Case'!C14*$E939)-MAX(0,(('Business Case'!C11*$C939*'Business Case'!C12*$B939)-'Business Case'!C11*$C939*'Business Case'!C13*$D939-'Business Case'!C14*$E939))*'Business Case'!$B$7-'Business Case'!$B$8*(('Business Case'!C11*$C939*'Business Case'!C12*$B939)-('Business Case'!B11*$C939*'Business Case'!B12*$B939))-'Business Case'!C15*$F939</f>
        <v>5595987.32953747</v>
      </c>
      <c r="J939" s="39" t="n">
        <f aca="false">(('Business Case'!D11*$C939*'Business Case'!D12*$B939)-'Business Case'!D11*$C939*'Business Case'!D13*$D939-'Business Case'!D14*$E939)-MAX(0,(('Business Case'!D11*$C939*'Business Case'!D12*$B939)-'Business Case'!D11*$C939*'Business Case'!D13*$D939-'Business Case'!D14*$E939))*'Business Case'!$B$7-'Business Case'!$B$8*(('Business Case'!D11*$C939*'Business Case'!D12*$B939)-('Business Case'!C11*$C939*'Business Case'!C12*$B939))-'Business Case'!D15*$F939</f>
        <v>317053694.15786</v>
      </c>
      <c r="K939" s="39" t="n">
        <f aca="false">(('Business Case'!E11*$C939*'Business Case'!E12*$B939)-'Business Case'!E11*$C939*'Business Case'!E13*$D939-'Business Case'!E14*$E939)-MAX(0,(('Business Case'!E11*$C939*'Business Case'!E12*$B939)-'Business Case'!E11*$C939*'Business Case'!E13*$D939-'Business Case'!E14*$E939))*'Business Case'!$B$7-'Business Case'!$B$8*(('Business Case'!E11*$C939*'Business Case'!E12*$B939)-('Business Case'!D11*$C939*'Business Case'!D12*$B939))-'Business Case'!E15*$F939</f>
        <v>682275511.997594</v>
      </c>
      <c r="L939" s="39" t="n">
        <f aca="false">(('Business Case'!F11*$C939*'Business Case'!F12*$B939)-'Business Case'!F11*$C939*'Business Case'!F13*$D939-'Business Case'!F14*$E939)-MAX(0,(('Business Case'!F11*$C939*'Business Case'!F12*$B939)-'Business Case'!F11*$C939*'Business Case'!F13*$D939-'Business Case'!F14*$E939))*'Business Case'!$B$7-'Business Case'!$B$8*(('Business Case'!F11*$C939*'Business Case'!F12*$B939)-('Business Case'!E11*$C939*'Business Case'!E12*$B939))-'Business Case'!F15*$F939</f>
        <v>821259443.339792</v>
      </c>
      <c r="M939" s="39" t="n">
        <f aca="false">(('Business Case'!G11*$C939*'Business Case'!G12*$B939)-'Business Case'!G11*$C939*'Business Case'!G13*$D939-'Business Case'!G14*$E939)-MAX(0,(('Business Case'!G11*$C939*'Business Case'!G12*$B939)-'Business Case'!G11*$C939*'Business Case'!G13*$D939-'Business Case'!G14*$E939))*'Business Case'!$B$7-'Business Case'!$B$8*(('Business Case'!G11*$C939*'Business Case'!G12*$B939)-('Business Case'!F11*$C939*'Business Case'!F12*$B939))-'Business Case'!G15*$F939+'Business Case'!$B$8*('Business Case'!G11*$C939*'Business Case'!G12*$B939)</f>
        <v>1014665269.86996</v>
      </c>
      <c r="N939" s="39" t="n">
        <f aca="false">IF(COUNT('Business Case'!B11:G11)=0,"",H939+NPV(G939,I939:M939))</f>
        <v>-213597556.509714</v>
      </c>
      <c r="P939" s="40" t="n">
        <f aca="true">RAND()</f>
        <v>0.725114476065247</v>
      </c>
      <c r="Q939" s="40" t="n">
        <f aca="true">RAND()</f>
        <v>0.646505761594978</v>
      </c>
      <c r="R939" s="40" t="n">
        <f aca="true">RAND()</f>
        <v>0.469679314686492</v>
      </c>
      <c r="S939" s="40" t="n">
        <f aca="true">RAND()</f>
        <v>0.613053590246768</v>
      </c>
      <c r="T939" s="40" t="n">
        <f aca="true">RAND()</f>
        <v>0.688909508175971</v>
      </c>
      <c r="U939" s="40" t="n">
        <f aca="true">RAND()</f>
        <v>0.626394599200639</v>
      </c>
    </row>
    <row r="940" customFormat="false" ht="15" hidden="false" customHeight="false" outlineLevel="0" collapsed="false">
      <c r="A940" s="36" t="n">
        <v>860</v>
      </c>
      <c r="B940" s="37" t="n">
        <f aca="false">1+IF($G$6=$E$6,$F$6,IF(P940&lt;($F$6-$E$6)/($G$6-$E$6),$E$6+SQRT(P940*($G$6-$E$6)*($F$6-$E$6)),$G$6-SQRT((1-P940)*($G$6-$E$6)*($G$6-$F$6))))</f>
        <v>0.950349573663046</v>
      </c>
      <c r="C940" s="37" t="n">
        <f aca="false">1+IF($G$7=$E$7,$F$7,IF(Q940&lt;($F$7-$E$7)/($G$7-$E$7),$E$7+SQRT(Q940*($G$7-$E$7)*($F$7-$E$7)),$G$7-SQRT((1-Q940)*($G$7-$E$7)*($G$7-$F$7))))</f>
        <v>1.05208245880907</v>
      </c>
      <c r="D940" s="37" t="n">
        <f aca="false">1+IF($G$8=$E$8,$F$8,IF(R940&lt;($F$8-$E$8)/($G$8-$E$8),$E$8+SQRT(R940*($G$8-$E$8)*($F$8-$E$8)),$G$8-SQRT((1-R940)*($G$8-$E$8)*($G$8-$F$8))))</f>
        <v>1.00725171655581</v>
      </c>
      <c r="E940" s="37" t="n">
        <f aca="false">1+IF($G$9=$E$9,$F$9,IF(S940&lt;($F$9-$E$9)/($G$9-$E$9),$E$9+SQRT(S940*($G$9-$E$9)*($F$9-$E$9)),$G$9-SQRT((1-S940)*($G$9-$E$9)*($G$9-$F$9))))</f>
        <v>1.0390944048147</v>
      </c>
      <c r="F940" s="37" t="n">
        <f aca="false">1+IF($G$10=$E$10,$F$10,IF(T940&lt;($F$10-$E$10)/($G$10-$E$10),$E$10+SQRT(T940*($G$10-$E$10)*($F$10-$E$10)),$G$10-SQRT((1-T940)*($G$10-$E$10)*($G$10-$F$10))))</f>
        <v>1.03689259094552</v>
      </c>
      <c r="G940" s="38" t="n">
        <f aca="false">IF($G$11=$E$11,$F$11,IF(U940&lt;($F$11-$E$11)/($G$11-$E$11),$E$11+SQRT(U940*($G$11-$E$11)*($F$11-$E$11)),$G$11-SQRT((1-U940)*($G$11-$E$11)*($G$11-$F$11))))</f>
        <v>0.116166458930094</v>
      </c>
      <c r="H940" s="39" t="n">
        <f aca="false">(('Business Case'!B11*$C940*'Business Case'!B12*$B940)-'Business Case'!B11*$C940*'Business Case'!B13*$D940-'Business Case'!B14*$E940)-MAX(0,(('Business Case'!B11*$C940*'Business Case'!B12*$B940)-'Business Case'!B11*$C940*'Business Case'!B13*$D940-'Business Case'!B14*$E940))*'Business Case'!$B$7-'Business Case'!$B$8*('Business Case'!B11*$C940*'Business Case'!B12*$B940)-'Business Case'!B15*$F940</f>
        <v>-2073785181.89104</v>
      </c>
      <c r="I940" s="39" t="n">
        <f aca="false">(('Business Case'!C11*$C940*'Business Case'!C12*$B940)-'Business Case'!C11*$C940*'Business Case'!C13*$D940-'Business Case'!C14*$E940)-MAX(0,(('Business Case'!C11*$C940*'Business Case'!C12*$B940)-'Business Case'!C11*$C940*'Business Case'!C13*$D940-'Business Case'!C14*$E940))*'Business Case'!$B$7-'Business Case'!$B$8*(('Business Case'!C11*$C940*'Business Case'!C12*$B940)-('Business Case'!B11*$C940*'Business Case'!B12*$B940))-'Business Case'!C15*$F940</f>
        <v>-26822244.7433464</v>
      </c>
      <c r="J940" s="39" t="n">
        <f aca="false">(('Business Case'!D11*$C940*'Business Case'!D12*$B940)-'Business Case'!D11*$C940*'Business Case'!D13*$D940-'Business Case'!D14*$E940)-MAX(0,(('Business Case'!D11*$C940*'Business Case'!D12*$B940)-'Business Case'!D11*$C940*'Business Case'!D13*$D940-'Business Case'!D14*$E940))*'Business Case'!$B$7-'Business Case'!$B$8*(('Business Case'!D11*$C940*'Business Case'!D12*$B940)-('Business Case'!C11*$C940*'Business Case'!C12*$B940))-'Business Case'!D15*$F940</f>
        <v>249636016.635673</v>
      </c>
      <c r="K940" s="39" t="n">
        <f aca="false">(('Business Case'!E11*$C940*'Business Case'!E12*$B940)-'Business Case'!E11*$C940*'Business Case'!E13*$D940-'Business Case'!E14*$E940)-MAX(0,(('Business Case'!E11*$C940*'Business Case'!E12*$B940)-'Business Case'!E11*$C940*'Business Case'!E13*$D940-'Business Case'!E14*$E940))*'Business Case'!$B$7-'Business Case'!$B$8*(('Business Case'!E11*$C940*'Business Case'!E12*$B940)-('Business Case'!D11*$C940*'Business Case'!D12*$B940))-'Business Case'!E15*$F940</f>
        <v>577938907.561968</v>
      </c>
      <c r="L940" s="39" t="n">
        <f aca="false">(('Business Case'!F11*$C940*'Business Case'!F12*$B940)-'Business Case'!F11*$C940*'Business Case'!F13*$D940-'Business Case'!F14*$E940)-MAX(0,(('Business Case'!F11*$C940*'Business Case'!F12*$B940)-'Business Case'!F11*$C940*'Business Case'!F13*$D940-'Business Case'!F14*$E940))*'Business Case'!$B$7-'Business Case'!$B$8*(('Business Case'!F11*$C940*'Business Case'!F12*$B940)-('Business Case'!E11*$C940*'Business Case'!E12*$B940))-'Business Case'!F15*$F940</f>
        <v>704646343.130417</v>
      </c>
      <c r="M940" s="39" t="n">
        <f aca="false">(('Business Case'!G11*$C940*'Business Case'!G12*$B940)-'Business Case'!G11*$C940*'Business Case'!G13*$D940-'Business Case'!G14*$E940)-MAX(0,(('Business Case'!G11*$C940*'Business Case'!G12*$B940)-'Business Case'!G11*$C940*'Business Case'!G13*$D940-'Business Case'!G14*$E940))*'Business Case'!$B$7-'Business Case'!$B$8*(('Business Case'!G11*$C940*'Business Case'!G12*$B940)-('Business Case'!F11*$C940*'Business Case'!F12*$B940))-'Business Case'!G15*$F940+'Business Case'!$B$8*('Business Case'!G11*$C940*'Business Case'!G12*$B940)</f>
        <v>894697092.89535</v>
      </c>
      <c r="N940" s="39" t="n">
        <f aca="false">IF(COUNT('Business Case'!B11:G11)=0,"",H940+NPV(G940,I940:M940))</f>
        <v>-511366640.713556</v>
      </c>
      <c r="P940" s="40" t="n">
        <f aca="true">RAND()</f>
        <v>0.0959475647425681</v>
      </c>
      <c r="Q940" s="40" t="n">
        <f aca="true">RAND()</f>
        <v>0.81737438337376</v>
      </c>
      <c r="R940" s="40" t="n">
        <f aca="true">RAND()</f>
        <v>0.491123774608102</v>
      </c>
      <c r="S940" s="40" t="n">
        <f aca="true">RAND()</f>
        <v>0.752700565008261</v>
      </c>
      <c r="T940" s="40" t="n">
        <f aca="true">RAND()</f>
        <v>0.467919462230707</v>
      </c>
      <c r="U940" s="40" t="n">
        <f aca="true">RAND()</f>
        <v>0.975506604775573</v>
      </c>
    </row>
    <row r="941" customFormat="false" ht="15" hidden="false" customHeight="false" outlineLevel="0" collapsed="false">
      <c r="A941" s="36" t="n">
        <v>861</v>
      </c>
      <c r="B941" s="37" t="n">
        <f aca="false">1+IF($G$6=$E$6,$F$6,IF(P941&lt;($F$6-$E$6)/($G$6-$E$6),$E$6+SQRT(P941*($G$6-$E$6)*($F$6-$E$6)),$G$6-SQRT((1-P941)*($G$6-$E$6)*($G$6-$F$6))))</f>
        <v>0.97694280619634</v>
      </c>
      <c r="C941" s="37" t="n">
        <f aca="false">1+IF($G$7=$E$7,$F$7,IF(Q941&lt;($F$7-$E$7)/($G$7-$E$7),$E$7+SQRT(Q941*($G$7-$E$7)*($F$7-$E$7)),$G$7-SQRT((1-Q941)*($G$7-$E$7)*($G$7-$F$7))))</f>
        <v>0.99704463607854</v>
      </c>
      <c r="D941" s="37" t="n">
        <f aca="false">1+IF($G$8=$E$8,$F$8,IF(R941&lt;($F$8-$E$8)/($G$8-$E$8),$E$8+SQRT(R941*($G$8-$E$8)*($F$8-$E$8)),$G$8-SQRT((1-R941)*($G$8-$E$8)*($G$8-$F$8))))</f>
        <v>0.994632693826896</v>
      </c>
      <c r="E941" s="37" t="n">
        <f aca="false">1+IF($G$9=$E$9,$F$9,IF(S941&lt;($F$9-$E$9)/($G$9-$E$9),$E$9+SQRT(S941*($G$9-$E$9)*($F$9-$E$9)),$G$9-SQRT((1-S941)*($G$9-$E$9)*($G$9-$F$9))))</f>
        <v>0.999556357552531</v>
      </c>
      <c r="F941" s="37" t="n">
        <f aca="false">1+IF($G$10=$E$10,$F$10,IF(T941&lt;($F$10-$E$10)/($G$10-$E$10),$E$10+SQRT(T941*($G$10-$E$10)*($F$10-$E$10)),$G$10-SQRT((1-T941)*($G$10-$E$10)*($G$10-$F$10))))</f>
        <v>1.01717329331873</v>
      </c>
      <c r="G941" s="38" t="n">
        <f aca="false">IF($G$11=$E$11,$F$11,IF(U941&lt;($F$11-$E$11)/($G$11-$E$11),$E$11+SQRT(U941*($G$11-$E$11)*($F$11-$E$11)),$G$11-SQRT((1-U941)*($G$11-$E$11)*($G$11-$F$11))))</f>
        <v>0.104681336427871</v>
      </c>
      <c r="H941" s="39" t="n">
        <f aca="false">(('Business Case'!B11*$C941*'Business Case'!B12*$B941)-'Business Case'!B11*$C941*'Business Case'!B13*$D941-'Business Case'!B14*$E941)-MAX(0,(('Business Case'!B11*$C941*'Business Case'!B12*$B941)-'Business Case'!B11*$C941*'Business Case'!B13*$D941-'Business Case'!B14*$E941))*'Business Case'!$B$7-'Business Case'!$B$8*('Business Case'!B11*$C941*'Business Case'!B12*$B941)-'Business Case'!B15*$F941</f>
        <v>-2034346586.63746</v>
      </c>
      <c r="I941" s="39" t="n">
        <f aca="false">(('Business Case'!C11*$C941*'Business Case'!C12*$B941)-'Business Case'!C11*$C941*'Business Case'!C13*$D941-'Business Case'!C14*$E941)-MAX(0,(('Business Case'!C11*$C941*'Business Case'!C12*$B941)-'Business Case'!C11*$C941*'Business Case'!C13*$D941-'Business Case'!C14*$E941))*'Business Case'!$B$7-'Business Case'!$B$8*(('Business Case'!C11*$C941*'Business Case'!C12*$B941)-('Business Case'!B11*$C941*'Business Case'!B12*$B941))-'Business Case'!C15*$F941</f>
        <v>-4195208.01139447</v>
      </c>
      <c r="J941" s="39" t="n">
        <f aca="false">(('Business Case'!D11*$C941*'Business Case'!D12*$B941)-'Business Case'!D11*$C941*'Business Case'!D13*$D941-'Business Case'!D14*$E941)-MAX(0,(('Business Case'!D11*$C941*'Business Case'!D12*$B941)-'Business Case'!D11*$C941*'Business Case'!D13*$D941-'Business Case'!D14*$E941))*'Business Case'!$B$7-'Business Case'!$B$8*(('Business Case'!D11*$C941*'Business Case'!D12*$B941)-('Business Case'!C11*$C941*'Business Case'!C12*$B941))-'Business Case'!D15*$F941</f>
        <v>285958868.862532</v>
      </c>
      <c r="K941" s="39" t="n">
        <f aca="false">(('Business Case'!E11*$C941*'Business Case'!E12*$B941)-'Business Case'!E11*$C941*'Business Case'!E13*$D941-'Business Case'!E14*$E941)-MAX(0,(('Business Case'!E11*$C941*'Business Case'!E12*$B941)-'Business Case'!E11*$C941*'Business Case'!E13*$D941-'Business Case'!E14*$E941))*'Business Case'!$B$7-'Business Case'!$B$8*(('Business Case'!E11*$C941*'Business Case'!E12*$B941)-('Business Case'!D11*$C941*'Business Case'!D12*$B941))-'Business Case'!E15*$F941</f>
        <v>626971610.402396</v>
      </c>
      <c r="L941" s="39" t="n">
        <f aca="false">(('Business Case'!F11*$C941*'Business Case'!F12*$B941)-'Business Case'!F11*$C941*'Business Case'!F13*$D941-'Business Case'!F14*$E941)-MAX(0,(('Business Case'!F11*$C941*'Business Case'!F12*$B941)-'Business Case'!F11*$C941*'Business Case'!F13*$D941-'Business Case'!F14*$E941))*'Business Case'!$B$7-'Business Case'!$B$8*(('Business Case'!F11*$C941*'Business Case'!F12*$B941)-('Business Case'!E11*$C941*'Business Case'!E12*$B941))-'Business Case'!F15*$F941</f>
        <v>757352997.033356</v>
      </c>
      <c r="M941" s="39" t="n">
        <f aca="false">(('Business Case'!G11*$C941*'Business Case'!G12*$B941)-'Business Case'!G11*$C941*'Business Case'!G13*$D941-'Business Case'!G14*$E941)-MAX(0,(('Business Case'!G11*$C941*'Business Case'!G12*$B941)-'Business Case'!G11*$C941*'Business Case'!G13*$D941-'Business Case'!G14*$E941))*'Business Case'!$B$7-'Business Case'!$B$8*(('Business Case'!G11*$C941*'Business Case'!G12*$B941)-('Business Case'!F11*$C941*'Business Case'!F12*$B941))-'Business Case'!G15*$F941+'Business Case'!$B$8*('Business Case'!G11*$C941*'Business Case'!G12*$B941)</f>
        <v>942501482.56811</v>
      </c>
      <c r="N941" s="39" t="n">
        <f aca="false">IF(COUNT('Business Case'!B11:G11)=0,"",H941+NPV(G941,I941:M941))</f>
        <v>-257230160.021203</v>
      </c>
      <c r="P941" s="40" t="n">
        <f aca="true">RAND()</f>
        <v>0.337758664324363</v>
      </c>
      <c r="Q941" s="40" t="n">
        <f aca="true">RAND()</f>
        <v>0.554665551533206</v>
      </c>
      <c r="R941" s="40" t="n">
        <f aca="true">RAND()</f>
        <v>0.306473439730071</v>
      </c>
      <c r="S941" s="40" t="n">
        <f aca="true">RAND()</f>
        <v>0.327444343183242</v>
      </c>
      <c r="T941" s="40" t="n">
        <f aca="true">RAND()</f>
        <v>0.331487906481627</v>
      </c>
      <c r="U941" s="40" t="n">
        <f aca="true">RAND()</f>
        <v>0.608897577273196</v>
      </c>
    </row>
    <row r="942" customFormat="false" ht="15" hidden="false" customHeight="false" outlineLevel="0" collapsed="false">
      <c r="A942" s="36" t="n">
        <v>862</v>
      </c>
      <c r="B942" s="37" t="n">
        <f aca="false">1+IF($G$6=$E$6,$F$6,IF(P942&lt;($F$6-$E$6)/($G$6-$E$6),$E$6+SQRT(P942*($G$6-$E$6)*($F$6-$E$6)),$G$6-SQRT((1-P942)*($G$6-$E$6)*($G$6-$F$6))))</f>
        <v>1.03377053141931</v>
      </c>
      <c r="C942" s="37" t="n">
        <f aca="false">1+IF($G$7=$E$7,$F$7,IF(Q942&lt;($F$7-$E$7)/($G$7-$E$7),$E$7+SQRT(Q942*($G$7-$E$7)*($F$7-$E$7)),$G$7-SQRT((1-Q942)*($G$7-$E$7)*($G$7-$F$7))))</f>
        <v>1.02749327583956</v>
      </c>
      <c r="D942" s="37" t="n">
        <f aca="false">1+IF($G$8=$E$8,$F$8,IF(R942&lt;($F$8-$E$8)/($G$8-$E$8),$E$8+SQRT(R942*($G$8-$E$8)*($F$8-$E$8)),$G$8-SQRT((1-R942)*($G$8-$E$8)*($G$8-$F$8))))</f>
        <v>1.00760766305342</v>
      </c>
      <c r="E942" s="37" t="n">
        <f aca="false">1+IF($G$9=$E$9,$F$9,IF(S942&lt;($F$9-$E$9)/($G$9-$E$9),$E$9+SQRT(S942*($G$9-$E$9)*($F$9-$E$9)),$G$9-SQRT((1-S942)*($G$9-$E$9)*($G$9-$F$9))))</f>
        <v>1.02920355960487</v>
      </c>
      <c r="F942" s="37" t="n">
        <f aca="false">1+IF($G$10=$E$10,$F$10,IF(T942&lt;($F$10-$E$10)/($G$10-$E$10),$E$10+SQRT(T942*($G$10-$E$10)*($F$10-$E$10)),$G$10-SQRT((1-T942)*($G$10-$E$10)*($G$10-$F$10))))</f>
        <v>0.996531805205816</v>
      </c>
      <c r="G942" s="38" t="n">
        <f aca="false">IF($G$11=$E$11,$F$11,IF(U942&lt;($F$11-$E$11)/($G$11-$E$11),$E$11+SQRT(U942*($G$11-$E$11)*($F$11-$E$11)),$G$11-SQRT((1-U942)*($G$11-$E$11)*($G$11-$F$11))))</f>
        <v>0.0956194338218017</v>
      </c>
      <c r="H942" s="39" t="n">
        <f aca="false">(('Business Case'!B11*$C942*'Business Case'!B12*$B942)-'Business Case'!B11*$C942*'Business Case'!B13*$D942-'Business Case'!B14*$E942)-MAX(0,(('Business Case'!B11*$C942*'Business Case'!B12*$B942)-'Business Case'!B11*$C942*'Business Case'!B13*$D942-'Business Case'!B14*$E942))*'Business Case'!$B$7-'Business Case'!$B$8*('Business Case'!B11*$C942*'Business Case'!B12*$B942)-'Business Case'!B15*$F942</f>
        <v>-1993063610.41163</v>
      </c>
      <c r="I942" s="39" t="n">
        <f aca="false">(('Business Case'!C11*$C942*'Business Case'!C12*$B942)-'Business Case'!C11*$C942*'Business Case'!C13*$D942-'Business Case'!C14*$E942)-MAX(0,(('Business Case'!C11*$C942*'Business Case'!C12*$B942)-'Business Case'!C11*$C942*'Business Case'!C13*$D942-'Business Case'!C14*$E942))*'Business Case'!$B$7-'Business Case'!$B$8*(('Business Case'!C11*$C942*'Business Case'!C12*$B942)-('Business Case'!B11*$C942*'Business Case'!B12*$B942))-'Business Case'!C15*$F942</f>
        <v>38946027.2328433</v>
      </c>
      <c r="J942" s="39" t="n">
        <f aca="false">(('Business Case'!D11*$C942*'Business Case'!D12*$B942)-'Business Case'!D11*$C942*'Business Case'!D13*$D942-'Business Case'!D14*$E942)-MAX(0,(('Business Case'!D11*$C942*'Business Case'!D12*$B942)-'Business Case'!D11*$C942*'Business Case'!D13*$D942-'Business Case'!D14*$E942))*'Business Case'!$B$7-'Business Case'!$B$8*(('Business Case'!D11*$C942*'Business Case'!D12*$B942)-('Business Case'!C11*$C942*'Business Case'!C12*$B942))-'Business Case'!D15*$F942</f>
        <v>378962028.428224</v>
      </c>
      <c r="K942" s="39" t="n">
        <f aca="false">(('Business Case'!E11*$C942*'Business Case'!E12*$B942)-'Business Case'!E11*$C942*'Business Case'!E13*$D942-'Business Case'!E14*$E942)-MAX(0,(('Business Case'!E11*$C942*'Business Case'!E12*$B942)-'Business Case'!E11*$C942*'Business Case'!E13*$D942-'Business Case'!E14*$E942))*'Business Case'!$B$7-'Business Case'!$B$8*(('Business Case'!E11*$C942*'Business Case'!E12*$B942)-('Business Case'!D11*$C942*'Business Case'!D12*$B942))-'Business Case'!E15*$F942</f>
        <v>768804619.883896</v>
      </c>
      <c r="L942" s="39" t="n">
        <f aca="false">(('Business Case'!F11*$C942*'Business Case'!F12*$B942)-'Business Case'!F11*$C942*'Business Case'!F13*$D942-'Business Case'!F14*$E942)-MAX(0,(('Business Case'!F11*$C942*'Business Case'!F12*$B942)-'Business Case'!F11*$C942*'Business Case'!F13*$D942-'Business Case'!F14*$E942))*'Business Case'!$B$7-'Business Case'!$B$8*(('Business Case'!F11*$C942*'Business Case'!F12*$B942)-('Business Case'!E11*$C942*'Business Case'!E12*$B942))-'Business Case'!F15*$F942</f>
        <v>918852651.793118</v>
      </c>
      <c r="M942" s="39" t="n">
        <f aca="false">(('Business Case'!G11*$C942*'Business Case'!G12*$B942)-'Business Case'!G11*$C942*'Business Case'!G13*$D942-'Business Case'!G14*$E942)-MAX(0,(('Business Case'!G11*$C942*'Business Case'!G12*$B942)-'Business Case'!G11*$C942*'Business Case'!G13*$D942-'Business Case'!G14*$E942))*'Business Case'!$B$7-'Business Case'!$B$8*(('Business Case'!G11*$C942*'Business Case'!G12*$B942)-('Business Case'!F11*$C942*'Business Case'!F12*$B942))-'Business Case'!G15*$F942+'Business Case'!$B$8*('Business Case'!G11*$C942*'Business Case'!G12*$B942)</f>
        <v>1120754158.43564</v>
      </c>
      <c r="N942" s="39" t="n">
        <f aca="false">IF(COUNT('Business Case'!B11:G11)=0,"",H942+NPV(G942,I942:M942))</f>
        <v>290364913.01363</v>
      </c>
      <c r="P942" s="40" t="n">
        <f aca="true">RAND()</f>
        <v>0.991915358583797</v>
      </c>
      <c r="Q942" s="40" t="n">
        <f aca="true">RAND()</f>
        <v>0.714135286390031</v>
      </c>
      <c r="R942" s="40" t="n">
        <f aca="true">RAND()</f>
        <v>0.496091303020403</v>
      </c>
      <c r="S942" s="40" t="n">
        <f aca="true">RAND()</f>
        <v>0.66585760182528</v>
      </c>
      <c r="T942" s="40" t="n">
        <f aca="true">RAND()</f>
        <v>0.17321671165696</v>
      </c>
      <c r="U942" s="40" t="n">
        <f aca="true">RAND()</f>
        <v>0.105260121592031</v>
      </c>
    </row>
    <row r="943" customFormat="false" ht="15" hidden="false" customHeight="false" outlineLevel="0" collapsed="false">
      <c r="A943" s="36" t="n">
        <v>863</v>
      </c>
      <c r="B943" s="37" t="n">
        <f aca="false">1+IF($G$6=$E$6,$F$6,IF(P943&lt;($F$6-$E$6)/($G$6-$E$6),$E$6+SQRT(P943*($G$6-$E$6)*($F$6-$E$6)),$G$6-SQRT((1-P943)*($G$6-$E$6)*($G$6-$F$6))))</f>
        <v>0.931169847490654</v>
      </c>
      <c r="C943" s="37" t="n">
        <f aca="false">1+IF($G$7=$E$7,$F$7,IF(Q943&lt;($F$7-$E$7)/($G$7-$E$7),$E$7+SQRT(Q943*($G$7-$E$7)*($F$7-$E$7)),$G$7-SQRT((1-Q943)*($G$7-$E$7)*($G$7-$F$7))))</f>
        <v>0.977502127529387</v>
      </c>
      <c r="D943" s="37" t="n">
        <f aca="false">1+IF($G$8=$E$8,$F$8,IF(R943&lt;($F$8-$E$8)/($G$8-$E$8),$E$8+SQRT(R943*($G$8-$E$8)*($F$8-$E$8)),$G$8-SQRT((1-R943)*($G$8-$E$8)*($G$8-$F$8))))</f>
        <v>1.02625360776009</v>
      </c>
      <c r="E943" s="37" t="n">
        <f aca="false">1+IF($G$9=$E$9,$F$9,IF(S943&lt;($F$9-$E$9)/($G$9-$E$9),$E$9+SQRT(S943*($G$9-$E$9)*($F$9-$E$9)),$G$9-SQRT((1-S943)*($G$9-$E$9)*($G$9-$F$9))))</f>
        <v>1.05592274478373</v>
      </c>
      <c r="F943" s="37" t="n">
        <f aca="false">1+IF($G$10=$E$10,$F$10,IF(T943&lt;($F$10-$E$10)/($G$10-$E$10),$E$10+SQRT(T943*($G$10-$E$10)*($F$10-$E$10)),$G$10-SQRT((1-T943)*($G$10-$E$10)*($G$10-$F$10))))</f>
        <v>1.03679672063426</v>
      </c>
      <c r="G943" s="38" t="n">
        <f aca="false">IF($G$11=$E$11,$F$11,IF(U943&lt;($F$11-$E$11)/($G$11-$E$11),$E$11+SQRT(U943*($G$11-$E$11)*($F$11-$E$11)),$G$11-SQRT((1-U943)*($G$11-$E$11)*($G$11-$F$11))))</f>
        <v>0.107928251605099</v>
      </c>
      <c r="H943" s="39" t="n">
        <f aca="false">(('Business Case'!B11*$C943*'Business Case'!B12*$B943)-'Business Case'!B11*$C943*'Business Case'!B13*$D943-'Business Case'!B14*$E943)-MAX(0,(('Business Case'!B11*$C943*'Business Case'!B12*$B943)-'Business Case'!B11*$C943*'Business Case'!B13*$D943-'Business Case'!B14*$E943))*'Business Case'!$B$7-'Business Case'!$B$8*('Business Case'!B11*$C943*'Business Case'!B12*$B943)-'Business Case'!B15*$F943</f>
        <v>-2073593441.26851</v>
      </c>
      <c r="I943" s="39" t="n">
        <f aca="false">(('Business Case'!C11*$C943*'Business Case'!C12*$B943)-'Business Case'!C11*$C943*'Business Case'!C13*$D943-'Business Case'!C14*$E943)-MAX(0,(('Business Case'!C11*$C943*'Business Case'!C12*$B943)-'Business Case'!C11*$C943*'Business Case'!C13*$D943-'Business Case'!C14*$E943))*'Business Case'!$B$7-'Business Case'!$B$8*(('Business Case'!C11*$C943*'Business Case'!C12*$B943)-('Business Case'!B11*$C943*'Business Case'!B12*$B943))-'Business Case'!C15*$F943</f>
        <v>-69021856.6327665</v>
      </c>
      <c r="J943" s="39" t="n">
        <f aca="false">(('Business Case'!D11*$C943*'Business Case'!D12*$B943)-'Business Case'!D11*$C943*'Business Case'!D13*$D943-'Business Case'!D14*$E943)-MAX(0,(('Business Case'!D11*$C943*'Business Case'!D12*$B943)-'Business Case'!D11*$C943*'Business Case'!D13*$D943-'Business Case'!D14*$E943))*'Business Case'!$B$7-'Business Case'!$B$8*(('Business Case'!D11*$C943*'Business Case'!D12*$B943)-('Business Case'!C11*$C943*'Business Case'!C12*$B943))-'Business Case'!D15*$F943</f>
        <v>162974004.18971</v>
      </c>
      <c r="K943" s="39" t="n">
        <f aca="false">(('Business Case'!E11*$C943*'Business Case'!E12*$B943)-'Business Case'!E11*$C943*'Business Case'!E13*$D943-'Business Case'!E14*$E943)-MAX(0,(('Business Case'!E11*$C943*'Business Case'!E12*$B943)-'Business Case'!E11*$C943*'Business Case'!E13*$D943-'Business Case'!E14*$E943))*'Business Case'!$B$7-'Business Case'!$B$8*(('Business Case'!E11*$C943*'Business Case'!E12*$B943)-('Business Case'!D11*$C943*'Business Case'!D12*$B943))-'Business Case'!E15*$F943</f>
        <v>446809701.043899</v>
      </c>
      <c r="L943" s="39" t="n">
        <f aca="false">(('Business Case'!F11*$C943*'Business Case'!F12*$B943)-'Business Case'!F11*$C943*'Business Case'!F13*$D943-'Business Case'!F14*$E943)-MAX(0,(('Business Case'!F11*$C943*'Business Case'!F12*$B943)-'Business Case'!F11*$C943*'Business Case'!F13*$D943-'Business Case'!F14*$E943))*'Business Case'!$B$7-'Business Case'!$B$8*(('Business Case'!F11*$C943*'Business Case'!F12*$B943)-('Business Case'!E11*$C943*'Business Case'!E12*$B943))-'Business Case'!F15*$F943</f>
        <v>555598875.373773</v>
      </c>
      <c r="M943" s="39" t="n">
        <f aca="false">(('Business Case'!G11*$C943*'Business Case'!G12*$B943)-'Business Case'!G11*$C943*'Business Case'!G13*$D943-'Business Case'!G14*$E943)-MAX(0,(('Business Case'!G11*$C943*'Business Case'!G12*$B943)-'Business Case'!G11*$C943*'Business Case'!G13*$D943-'Business Case'!G14*$E943))*'Business Case'!$B$7-'Business Case'!$B$8*(('Business Case'!G11*$C943*'Business Case'!G12*$B943)-('Business Case'!F11*$C943*'Business Case'!F12*$B943))-'Business Case'!G15*$F943+'Business Case'!$B$8*('Business Case'!G11*$C943*'Business Case'!G12*$B943)</f>
        <v>728613589.346866</v>
      </c>
      <c r="N943" s="39" t="n">
        <f aca="false">IF(COUNT('Business Case'!B11:G11)=0,"",H943+NPV(G943,I943:M943))</f>
        <v>-869393507.659061</v>
      </c>
      <c r="P943" s="40" t="n">
        <f aca="true">RAND()</f>
        <v>0.0129964055171313</v>
      </c>
      <c r="Q943" s="40" t="n">
        <f aca="true">RAND()</f>
        <v>0.450100075392266</v>
      </c>
      <c r="R943" s="40" t="n">
        <f aca="true">RAND()</f>
        <v>0.722242819345576</v>
      </c>
      <c r="S943" s="40" t="n">
        <f aca="true">RAND()</f>
        <v>0.870479704839993</v>
      </c>
      <c r="T943" s="40" t="n">
        <f aca="true">RAND()</f>
        <v>0.467293792085338</v>
      </c>
      <c r="U943" s="40" t="n">
        <f aca="true">RAND()</f>
        <v>0.75712148448368</v>
      </c>
    </row>
    <row r="944" customFormat="false" ht="15" hidden="false" customHeight="false" outlineLevel="0" collapsed="false">
      <c r="A944" s="36" t="n">
        <v>864</v>
      </c>
      <c r="B944" s="37" t="n">
        <f aca="false">1+IF($G$6=$E$6,$F$6,IF(P944&lt;($F$6-$E$6)/($G$6-$E$6),$E$6+SQRT(P944*($G$6-$E$6)*($F$6-$E$6)),$G$6-SQRT((1-P944)*($G$6-$E$6)*($G$6-$F$6))))</f>
        <v>0.973593000104845</v>
      </c>
      <c r="C944" s="37" t="n">
        <f aca="false">1+IF($G$7=$E$7,$F$7,IF(Q944&lt;($F$7-$E$7)/($G$7-$E$7),$E$7+SQRT(Q944*($G$7-$E$7)*($F$7-$E$7)),$G$7-SQRT((1-Q944)*($G$7-$E$7)*($G$7-$F$7))))</f>
        <v>1.00464551228386</v>
      </c>
      <c r="D944" s="37" t="n">
        <f aca="false">1+IF($G$8=$E$8,$F$8,IF(R944&lt;($F$8-$E$8)/($G$8-$E$8),$E$8+SQRT(R944*($G$8-$E$8)*($F$8-$E$8)),$G$8-SQRT((1-R944)*($G$8-$E$8)*($G$8-$F$8))))</f>
        <v>1.0326825524664</v>
      </c>
      <c r="E944" s="37" t="n">
        <f aca="false">1+IF($G$9=$E$9,$F$9,IF(S944&lt;($F$9-$E$9)/($G$9-$E$9),$E$9+SQRT(S944*($G$9-$E$9)*($F$9-$E$9)),$G$9-SQRT((1-S944)*($G$9-$E$9)*($G$9-$F$9))))</f>
        <v>1.06682848538584</v>
      </c>
      <c r="F944" s="37" t="n">
        <f aca="false">1+IF($G$10=$E$10,$F$10,IF(T944&lt;($F$10-$E$10)/($G$10-$E$10),$E$10+SQRT(T944*($G$10-$E$10)*($F$10-$E$10)),$G$10-SQRT((1-T944)*($G$10-$E$10)*($G$10-$F$10))))</f>
        <v>1.08031675672358</v>
      </c>
      <c r="G944" s="38" t="n">
        <f aca="false">IF($G$11=$E$11,$F$11,IF(U944&lt;($F$11-$E$11)/($G$11-$E$11),$E$11+SQRT(U944*($G$11-$E$11)*($F$11-$E$11)),$G$11-SQRT((1-U944)*($G$11-$E$11)*($G$11-$F$11))))</f>
        <v>0.103440350525605</v>
      </c>
      <c r="H944" s="39" t="n">
        <f aca="false">(('Business Case'!B11*$C944*'Business Case'!B12*$B944)-'Business Case'!B11*$C944*'Business Case'!B13*$D944-'Business Case'!B14*$E944)-MAX(0,(('Business Case'!B11*$C944*'Business Case'!B12*$B944)-'Business Case'!B11*$C944*'Business Case'!B13*$D944-'Business Case'!B14*$E944))*'Business Case'!$B$7-'Business Case'!$B$8*('Business Case'!B11*$C944*'Business Case'!B12*$B944)-'Business Case'!B15*$F944</f>
        <v>-2160633513.44715</v>
      </c>
      <c r="I944" s="39" t="n">
        <f aca="false">(('Business Case'!C11*$C944*'Business Case'!C12*$B944)-'Business Case'!C11*$C944*'Business Case'!C13*$D944-'Business Case'!C14*$E944)-MAX(0,(('Business Case'!C11*$C944*'Business Case'!C12*$B944)-'Business Case'!C11*$C944*'Business Case'!C13*$D944-'Business Case'!C14*$E944))*'Business Case'!$B$7-'Business Case'!$B$8*(('Business Case'!C11*$C944*'Business Case'!C12*$B944)-('Business Case'!B11*$C944*'Business Case'!B12*$B944))-'Business Case'!C15*$F944</f>
        <v>-40399621.69475</v>
      </c>
      <c r="J944" s="39" t="n">
        <f aca="false">(('Business Case'!D11*$C944*'Business Case'!D12*$B944)-'Business Case'!D11*$C944*'Business Case'!D13*$D944-'Business Case'!D14*$E944)-MAX(0,(('Business Case'!D11*$C944*'Business Case'!D12*$B944)-'Business Case'!D11*$C944*'Business Case'!D13*$D944-'Business Case'!D14*$E944))*'Business Case'!$B$7-'Business Case'!$B$8*(('Business Case'!D11*$C944*'Business Case'!D12*$B944)-('Business Case'!C11*$C944*'Business Case'!C12*$B944))-'Business Case'!D15*$F944</f>
        <v>229640967.964597</v>
      </c>
      <c r="K944" s="39" t="n">
        <f aca="false">(('Business Case'!E11*$C944*'Business Case'!E12*$B944)-'Business Case'!E11*$C944*'Business Case'!E13*$D944-'Business Case'!E14*$E944)-MAX(0,(('Business Case'!E11*$C944*'Business Case'!E12*$B944)-'Business Case'!E11*$C944*'Business Case'!E13*$D944-'Business Case'!E14*$E944))*'Business Case'!$B$7-'Business Case'!$B$8*(('Business Case'!E11*$C944*'Business Case'!E12*$B944)-('Business Case'!D11*$C944*'Business Case'!D12*$B944))-'Business Case'!E15*$F944</f>
        <v>553697395.460124</v>
      </c>
      <c r="L944" s="39" t="n">
        <f aca="false">(('Business Case'!F11*$C944*'Business Case'!F12*$B944)-'Business Case'!F11*$C944*'Business Case'!F13*$D944-'Business Case'!F14*$E944)-MAX(0,(('Business Case'!F11*$C944*'Business Case'!F12*$B944)-'Business Case'!F11*$C944*'Business Case'!F13*$D944-'Business Case'!F14*$E944))*'Business Case'!$B$7-'Business Case'!$B$8*(('Business Case'!F11*$C944*'Business Case'!F12*$B944)-('Business Case'!E11*$C944*'Business Case'!E12*$B944))-'Business Case'!F15*$F944</f>
        <v>677514608.719821</v>
      </c>
      <c r="M944" s="39" t="n">
        <f aca="false">(('Business Case'!G11*$C944*'Business Case'!G12*$B944)-'Business Case'!G11*$C944*'Business Case'!G13*$D944-'Business Case'!G14*$E944)-MAX(0,(('Business Case'!G11*$C944*'Business Case'!G12*$B944)-'Business Case'!G11*$C944*'Business Case'!G13*$D944-'Business Case'!G14*$E944))*'Business Case'!$B$7-'Business Case'!$B$8*(('Business Case'!G11*$C944*'Business Case'!G12*$B944)-('Business Case'!F11*$C944*'Business Case'!F12*$B944))-'Business Case'!G15*$F944+'Business Case'!$B$8*('Business Case'!G11*$C944*'Business Case'!G12*$B944)</f>
        <v>863434867.272687</v>
      </c>
      <c r="N944" s="39" t="n">
        <f aca="false">IF(COUNT('Business Case'!B11:G11)=0,"",H944+NPV(G944,I944:M944))</f>
        <v>-611692816.975251</v>
      </c>
      <c r="P944" s="40" t="n">
        <f aca="true">RAND()</f>
        <v>0.299188506274779</v>
      </c>
      <c r="Q944" s="40" t="n">
        <f aca="true">RAND()</f>
        <v>0.597563293348135</v>
      </c>
      <c r="R944" s="40" t="n">
        <f aca="true">RAND()</f>
        <v>0.784717226817822</v>
      </c>
      <c r="S944" s="40" t="n">
        <f aca="true">RAND()</f>
        <v>0.926643374546858</v>
      </c>
      <c r="T944" s="40" t="n">
        <f aca="true">RAND()</f>
        <v>0.713518425576727</v>
      </c>
      <c r="U944" s="40" t="n">
        <f aca="true">RAND()</f>
        <v>0.542963348808599</v>
      </c>
    </row>
    <row r="945" customFormat="false" ht="15" hidden="false" customHeight="false" outlineLevel="0" collapsed="false">
      <c r="A945" s="36" t="n">
        <v>865</v>
      </c>
      <c r="B945" s="37" t="n">
        <f aca="false">1+IF($G$6=$E$6,$F$6,IF(P945&lt;($F$6-$E$6)/($G$6-$E$6),$E$6+SQRT(P945*($G$6-$E$6)*($F$6-$E$6)),$G$6-SQRT((1-P945)*($G$6-$E$6)*($G$6-$F$6))))</f>
        <v>0.989712224173592</v>
      </c>
      <c r="C945" s="37" t="n">
        <f aca="false">1+IF($G$7=$E$7,$F$7,IF(Q945&lt;($F$7-$E$7)/($G$7-$E$7),$E$7+SQRT(Q945*($G$7-$E$7)*($F$7-$E$7)),$G$7-SQRT((1-Q945)*($G$7-$E$7)*($G$7-$F$7))))</f>
        <v>0.938068253946354</v>
      </c>
      <c r="D945" s="37" t="n">
        <f aca="false">1+IF($G$8=$E$8,$F$8,IF(R945&lt;($F$8-$E$8)/($G$8-$E$8),$E$8+SQRT(R945*($G$8-$E$8)*($F$8-$E$8)),$G$8-SQRT((1-R945)*($G$8-$E$8)*($G$8-$F$8))))</f>
        <v>0.962965320643714</v>
      </c>
      <c r="E945" s="37" t="n">
        <f aca="false">1+IF($G$9=$E$9,$F$9,IF(S945&lt;($F$9-$E$9)/($G$9-$E$9),$E$9+SQRT(S945*($G$9-$E$9)*($F$9-$E$9)),$G$9-SQRT((1-S945)*($G$9-$E$9)*($G$9-$F$9))))</f>
        <v>1.0817457146368</v>
      </c>
      <c r="F945" s="37" t="n">
        <f aca="false">1+IF($G$10=$E$10,$F$10,IF(T945&lt;($F$10-$E$10)/($G$10-$E$10),$E$10+SQRT(T945*($G$10-$E$10)*($F$10-$E$10)),$G$10-SQRT((1-T945)*($G$10-$E$10)*($G$10-$F$10))))</f>
        <v>0.990714646252232</v>
      </c>
      <c r="G945" s="38" t="n">
        <f aca="false">IF($G$11=$E$11,$F$11,IF(U945&lt;($F$11-$E$11)/($G$11-$E$11),$E$11+SQRT(U945*($G$11-$E$11)*($F$11-$E$11)),$G$11-SQRT((1-U945)*($G$11-$E$11)*($G$11-$F$11))))</f>
        <v>0.101075203856906</v>
      </c>
      <c r="H945" s="39" t="n">
        <f aca="false">(('Business Case'!B11*$C945*'Business Case'!B12*$B945)-'Business Case'!B11*$C945*'Business Case'!B13*$D945-'Business Case'!B14*$E945)-MAX(0,(('Business Case'!B11*$C945*'Business Case'!B12*$B945)-'Business Case'!B11*$C945*'Business Case'!B13*$D945-'Business Case'!B14*$E945))*'Business Case'!$B$7-'Business Case'!$B$8*('Business Case'!B11*$C945*'Business Case'!B12*$B945)-'Business Case'!B15*$F945</f>
        <v>-1981429292.50446</v>
      </c>
      <c r="I945" s="39" t="n">
        <f aca="false">(('Business Case'!C11*$C945*'Business Case'!C12*$B945)-'Business Case'!C11*$C945*'Business Case'!C13*$D945-'Business Case'!C14*$E945)-MAX(0,(('Business Case'!C11*$C945*'Business Case'!C12*$B945)-'Business Case'!C11*$C945*'Business Case'!C13*$D945-'Business Case'!C14*$E945))*'Business Case'!$B$7-'Business Case'!$B$8*(('Business Case'!C11*$C945*'Business Case'!C12*$B945)-('Business Case'!B11*$C945*'Business Case'!B12*$B945))-'Business Case'!C15*$F945</f>
        <v>-3015257.98377903</v>
      </c>
      <c r="J945" s="39" t="n">
        <f aca="false">(('Business Case'!D11*$C945*'Business Case'!D12*$B945)-'Business Case'!D11*$C945*'Business Case'!D13*$D945-'Business Case'!D14*$E945)-MAX(0,(('Business Case'!D11*$C945*'Business Case'!D12*$B945)-'Business Case'!D11*$C945*'Business Case'!D13*$D945-'Business Case'!D14*$E945))*'Business Case'!$B$7-'Business Case'!$B$8*(('Business Case'!D11*$C945*'Business Case'!D12*$B945)-('Business Case'!C11*$C945*'Business Case'!C12*$B945))-'Business Case'!D15*$F945</f>
        <v>294994358.598205</v>
      </c>
      <c r="K945" s="39" t="n">
        <f aca="false">(('Business Case'!E11*$C945*'Business Case'!E12*$B945)-'Business Case'!E11*$C945*'Business Case'!E13*$D945-'Business Case'!E14*$E945)-MAX(0,(('Business Case'!E11*$C945*'Business Case'!E12*$B945)-'Business Case'!E11*$C945*'Business Case'!E13*$D945-'Business Case'!E14*$E945))*'Business Case'!$B$7-'Business Case'!$B$8*(('Business Case'!E11*$C945*'Business Case'!E12*$B945)-('Business Case'!D11*$C945*'Business Case'!D12*$B945))-'Business Case'!E15*$F945</f>
        <v>642539707.492801</v>
      </c>
      <c r="L945" s="39" t="n">
        <f aca="false">(('Business Case'!F11*$C945*'Business Case'!F12*$B945)-'Business Case'!F11*$C945*'Business Case'!F13*$D945-'Business Case'!F14*$E945)-MAX(0,(('Business Case'!F11*$C945*'Business Case'!F12*$B945)-'Business Case'!F11*$C945*'Business Case'!F13*$D945-'Business Case'!F14*$E945))*'Business Case'!$B$7-'Business Case'!$B$8*(('Business Case'!F11*$C945*'Business Case'!F12*$B945)-('Business Case'!E11*$C945*'Business Case'!E12*$B945))-'Business Case'!F15*$F945</f>
        <v>773962359.232921</v>
      </c>
      <c r="M945" s="39" t="n">
        <f aca="false">(('Business Case'!G11*$C945*'Business Case'!G12*$B945)-'Business Case'!G11*$C945*'Business Case'!G13*$D945-'Business Case'!G14*$E945)-MAX(0,(('Business Case'!G11*$C945*'Business Case'!G12*$B945)-'Business Case'!G11*$C945*'Business Case'!G13*$D945-'Business Case'!G14*$E945))*'Business Case'!$B$7-'Business Case'!$B$8*(('Business Case'!G11*$C945*'Business Case'!G12*$B945)-('Business Case'!F11*$C945*'Business Case'!F12*$B945))-'Business Case'!G15*$F945+'Business Case'!$B$8*('Business Case'!G11*$C945*'Business Case'!G12*$B945)</f>
        <v>950435980.069943</v>
      </c>
      <c r="N945" s="39" t="n">
        <f aca="false">IF(COUNT('Business Case'!B11:G11)=0,"",H945+NPV(G945,I945:M945))</f>
        <v>-145674826.439967</v>
      </c>
      <c r="P945" s="40" t="n">
        <f aca="true">RAND()</f>
        <v>0.506228562419707</v>
      </c>
      <c r="Q945" s="40" t="n">
        <f aca="true">RAND()</f>
        <v>0.272326324968497</v>
      </c>
      <c r="R945" s="40" t="n">
        <f aca="true">RAND()</f>
        <v>0.0258614675991242</v>
      </c>
      <c r="S945" s="40" t="n">
        <f aca="true">RAND()</f>
        <v>0.977785404391918</v>
      </c>
      <c r="T945" s="40" t="n">
        <f aca="true">RAND()</f>
        <v>0.132614593555554</v>
      </c>
      <c r="U945" s="40" t="n">
        <f aca="true">RAND()</f>
        <v>0.403086818237218</v>
      </c>
    </row>
    <row r="946" customFormat="false" ht="15" hidden="false" customHeight="false" outlineLevel="0" collapsed="false">
      <c r="A946" s="36" t="n">
        <v>866</v>
      </c>
      <c r="B946" s="37" t="n">
        <f aca="false">1+IF($G$6=$E$6,$F$6,IF(P946&lt;($F$6-$E$6)/($G$6-$E$6),$E$6+SQRT(P946*($G$6-$E$6)*($F$6-$E$6)),$G$6-SQRT((1-P946)*($G$6-$E$6)*($G$6-$F$6))))</f>
        <v>0.992481757393922</v>
      </c>
      <c r="C946" s="37" t="n">
        <f aca="false">1+IF($G$7=$E$7,$F$7,IF(Q946&lt;($F$7-$E$7)/($G$7-$E$7),$E$7+SQRT(Q946*($G$7-$E$7)*($F$7-$E$7)),$G$7-SQRT((1-Q946)*($G$7-$E$7)*($G$7-$F$7))))</f>
        <v>1.03471269848503</v>
      </c>
      <c r="D946" s="37" t="n">
        <f aca="false">1+IF($G$8=$E$8,$F$8,IF(R946&lt;($F$8-$E$8)/($G$8-$E$8),$E$8+SQRT(R946*($G$8-$E$8)*($F$8-$E$8)),$G$8-SQRT((1-R946)*($G$8-$E$8)*($G$8-$F$8))))</f>
        <v>1.06100762792194</v>
      </c>
      <c r="E946" s="37" t="n">
        <f aca="false">1+IF($G$9=$E$9,$F$9,IF(S946&lt;($F$9-$E$9)/($G$9-$E$9),$E$9+SQRT(S946*($G$9-$E$9)*($F$9-$E$9)),$G$9-SQRT((1-S946)*($G$9-$E$9)*($G$9-$F$9))))</f>
        <v>1.03427256109925</v>
      </c>
      <c r="F946" s="37" t="n">
        <f aca="false">1+IF($G$10=$E$10,$F$10,IF(T946&lt;($F$10-$E$10)/($G$10-$E$10),$E$10+SQRT(T946*($G$10-$E$10)*($F$10-$E$10)),$G$10-SQRT((1-T946)*($G$10-$E$10)*($G$10-$F$10))))</f>
        <v>1.14718184291542</v>
      </c>
      <c r="G946" s="38" t="n">
        <f aca="false">IF($G$11=$E$11,$F$11,IF(U946&lt;($F$11-$E$11)/($G$11-$E$11),$E$11+SQRT(U946*($G$11-$E$11)*($F$11-$E$11)),$G$11-SQRT((1-U946)*($G$11-$E$11)*($G$11-$F$11))))</f>
        <v>0.102971202168979</v>
      </c>
      <c r="H946" s="39" t="n">
        <f aca="false">(('Business Case'!B11*$C946*'Business Case'!B12*$B946)-'Business Case'!B11*$C946*'Business Case'!B13*$D946-'Business Case'!B14*$E946)-MAX(0,(('Business Case'!B11*$C946*'Business Case'!B12*$B946)-'Business Case'!B11*$C946*'Business Case'!B13*$D946-'Business Case'!B14*$E946))*'Business Case'!$B$7-'Business Case'!$B$8*('Business Case'!B11*$C946*'Business Case'!B12*$B946)-'Business Case'!B15*$F946</f>
        <v>-2294363685.83085</v>
      </c>
      <c r="I946" s="39" t="n">
        <f aca="false">(('Business Case'!C11*$C946*'Business Case'!C12*$B946)-'Business Case'!C11*$C946*'Business Case'!C13*$D946-'Business Case'!C14*$E946)-MAX(0,(('Business Case'!C11*$C946*'Business Case'!C12*$B946)-'Business Case'!C11*$C946*'Business Case'!C13*$D946-'Business Case'!C14*$E946))*'Business Case'!$B$7-'Business Case'!$B$8*(('Business Case'!C11*$C946*'Business Case'!C12*$B946)-('Business Case'!B11*$C946*'Business Case'!B12*$B946))-'Business Case'!C15*$F946</f>
        <v>-35900779.3992923</v>
      </c>
      <c r="J946" s="39" t="n">
        <f aca="false">(('Business Case'!D11*$C946*'Business Case'!D12*$B946)-'Business Case'!D11*$C946*'Business Case'!D13*$D946-'Business Case'!D14*$E946)-MAX(0,(('Business Case'!D11*$C946*'Business Case'!D12*$B946)-'Business Case'!D11*$C946*'Business Case'!D13*$D946-'Business Case'!D14*$E946))*'Business Case'!$B$7-'Business Case'!$B$8*(('Business Case'!D11*$C946*'Business Case'!D12*$B946)-('Business Case'!C11*$C946*'Business Case'!C12*$B946))-'Business Case'!D15*$F946</f>
        <v>243226415.14918</v>
      </c>
      <c r="K946" s="39" t="n">
        <f aca="false">(('Business Case'!E11*$C946*'Business Case'!E12*$B946)-'Business Case'!E11*$C946*'Business Case'!E13*$D946-'Business Case'!E14*$E946)-MAX(0,(('Business Case'!E11*$C946*'Business Case'!E12*$B946)-'Business Case'!E11*$C946*'Business Case'!E13*$D946-'Business Case'!E14*$E946))*'Business Case'!$B$7-'Business Case'!$B$8*(('Business Case'!E11*$C946*'Business Case'!E12*$B946)-('Business Case'!D11*$C946*'Business Case'!D12*$B946))-'Business Case'!E15*$F946</f>
        <v>579712701.843423</v>
      </c>
      <c r="L946" s="39" t="n">
        <f aca="false">(('Business Case'!F11*$C946*'Business Case'!F12*$B946)-'Business Case'!F11*$C946*'Business Case'!F13*$D946-'Business Case'!F14*$E946)-MAX(0,(('Business Case'!F11*$C946*'Business Case'!F12*$B946)-'Business Case'!F11*$C946*'Business Case'!F13*$D946-'Business Case'!F14*$E946))*'Business Case'!$B$7-'Business Case'!$B$8*(('Business Case'!F11*$C946*'Business Case'!F12*$B946)-('Business Case'!E11*$C946*'Business Case'!E12*$B946))-'Business Case'!F15*$F946</f>
        <v>708245921.004854</v>
      </c>
      <c r="M946" s="39" t="n">
        <f aca="false">(('Business Case'!G11*$C946*'Business Case'!G12*$B946)-'Business Case'!G11*$C946*'Business Case'!G13*$D946-'Business Case'!G14*$E946)-MAX(0,(('Business Case'!G11*$C946*'Business Case'!G12*$B946)-'Business Case'!G11*$C946*'Business Case'!G13*$D946-'Business Case'!G14*$E946))*'Business Case'!$B$7-'Business Case'!$B$8*(('Business Case'!G11*$C946*'Business Case'!G12*$B946)-('Business Case'!F11*$C946*'Business Case'!F12*$B946))-'Business Case'!G15*$F946+'Business Case'!$B$8*('Business Case'!G11*$C946*'Business Case'!G12*$B946)</f>
        <v>903445436.387188</v>
      </c>
      <c r="N946" s="39" t="n">
        <f aca="false">IF(COUNT('Business Case'!B11:G11)=0,"",H946+NPV(G946,I946:M946))</f>
        <v>-662940968.501512</v>
      </c>
      <c r="P946" s="40" t="n">
        <f aca="true">RAND()</f>
        <v>0.547250536969941</v>
      </c>
      <c r="Q946" s="40" t="n">
        <f aca="true">RAND()</f>
        <v>0.746835011607535</v>
      </c>
      <c r="R946" s="40" t="n">
        <f aca="true">RAND()</f>
        <v>0.965316327196989</v>
      </c>
      <c r="S946" s="40" t="n">
        <f aca="true">RAND()</f>
        <v>0.711993585036518</v>
      </c>
      <c r="T946" s="40" t="n">
        <f aca="true">RAND()</f>
        <v>0.944204845643781</v>
      </c>
      <c r="U946" s="40" t="n">
        <f aca="true">RAND()</f>
        <v>0.516700074050331</v>
      </c>
    </row>
    <row r="947" customFormat="false" ht="15" hidden="false" customHeight="false" outlineLevel="0" collapsed="false">
      <c r="A947" s="36" t="n">
        <v>867</v>
      </c>
      <c r="B947" s="37" t="n">
        <f aca="false">1+IF($G$6=$E$6,$F$6,IF(P947&lt;($F$6-$E$6)/($G$6-$E$6),$E$6+SQRT(P947*($G$6-$E$6)*($F$6-$E$6)),$G$6-SQRT((1-P947)*($G$6-$E$6)*($G$6-$F$6))))</f>
        <v>0.97810692607255</v>
      </c>
      <c r="C947" s="37" t="n">
        <f aca="false">1+IF($G$7=$E$7,$F$7,IF(Q947&lt;($F$7-$E$7)/($G$7-$E$7),$E$7+SQRT(Q947*($G$7-$E$7)*($F$7-$E$7)),$G$7-SQRT((1-Q947)*($G$7-$E$7)*($G$7-$F$7))))</f>
        <v>0.977773756446114</v>
      </c>
      <c r="D947" s="37" t="n">
        <f aca="false">1+IF($G$8=$E$8,$F$8,IF(R947&lt;($F$8-$E$8)/($G$8-$E$8),$E$8+SQRT(R947*($G$8-$E$8)*($F$8-$E$8)),$G$8-SQRT((1-R947)*($G$8-$E$8)*($G$8-$F$8))))</f>
        <v>0.999607552804886</v>
      </c>
      <c r="E947" s="37" t="n">
        <f aca="false">1+IF($G$9=$E$9,$F$9,IF(S947&lt;($F$9-$E$9)/($G$9-$E$9),$E$9+SQRT(S947*($G$9-$E$9)*($F$9-$E$9)),$G$9-SQRT((1-S947)*($G$9-$E$9)*($G$9-$F$9))))</f>
        <v>1.05461643327338</v>
      </c>
      <c r="F947" s="37" t="n">
        <f aca="false">1+IF($G$10=$E$10,$F$10,IF(T947&lt;($F$10-$E$10)/($G$10-$E$10),$E$10+SQRT(T947*($G$10-$E$10)*($F$10-$E$10)),$G$10-SQRT((1-T947)*($G$10-$E$10)*($G$10-$F$10))))</f>
        <v>1.13142470604784</v>
      </c>
      <c r="G947" s="38" t="n">
        <f aca="false">IF($G$11=$E$11,$F$11,IF(U947&lt;($F$11-$E$11)/($G$11-$E$11),$E$11+SQRT(U947*($G$11-$E$11)*($F$11-$E$11)),$G$11-SQRT((1-U947)*($G$11-$E$11)*($G$11-$F$11))))</f>
        <v>0.0992795615089006</v>
      </c>
      <c r="H947" s="39" t="n">
        <f aca="false">(('Business Case'!B11*$C947*'Business Case'!B12*$B947)-'Business Case'!B11*$C947*'Business Case'!B13*$D947-'Business Case'!B14*$E947)-MAX(0,(('Business Case'!B11*$C947*'Business Case'!B12*$B947)-'Business Case'!B11*$C947*'Business Case'!B13*$D947-'Business Case'!B14*$E947))*'Business Case'!$B$7-'Business Case'!$B$8*('Business Case'!B11*$C947*'Business Case'!B12*$B947)-'Business Case'!B15*$F947</f>
        <v>-2262849412.09568</v>
      </c>
      <c r="I947" s="39" t="n">
        <f aca="false">(('Business Case'!C11*$C947*'Business Case'!C12*$B947)-'Business Case'!C11*$C947*'Business Case'!C13*$D947-'Business Case'!C14*$E947)-MAX(0,(('Business Case'!C11*$C947*'Business Case'!C12*$B947)-'Business Case'!C11*$C947*'Business Case'!C13*$D947-'Business Case'!C14*$E947))*'Business Case'!$B$7-'Business Case'!$B$8*(('Business Case'!C11*$C947*'Business Case'!C12*$B947)-('Business Case'!B11*$C947*'Business Case'!B12*$B947))-'Business Case'!C15*$F947</f>
        <v>-29698849.025244</v>
      </c>
      <c r="J947" s="39" t="n">
        <f aca="false">(('Business Case'!D11*$C947*'Business Case'!D12*$B947)-'Business Case'!D11*$C947*'Business Case'!D13*$D947-'Business Case'!D14*$E947)-MAX(0,(('Business Case'!D11*$C947*'Business Case'!D12*$B947)-'Business Case'!D11*$C947*'Business Case'!D13*$D947-'Business Case'!D14*$E947))*'Business Case'!$B$7-'Business Case'!$B$8*(('Business Case'!D11*$C947*'Business Case'!D12*$B947)-('Business Case'!C11*$C947*'Business Case'!C12*$B947))-'Business Case'!D15*$F947</f>
        <v>253289309.332661</v>
      </c>
      <c r="K947" s="39" t="n">
        <f aca="false">(('Business Case'!E11*$C947*'Business Case'!E12*$B947)-'Business Case'!E11*$C947*'Business Case'!E13*$D947-'Business Case'!E14*$E947)-MAX(0,(('Business Case'!E11*$C947*'Business Case'!E12*$B947)-'Business Case'!E11*$C947*'Business Case'!E13*$D947-'Business Case'!E14*$E947))*'Business Case'!$B$7-'Business Case'!$B$8*(('Business Case'!E11*$C947*'Business Case'!E12*$B947)-('Business Case'!D11*$C947*'Business Case'!D12*$B947))-'Business Case'!E15*$F947</f>
        <v>592848702.992957</v>
      </c>
      <c r="L947" s="39" t="n">
        <f aca="false">(('Business Case'!F11*$C947*'Business Case'!F12*$B947)-'Business Case'!F11*$C947*'Business Case'!F13*$D947-'Business Case'!F14*$E947)-MAX(0,(('Business Case'!F11*$C947*'Business Case'!F12*$B947)-'Business Case'!F11*$C947*'Business Case'!F13*$D947-'Business Case'!F14*$E947))*'Business Case'!$B$7-'Business Case'!$B$8*(('Business Case'!F11*$C947*'Business Case'!F12*$B947)-('Business Case'!E11*$C947*'Business Case'!E12*$B947))-'Business Case'!F15*$F947</f>
        <v>720230142.423518</v>
      </c>
      <c r="M947" s="39" t="n">
        <f aca="false">(('Business Case'!G11*$C947*'Business Case'!G12*$B947)-'Business Case'!G11*$C947*'Business Case'!G13*$D947-'Business Case'!G14*$E947)-MAX(0,(('Business Case'!G11*$C947*'Business Case'!G12*$B947)-'Business Case'!G11*$C947*'Business Case'!G13*$D947-'Business Case'!G14*$E947))*'Business Case'!$B$7-'Business Case'!$B$8*(('Business Case'!G11*$C947*'Business Case'!G12*$B947)-('Business Case'!F11*$C947*'Business Case'!F12*$B947))-'Business Case'!G15*$F947+'Business Case'!$B$8*('Business Case'!G11*$C947*'Business Case'!G12*$B947)</f>
        <v>902016435.635447</v>
      </c>
      <c r="N947" s="39" t="n">
        <f aca="false">IF(COUNT('Business Case'!B11:G11)=0,"",H947+NPV(G947,I947:M947))</f>
        <v>-578832576.457042</v>
      </c>
      <c r="P947" s="40" t="n">
        <f aca="true">RAND()</f>
        <v>0.351709881000078</v>
      </c>
      <c r="Q947" s="40" t="n">
        <f aca="true">RAND()</f>
        <v>0.451478692585174</v>
      </c>
      <c r="R947" s="40" t="n">
        <f aca="true">RAND()</f>
        <v>0.378601430044539</v>
      </c>
      <c r="S947" s="40" t="n">
        <f aca="true">RAND()</f>
        <v>0.862688791411365</v>
      </c>
      <c r="T947" s="40" t="n">
        <f aca="true">RAND()</f>
        <v>0.905948581187496</v>
      </c>
      <c r="U947" s="40" t="n">
        <f aca="true">RAND()</f>
        <v>0.287034205991567</v>
      </c>
    </row>
    <row r="948" customFormat="false" ht="15" hidden="false" customHeight="false" outlineLevel="0" collapsed="false">
      <c r="A948" s="36" t="n">
        <v>868</v>
      </c>
      <c r="B948" s="37" t="n">
        <f aca="false">1+IF($G$6=$E$6,$F$6,IF(P948&lt;($F$6-$E$6)/($G$6-$E$6),$E$6+SQRT(P948*($G$6-$E$6)*($F$6-$E$6)),$G$6-SQRT((1-P948)*($G$6-$E$6)*($G$6-$F$6))))</f>
        <v>0.999316100426834</v>
      </c>
      <c r="C948" s="37" t="n">
        <f aca="false">1+IF($G$7=$E$7,$F$7,IF(Q948&lt;($F$7-$E$7)/($G$7-$E$7),$E$7+SQRT(Q948*($G$7-$E$7)*($F$7-$E$7)),$G$7-SQRT((1-Q948)*($G$7-$E$7)*($G$7-$F$7))))</f>
        <v>1.08960101780887</v>
      </c>
      <c r="D948" s="37" t="n">
        <f aca="false">1+IF($G$8=$E$8,$F$8,IF(R948&lt;($F$8-$E$8)/($G$8-$E$8),$E$8+SQRT(R948*($G$8-$E$8)*($F$8-$E$8)),$G$8-SQRT((1-R948)*($G$8-$E$8)*($G$8-$F$8))))</f>
        <v>0.986495862801218</v>
      </c>
      <c r="E948" s="37" t="n">
        <f aca="false">1+IF($G$9=$E$9,$F$9,IF(S948&lt;($F$9-$E$9)/($G$9-$E$9),$E$9+SQRT(S948*($G$9-$E$9)*($F$9-$E$9)),$G$9-SQRT((1-S948)*($G$9-$E$9)*($G$9-$F$9))))</f>
        <v>1.02542825100854</v>
      </c>
      <c r="F948" s="37" t="n">
        <f aca="false">1+IF($G$10=$E$10,$F$10,IF(T948&lt;($F$10-$E$10)/($G$10-$E$10),$E$10+SQRT(T948*($G$10-$E$10)*($F$10-$E$10)),$G$10-SQRT((1-T948)*($G$10-$E$10)*($G$10-$F$10))))</f>
        <v>1.05728822536825</v>
      </c>
      <c r="G948" s="38" t="n">
        <f aca="false">IF($G$11=$E$11,$F$11,IF(U948&lt;($F$11-$E$11)/($G$11-$E$11),$E$11+SQRT(U948*($G$11-$E$11)*($F$11-$E$11)),$G$11-SQRT((1-U948)*($G$11-$E$11)*($G$11-$F$11))))</f>
        <v>0.0983126655338489</v>
      </c>
      <c r="H948" s="39" t="n">
        <f aca="false">(('Business Case'!B11*$C948*'Business Case'!B12*$B948)-'Business Case'!B11*$C948*'Business Case'!B13*$D948-'Business Case'!B14*$E948)-MAX(0,(('Business Case'!B11*$C948*'Business Case'!B12*$B948)-'Business Case'!B11*$C948*'Business Case'!B13*$D948-'Business Case'!B14*$E948))*'Business Case'!$B$7-'Business Case'!$B$8*('Business Case'!B11*$C948*'Business Case'!B12*$B948)-'Business Case'!B15*$F948</f>
        <v>-2114576450.7365</v>
      </c>
      <c r="I948" s="39" t="n">
        <f aca="false">(('Business Case'!C11*$C948*'Business Case'!C12*$B948)-'Business Case'!C11*$C948*'Business Case'!C13*$D948-'Business Case'!C14*$E948)-MAX(0,(('Business Case'!C11*$C948*'Business Case'!C12*$B948)-'Business Case'!C11*$C948*'Business Case'!C13*$D948-'Business Case'!C14*$E948))*'Business Case'!$B$7-'Business Case'!$B$8*(('Business Case'!C11*$C948*'Business Case'!C12*$B948)-('Business Case'!B11*$C948*'Business Case'!B12*$B948))-'Business Case'!C15*$F948</f>
        <v>33604224.2218181</v>
      </c>
      <c r="J948" s="39" t="n">
        <f aca="false">(('Business Case'!D11*$C948*'Business Case'!D12*$B948)-'Business Case'!D11*$C948*'Business Case'!D13*$D948-'Business Case'!D14*$E948)-MAX(0,(('Business Case'!D11*$C948*'Business Case'!D12*$B948)-'Business Case'!D11*$C948*'Business Case'!D13*$D948-'Business Case'!D14*$E948))*'Business Case'!$B$7-'Business Case'!$B$8*(('Business Case'!D11*$C948*'Business Case'!D12*$B948)-('Business Case'!C11*$C948*'Business Case'!C12*$B948))-'Business Case'!D15*$F948</f>
        <v>375199455.026622</v>
      </c>
      <c r="K948" s="39" t="n">
        <f aca="false">(('Business Case'!E11*$C948*'Business Case'!E12*$B948)-'Business Case'!E11*$C948*'Business Case'!E13*$D948-'Business Case'!E14*$E948)-MAX(0,(('Business Case'!E11*$C948*'Business Case'!E12*$B948)-'Business Case'!E11*$C948*'Business Case'!E13*$D948-'Business Case'!E14*$E948))*'Business Case'!$B$7-'Business Case'!$B$8*(('Business Case'!E11*$C948*'Business Case'!E12*$B948)-('Business Case'!D11*$C948*'Business Case'!D12*$B948))-'Business Case'!E15*$F948</f>
        <v>769659097.099839</v>
      </c>
      <c r="L948" s="39" t="n">
        <f aca="false">(('Business Case'!F11*$C948*'Business Case'!F12*$B948)-'Business Case'!F11*$C948*'Business Case'!F13*$D948-'Business Case'!F14*$E948)-MAX(0,(('Business Case'!F11*$C948*'Business Case'!F12*$B948)-'Business Case'!F11*$C948*'Business Case'!F13*$D948-'Business Case'!F14*$E948))*'Business Case'!$B$7-'Business Case'!$B$8*(('Business Case'!F11*$C948*'Business Case'!F12*$B948)-('Business Case'!E11*$C948*'Business Case'!E12*$B948))-'Business Case'!F15*$F948</f>
        <v>921155031.869939</v>
      </c>
      <c r="M948" s="39" t="n">
        <f aca="false">(('Business Case'!G11*$C948*'Business Case'!G12*$B948)-'Business Case'!G11*$C948*'Business Case'!G13*$D948-'Business Case'!G14*$E948)-MAX(0,(('Business Case'!G11*$C948*'Business Case'!G12*$B948)-'Business Case'!G11*$C948*'Business Case'!G13*$D948-'Business Case'!G14*$E948))*'Business Case'!$B$7-'Business Case'!$B$8*(('Business Case'!G11*$C948*'Business Case'!G12*$B948)-('Business Case'!F11*$C948*'Business Case'!F12*$B948))-'Business Case'!G15*$F948+'Business Case'!$B$8*('Business Case'!G11*$C948*'Business Case'!G12*$B948)</f>
        <v>1128124749.96334</v>
      </c>
      <c r="N948" s="39" t="n">
        <f aca="false">IF(COUNT('Business Case'!B11:G11)=0,"",H948+NPV(G948,I948:M948))</f>
        <v>146891433.873073</v>
      </c>
      <c r="P948" s="40" t="n">
        <f aca="true">RAND()</f>
        <v>0.655317061137453</v>
      </c>
      <c r="Q948" s="40" t="n">
        <f aca="true">RAND()</f>
        <v>0.930513580005239</v>
      </c>
      <c r="R948" s="40" t="n">
        <f aca="true">RAND()</f>
        <v>0.204915077170055</v>
      </c>
      <c r="S948" s="40" t="n">
        <f aca="true">RAND()</f>
        <v>0.629270283490292</v>
      </c>
      <c r="T948" s="40" t="n">
        <f aca="true">RAND()</f>
        <v>0.592666987629133</v>
      </c>
      <c r="U948" s="40" t="n">
        <f aca="true">RAND()</f>
        <v>0.230334694258796</v>
      </c>
    </row>
    <row r="949" customFormat="false" ht="15" hidden="false" customHeight="false" outlineLevel="0" collapsed="false">
      <c r="A949" s="36" t="n">
        <v>869</v>
      </c>
      <c r="B949" s="37" t="n">
        <f aca="false">1+IF($G$6=$E$6,$F$6,IF(P949&lt;($F$6-$E$6)/($G$6-$E$6),$E$6+SQRT(P949*($G$6-$E$6)*($F$6-$E$6)),$G$6-SQRT((1-P949)*($G$6-$E$6)*($G$6-$F$6))))</f>
        <v>0.979960267707956</v>
      </c>
      <c r="C949" s="37" t="n">
        <f aca="false">1+IF($G$7=$E$7,$F$7,IF(Q949&lt;($F$7-$E$7)/($G$7-$E$7),$E$7+SQRT(Q949*($G$7-$E$7)*($F$7-$E$7)),$G$7-SQRT((1-Q949)*($G$7-$E$7)*($G$7-$F$7))))</f>
        <v>0.859775632684547</v>
      </c>
      <c r="D949" s="37" t="n">
        <f aca="false">1+IF($G$8=$E$8,$F$8,IF(R949&lt;($F$8-$E$8)/($G$8-$E$8),$E$8+SQRT(R949*($G$8-$E$8)*($F$8-$E$8)),$G$8-SQRT((1-R949)*($G$8-$E$8)*($G$8-$F$8))))</f>
        <v>0.991440882315637</v>
      </c>
      <c r="E949" s="37" t="n">
        <f aca="false">1+IF($G$9=$E$9,$F$9,IF(S949&lt;($F$9-$E$9)/($G$9-$E$9),$E$9+SQRT(S949*($G$9-$E$9)*($F$9-$E$9)),$G$9-SQRT((1-S949)*($G$9-$E$9)*($G$9-$F$9))))</f>
        <v>0.976562853570694</v>
      </c>
      <c r="F949" s="37" t="n">
        <f aca="false">1+IF($G$10=$E$10,$F$10,IF(T949&lt;($F$10-$E$10)/($G$10-$E$10),$E$10+SQRT(T949*($G$10-$E$10)*($F$10-$E$10)),$G$10-SQRT((1-T949)*($G$10-$E$10)*($G$10-$F$10))))</f>
        <v>1.03005795188611</v>
      </c>
      <c r="G949" s="38" t="n">
        <f aca="false">IF($G$11=$E$11,$F$11,IF(U949&lt;($F$11-$E$11)/($G$11-$E$11),$E$11+SQRT(U949*($G$11-$E$11)*($F$11-$E$11)),$G$11-SQRT((1-U949)*($G$11-$E$11)*($G$11-$F$11))))</f>
        <v>0.103401191559192</v>
      </c>
      <c r="H949" s="39" t="n">
        <f aca="false">(('Business Case'!B11*$C949*'Business Case'!B12*$B949)-'Business Case'!B11*$C949*'Business Case'!B13*$D949-'Business Case'!B14*$E949)-MAX(0,(('Business Case'!B11*$C949*'Business Case'!B12*$B949)-'Business Case'!B11*$C949*'Business Case'!B13*$D949-'Business Case'!B14*$E949))*'Business Case'!$B$7-'Business Case'!$B$8*('Business Case'!B11*$C949*'Business Case'!B12*$B949)-'Business Case'!B15*$F949</f>
        <v>-2060115903.77221</v>
      </c>
      <c r="I949" s="39" t="n">
        <f aca="false">(('Business Case'!C11*$C949*'Business Case'!C12*$B949)-'Business Case'!C11*$C949*'Business Case'!C13*$D949-'Business Case'!C14*$E949)-MAX(0,(('Business Case'!C11*$C949*'Business Case'!C12*$B949)-'Business Case'!C11*$C949*'Business Case'!C13*$D949-'Business Case'!C14*$E949))*'Business Case'!$B$7-'Business Case'!$B$8*(('Business Case'!C11*$C949*'Business Case'!C12*$B949)-('Business Case'!B11*$C949*'Business Case'!B12*$B949))-'Business Case'!C15*$F949</f>
        <v>-31813974.753651</v>
      </c>
      <c r="J949" s="39" t="n">
        <f aca="false">(('Business Case'!D11*$C949*'Business Case'!D12*$B949)-'Business Case'!D11*$C949*'Business Case'!D13*$D949-'Business Case'!D14*$E949)-MAX(0,(('Business Case'!D11*$C949*'Business Case'!D12*$B949)-'Business Case'!D11*$C949*'Business Case'!D13*$D949-'Business Case'!D14*$E949))*'Business Case'!$B$7-'Business Case'!$B$8*(('Business Case'!D11*$C949*'Business Case'!D12*$B949)-('Business Case'!C11*$C949*'Business Case'!C12*$B949))-'Business Case'!D15*$F949</f>
        <v>221922665.982658</v>
      </c>
      <c r="K949" s="39" t="n">
        <f aca="false">(('Business Case'!E11*$C949*'Business Case'!E12*$B949)-'Business Case'!E11*$C949*'Business Case'!E13*$D949-'Business Case'!E14*$E949)-MAX(0,(('Business Case'!E11*$C949*'Business Case'!E12*$B949)-'Business Case'!E11*$C949*'Business Case'!E13*$D949-'Business Case'!E14*$E949))*'Business Case'!$B$7-'Business Case'!$B$8*(('Business Case'!E11*$C949*'Business Case'!E12*$B949)-('Business Case'!D11*$C949*'Business Case'!D12*$B949))-'Business Case'!E15*$F949</f>
        <v>527162204.313273</v>
      </c>
      <c r="L949" s="39" t="n">
        <f aca="false">(('Business Case'!F11*$C949*'Business Case'!F12*$B949)-'Business Case'!F11*$C949*'Business Case'!F13*$D949-'Business Case'!F14*$E949)-MAX(0,(('Business Case'!F11*$C949*'Business Case'!F12*$B949)-'Business Case'!F11*$C949*'Business Case'!F13*$D949-'Business Case'!F14*$E949))*'Business Case'!$B$7-'Business Case'!$B$8*(('Business Case'!F11*$C949*'Business Case'!F12*$B949)-('Business Case'!E11*$C949*'Business Case'!E12*$B949))-'Business Case'!F15*$F949</f>
        <v>640859472.907774</v>
      </c>
      <c r="M949" s="39" t="n">
        <f aca="false">(('Business Case'!G11*$C949*'Business Case'!G12*$B949)-'Business Case'!G11*$C949*'Business Case'!G13*$D949-'Business Case'!G14*$E949)-MAX(0,(('Business Case'!G11*$C949*'Business Case'!G12*$B949)-'Business Case'!G11*$C949*'Business Case'!G13*$D949-'Business Case'!G14*$E949))*'Business Case'!$B$7-'Business Case'!$B$8*(('Business Case'!G11*$C949*'Business Case'!G12*$B949)-('Business Case'!F11*$C949*'Business Case'!F12*$B949))-'Business Case'!G15*$F949+'Business Case'!$B$8*('Business Case'!G11*$C949*'Business Case'!G12*$B949)</f>
        <v>801010608.82763</v>
      </c>
      <c r="N949" s="39" t="n">
        <f aca="false">IF(COUNT('Business Case'!B11:G11)=0,"",H949+NPV(G949,I949:M949))</f>
        <v>-592167130.338942</v>
      </c>
      <c r="P949" s="40" t="n">
        <f aca="true">RAND()</f>
        <v>0.374503510792684</v>
      </c>
      <c r="Q949" s="40" t="n">
        <f aca="true">RAND()</f>
        <v>0.0510446608976839</v>
      </c>
      <c r="R949" s="40" t="n">
        <f aca="true">RAND()</f>
        <v>0.26420718878438</v>
      </c>
      <c r="S949" s="40" t="n">
        <f aca="true">RAND()</f>
        <v>0.0940780253090845</v>
      </c>
      <c r="T949" s="40" t="n">
        <f aca="true">RAND()</f>
        <v>0.422394005657098</v>
      </c>
      <c r="U949" s="40" t="n">
        <f aca="true">RAND()</f>
        <v>0.540799263908915</v>
      </c>
    </row>
    <row r="950" customFormat="false" ht="15" hidden="false" customHeight="false" outlineLevel="0" collapsed="false">
      <c r="A950" s="36" t="n">
        <v>870</v>
      </c>
      <c r="B950" s="37" t="n">
        <f aca="false">1+IF($G$6=$E$6,$F$6,IF(P950&lt;($F$6-$E$6)/($G$6-$E$6),$E$6+SQRT(P950*($G$6-$E$6)*($F$6-$E$6)),$G$6-SQRT((1-P950)*($G$6-$E$6)*($G$6-$F$6))))</f>
        <v>1.030482581507</v>
      </c>
      <c r="C950" s="37" t="n">
        <f aca="false">1+IF($G$7=$E$7,$F$7,IF(Q950&lt;($F$7-$E$7)/($G$7-$E$7),$E$7+SQRT(Q950*($G$7-$E$7)*($F$7-$E$7)),$G$7-SQRT((1-Q950)*($G$7-$E$7)*($G$7-$F$7))))</f>
        <v>1.01938027699009</v>
      </c>
      <c r="D950" s="37" t="n">
        <f aca="false">1+IF($G$8=$E$8,$F$8,IF(R950&lt;($F$8-$E$8)/($G$8-$E$8),$E$8+SQRT(R950*($G$8-$E$8)*($F$8-$E$8)),$G$8-SQRT((1-R950)*($G$8-$E$8)*($G$8-$F$8))))</f>
        <v>1.04538764921441</v>
      </c>
      <c r="E950" s="37" t="n">
        <f aca="false">1+IF($G$9=$E$9,$F$9,IF(S950&lt;($F$9-$E$9)/($G$9-$E$9),$E$9+SQRT(S950*($G$9-$E$9)*($F$9-$E$9)),$G$9-SQRT((1-S950)*($G$9-$E$9)*($G$9-$F$9))))</f>
        <v>1.00657530934875</v>
      </c>
      <c r="F950" s="37" t="n">
        <f aca="false">1+IF($G$10=$E$10,$F$10,IF(T950&lt;($F$10-$E$10)/($G$10-$E$10),$E$10+SQRT(T950*($G$10-$E$10)*($F$10-$E$10)),$G$10-SQRT((1-T950)*($G$10-$E$10)*($G$10-$F$10))))</f>
        <v>1.1608693095986</v>
      </c>
      <c r="G950" s="38" t="n">
        <f aca="false">IF($G$11=$E$11,$F$11,IF(U950&lt;($F$11-$E$11)/($G$11-$E$11),$E$11+SQRT(U950*($G$11-$E$11)*($F$11-$E$11)),$G$11-SQRT((1-U950)*($G$11-$E$11)*($G$11-$F$11))))</f>
        <v>0.100754861162466</v>
      </c>
      <c r="H950" s="39" t="n">
        <f aca="false">(('Business Case'!B11*$C950*'Business Case'!B12*$B950)-'Business Case'!B11*$C950*'Business Case'!B13*$D950-'Business Case'!B14*$E950)-MAX(0,(('Business Case'!B11*$C950*'Business Case'!B12*$B950)-'Business Case'!B11*$C950*'Business Case'!B13*$D950-'Business Case'!B14*$E950))*'Business Case'!$B$7-'Business Case'!$B$8*('Business Case'!B11*$C950*'Business Case'!B12*$B950)-'Business Case'!B15*$F950</f>
        <v>-2321738619.1972</v>
      </c>
      <c r="I950" s="39" t="n">
        <f aca="false">(('Business Case'!C11*$C950*'Business Case'!C12*$B950)-'Business Case'!C11*$C950*'Business Case'!C13*$D950-'Business Case'!C14*$E950)-MAX(0,(('Business Case'!C11*$C950*'Business Case'!C12*$B950)-'Business Case'!C11*$C950*'Business Case'!C13*$D950-'Business Case'!C14*$E950))*'Business Case'!$B$7-'Business Case'!$B$8*(('Business Case'!C11*$C950*'Business Case'!C12*$B950)-('Business Case'!B11*$C950*'Business Case'!B12*$B950))-'Business Case'!C15*$F950</f>
        <v>1193396.82527593</v>
      </c>
      <c r="J950" s="39" t="n">
        <f aca="false">(('Business Case'!D11*$C950*'Business Case'!D12*$B950)-'Business Case'!D11*$C950*'Business Case'!D13*$D950-'Business Case'!D14*$E950)-MAX(0,(('Business Case'!D11*$C950*'Business Case'!D12*$B950)-'Business Case'!D11*$C950*'Business Case'!D13*$D950-'Business Case'!D14*$E950))*'Business Case'!$B$7-'Business Case'!$B$8*(('Business Case'!D11*$C950*'Business Case'!D12*$B950)-('Business Case'!C11*$C950*'Business Case'!C12*$B950))-'Business Case'!D15*$F950</f>
        <v>316064249.227948</v>
      </c>
      <c r="K950" s="39" t="n">
        <f aca="false">(('Business Case'!E11*$C950*'Business Case'!E12*$B950)-'Business Case'!E11*$C950*'Business Case'!E13*$D950-'Business Case'!E14*$E950)-MAX(0,(('Business Case'!E11*$C950*'Business Case'!E12*$B950)-'Business Case'!E11*$C950*'Business Case'!E13*$D950-'Business Case'!E14*$E950))*'Business Case'!$B$7-'Business Case'!$B$8*(('Business Case'!E11*$C950*'Business Case'!E12*$B950)-('Business Case'!D11*$C950*'Business Case'!D12*$B950))-'Business Case'!E15*$F950</f>
        <v>688978567.110551</v>
      </c>
      <c r="L950" s="39" t="n">
        <f aca="false">(('Business Case'!F11*$C950*'Business Case'!F12*$B950)-'Business Case'!F11*$C950*'Business Case'!F13*$D950-'Business Case'!F14*$E950)-MAX(0,(('Business Case'!F11*$C950*'Business Case'!F12*$B950)-'Business Case'!F11*$C950*'Business Case'!F13*$D950-'Business Case'!F14*$E950))*'Business Case'!$B$7-'Business Case'!$B$8*(('Business Case'!F11*$C950*'Business Case'!F12*$B950)-('Business Case'!E11*$C950*'Business Case'!E12*$B950))-'Business Case'!F15*$F950</f>
        <v>830239194.996871</v>
      </c>
      <c r="M950" s="39" t="n">
        <f aca="false">(('Business Case'!G11*$C950*'Business Case'!G12*$B950)-'Business Case'!G11*$C950*'Business Case'!G13*$D950-'Business Case'!G14*$E950)-MAX(0,(('Business Case'!G11*$C950*'Business Case'!G12*$B950)-'Business Case'!G11*$C950*'Business Case'!G13*$D950-'Business Case'!G14*$E950))*'Business Case'!$B$7-'Business Case'!$B$8*(('Business Case'!G11*$C950*'Business Case'!G12*$B950)-('Business Case'!F11*$C950*'Business Case'!F12*$B950))-'Business Case'!G15*$F950+'Business Case'!$B$8*('Business Case'!G11*$C950*'Business Case'!G12*$B950)</f>
        <v>1029909418.96673</v>
      </c>
      <c r="N950" s="39" t="n">
        <f aca="false">IF(COUNT('Business Case'!B11:G11)=0,"",H950+NPV(G950,I950:M950))</f>
        <v>-340413230.349101</v>
      </c>
      <c r="P950" s="40" t="n">
        <f aca="true">RAND()</f>
        <v>0.981128905256049</v>
      </c>
      <c r="Q950" s="40" t="n">
        <f aca="true">RAND()</f>
        <v>0.675018818301251</v>
      </c>
      <c r="R950" s="40" t="n">
        <f aca="true">RAND()</f>
        <v>0.884806266643775</v>
      </c>
      <c r="S950" s="40" t="n">
        <f aca="true">RAND()</f>
        <v>0.418121811781197</v>
      </c>
      <c r="T950" s="40" t="n">
        <f aca="true">RAND()</f>
        <v>0.969375781374199</v>
      </c>
      <c r="U950" s="40" t="n">
        <f aca="true">RAND()</f>
        <v>0.382707718540042</v>
      </c>
    </row>
    <row r="951" customFormat="false" ht="15" hidden="false" customHeight="false" outlineLevel="0" collapsed="false">
      <c r="A951" s="36" t="n">
        <v>871</v>
      </c>
      <c r="B951" s="37" t="n">
        <f aca="false">1+IF($G$6=$E$6,$F$6,IF(P951&lt;($F$6-$E$6)/($G$6-$E$6),$E$6+SQRT(P951*($G$6-$E$6)*($F$6-$E$6)),$G$6-SQRT((1-P951)*($G$6-$E$6)*($G$6-$F$6))))</f>
        <v>1.00671717672229</v>
      </c>
      <c r="C951" s="37" t="n">
        <f aca="false">1+IF($G$7=$E$7,$F$7,IF(Q951&lt;($F$7-$E$7)/($G$7-$E$7),$E$7+SQRT(Q951*($G$7-$E$7)*($F$7-$E$7)),$G$7-SQRT((1-Q951)*($G$7-$E$7)*($G$7-$F$7))))</f>
        <v>0.930898897338942</v>
      </c>
      <c r="D951" s="37" t="n">
        <f aca="false">1+IF($G$8=$E$8,$F$8,IF(R951&lt;($F$8-$E$8)/($G$8-$E$8),$E$8+SQRT(R951*($G$8-$E$8)*($F$8-$E$8)),$G$8-SQRT((1-R951)*($G$8-$E$8)*($G$8-$F$8))))</f>
        <v>1.00646542333111</v>
      </c>
      <c r="E951" s="37" t="n">
        <f aca="false">1+IF($G$9=$E$9,$F$9,IF(S951&lt;($F$9-$E$9)/($G$9-$E$9),$E$9+SQRT(S951*($G$9-$E$9)*($F$9-$E$9)),$G$9-SQRT((1-S951)*($G$9-$E$9)*($G$9-$F$9))))</f>
        <v>1.0684825866811</v>
      </c>
      <c r="F951" s="37" t="n">
        <f aca="false">1+IF($G$10=$E$10,$F$10,IF(T951&lt;($F$10-$E$10)/($G$10-$E$10),$E$10+SQRT(T951*($G$10-$E$10)*($F$10-$E$10)),$G$10-SQRT((1-T951)*($G$10-$E$10)*($G$10-$F$10))))</f>
        <v>1.12716486122222</v>
      </c>
      <c r="G951" s="38" t="n">
        <f aca="false">IF($G$11=$E$11,$F$11,IF(U951&lt;($F$11-$E$11)/($G$11-$E$11),$E$11+SQRT(U951*($G$11-$E$11)*($F$11-$E$11)),$G$11-SQRT((1-U951)*($G$11-$E$11)*($G$11-$F$11))))</f>
        <v>0.0957707938525452</v>
      </c>
      <c r="H951" s="39" t="n">
        <f aca="false">(('Business Case'!B11*$C951*'Business Case'!B12*$B951)-'Business Case'!B11*$C951*'Business Case'!B13*$D951-'Business Case'!B14*$E951)-MAX(0,(('Business Case'!B11*$C951*'Business Case'!B12*$B951)-'Business Case'!B11*$C951*'Business Case'!B13*$D951-'Business Case'!B14*$E951))*'Business Case'!$B$7-'Business Case'!$B$8*('Business Case'!B11*$C951*'Business Case'!B12*$B951)-'Business Case'!B15*$F951</f>
        <v>-2254329722.44445</v>
      </c>
      <c r="I951" s="39" t="n">
        <f aca="false">(('Business Case'!C11*$C951*'Business Case'!C12*$B951)-'Business Case'!C11*$C951*'Business Case'!C13*$D951-'Business Case'!C14*$E951)-MAX(0,(('Business Case'!C11*$C951*'Business Case'!C12*$B951)-'Business Case'!C11*$C951*'Business Case'!C13*$D951-'Business Case'!C14*$E951))*'Business Case'!$B$7-'Business Case'!$B$8*(('Business Case'!C11*$C951*'Business Case'!C12*$B951)-('Business Case'!B11*$C951*'Business Case'!B12*$B951))-'Business Case'!C15*$F951</f>
        <v>-25268609.5559669</v>
      </c>
      <c r="J951" s="39" t="n">
        <f aca="false">(('Business Case'!D11*$C951*'Business Case'!D12*$B951)-'Business Case'!D11*$C951*'Business Case'!D13*$D951-'Business Case'!D14*$E951)-MAX(0,(('Business Case'!D11*$C951*'Business Case'!D12*$B951)-'Business Case'!D11*$C951*'Business Case'!D13*$D951-'Business Case'!D14*$E951))*'Business Case'!$B$7-'Business Case'!$B$8*(('Business Case'!D11*$C951*'Business Case'!D12*$B951)-('Business Case'!C11*$C951*'Business Case'!C12*$B951))-'Business Case'!D15*$F951</f>
        <v>262699445.837415</v>
      </c>
      <c r="K951" s="39" t="n">
        <f aca="false">(('Business Case'!E11*$C951*'Business Case'!E12*$B951)-'Business Case'!E11*$C951*'Business Case'!E13*$D951-'Business Case'!E14*$E951)-MAX(0,(('Business Case'!E11*$C951*'Business Case'!E12*$B951)-'Business Case'!E11*$C951*'Business Case'!E13*$D951-'Business Case'!E14*$E951))*'Business Case'!$B$7-'Business Case'!$B$8*(('Business Case'!E11*$C951*'Business Case'!E12*$B951)-('Business Case'!D11*$C951*'Business Case'!D12*$B951))-'Business Case'!E15*$F951</f>
        <v>607025744.291908</v>
      </c>
      <c r="L951" s="39" t="n">
        <f aca="false">(('Business Case'!F11*$C951*'Business Case'!F12*$B951)-'Business Case'!F11*$C951*'Business Case'!F13*$D951-'Business Case'!F14*$E951)-MAX(0,(('Business Case'!F11*$C951*'Business Case'!F12*$B951)-'Business Case'!F11*$C951*'Business Case'!F13*$D951-'Business Case'!F14*$E951))*'Business Case'!$B$7-'Business Case'!$B$8*(('Business Case'!F11*$C951*'Business Case'!F12*$B951)-('Business Case'!E11*$C951*'Business Case'!E12*$B951))-'Business Case'!F15*$F951</f>
        <v>735403066.090419</v>
      </c>
      <c r="M951" s="39" t="n">
        <f aca="false">(('Business Case'!G11*$C951*'Business Case'!G12*$B951)-'Business Case'!G11*$C951*'Business Case'!G13*$D951-'Business Case'!G14*$E951)-MAX(0,(('Business Case'!G11*$C951*'Business Case'!G12*$B951)-'Business Case'!G11*$C951*'Business Case'!G13*$D951-'Business Case'!G14*$E951))*'Business Case'!$B$7-'Business Case'!$B$8*(('Business Case'!G11*$C951*'Business Case'!G12*$B951)-('Business Case'!F11*$C951*'Business Case'!F12*$B951))-'Business Case'!G15*$F951+'Business Case'!$B$8*('Business Case'!G11*$C951*'Business Case'!G12*$B951)</f>
        <v>913536901.094358</v>
      </c>
      <c r="N951" s="39" t="n">
        <f aca="false">IF(COUNT('Business Case'!B11:G11)=0,"",H951+NPV(G951,I951:M951))</f>
        <v>-508879766.713335</v>
      </c>
      <c r="P951" s="40" t="n">
        <f aca="true">RAND()</f>
        <v>0.76921951555509</v>
      </c>
      <c r="Q951" s="40" t="n">
        <f aca="true">RAND()</f>
        <v>0.244778876065013</v>
      </c>
      <c r="R951" s="40" t="n">
        <f aca="true">RAND()</f>
        <v>0.480064041743054</v>
      </c>
      <c r="S951" s="40" t="n">
        <f aca="true">RAND()</f>
        <v>0.933776843845698</v>
      </c>
      <c r="T951" s="40" t="n">
        <f aca="true">RAND()</f>
        <v>0.893900851184442</v>
      </c>
      <c r="U951" s="40" t="n">
        <f aca="true">RAND()</f>
        <v>0.111006872295246</v>
      </c>
    </row>
    <row r="952" customFormat="false" ht="15" hidden="false" customHeight="false" outlineLevel="0" collapsed="false">
      <c r="A952" s="36" t="n">
        <v>872</v>
      </c>
      <c r="B952" s="37" t="n">
        <f aca="false">1+IF($G$6=$E$6,$F$6,IF(P952&lt;($F$6-$E$6)/($G$6-$E$6),$E$6+SQRT(P952*($G$6-$E$6)*($F$6-$E$6)),$G$6-SQRT((1-P952)*($G$6-$E$6)*($G$6-$F$6))))</f>
        <v>0.953772982786152</v>
      </c>
      <c r="C952" s="37" t="n">
        <f aca="false">1+IF($G$7=$E$7,$F$7,IF(Q952&lt;($F$7-$E$7)/($G$7-$E$7),$E$7+SQRT(Q952*($G$7-$E$7)*($F$7-$E$7)),$G$7-SQRT((1-Q952)*($G$7-$E$7)*($G$7-$F$7))))</f>
        <v>0.940972581197767</v>
      </c>
      <c r="D952" s="37" t="n">
        <f aca="false">1+IF($G$8=$E$8,$F$8,IF(R952&lt;($F$8-$E$8)/($G$8-$E$8),$E$8+SQRT(R952*($G$8-$E$8)*($F$8-$E$8)),$G$8-SQRT((1-R952)*($G$8-$E$8)*($G$8-$F$8))))</f>
        <v>1.03264440017772</v>
      </c>
      <c r="E952" s="37" t="n">
        <f aca="false">1+IF($G$9=$E$9,$F$9,IF(S952&lt;($F$9-$E$9)/($G$9-$E$9),$E$9+SQRT(S952*($G$9-$E$9)*($F$9-$E$9)),$G$9-SQRT((1-S952)*($G$9-$E$9)*($G$9-$F$9))))</f>
        <v>1.01882368450032</v>
      </c>
      <c r="F952" s="37" t="n">
        <f aca="false">1+IF($G$10=$E$10,$F$10,IF(T952&lt;($F$10-$E$10)/($G$10-$E$10),$E$10+SQRT(T952*($G$10-$E$10)*($F$10-$E$10)),$G$10-SQRT((1-T952)*($G$10-$E$10)*($G$10-$F$10))))</f>
        <v>1.02497207328769</v>
      </c>
      <c r="G952" s="38" t="n">
        <f aca="false">IF($G$11=$E$11,$F$11,IF(U952&lt;($F$11-$E$11)/($G$11-$E$11),$E$11+SQRT(U952*($G$11-$E$11)*($F$11-$E$11)),$G$11-SQRT((1-U952)*($G$11-$E$11)*($G$11-$F$11))))</f>
        <v>0.112230129441927</v>
      </c>
      <c r="H952" s="39" t="n">
        <f aca="false">(('Business Case'!B11*$C952*'Business Case'!B12*$B952)-'Business Case'!B11*$C952*'Business Case'!B13*$D952-'Business Case'!B14*$E952)-MAX(0,(('Business Case'!B11*$C952*'Business Case'!B12*$B952)-'Business Case'!B11*$C952*'Business Case'!B13*$D952-'Business Case'!B14*$E952))*'Business Case'!$B$7-'Business Case'!$B$8*('Business Case'!B11*$C952*'Business Case'!B12*$B952)-'Business Case'!B15*$F952</f>
        <v>-2049944146.57539</v>
      </c>
      <c r="I952" s="39" t="n">
        <f aca="false">(('Business Case'!C11*$C952*'Business Case'!C12*$B952)-'Business Case'!C11*$C952*'Business Case'!C13*$D952-'Business Case'!C14*$E952)-MAX(0,(('Business Case'!C11*$C952*'Business Case'!C12*$B952)-'Business Case'!C11*$C952*'Business Case'!C13*$D952-'Business Case'!C14*$E952))*'Business Case'!$B$7-'Business Case'!$B$8*(('Business Case'!C11*$C952*'Business Case'!C12*$B952)-('Business Case'!B11*$C952*'Business Case'!B12*$B952))-'Business Case'!C15*$F952</f>
        <v>-56230569.2366787</v>
      </c>
      <c r="J952" s="39" t="n">
        <f aca="false">(('Business Case'!D11*$C952*'Business Case'!D12*$B952)-'Business Case'!D11*$C952*'Business Case'!D13*$D952-'Business Case'!D14*$E952)-MAX(0,(('Business Case'!D11*$C952*'Business Case'!D12*$B952)-'Business Case'!D11*$C952*'Business Case'!D13*$D952-'Business Case'!D14*$E952))*'Business Case'!$B$7-'Business Case'!$B$8*(('Business Case'!D11*$C952*'Business Case'!D12*$B952)-('Business Case'!C11*$C952*'Business Case'!C12*$B952))-'Business Case'!D15*$F952</f>
        <v>181437860.640707</v>
      </c>
      <c r="K952" s="39" t="n">
        <f aca="false">(('Business Case'!E11*$C952*'Business Case'!E12*$B952)-'Business Case'!E11*$C952*'Business Case'!E13*$D952-'Business Case'!E14*$E952)-MAX(0,(('Business Case'!E11*$C952*'Business Case'!E12*$B952)-'Business Case'!E11*$C952*'Business Case'!E13*$D952-'Business Case'!E14*$E952))*'Business Case'!$B$7-'Business Case'!$B$8*(('Business Case'!E11*$C952*'Business Case'!E12*$B952)-('Business Case'!D11*$C952*'Business Case'!D12*$B952))-'Business Case'!E15*$F952</f>
        <v>470354894.182477</v>
      </c>
      <c r="L952" s="39" t="n">
        <f aca="false">(('Business Case'!F11*$C952*'Business Case'!F12*$B952)-'Business Case'!F11*$C952*'Business Case'!F13*$D952-'Business Case'!F14*$E952)-MAX(0,(('Business Case'!F11*$C952*'Business Case'!F12*$B952)-'Business Case'!F11*$C952*'Business Case'!F13*$D952-'Business Case'!F14*$E952))*'Business Case'!$B$7-'Business Case'!$B$8*(('Business Case'!F11*$C952*'Business Case'!F12*$B952)-('Business Case'!E11*$C952*'Business Case'!E12*$B952))-'Business Case'!F15*$F952</f>
        <v>580594413.374505</v>
      </c>
      <c r="M952" s="39" t="n">
        <f aca="false">(('Business Case'!G11*$C952*'Business Case'!G12*$B952)-'Business Case'!G11*$C952*'Business Case'!G13*$D952-'Business Case'!G14*$E952)-MAX(0,(('Business Case'!G11*$C952*'Business Case'!G12*$B952)-'Business Case'!G11*$C952*'Business Case'!G13*$D952-'Business Case'!G14*$E952))*'Business Case'!$B$7-'Business Case'!$B$8*(('Business Case'!G11*$C952*'Business Case'!G12*$B952)-('Business Case'!F11*$C952*'Business Case'!F12*$B952))-'Business Case'!G15*$F952+'Business Case'!$B$8*('Business Case'!G11*$C952*'Business Case'!G12*$B952)</f>
        <v>751186314.15545</v>
      </c>
      <c r="N952" s="39" t="n">
        <f aca="false">IF(COUNT('Business Case'!B11:G11)=0,"",H952+NPV(G952,I952:M952))</f>
        <v>-791238424.297183</v>
      </c>
      <c r="P952" s="40" t="n">
        <f aca="true">RAND()</f>
        <v>0.118813996486847</v>
      </c>
      <c r="Q952" s="40" t="n">
        <f aca="true">RAND()</f>
        <v>0.28390383785087</v>
      </c>
      <c r="R952" s="40" t="n">
        <f aca="true">RAND()</f>
        <v>0.784369919756906</v>
      </c>
      <c r="S952" s="40" t="n">
        <f aca="true">RAND()</f>
        <v>0.560693720126475</v>
      </c>
      <c r="T952" s="40" t="n">
        <f aca="true">RAND()</f>
        <v>0.387304497415823</v>
      </c>
      <c r="U952" s="40" t="n">
        <f aca="true">RAND()</f>
        <v>0.899381852517977</v>
      </c>
    </row>
    <row r="953" customFormat="false" ht="15" hidden="false" customHeight="false" outlineLevel="0" collapsed="false">
      <c r="A953" s="36" t="n">
        <v>873</v>
      </c>
      <c r="B953" s="37" t="n">
        <f aca="false">1+IF($G$6=$E$6,$F$6,IF(P953&lt;($F$6-$E$6)/($G$6-$E$6),$E$6+SQRT(P953*($G$6-$E$6)*($F$6-$E$6)),$G$6-SQRT((1-P953)*($G$6-$E$6)*($G$6-$F$6))))</f>
        <v>1.00802728273015</v>
      </c>
      <c r="C953" s="37" t="n">
        <f aca="false">1+IF($G$7=$E$7,$F$7,IF(Q953&lt;($F$7-$E$7)/($G$7-$E$7),$E$7+SQRT(Q953*($G$7-$E$7)*($F$7-$E$7)),$G$7-SQRT((1-Q953)*($G$7-$E$7)*($G$7-$F$7))))</f>
        <v>1.00847130522696</v>
      </c>
      <c r="D953" s="37" t="n">
        <f aca="false">1+IF($G$8=$E$8,$F$8,IF(R953&lt;($F$8-$E$8)/($G$8-$E$8),$E$8+SQRT(R953*($G$8-$E$8)*($F$8-$E$8)),$G$8-SQRT((1-R953)*($G$8-$E$8)*($G$8-$F$8))))</f>
        <v>1.00662865234573</v>
      </c>
      <c r="E953" s="37" t="n">
        <f aca="false">1+IF($G$9=$E$9,$F$9,IF(S953&lt;($F$9-$E$9)/($G$9-$E$9),$E$9+SQRT(S953*($G$9-$E$9)*($F$9-$E$9)),$G$9-SQRT((1-S953)*($G$9-$E$9)*($G$9-$F$9))))</f>
        <v>1.05962624511125</v>
      </c>
      <c r="F953" s="37" t="n">
        <f aca="false">1+IF($G$10=$E$10,$F$10,IF(T953&lt;($F$10-$E$10)/($G$10-$E$10),$E$10+SQRT(T953*($G$10-$E$10)*($F$10-$E$10)),$G$10-SQRT((1-T953)*($G$10-$E$10)*($G$10-$F$10))))</f>
        <v>1.13204211436128</v>
      </c>
      <c r="G953" s="38" t="n">
        <f aca="false">IF($G$11=$E$11,$F$11,IF(U953&lt;($F$11-$E$11)/($G$11-$E$11),$E$11+SQRT(U953*($G$11-$E$11)*($F$11-$E$11)),$G$11-SQRT((1-U953)*($G$11-$E$11)*($G$11-$F$11))))</f>
        <v>0.107931965999434</v>
      </c>
      <c r="H953" s="39" t="n">
        <f aca="false">(('Business Case'!B11*$C953*'Business Case'!B12*$B953)-'Business Case'!B11*$C953*'Business Case'!B13*$D953-'Business Case'!B14*$E953)-MAX(0,(('Business Case'!B11*$C953*'Business Case'!B12*$B953)-'Business Case'!B11*$C953*'Business Case'!B13*$D953-'Business Case'!B14*$E953))*'Business Case'!$B$7-'Business Case'!$B$8*('Business Case'!B11*$C953*'Business Case'!B12*$B953)-'Business Case'!B15*$F953</f>
        <v>-2264084228.72256</v>
      </c>
      <c r="I953" s="39" t="n">
        <f aca="false">(('Business Case'!C11*$C953*'Business Case'!C12*$B953)-'Business Case'!C11*$C953*'Business Case'!C13*$D953-'Business Case'!C14*$E953)-MAX(0,(('Business Case'!C11*$C953*'Business Case'!C12*$B953)-'Business Case'!C11*$C953*'Business Case'!C13*$D953-'Business Case'!C14*$E953))*'Business Case'!$B$7-'Business Case'!$B$8*(('Business Case'!C11*$C953*'Business Case'!C12*$B953)-('Business Case'!B11*$C953*'Business Case'!B12*$B953))-'Business Case'!C15*$F953</f>
        <v>-3619362.17793266</v>
      </c>
      <c r="J953" s="39" t="n">
        <f aca="false">(('Business Case'!D11*$C953*'Business Case'!D12*$B953)-'Business Case'!D11*$C953*'Business Case'!D13*$D953-'Business Case'!D14*$E953)-MAX(0,(('Business Case'!D11*$C953*'Business Case'!D12*$B953)-'Business Case'!D11*$C953*'Business Case'!D13*$D953-'Business Case'!D14*$E953))*'Business Case'!$B$7-'Business Case'!$B$8*(('Business Case'!D11*$C953*'Business Case'!D12*$B953)-('Business Case'!C11*$C953*'Business Case'!C12*$B953))-'Business Case'!D15*$F953</f>
        <v>309343151.135762</v>
      </c>
      <c r="K953" s="39" t="n">
        <f aca="false">(('Business Case'!E11*$C953*'Business Case'!E12*$B953)-'Business Case'!E11*$C953*'Business Case'!E13*$D953-'Business Case'!E14*$E953)-MAX(0,(('Business Case'!E11*$C953*'Business Case'!E12*$B953)-'Business Case'!E11*$C953*'Business Case'!E13*$D953-'Business Case'!E14*$E953))*'Business Case'!$B$7-'Business Case'!$B$8*(('Business Case'!E11*$C953*'Business Case'!E12*$B953)-('Business Case'!D11*$C953*'Business Case'!D12*$B953))-'Business Case'!E15*$F953</f>
        <v>678907770.16752</v>
      </c>
      <c r="L953" s="39" t="n">
        <f aca="false">(('Business Case'!F11*$C953*'Business Case'!F12*$B953)-'Business Case'!F11*$C953*'Business Case'!F13*$D953-'Business Case'!F14*$E953)-MAX(0,(('Business Case'!F11*$C953*'Business Case'!F12*$B953)-'Business Case'!F11*$C953*'Business Case'!F13*$D953-'Business Case'!F14*$E953))*'Business Case'!$B$7-'Business Case'!$B$8*(('Business Case'!F11*$C953*'Business Case'!F12*$B953)-('Business Case'!E11*$C953*'Business Case'!E12*$B953))-'Business Case'!F15*$F953</f>
        <v>818361149.272537</v>
      </c>
      <c r="M953" s="39" t="n">
        <f aca="false">(('Business Case'!G11*$C953*'Business Case'!G12*$B953)-'Business Case'!G11*$C953*'Business Case'!G13*$D953-'Business Case'!G14*$E953)-MAX(0,(('Business Case'!G11*$C953*'Business Case'!G12*$B953)-'Business Case'!G11*$C953*'Business Case'!G13*$D953-'Business Case'!G14*$E953))*'Business Case'!$B$7-'Business Case'!$B$8*(('Business Case'!G11*$C953*'Business Case'!G12*$B953)-('Business Case'!F11*$C953*'Business Case'!F12*$B953))-'Business Case'!G15*$F953+'Business Case'!$B$8*('Business Case'!G11*$C953*'Business Case'!G12*$B953)</f>
        <v>1011590126.60836</v>
      </c>
      <c r="N953" s="39" t="n">
        <f aca="false">IF(COUNT('Business Case'!B11:G11)=0,"",H953+NPV(G953,I953:M953))</f>
        <v>-367077249.500671</v>
      </c>
      <c r="P953" s="40" t="n">
        <f aca="true">RAND()</f>
        <v>0.787030281329623</v>
      </c>
      <c r="Q953" s="40" t="n">
        <f aca="true">RAND()</f>
        <v>0.618469115349332</v>
      </c>
      <c r="R953" s="40" t="n">
        <f aca="true">RAND()</f>
        <v>0.482369744557369</v>
      </c>
      <c r="S953" s="40" t="n">
        <f aca="true">RAND()</f>
        <v>0.891330661078888</v>
      </c>
      <c r="T953" s="40" t="n">
        <f aca="true">RAND()</f>
        <v>0.907634515590299</v>
      </c>
      <c r="U953" s="40" t="n">
        <f aca="true">RAND()</f>
        <v>0.757270925601987</v>
      </c>
    </row>
    <row r="954" customFormat="false" ht="15" hidden="false" customHeight="false" outlineLevel="0" collapsed="false">
      <c r="A954" s="36" t="n">
        <v>874</v>
      </c>
      <c r="B954" s="37" t="n">
        <f aca="false">1+IF($G$6=$E$6,$F$6,IF(P954&lt;($F$6-$E$6)/($G$6-$E$6),$E$6+SQRT(P954*($G$6-$E$6)*($F$6-$E$6)),$G$6-SQRT((1-P954)*($G$6-$E$6)*($G$6-$F$6))))</f>
        <v>1.00160405517994</v>
      </c>
      <c r="C954" s="37" t="n">
        <f aca="false">1+IF($G$7=$E$7,$F$7,IF(Q954&lt;($F$7-$E$7)/($G$7-$E$7),$E$7+SQRT(Q954*($G$7-$E$7)*($F$7-$E$7)),$G$7-SQRT((1-Q954)*($G$7-$E$7)*($G$7-$F$7))))</f>
        <v>0.955093091525536</v>
      </c>
      <c r="D954" s="37" t="n">
        <f aca="false">1+IF($G$8=$E$8,$F$8,IF(R954&lt;($F$8-$E$8)/($G$8-$E$8),$E$8+SQRT(R954*($G$8-$E$8)*($F$8-$E$8)),$G$8-SQRT((1-R954)*($G$8-$E$8)*($G$8-$F$8))))</f>
        <v>1.03753675805024</v>
      </c>
      <c r="E954" s="37" t="n">
        <f aca="false">1+IF($G$9=$E$9,$F$9,IF(S954&lt;($F$9-$E$9)/($G$9-$E$9),$E$9+SQRT(S954*($G$9-$E$9)*($F$9-$E$9)),$G$9-SQRT((1-S954)*($G$9-$E$9)*($G$9-$F$9))))</f>
        <v>0.983381201615446</v>
      </c>
      <c r="F954" s="37" t="n">
        <f aca="false">1+IF($G$10=$E$10,$F$10,IF(T954&lt;($F$10-$E$10)/($G$10-$E$10),$E$10+SQRT(T954*($G$10-$E$10)*($F$10-$E$10)),$G$10-SQRT((1-T954)*($G$10-$E$10)*($G$10-$F$10))))</f>
        <v>0.956251311142174</v>
      </c>
      <c r="G954" s="38" t="n">
        <f aca="false">IF($G$11=$E$11,$F$11,IF(U954&lt;($F$11-$E$11)/($G$11-$E$11),$E$11+SQRT(U954*($G$11-$E$11)*($F$11-$E$11)),$G$11-SQRT((1-U954)*($G$11-$E$11)*($G$11-$F$11))))</f>
        <v>0.101403279583125</v>
      </c>
      <c r="H954" s="39" t="n">
        <f aca="false">(('Business Case'!B11*$C954*'Business Case'!B12*$B954)-'Business Case'!B11*$C954*'Business Case'!B13*$D954-'Business Case'!B14*$E954)-MAX(0,(('Business Case'!B11*$C954*'Business Case'!B12*$B954)-'Business Case'!B11*$C954*'Business Case'!B13*$D954-'Business Case'!B14*$E954))*'Business Case'!$B$7-'Business Case'!$B$8*('Business Case'!B11*$C954*'Business Case'!B12*$B954)-'Business Case'!B15*$F954</f>
        <v>-1912502622.28435</v>
      </c>
      <c r="I954" s="39" t="n">
        <f aca="false">(('Business Case'!C11*$C954*'Business Case'!C12*$B954)-'Business Case'!C11*$C954*'Business Case'!C13*$D954-'Business Case'!C14*$E954)-MAX(0,(('Business Case'!C11*$C954*'Business Case'!C12*$B954)-'Business Case'!C11*$C954*'Business Case'!C13*$D954-'Business Case'!C14*$E954))*'Business Case'!$B$7-'Business Case'!$B$8*(('Business Case'!C11*$C954*'Business Case'!C12*$B954)-('Business Case'!B11*$C954*'Business Case'!B12*$B954))-'Business Case'!C15*$F954</f>
        <v>-8792688.51898238</v>
      </c>
      <c r="J954" s="39" t="n">
        <f aca="false">(('Business Case'!D11*$C954*'Business Case'!D12*$B954)-'Business Case'!D11*$C954*'Business Case'!D13*$D954-'Business Case'!D14*$E954)-MAX(0,(('Business Case'!D11*$C954*'Business Case'!D12*$B954)-'Business Case'!D11*$C954*'Business Case'!D13*$D954-'Business Case'!D14*$E954))*'Business Case'!$B$7-'Business Case'!$B$8*(('Business Case'!D11*$C954*'Business Case'!D12*$B954)-('Business Case'!C11*$C954*'Business Case'!C12*$B954))-'Business Case'!D15*$F954</f>
        <v>267468006.83221</v>
      </c>
      <c r="K954" s="39" t="n">
        <f aca="false">(('Business Case'!E11*$C954*'Business Case'!E12*$B954)-'Business Case'!E11*$C954*'Business Case'!E13*$D954-'Business Case'!E14*$E954)-MAX(0,(('Business Case'!E11*$C954*'Business Case'!E12*$B954)-'Business Case'!E11*$C954*'Business Case'!E13*$D954-'Business Case'!E14*$E954))*'Business Case'!$B$7-'Business Case'!$B$8*(('Business Case'!E11*$C954*'Business Case'!E12*$B954)-('Business Case'!D11*$C954*'Business Case'!D12*$B954))-'Business Case'!E15*$F954</f>
        <v>591541267.740512</v>
      </c>
      <c r="L954" s="39" t="n">
        <f aca="false">(('Business Case'!F11*$C954*'Business Case'!F12*$B954)-'Business Case'!F11*$C954*'Business Case'!F13*$D954-'Business Case'!F14*$E954)-MAX(0,(('Business Case'!F11*$C954*'Business Case'!F12*$B954)-'Business Case'!F11*$C954*'Business Case'!F13*$D954-'Business Case'!F14*$E954))*'Business Case'!$B$7-'Business Case'!$B$8*(('Business Case'!F11*$C954*'Business Case'!F12*$B954)-('Business Case'!E11*$C954*'Business Case'!E12*$B954))-'Business Case'!F15*$F954</f>
        <v>716689130.11507</v>
      </c>
      <c r="M954" s="39" t="n">
        <f aca="false">(('Business Case'!G11*$C954*'Business Case'!G12*$B954)-'Business Case'!G11*$C954*'Business Case'!G13*$D954-'Business Case'!G14*$E954)-MAX(0,(('Business Case'!G11*$C954*'Business Case'!G12*$B954)-'Business Case'!G11*$C954*'Business Case'!G13*$D954-'Business Case'!G14*$E954))*'Business Case'!$B$7-'Business Case'!$B$8*(('Business Case'!G11*$C954*'Business Case'!G12*$B954)-('Business Case'!F11*$C954*'Business Case'!F12*$B954))-'Business Case'!G15*$F954+'Business Case'!$B$8*('Business Case'!G11*$C954*'Business Case'!G12*$B954)</f>
        <v>898524431.697955</v>
      </c>
      <c r="N954" s="39" t="n">
        <f aca="false">IF(COUNT('Business Case'!B11:G11)=0,"",H954+NPV(G954,I954:M954))</f>
        <v>-215877352.538419</v>
      </c>
      <c r="P954" s="40" t="n">
        <f aca="true">RAND()</f>
        <v>0.692864879453103</v>
      </c>
      <c r="Q954" s="40" t="n">
        <f aca="true">RAND()</f>
        <v>0.343626671984973</v>
      </c>
      <c r="R954" s="40" t="n">
        <f aca="true">RAND()</f>
        <v>0.826622411838123</v>
      </c>
      <c r="S954" s="40" t="n">
        <f aca="true">RAND()</f>
        <v>0.148573949505476</v>
      </c>
      <c r="T954" s="40" t="n">
        <f aca="true">RAND()</f>
        <v>0.00312631127970126</v>
      </c>
      <c r="U954" s="40" t="n">
        <f aca="true">RAND()</f>
        <v>0.423603316227655</v>
      </c>
    </row>
    <row r="955" customFormat="false" ht="15" hidden="false" customHeight="false" outlineLevel="0" collapsed="false">
      <c r="A955" s="36" t="n">
        <v>875</v>
      </c>
      <c r="B955" s="37" t="n">
        <f aca="false">1+IF($G$6=$E$6,$F$6,IF(P955&lt;($F$6-$E$6)/($G$6-$E$6),$E$6+SQRT(P955*($G$6-$E$6)*($F$6-$E$6)),$G$6-SQRT((1-P955)*($G$6-$E$6)*($G$6-$F$6))))</f>
        <v>0.995561446301677</v>
      </c>
      <c r="C955" s="37" t="n">
        <f aca="false">1+IF($G$7=$E$7,$F$7,IF(Q955&lt;($F$7-$E$7)/($G$7-$E$7),$E$7+SQRT(Q955*($G$7-$E$7)*($F$7-$E$7)),$G$7-SQRT((1-Q955)*($G$7-$E$7)*($G$7-$F$7))))</f>
        <v>1.10355764729147</v>
      </c>
      <c r="D955" s="37" t="n">
        <f aca="false">1+IF($G$8=$E$8,$F$8,IF(R955&lt;($F$8-$E$8)/($G$8-$E$8),$E$8+SQRT(R955*($G$8-$E$8)*($F$8-$E$8)),$G$8-SQRT((1-R955)*($G$8-$E$8)*($G$8-$F$8))))</f>
        <v>1.03133296045215</v>
      </c>
      <c r="E955" s="37" t="n">
        <f aca="false">1+IF($G$9=$E$9,$F$9,IF(S955&lt;($F$9-$E$9)/($G$9-$E$9),$E$9+SQRT(S955*($G$9-$E$9)*($F$9-$E$9)),$G$9-SQRT((1-S955)*($G$9-$E$9)*($G$9-$F$9))))</f>
        <v>1.04295514808427</v>
      </c>
      <c r="F955" s="37" t="n">
        <f aca="false">1+IF($G$10=$E$10,$F$10,IF(T955&lt;($F$10-$E$10)/($G$10-$E$10),$E$10+SQRT(T955*($G$10-$E$10)*($F$10-$E$10)),$G$10-SQRT((1-T955)*($G$10-$E$10)*($G$10-$F$10))))</f>
        <v>1.13251462514577</v>
      </c>
      <c r="G955" s="38" t="n">
        <f aca="false">IF($G$11=$E$11,$F$11,IF(U955&lt;($F$11-$E$11)/($G$11-$E$11),$E$11+SQRT(U955*($G$11-$E$11)*($F$11-$E$11)),$G$11-SQRT((1-U955)*($G$11-$E$11)*($G$11-$F$11))))</f>
        <v>0.0990896746275616</v>
      </c>
      <c r="H955" s="39" t="n">
        <f aca="false">(('Business Case'!B11*$C955*'Business Case'!B12*$B955)-'Business Case'!B11*$C955*'Business Case'!B13*$D955-'Business Case'!B14*$E955)-MAX(0,(('Business Case'!B11*$C955*'Business Case'!B12*$B955)-'Business Case'!B11*$C955*'Business Case'!B13*$D955-'Business Case'!B14*$E955))*'Business Case'!$B$7-'Business Case'!$B$8*('Business Case'!B11*$C955*'Business Case'!B12*$B955)-'Business Case'!B15*$F955</f>
        <v>-2265029250.29153</v>
      </c>
      <c r="I955" s="39" t="n">
        <f aca="false">(('Business Case'!C11*$C955*'Business Case'!C12*$B955)-'Business Case'!C11*$C955*'Business Case'!C13*$D955-'Business Case'!C14*$E955)-MAX(0,(('Business Case'!C11*$C955*'Business Case'!C12*$B955)-'Business Case'!C11*$C955*'Business Case'!C13*$D955-'Business Case'!C14*$E955))*'Business Case'!$B$7-'Business Case'!$B$8*(('Business Case'!C11*$C955*'Business Case'!C12*$B955)-('Business Case'!B11*$C955*'Business Case'!B12*$B955))-'Business Case'!C15*$F955</f>
        <v>-1267260.7934854</v>
      </c>
      <c r="J955" s="39" t="n">
        <f aca="false">(('Business Case'!D11*$C955*'Business Case'!D12*$B955)-'Business Case'!D11*$C955*'Business Case'!D13*$D955-'Business Case'!D14*$E955)-MAX(0,(('Business Case'!D11*$C955*'Business Case'!D12*$B955)-'Business Case'!D11*$C955*'Business Case'!D13*$D955-'Business Case'!D14*$E955))*'Business Case'!$B$7-'Business Case'!$B$8*(('Business Case'!D11*$C955*'Business Case'!D12*$B955)-('Business Case'!C11*$C955*'Business Case'!C12*$B955))-'Business Case'!D15*$F955</f>
        <v>315979668.73917</v>
      </c>
      <c r="K955" s="39" t="n">
        <f aca="false">(('Business Case'!E11*$C955*'Business Case'!E12*$B955)-'Business Case'!E11*$C955*'Business Case'!E13*$D955-'Business Case'!E14*$E955)-MAX(0,(('Business Case'!E11*$C955*'Business Case'!E12*$B955)-'Business Case'!E11*$C955*'Business Case'!E13*$D955-'Business Case'!E14*$E955))*'Business Case'!$B$7-'Business Case'!$B$8*(('Business Case'!E11*$C955*'Business Case'!E12*$B955)-('Business Case'!D11*$C955*'Business Case'!D12*$B955))-'Business Case'!E15*$F955</f>
        <v>689852329.529115</v>
      </c>
      <c r="L955" s="39" t="n">
        <f aca="false">(('Business Case'!F11*$C955*'Business Case'!F12*$B955)-'Business Case'!F11*$C955*'Business Case'!F13*$D955-'Business Case'!F14*$E955)-MAX(0,(('Business Case'!F11*$C955*'Business Case'!F12*$B955)-'Business Case'!F11*$C955*'Business Case'!F13*$D955-'Business Case'!F14*$E955))*'Business Case'!$B$7-'Business Case'!$B$8*(('Business Case'!F11*$C955*'Business Case'!F12*$B955)-('Business Case'!E11*$C955*'Business Case'!E12*$B955))-'Business Case'!F15*$F955</f>
        <v>833570976.542655</v>
      </c>
      <c r="M955" s="39" t="n">
        <f aca="false">(('Business Case'!G11*$C955*'Business Case'!G12*$B955)-'Business Case'!G11*$C955*'Business Case'!G13*$D955-'Business Case'!G14*$E955)-MAX(0,(('Business Case'!G11*$C955*'Business Case'!G12*$B955)-'Business Case'!G11*$C955*'Business Case'!G13*$D955-'Business Case'!G14*$E955))*'Business Case'!$B$7-'Business Case'!$B$8*(('Business Case'!G11*$C955*'Business Case'!G12*$B955)-('Business Case'!F11*$C955*'Business Case'!F12*$B955))-'Business Case'!G15*$F955+'Business Case'!$B$8*('Business Case'!G11*$C955*'Business Case'!G12*$B955)</f>
        <v>1042404164.30725</v>
      </c>
      <c r="N955" s="39" t="n">
        <f aca="false">IF(COUNT('Business Case'!B11:G11)=0,"",H955+NPV(G955,I955:M955))</f>
        <v>-263859473.920738</v>
      </c>
      <c r="P955" s="40" t="n">
        <f aca="true">RAND()</f>
        <v>0.594742934083462</v>
      </c>
      <c r="Q955" s="40" t="n">
        <f aca="true">RAND()</f>
        <v>0.958916340474216</v>
      </c>
      <c r="R955" s="40" t="n">
        <f aca="true">RAND()</f>
        <v>0.77226146746614</v>
      </c>
      <c r="S955" s="40" t="n">
        <f aca="true">RAND()</f>
        <v>0.783058991327486</v>
      </c>
      <c r="T955" s="40" t="n">
        <f aca="true">RAND()</f>
        <v>0.908914483615668</v>
      </c>
      <c r="U955" s="40" t="n">
        <f aca="true">RAND()</f>
        <v>0.275407282783123</v>
      </c>
    </row>
    <row r="956" customFormat="false" ht="15" hidden="false" customHeight="false" outlineLevel="0" collapsed="false">
      <c r="A956" s="36" t="n">
        <v>876</v>
      </c>
      <c r="B956" s="37" t="n">
        <f aca="false">1+IF($G$6=$E$6,$F$6,IF(P956&lt;($F$6-$E$6)/($G$6-$E$6),$E$6+SQRT(P956*($G$6-$E$6)*($F$6-$E$6)),$G$6-SQRT((1-P956)*($G$6-$E$6)*($G$6-$F$6))))</f>
        <v>0.963242749900716</v>
      </c>
      <c r="C956" s="37" t="n">
        <f aca="false">1+IF($G$7=$E$7,$F$7,IF(Q956&lt;($F$7-$E$7)/($G$7-$E$7),$E$7+SQRT(Q956*($G$7-$E$7)*($F$7-$E$7)),$G$7-SQRT((1-Q956)*($G$7-$E$7)*($G$7-$F$7))))</f>
        <v>1.06257309552263</v>
      </c>
      <c r="D956" s="37" t="n">
        <f aca="false">1+IF($G$8=$E$8,$F$8,IF(R956&lt;($F$8-$E$8)/($G$8-$E$8),$E$8+SQRT(R956*($G$8-$E$8)*($F$8-$E$8)),$G$8-SQRT((1-R956)*($G$8-$E$8)*($G$8-$F$8))))</f>
        <v>1.03447993293523</v>
      </c>
      <c r="E956" s="37" t="n">
        <f aca="false">1+IF($G$9=$E$9,$F$9,IF(S956&lt;($F$9-$E$9)/($G$9-$E$9),$E$9+SQRT(S956*($G$9-$E$9)*($F$9-$E$9)),$G$9-SQRT((1-S956)*($G$9-$E$9)*($G$9-$F$9))))</f>
        <v>1.07682089144432</v>
      </c>
      <c r="F956" s="37" t="n">
        <f aca="false">1+IF($G$10=$E$10,$F$10,IF(T956&lt;($F$10-$E$10)/($G$10-$E$10),$E$10+SQRT(T956*($G$10-$E$10)*($F$10-$E$10)),$G$10-SQRT((1-T956)*($G$10-$E$10)*($G$10-$F$10))))</f>
        <v>1.06276203546786</v>
      </c>
      <c r="G956" s="38" t="n">
        <f aca="false">IF($G$11=$E$11,$F$11,IF(U956&lt;($F$11-$E$11)/($G$11-$E$11),$E$11+SQRT(U956*($G$11-$E$11)*($F$11-$E$11)),$G$11-SQRT((1-U956)*($G$11-$E$11)*($G$11-$F$11))))</f>
        <v>0.100649048547446</v>
      </c>
      <c r="H956" s="39" t="n">
        <f aca="false">(('Business Case'!B11*$C956*'Business Case'!B12*$B956)-'Business Case'!B11*$C956*'Business Case'!B13*$D956-'Business Case'!B14*$E956)-MAX(0,(('Business Case'!B11*$C956*'Business Case'!B12*$B956)-'Business Case'!B11*$C956*'Business Case'!B13*$D956-'Business Case'!B14*$E956))*'Business Case'!$B$7-'Business Case'!$B$8*('Business Case'!B11*$C956*'Business Case'!B12*$B956)-'Business Case'!B15*$F956</f>
        <v>-2125524070.93572</v>
      </c>
      <c r="I956" s="39" t="n">
        <f aca="false">(('Business Case'!C11*$C956*'Business Case'!C12*$B956)-'Business Case'!C11*$C956*'Business Case'!C13*$D956-'Business Case'!C14*$E956)-MAX(0,(('Business Case'!C11*$C956*'Business Case'!C12*$B956)-'Business Case'!C11*$C956*'Business Case'!C13*$D956-'Business Case'!C14*$E956))*'Business Case'!$B$7-'Business Case'!$B$8*(('Business Case'!C11*$C956*'Business Case'!C12*$B956)-('Business Case'!B11*$C956*'Business Case'!B12*$B956))-'Business Case'!C15*$F956</f>
        <v>-36833898.6317461</v>
      </c>
      <c r="J956" s="39" t="n">
        <f aca="false">(('Business Case'!D11*$C956*'Business Case'!D12*$B956)-'Business Case'!D11*$C956*'Business Case'!D13*$D956-'Business Case'!D14*$E956)-MAX(0,(('Business Case'!D11*$C956*'Business Case'!D12*$B956)-'Business Case'!D11*$C956*'Business Case'!D13*$D956-'Business Case'!D14*$E956))*'Business Case'!$B$7-'Business Case'!$B$8*(('Business Case'!D11*$C956*'Business Case'!D12*$B956)-('Business Case'!C11*$C956*'Business Case'!C12*$B956))-'Business Case'!D15*$F956</f>
        <v>238791397.699886</v>
      </c>
      <c r="K956" s="39" t="n">
        <f aca="false">(('Business Case'!E11*$C956*'Business Case'!E12*$B956)-'Business Case'!E11*$C956*'Business Case'!E13*$D956-'Business Case'!E14*$E956)-MAX(0,(('Business Case'!E11*$C956*'Business Case'!E12*$B956)-'Business Case'!E11*$C956*'Business Case'!E13*$D956-'Business Case'!E14*$E956))*'Business Case'!$B$7-'Business Case'!$B$8*(('Business Case'!E11*$C956*'Business Case'!E12*$B956)-('Business Case'!D11*$C956*'Business Case'!D12*$B956))-'Business Case'!E15*$F956</f>
        <v>567554795.804911</v>
      </c>
      <c r="L956" s="39" t="n">
        <f aca="false">(('Business Case'!F11*$C956*'Business Case'!F12*$B956)-'Business Case'!F11*$C956*'Business Case'!F13*$D956-'Business Case'!F14*$E956)-MAX(0,(('Business Case'!F11*$C956*'Business Case'!F12*$B956)-'Business Case'!F11*$C956*'Business Case'!F13*$D956-'Business Case'!F14*$E956))*'Business Case'!$B$7-'Business Case'!$B$8*(('Business Case'!F11*$C956*'Business Case'!F12*$B956)-('Business Case'!E11*$C956*'Business Case'!E12*$B956))-'Business Case'!F15*$F956</f>
        <v>694802601.684261</v>
      </c>
      <c r="M956" s="39" t="n">
        <f aca="false">(('Business Case'!G11*$C956*'Business Case'!G12*$B956)-'Business Case'!G11*$C956*'Business Case'!G13*$D956-'Business Case'!G14*$E956)-MAX(0,(('Business Case'!G11*$C956*'Business Case'!G12*$B956)-'Business Case'!G11*$C956*'Business Case'!G13*$D956-'Business Case'!G14*$E956))*'Business Case'!$B$7-'Business Case'!$B$8*(('Business Case'!G11*$C956*'Business Case'!G12*$B956)-('Business Case'!F11*$C956*'Business Case'!F12*$B956))-'Business Case'!G15*$F956+'Business Case'!$B$8*('Business Case'!G11*$C956*'Business Case'!G12*$B956)</f>
        <v>889352490.746031</v>
      </c>
      <c r="N956" s="39" t="n">
        <f aca="false">IF(COUNT('Business Case'!B11:G11)=0,"",H956+NPV(G956,I956:M956))</f>
        <v>-512182932.862809</v>
      </c>
      <c r="P956" s="40" t="n">
        <f aca="true">RAND()</f>
        <v>0.194784939476655</v>
      </c>
      <c r="Q956" s="40" t="n">
        <f aca="true">RAND()</f>
        <v>0.854410216638189</v>
      </c>
      <c r="R956" s="40" t="n">
        <f aca="true">RAND()</f>
        <v>0.800761874463309</v>
      </c>
      <c r="S956" s="40" t="n">
        <f aca="true">RAND()</f>
        <v>0.964181928437586</v>
      </c>
      <c r="T956" s="40" t="n">
        <f aca="true">RAND()</f>
        <v>0.623314821821509</v>
      </c>
      <c r="U956" s="40" t="n">
        <f aca="true">RAND()</f>
        <v>0.375901129801503</v>
      </c>
    </row>
    <row r="957" customFormat="false" ht="15" hidden="false" customHeight="false" outlineLevel="0" collapsed="false">
      <c r="A957" s="36" t="n">
        <v>877</v>
      </c>
      <c r="B957" s="37" t="n">
        <f aca="false">1+IF($G$6=$E$6,$F$6,IF(P957&lt;($F$6-$E$6)/($G$6-$E$6),$E$6+SQRT(P957*($G$6-$E$6)*($F$6-$E$6)),$G$6-SQRT((1-P957)*($G$6-$E$6)*($G$6-$F$6))))</f>
        <v>0.96198858686008</v>
      </c>
      <c r="C957" s="37" t="n">
        <f aca="false">1+IF($G$7=$E$7,$F$7,IF(Q957&lt;($F$7-$E$7)/($G$7-$E$7),$E$7+SQRT(Q957*($G$7-$E$7)*($F$7-$E$7)),$G$7-SQRT((1-Q957)*($G$7-$E$7)*($G$7-$F$7))))</f>
        <v>0.981681730417837</v>
      </c>
      <c r="D957" s="37" t="n">
        <f aca="false">1+IF($G$8=$E$8,$F$8,IF(R957&lt;($F$8-$E$8)/($G$8-$E$8),$E$8+SQRT(R957*($G$8-$E$8)*($F$8-$E$8)),$G$8-SQRT((1-R957)*($G$8-$E$8)*($G$8-$F$8))))</f>
        <v>1.01790706256729</v>
      </c>
      <c r="E957" s="37" t="n">
        <f aca="false">1+IF($G$9=$E$9,$F$9,IF(S957&lt;($F$9-$E$9)/($G$9-$E$9),$E$9+SQRT(S957*($G$9-$E$9)*($F$9-$E$9)),$G$9-SQRT((1-S957)*($G$9-$E$9)*($G$9-$F$9))))</f>
        <v>1.05553172758376</v>
      </c>
      <c r="F957" s="37" t="n">
        <f aca="false">1+IF($G$10=$E$10,$F$10,IF(T957&lt;($F$10-$E$10)/($G$10-$E$10),$E$10+SQRT(T957*($G$10-$E$10)*($F$10-$E$10)),$G$10-SQRT((1-T957)*($G$10-$E$10)*($G$10-$F$10))))</f>
        <v>1.11001924928353</v>
      </c>
      <c r="G957" s="38" t="n">
        <f aca="false">IF($G$11=$E$11,$F$11,IF(U957&lt;($F$11-$E$11)/($G$11-$E$11),$E$11+SQRT(U957*($G$11-$E$11)*($F$11-$E$11)),$G$11-SQRT((1-U957)*($G$11-$E$11)*($G$11-$F$11))))</f>
        <v>0.109363924248545</v>
      </c>
      <c r="H957" s="39" t="n">
        <f aca="false">(('Business Case'!B11*$C957*'Business Case'!B12*$B957)-'Business Case'!B11*$C957*'Business Case'!B13*$D957-'Business Case'!B14*$E957)-MAX(0,(('Business Case'!B11*$C957*'Business Case'!B12*$B957)-'Business Case'!B11*$C957*'Business Case'!B13*$D957-'Business Case'!B14*$E957))*'Business Case'!$B$7-'Business Case'!$B$8*('Business Case'!B11*$C957*'Business Case'!B12*$B957)-'Business Case'!B15*$F957</f>
        <v>-2220038498.56706</v>
      </c>
      <c r="I957" s="39" t="n">
        <f aca="false">(('Business Case'!C11*$C957*'Business Case'!C12*$B957)-'Business Case'!C11*$C957*'Business Case'!C13*$D957-'Business Case'!C14*$E957)-MAX(0,(('Business Case'!C11*$C957*'Business Case'!C12*$B957)-'Business Case'!C11*$C957*'Business Case'!C13*$D957-'Business Case'!C14*$E957))*'Business Case'!$B$7-'Business Case'!$B$8*(('Business Case'!C11*$C957*'Business Case'!C12*$B957)-('Business Case'!B11*$C957*'Business Case'!B12*$B957))-'Business Case'!C15*$F957</f>
        <v>-48091817.1719789</v>
      </c>
      <c r="J957" s="39" t="n">
        <f aca="false">(('Business Case'!D11*$C957*'Business Case'!D12*$B957)-'Business Case'!D11*$C957*'Business Case'!D13*$D957-'Business Case'!D14*$E957)-MAX(0,(('Business Case'!D11*$C957*'Business Case'!D12*$B957)-'Business Case'!D11*$C957*'Business Case'!D13*$D957-'Business Case'!D14*$E957))*'Business Case'!$B$7-'Business Case'!$B$8*(('Business Case'!D11*$C957*'Business Case'!D12*$B957)-('Business Case'!C11*$C957*'Business Case'!C12*$B957))-'Business Case'!D15*$F957</f>
        <v>213870867.858245</v>
      </c>
      <c r="K957" s="39" t="n">
        <f aca="false">(('Business Case'!E11*$C957*'Business Case'!E12*$B957)-'Business Case'!E11*$C957*'Business Case'!E13*$D957-'Business Case'!E14*$E957)-MAX(0,(('Business Case'!E11*$C957*'Business Case'!E12*$B957)-'Business Case'!E11*$C957*'Business Case'!E13*$D957-'Business Case'!E14*$E957))*'Business Case'!$B$7-'Business Case'!$B$8*(('Business Case'!E11*$C957*'Business Case'!E12*$B957)-('Business Case'!D11*$C957*'Business Case'!D12*$B957))-'Business Case'!E15*$F957</f>
        <v>531334515.352645</v>
      </c>
      <c r="L957" s="39" t="n">
        <f aca="false">(('Business Case'!F11*$C957*'Business Case'!F12*$B957)-'Business Case'!F11*$C957*'Business Case'!F13*$D957-'Business Case'!F14*$E957)-MAX(0,(('Business Case'!F11*$C957*'Business Case'!F12*$B957)-'Business Case'!F11*$C957*'Business Case'!F13*$D957-'Business Case'!F14*$E957))*'Business Case'!$B$7-'Business Case'!$B$8*(('Business Case'!F11*$C957*'Business Case'!F12*$B957)-('Business Case'!E11*$C957*'Business Case'!E12*$B957))-'Business Case'!F15*$F957</f>
        <v>651292720.770345</v>
      </c>
      <c r="M957" s="39" t="n">
        <f aca="false">(('Business Case'!G11*$C957*'Business Case'!G12*$B957)-'Business Case'!G11*$C957*'Business Case'!G13*$D957-'Business Case'!G14*$E957)-MAX(0,(('Business Case'!G11*$C957*'Business Case'!G12*$B957)-'Business Case'!G11*$C957*'Business Case'!G13*$D957-'Business Case'!G14*$E957))*'Business Case'!$B$7-'Business Case'!$B$8*(('Business Case'!G11*$C957*'Business Case'!G12*$B957)-('Business Case'!F11*$C957*'Business Case'!F12*$B957))-'Business Case'!G15*$F957+'Business Case'!$B$8*('Business Case'!G11*$C957*'Business Case'!G12*$B957)</f>
        <v>830797928.012285</v>
      </c>
      <c r="N957" s="39" t="n">
        <f aca="false">IF(COUNT('Business Case'!B11:G11)=0,"",H957+NPV(G957,I957:M957))</f>
        <v>-775967200.273484</v>
      </c>
      <c r="P957" s="40" t="n">
        <f aca="true">RAND()</f>
        <v>0.183650148594429</v>
      </c>
      <c r="Q957" s="40" t="n">
        <f aca="true">RAND()</f>
        <v>0.471546445251706</v>
      </c>
      <c r="R957" s="40" t="n">
        <f aca="true">RAND()</f>
        <v>0.629275684709413</v>
      </c>
      <c r="S957" s="40" t="n">
        <f aca="true">RAND()</f>
        <v>0.868171516554363</v>
      </c>
      <c r="T957" s="40" t="n">
        <f aca="true">RAND()</f>
        <v>0.83806929001001</v>
      </c>
      <c r="U957" s="40" t="n">
        <f aca="true">RAND()</f>
        <v>0.811456487682185</v>
      </c>
    </row>
    <row r="958" customFormat="false" ht="15" hidden="false" customHeight="false" outlineLevel="0" collapsed="false">
      <c r="A958" s="36" t="n">
        <v>878</v>
      </c>
      <c r="B958" s="37" t="n">
        <f aca="false">1+IF($G$6=$E$6,$F$6,IF(P958&lt;($F$6-$E$6)/($G$6-$E$6),$E$6+SQRT(P958*($G$6-$E$6)*($F$6-$E$6)),$G$6-SQRT((1-P958)*($G$6-$E$6)*($G$6-$F$6))))</f>
        <v>0.977020333624692</v>
      </c>
      <c r="C958" s="37" t="n">
        <f aca="false">1+IF($G$7=$E$7,$F$7,IF(Q958&lt;($F$7-$E$7)/($G$7-$E$7),$E$7+SQRT(Q958*($G$7-$E$7)*($F$7-$E$7)),$G$7-SQRT((1-Q958)*($G$7-$E$7)*($G$7-$F$7))))</f>
        <v>0.923704118692137</v>
      </c>
      <c r="D958" s="37" t="n">
        <f aca="false">1+IF($G$8=$E$8,$F$8,IF(R958&lt;($F$8-$E$8)/($G$8-$E$8),$E$8+SQRT(R958*($G$8-$E$8)*($F$8-$E$8)),$G$8-SQRT((1-R958)*($G$8-$E$8)*($G$8-$F$8))))</f>
        <v>1.00854967804805</v>
      </c>
      <c r="E958" s="37" t="n">
        <f aca="false">1+IF($G$9=$E$9,$F$9,IF(S958&lt;($F$9-$E$9)/($G$9-$E$9),$E$9+SQRT(S958*($G$9-$E$9)*($F$9-$E$9)),$G$9-SQRT((1-S958)*($G$9-$E$9)*($G$9-$F$9))))</f>
        <v>1.060917296492</v>
      </c>
      <c r="F958" s="37" t="n">
        <f aca="false">1+IF($G$10=$E$10,$F$10,IF(T958&lt;($F$10-$E$10)/($G$10-$E$10),$E$10+SQRT(T958*($G$10-$E$10)*($F$10-$E$10)),$G$10-SQRT((1-T958)*($G$10-$E$10)*($G$10-$F$10))))</f>
        <v>0.969963956382124</v>
      </c>
      <c r="G958" s="38" t="n">
        <f aca="false">IF($G$11=$E$11,$F$11,IF(U958&lt;($F$11-$E$11)/($G$11-$E$11),$E$11+SQRT(U958*($G$11-$E$11)*($F$11-$E$11)),$G$11-SQRT((1-U958)*($G$11-$E$11)*($G$11-$F$11))))</f>
        <v>0.0957717714005896</v>
      </c>
      <c r="H958" s="39" t="n">
        <f aca="false">(('Business Case'!B11*$C958*'Business Case'!B12*$B958)-'Business Case'!B11*$C958*'Business Case'!B13*$D958-'Business Case'!B14*$E958)-MAX(0,(('Business Case'!B11*$C958*'Business Case'!B12*$B958)-'Business Case'!B11*$C958*'Business Case'!B13*$D958-'Business Case'!B14*$E958))*'Business Case'!$B$7-'Business Case'!$B$8*('Business Case'!B11*$C958*'Business Case'!B12*$B958)-'Business Case'!B15*$F958</f>
        <v>-1939927912.76425</v>
      </c>
      <c r="I958" s="39" t="n">
        <f aca="false">(('Business Case'!C11*$C958*'Business Case'!C12*$B958)-'Business Case'!C11*$C958*'Business Case'!C13*$D958-'Business Case'!C14*$E958)-MAX(0,(('Business Case'!C11*$C958*'Business Case'!C12*$B958)-'Business Case'!C11*$C958*'Business Case'!C13*$D958-'Business Case'!C14*$E958))*'Business Case'!$B$7-'Business Case'!$B$8*(('Business Case'!C11*$C958*'Business Case'!C12*$B958)-('Business Case'!B11*$C958*'Business Case'!B12*$B958))-'Business Case'!C15*$F958</f>
        <v>-32354495.2427639</v>
      </c>
      <c r="J958" s="39" t="n">
        <f aca="false">(('Business Case'!D11*$C958*'Business Case'!D12*$B958)-'Business Case'!D11*$C958*'Business Case'!D13*$D958-'Business Case'!D14*$E958)-MAX(0,(('Business Case'!D11*$C958*'Business Case'!D12*$B958)-'Business Case'!D11*$C958*'Business Case'!D13*$D958-'Business Case'!D14*$E958))*'Business Case'!$B$7-'Business Case'!$B$8*(('Business Case'!D11*$C958*'Business Case'!D12*$B958)-('Business Case'!C11*$C958*'Business Case'!C12*$B958))-'Business Case'!D15*$F958</f>
        <v>229934289.004037</v>
      </c>
      <c r="K958" s="39" t="n">
        <f aca="false">(('Business Case'!E11*$C958*'Business Case'!E12*$B958)-'Business Case'!E11*$C958*'Business Case'!E13*$D958-'Business Case'!E14*$E958)-MAX(0,(('Business Case'!E11*$C958*'Business Case'!E12*$B958)-'Business Case'!E11*$C958*'Business Case'!E13*$D958-'Business Case'!E14*$E958))*'Business Case'!$B$7-'Business Case'!$B$8*(('Business Case'!E11*$C958*'Business Case'!E12*$B958)-('Business Case'!D11*$C958*'Business Case'!D12*$B958))-'Business Case'!E15*$F958</f>
        <v>540721271.069944</v>
      </c>
      <c r="L958" s="39" t="n">
        <f aca="false">(('Business Case'!F11*$C958*'Business Case'!F12*$B958)-'Business Case'!F11*$C958*'Business Case'!F13*$D958-'Business Case'!F14*$E958)-MAX(0,(('Business Case'!F11*$C958*'Business Case'!F12*$B958)-'Business Case'!F11*$C958*'Business Case'!F13*$D958-'Business Case'!F14*$E958))*'Business Case'!$B$7-'Business Case'!$B$8*(('Business Case'!F11*$C958*'Business Case'!F12*$B958)-('Business Case'!E11*$C958*'Business Case'!E12*$B958))-'Business Case'!F15*$F958</f>
        <v>659340495.345672</v>
      </c>
      <c r="M958" s="39" t="n">
        <f aca="false">(('Business Case'!G11*$C958*'Business Case'!G12*$B958)-'Business Case'!G11*$C958*'Business Case'!G13*$D958-'Business Case'!G14*$E958)-MAX(0,(('Business Case'!G11*$C958*'Business Case'!G12*$B958)-'Business Case'!G11*$C958*'Business Case'!G13*$D958-'Business Case'!G14*$E958))*'Business Case'!$B$7-'Business Case'!$B$8*(('Business Case'!G11*$C958*'Business Case'!G12*$B958)-('Business Case'!F11*$C958*'Business Case'!F12*$B958))-'Business Case'!G15*$F958+'Business Case'!$B$8*('Business Case'!G11*$C958*'Business Case'!G12*$B958)</f>
        <v>830883457.743037</v>
      </c>
      <c r="N958" s="39" t="n">
        <f aca="false">IF(COUNT('Business Case'!B11:G11)=0,"",H958+NPV(G958,I958:M958))</f>
        <v>-383710368.745143</v>
      </c>
      <c r="P958" s="40" t="n">
        <f aca="true">RAND()</f>
        <v>0.338679004861587</v>
      </c>
      <c r="Q958" s="40" t="n">
        <f aca="true">RAND()</f>
        <v>0.218610128305692</v>
      </c>
      <c r="R958" s="40" t="n">
        <f aca="true">RAND()</f>
        <v>0.509120335861818</v>
      </c>
      <c r="S958" s="40" t="n">
        <f aca="true">RAND()</f>
        <v>0.898169485767036</v>
      </c>
      <c r="T958" s="40" t="n">
        <f aca="true">RAND()</f>
        <v>0.0318847643541886</v>
      </c>
      <c r="U958" s="40" t="n">
        <f aca="true">RAND()</f>
        <v>0.111044483668881</v>
      </c>
    </row>
    <row r="959" customFormat="false" ht="15" hidden="false" customHeight="false" outlineLevel="0" collapsed="false">
      <c r="A959" s="36" t="n">
        <v>879</v>
      </c>
      <c r="B959" s="37" t="n">
        <f aca="false">1+IF($G$6=$E$6,$F$6,IF(P959&lt;($F$6-$E$6)/($G$6-$E$6),$E$6+SQRT(P959*($G$6-$E$6)*($F$6-$E$6)),$G$6-SQRT((1-P959)*($G$6-$E$6)*($G$6-$F$6))))</f>
        <v>0.986708090192778</v>
      </c>
      <c r="C959" s="37" t="n">
        <f aca="false">1+IF($G$7=$E$7,$F$7,IF(Q959&lt;($F$7-$E$7)/($G$7-$E$7),$E$7+SQRT(Q959*($G$7-$E$7)*($F$7-$E$7)),$G$7-SQRT((1-Q959)*($G$7-$E$7)*($G$7-$F$7))))</f>
        <v>0.993675473118095</v>
      </c>
      <c r="D959" s="37" t="n">
        <f aca="false">1+IF($G$8=$E$8,$F$8,IF(R959&lt;($F$8-$E$8)/($G$8-$E$8),$E$8+SQRT(R959*($G$8-$E$8)*($F$8-$E$8)),$G$8-SQRT((1-R959)*($G$8-$E$8)*($G$8-$F$8))))</f>
        <v>1.05336785561553</v>
      </c>
      <c r="E959" s="37" t="n">
        <f aca="false">1+IF($G$9=$E$9,$F$9,IF(S959&lt;($F$9-$E$9)/($G$9-$E$9),$E$9+SQRT(S959*($G$9-$E$9)*($F$9-$E$9)),$G$9-SQRT((1-S959)*($G$9-$E$9)*($G$9-$F$9))))</f>
        <v>0.996588540267451</v>
      </c>
      <c r="F959" s="37" t="n">
        <f aca="false">1+IF($G$10=$E$10,$F$10,IF(T959&lt;($F$10-$E$10)/($G$10-$E$10),$E$10+SQRT(T959*($G$10-$E$10)*($F$10-$E$10)),$G$10-SQRT((1-T959)*($G$10-$E$10)*($G$10-$F$10))))</f>
        <v>0.989569951474627</v>
      </c>
      <c r="G959" s="38" t="n">
        <f aca="false">IF($G$11=$E$11,$F$11,IF(U959&lt;($F$11-$E$11)/($G$11-$E$11),$E$11+SQRT(U959*($G$11-$E$11)*($F$11-$E$11)),$G$11-SQRT((1-U959)*($G$11-$E$11)*($G$11-$F$11))))</f>
        <v>0.109085547695962</v>
      </c>
      <c r="H959" s="39" t="n">
        <f aca="false">(('Business Case'!B11*$C959*'Business Case'!B12*$B959)-'Business Case'!B11*$C959*'Business Case'!B13*$D959-'Business Case'!B14*$E959)-MAX(0,(('Business Case'!B11*$C959*'Business Case'!B12*$B959)-'Business Case'!B11*$C959*'Business Case'!B13*$D959-'Business Case'!B14*$E959))*'Business Case'!$B$7-'Business Case'!$B$8*('Business Case'!B11*$C959*'Business Case'!B12*$B959)-'Business Case'!B15*$F959</f>
        <v>-1979139902.94925</v>
      </c>
      <c r="I959" s="39" t="n">
        <f aca="false">(('Business Case'!C11*$C959*'Business Case'!C12*$B959)-'Business Case'!C11*$C959*'Business Case'!C13*$D959-'Business Case'!C14*$E959)-MAX(0,(('Business Case'!C11*$C959*'Business Case'!C12*$B959)-'Business Case'!C11*$C959*'Business Case'!C13*$D959-'Business Case'!C14*$E959))*'Business Case'!$B$7-'Business Case'!$B$8*(('Business Case'!C11*$C959*'Business Case'!C12*$B959)-('Business Case'!B11*$C959*'Business Case'!B12*$B959))-'Business Case'!C15*$F959</f>
        <v>-24255380.4493613</v>
      </c>
      <c r="J959" s="39" t="n">
        <f aca="false">(('Business Case'!D11*$C959*'Business Case'!D12*$B959)-'Business Case'!D11*$C959*'Business Case'!D13*$D959-'Business Case'!D14*$E959)-MAX(0,(('Business Case'!D11*$C959*'Business Case'!D12*$B959)-'Business Case'!D11*$C959*'Business Case'!D13*$D959-'Business Case'!D14*$E959))*'Business Case'!$B$7-'Business Case'!$B$8*(('Business Case'!D11*$C959*'Business Case'!D12*$B959)-('Business Case'!C11*$C959*'Business Case'!C12*$B959))-'Business Case'!D15*$F959</f>
        <v>242988566.528527</v>
      </c>
      <c r="K959" s="39" t="n">
        <f aca="false">(('Business Case'!E11*$C959*'Business Case'!E12*$B959)-'Business Case'!E11*$C959*'Business Case'!E13*$D959-'Business Case'!E14*$E959)-MAX(0,(('Business Case'!E11*$C959*'Business Case'!E12*$B959)-'Business Case'!E11*$C959*'Business Case'!E13*$D959-'Business Case'!E14*$E959))*'Business Case'!$B$7-'Business Case'!$B$8*(('Business Case'!E11*$C959*'Business Case'!E12*$B959)-('Business Case'!D11*$C959*'Business Case'!D12*$B959))-'Business Case'!E15*$F959</f>
        <v>559711011.080147</v>
      </c>
      <c r="L959" s="39" t="n">
        <f aca="false">(('Business Case'!F11*$C959*'Business Case'!F12*$B959)-'Business Case'!F11*$C959*'Business Case'!F13*$D959-'Business Case'!F14*$E959)-MAX(0,(('Business Case'!F11*$C959*'Business Case'!F12*$B959)-'Business Case'!F11*$C959*'Business Case'!F13*$D959-'Business Case'!F14*$E959))*'Business Case'!$B$7-'Business Case'!$B$8*(('Business Case'!F11*$C959*'Business Case'!F12*$B959)-('Business Case'!E11*$C959*'Business Case'!E12*$B959))-'Business Case'!F15*$F959</f>
        <v>682677287.975279</v>
      </c>
      <c r="M959" s="39" t="n">
        <f aca="false">(('Business Case'!G11*$C959*'Business Case'!G12*$B959)-'Business Case'!G11*$C959*'Business Case'!G13*$D959-'Business Case'!G14*$E959)-MAX(0,(('Business Case'!G11*$C959*'Business Case'!G12*$B959)-'Business Case'!G11*$C959*'Business Case'!G13*$D959-'Business Case'!G14*$E959))*'Business Case'!$B$7-'Business Case'!$B$8*(('Business Case'!G11*$C959*'Business Case'!G12*$B959)-('Business Case'!F11*$C959*'Business Case'!F12*$B959))-'Business Case'!G15*$F959+'Business Case'!$B$8*('Business Case'!G11*$C959*'Business Case'!G12*$B959)</f>
        <v>869044574.772382</v>
      </c>
      <c r="N959" s="39" t="n">
        <f aca="false">IF(COUNT('Business Case'!B11:G11)=0,"",H959+NPV(G959,I959:M959))</f>
        <v>-424149333.964116</v>
      </c>
      <c r="P959" s="40" t="n">
        <f aca="true">RAND()</f>
        <v>0.463538468454978</v>
      </c>
      <c r="Q959" s="40" t="n">
        <f aca="true">RAND()</f>
        <v>0.535859841250257</v>
      </c>
      <c r="R959" s="40" t="n">
        <f aca="true">RAND()</f>
        <v>0.931800854373507</v>
      </c>
      <c r="S959" s="40" t="n">
        <f aca="true">RAND()</f>
        <v>0.289398944566914</v>
      </c>
      <c r="T959" s="40" t="n">
        <f aca="true">RAND()</f>
        <v>0.125262484776348</v>
      </c>
      <c r="U959" s="40" t="n">
        <f aca="true">RAND()</f>
        <v>0.80145788483813</v>
      </c>
    </row>
    <row r="960" customFormat="false" ht="15" hidden="false" customHeight="false" outlineLevel="0" collapsed="false">
      <c r="A960" s="36" t="n">
        <v>880</v>
      </c>
      <c r="B960" s="37" t="n">
        <f aca="false">1+IF($G$6=$E$6,$F$6,IF(P960&lt;($F$6-$E$6)/($G$6-$E$6),$E$6+SQRT(P960*($G$6-$E$6)*($F$6-$E$6)),$G$6-SQRT((1-P960)*($G$6-$E$6)*($G$6-$F$6))))</f>
        <v>1.00636894378934</v>
      </c>
      <c r="C960" s="37" t="n">
        <f aca="false">1+IF($G$7=$E$7,$F$7,IF(Q960&lt;($F$7-$E$7)/($G$7-$E$7),$E$7+SQRT(Q960*($G$7-$E$7)*($F$7-$E$7)),$G$7-SQRT((1-Q960)*($G$7-$E$7)*($G$7-$F$7))))</f>
        <v>1.04057110202482</v>
      </c>
      <c r="D960" s="37" t="n">
        <f aca="false">1+IF($G$8=$E$8,$F$8,IF(R960&lt;($F$8-$E$8)/($G$8-$E$8),$E$8+SQRT(R960*($G$8-$E$8)*($F$8-$E$8)),$G$8-SQRT((1-R960)*($G$8-$E$8)*($G$8-$F$8))))</f>
        <v>1.00383770537529</v>
      </c>
      <c r="E960" s="37" t="n">
        <f aca="false">1+IF($G$9=$E$9,$F$9,IF(S960&lt;($F$9-$E$9)/($G$9-$E$9),$E$9+SQRT(S960*($G$9-$E$9)*($F$9-$E$9)),$G$9-SQRT((1-S960)*($G$9-$E$9)*($G$9-$F$9))))</f>
        <v>1.00376827026648</v>
      </c>
      <c r="F960" s="37" t="n">
        <f aca="false">1+IF($G$10=$E$10,$F$10,IF(T960&lt;($F$10-$E$10)/($G$10-$E$10),$E$10+SQRT(T960*($G$10-$E$10)*($F$10-$E$10)),$G$10-SQRT((1-T960)*($G$10-$E$10)*($G$10-$F$10))))</f>
        <v>1.08274342530959</v>
      </c>
      <c r="G960" s="38" t="n">
        <f aca="false">IF($G$11=$E$11,$F$11,IF(U960&lt;($F$11-$E$11)/($G$11-$E$11),$E$11+SQRT(U960*($G$11-$E$11)*($F$11-$E$11)),$G$11-SQRT((1-U960)*($G$11-$E$11)*($G$11-$F$11))))</f>
        <v>0.102435790731561</v>
      </c>
      <c r="H960" s="39" t="n">
        <f aca="false">(('Business Case'!B11*$C960*'Business Case'!B12*$B960)-'Business Case'!B11*$C960*'Business Case'!B13*$D960-'Business Case'!B14*$E960)-MAX(0,(('Business Case'!B11*$C960*'Business Case'!B12*$B960)-'Business Case'!B11*$C960*'Business Case'!B13*$D960-'Business Case'!B14*$E960))*'Business Case'!$B$7-'Business Case'!$B$8*('Business Case'!B11*$C960*'Business Case'!B12*$B960)-'Business Case'!B15*$F960</f>
        <v>-2165486850.61917</v>
      </c>
      <c r="I960" s="39" t="n">
        <f aca="false">(('Business Case'!C11*$C960*'Business Case'!C12*$B960)-'Business Case'!C11*$C960*'Business Case'!C13*$D960-'Business Case'!C14*$E960)-MAX(0,(('Business Case'!C11*$C960*'Business Case'!C12*$B960)-'Business Case'!C11*$C960*'Business Case'!C13*$D960-'Business Case'!C14*$E960))*'Business Case'!$B$7-'Business Case'!$B$8*(('Business Case'!C11*$C960*'Business Case'!C12*$B960)-('Business Case'!B11*$C960*'Business Case'!B12*$B960))-'Business Case'!C15*$F960</f>
        <v>17700501.0365855</v>
      </c>
      <c r="J960" s="39" t="n">
        <f aca="false">(('Business Case'!D11*$C960*'Business Case'!D12*$B960)-'Business Case'!D11*$C960*'Business Case'!D13*$D960-'Business Case'!D14*$E960)-MAX(0,(('Business Case'!D11*$C960*'Business Case'!D12*$B960)-'Business Case'!D11*$C960*'Business Case'!D13*$D960-'Business Case'!D14*$E960))*'Business Case'!$B$7-'Business Case'!$B$8*(('Business Case'!D11*$C960*'Business Case'!D12*$B960)-('Business Case'!C11*$C960*'Business Case'!C12*$B960))-'Business Case'!D15*$F960</f>
        <v>340697959.811369</v>
      </c>
      <c r="K960" s="39" t="n">
        <f aca="false">(('Business Case'!E11*$C960*'Business Case'!E12*$B960)-'Business Case'!E11*$C960*'Business Case'!E13*$D960-'Business Case'!E14*$E960)-MAX(0,(('Business Case'!E11*$C960*'Business Case'!E12*$B960)-'Business Case'!E11*$C960*'Business Case'!E13*$D960-'Business Case'!E14*$E960))*'Business Case'!$B$7-'Business Case'!$B$8*(('Business Case'!E11*$C960*'Business Case'!E12*$B960)-('Business Case'!D11*$C960*'Business Case'!D12*$B960))-'Business Case'!E15*$F960</f>
        <v>717832589.851631</v>
      </c>
      <c r="L960" s="39" t="n">
        <f aca="false">(('Business Case'!F11*$C960*'Business Case'!F12*$B960)-'Business Case'!F11*$C960*'Business Case'!F13*$D960-'Business Case'!F14*$E960)-MAX(0,(('Business Case'!F11*$C960*'Business Case'!F12*$B960)-'Business Case'!F11*$C960*'Business Case'!F13*$D960-'Business Case'!F14*$E960))*'Business Case'!$B$7-'Business Case'!$B$8*(('Business Case'!F11*$C960*'Business Case'!F12*$B960)-('Business Case'!E11*$C960*'Business Case'!E12*$B960))-'Business Case'!F15*$F960</f>
        <v>861689587.560123</v>
      </c>
      <c r="M960" s="39" t="n">
        <f aca="false">(('Business Case'!G11*$C960*'Business Case'!G12*$B960)-'Business Case'!G11*$C960*'Business Case'!G13*$D960-'Business Case'!G14*$E960)-MAX(0,(('Business Case'!G11*$C960*'Business Case'!G12*$B960)-'Business Case'!G11*$C960*'Business Case'!G13*$D960-'Business Case'!G14*$E960))*'Business Case'!$B$7-'Business Case'!$B$8*(('Business Case'!G11*$C960*'Business Case'!G12*$B960)-('Business Case'!F11*$C960*'Business Case'!F12*$B960))-'Business Case'!G15*$F960+'Business Case'!$B$8*('Business Case'!G11*$C960*'Business Case'!G12*$B960)</f>
        <v>1060741067.20305</v>
      </c>
      <c r="N960" s="39" t="n">
        <f aca="false">IF(COUNT('Business Case'!B11:G11)=0,"",H960+NPV(G960,I960:M960))</f>
        <v>-98600021.9133101</v>
      </c>
      <c r="P960" s="40" t="n">
        <f aca="true">RAND()</f>
        <v>0.76436501211567</v>
      </c>
      <c r="Q960" s="40" t="n">
        <f aca="true">RAND()</f>
        <v>0.771910786436918</v>
      </c>
      <c r="R960" s="40" t="n">
        <f aca="true">RAND()</f>
        <v>0.442240853605669</v>
      </c>
      <c r="S960" s="40" t="n">
        <f aca="true">RAND()</f>
        <v>0.382630279499698</v>
      </c>
      <c r="T960" s="40" t="n">
        <f aca="true">RAND()</f>
        <v>0.725017913837432</v>
      </c>
      <c r="U960" s="40" t="n">
        <f aca="true">RAND()</f>
        <v>0.485830921290798</v>
      </c>
    </row>
    <row r="961" customFormat="false" ht="15" hidden="false" customHeight="false" outlineLevel="0" collapsed="false">
      <c r="A961" s="36" t="n">
        <v>881</v>
      </c>
      <c r="B961" s="37" t="n">
        <f aca="false">1+IF($G$6=$E$6,$F$6,IF(P961&lt;($F$6-$E$6)/($G$6-$E$6),$E$6+SQRT(P961*($G$6-$E$6)*($F$6-$E$6)),$G$6-SQRT((1-P961)*($G$6-$E$6)*($G$6-$F$6))))</f>
        <v>0.998135494294878</v>
      </c>
      <c r="C961" s="37" t="n">
        <f aca="false">1+IF($G$7=$E$7,$F$7,IF(Q961&lt;($F$7-$E$7)/($G$7-$E$7),$E$7+SQRT(Q961*($G$7-$E$7)*($F$7-$E$7)),$G$7-SQRT((1-Q961)*($G$7-$E$7)*($G$7-$F$7))))</f>
        <v>0.96982501296712</v>
      </c>
      <c r="D961" s="37" t="n">
        <f aca="false">1+IF($G$8=$E$8,$F$8,IF(R961&lt;($F$8-$E$8)/($G$8-$E$8),$E$8+SQRT(R961*($G$8-$E$8)*($F$8-$E$8)),$G$8-SQRT((1-R961)*($G$8-$E$8)*($G$8-$F$8))))</f>
        <v>0.996698126885197</v>
      </c>
      <c r="E961" s="37" t="n">
        <f aca="false">1+IF($G$9=$E$9,$F$9,IF(S961&lt;($F$9-$E$9)/($G$9-$E$9),$E$9+SQRT(S961*($G$9-$E$9)*($F$9-$E$9)),$G$9-SQRT((1-S961)*($G$9-$E$9)*($G$9-$F$9))))</f>
        <v>0.992151670470686</v>
      </c>
      <c r="F961" s="37" t="n">
        <f aca="false">1+IF($G$10=$E$10,$F$10,IF(T961&lt;($F$10-$E$10)/($G$10-$E$10),$E$10+SQRT(T961*($G$10-$E$10)*($F$10-$E$10)),$G$10-SQRT((1-T961)*($G$10-$E$10)*($G$10-$F$10))))</f>
        <v>1.04415662145955</v>
      </c>
      <c r="G961" s="38" t="n">
        <f aca="false">IF($G$11=$E$11,$F$11,IF(U961&lt;($F$11-$E$11)/($G$11-$E$11),$E$11+SQRT(U961*($G$11-$E$11)*($F$11-$E$11)),$G$11-SQRT((1-U961)*($G$11-$E$11)*($G$11-$F$11))))</f>
        <v>0.119543493373695</v>
      </c>
      <c r="H961" s="39" t="n">
        <f aca="false">(('Business Case'!B11*$C961*'Business Case'!B12*$B961)-'Business Case'!B11*$C961*'Business Case'!B13*$D961-'Business Case'!B14*$E961)-MAX(0,(('Business Case'!B11*$C961*'Business Case'!B12*$B961)-'Business Case'!B11*$C961*'Business Case'!B13*$D961-'Business Case'!B14*$E961))*'Business Case'!$B$7-'Business Case'!$B$8*('Business Case'!B11*$C961*'Business Case'!B12*$B961)-'Business Case'!B15*$F961</f>
        <v>-2088313242.91909</v>
      </c>
      <c r="I961" s="39" t="n">
        <f aca="false">(('Business Case'!C11*$C961*'Business Case'!C12*$B961)-'Business Case'!C11*$C961*'Business Case'!C13*$D961-'Business Case'!C14*$E961)-MAX(0,(('Business Case'!C11*$C961*'Business Case'!C12*$B961)-'Business Case'!C11*$C961*'Business Case'!C13*$D961-'Business Case'!C14*$E961))*'Business Case'!$B$7-'Business Case'!$B$8*(('Business Case'!C11*$C961*'Business Case'!C12*$B961)-('Business Case'!B11*$C961*'Business Case'!B12*$B961))-'Business Case'!C15*$F961</f>
        <v>2360281.4149805</v>
      </c>
      <c r="J961" s="39" t="n">
        <f aca="false">(('Business Case'!D11*$C961*'Business Case'!D12*$B961)-'Business Case'!D11*$C961*'Business Case'!D13*$D961-'Business Case'!D14*$E961)-MAX(0,(('Business Case'!D11*$C961*'Business Case'!D12*$B961)-'Business Case'!D11*$C961*'Business Case'!D13*$D961-'Business Case'!D14*$E961))*'Business Case'!$B$7-'Business Case'!$B$8*(('Business Case'!D11*$C961*'Business Case'!D12*$B961)-('Business Case'!C11*$C961*'Business Case'!C12*$B961))-'Business Case'!D15*$F961</f>
        <v>300402181.806124</v>
      </c>
      <c r="K961" s="39" t="n">
        <f aca="false">(('Business Case'!E11*$C961*'Business Case'!E12*$B961)-'Business Case'!E11*$C961*'Business Case'!E13*$D961-'Business Case'!E14*$E961)-MAX(0,(('Business Case'!E11*$C961*'Business Case'!E12*$B961)-'Business Case'!E11*$C961*'Business Case'!E13*$D961-'Business Case'!E14*$E961))*'Business Case'!$B$7-'Business Case'!$B$8*(('Business Case'!E11*$C961*'Business Case'!E12*$B961)-('Business Case'!D11*$C961*'Business Case'!D12*$B961))-'Business Case'!E15*$F961</f>
        <v>650651913.270245</v>
      </c>
      <c r="L961" s="39" t="n">
        <f aca="false">(('Business Case'!F11*$C961*'Business Case'!F12*$B961)-'Business Case'!F11*$C961*'Business Case'!F13*$D961-'Business Case'!F14*$E961)-MAX(0,(('Business Case'!F11*$C961*'Business Case'!F12*$B961)-'Business Case'!F11*$C961*'Business Case'!F13*$D961-'Business Case'!F14*$E961))*'Business Case'!$B$7-'Business Case'!$B$8*(('Business Case'!F11*$C961*'Business Case'!F12*$B961)-('Business Case'!E11*$C961*'Business Case'!E12*$B961))-'Business Case'!F15*$F961</f>
        <v>783453872.926811</v>
      </c>
      <c r="M961" s="39" t="n">
        <f aca="false">(('Business Case'!G11*$C961*'Business Case'!G12*$B961)-'Business Case'!G11*$C961*'Business Case'!G13*$D961-'Business Case'!G14*$E961)-MAX(0,(('Business Case'!G11*$C961*'Business Case'!G12*$B961)-'Business Case'!G11*$C961*'Business Case'!G13*$D961-'Business Case'!G14*$E961))*'Business Case'!$B$7-'Business Case'!$B$8*(('Business Case'!G11*$C961*'Business Case'!G12*$B961)-('Business Case'!F11*$C961*'Business Case'!F12*$B961))-'Business Case'!G15*$F961+'Business Case'!$B$8*('Business Case'!G11*$C961*'Business Case'!G12*$B961)</f>
        <v>967454500.320827</v>
      </c>
      <c r="N961" s="39" t="n">
        <f aca="false">IF(COUNT('Business Case'!B11:G11)=0,"",H961+NPV(G961,I961:M961))</f>
        <v>-334051435.243896</v>
      </c>
      <c r="P961" s="40" t="n">
        <f aca="true">RAND()</f>
        <v>0.635953694656762</v>
      </c>
      <c r="Q961" s="40" t="n">
        <f aca="true">RAND()</f>
        <v>0.412007643275463</v>
      </c>
      <c r="R961" s="40" t="n">
        <f aca="true">RAND()</f>
        <v>0.33549462378246</v>
      </c>
      <c r="S961" s="40" t="n">
        <f aca="true">RAND()</f>
        <v>0.236901776462571</v>
      </c>
      <c r="T961" s="40" t="n">
        <f aca="true">RAND()</f>
        <v>0.514256827301931</v>
      </c>
      <c r="U961" s="40" t="n">
        <f aca="true">RAND()</f>
        <v>0.999652669500233</v>
      </c>
    </row>
    <row r="962" customFormat="false" ht="15" hidden="false" customHeight="false" outlineLevel="0" collapsed="false">
      <c r="A962" s="36" t="n">
        <v>882</v>
      </c>
      <c r="B962" s="37" t="n">
        <f aca="false">1+IF($G$6=$E$6,$F$6,IF(P962&lt;($F$6-$E$6)/($G$6-$E$6),$E$6+SQRT(P962*($G$6-$E$6)*($F$6-$E$6)),$G$6-SQRT((1-P962)*($G$6-$E$6)*($G$6-$F$6))))</f>
        <v>0.987953759606002</v>
      </c>
      <c r="C962" s="37" t="n">
        <f aca="false">1+IF($G$7=$E$7,$F$7,IF(Q962&lt;($F$7-$E$7)/($G$7-$E$7),$E$7+SQRT(Q962*($G$7-$E$7)*($F$7-$E$7)),$G$7-SQRT((1-Q962)*($G$7-$E$7)*($G$7-$F$7))))</f>
        <v>1.13851102199346</v>
      </c>
      <c r="D962" s="37" t="n">
        <f aca="false">1+IF($G$8=$E$8,$F$8,IF(R962&lt;($F$8-$E$8)/($G$8-$E$8),$E$8+SQRT(R962*($G$8-$E$8)*($F$8-$E$8)),$G$8-SQRT((1-R962)*($G$8-$E$8)*($G$8-$F$8))))</f>
        <v>1.04822020138506</v>
      </c>
      <c r="E962" s="37" t="n">
        <f aca="false">1+IF($G$9=$E$9,$F$9,IF(S962&lt;($F$9-$E$9)/($G$9-$E$9),$E$9+SQRT(S962*($G$9-$E$9)*($F$9-$E$9)),$G$9-SQRT((1-S962)*($G$9-$E$9)*($G$9-$F$9))))</f>
        <v>1.00752945982113</v>
      </c>
      <c r="F962" s="37" t="n">
        <f aca="false">1+IF($G$10=$E$10,$F$10,IF(T962&lt;($F$10-$E$10)/($G$10-$E$10),$E$10+SQRT(T962*($G$10-$E$10)*($F$10-$E$10)),$G$10-SQRT((1-T962)*($G$10-$E$10)*($G$10-$F$10))))</f>
        <v>1.00487151712034</v>
      </c>
      <c r="G962" s="38" t="n">
        <f aca="false">IF($G$11=$E$11,$F$11,IF(U962&lt;($F$11-$E$11)/($G$11-$E$11),$E$11+SQRT(U962*($G$11-$E$11)*($F$11-$E$11)),$G$11-SQRT((1-U962)*($G$11-$E$11)*($G$11-$F$11))))</f>
        <v>0.112159696509922</v>
      </c>
      <c r="H962" s="39" t="n">
        <f aca="false">(('Business Case'!B11*$C962*'Business Case'!B12*$B962)-'Business Case'!B11*$C962*'Business Case'!B13*$D962-'Business Case'!B14*$E962)-MAX(0,(('Business Case'!B11*$C962*'Business Case'!B12*$B962)-'Business Case'!B11*$C962*'Business Case'!B13*$D962-'Business Case'!B14*$E962))*'Business Case'!$B$7-'Business Case'!$B$8*('Business Case'!B11*$C962*'Business Case'!B12*$B962)-'Business Case'!B15*$F962</f>
        <v>-2009743034.24069</v>
      </c>
      <c r="I962" s="39" t="n">
        <f aca="false">(('Business Case'!C11*$C962*'Business Case'!C12*$B962)-'Business Case'!C11*$C962*'Business Case'!C13*$D962-'Business Case'!C14*$E962)-MAX(0,(('Business Case'!C11*$C962*'Business Case'!C12*$B962)-'Business Case'!C11*$C962*'Business Case'!C13*$D962-'Business Case'!C14*$E962))*'Business Case'!$B$7-'Business Case'!$B$8*(('Business Case'!C11*$C962*'Business Case'!C12*$B962)-('Business Case'!B11*$C962*'Business Case'!B12*$B962))-'Business Case'!C15*$F962</f>
        <v>8291254.79628</v>
      </c>
      <c r="J962" s="39" t="n">
        <f aca="false">(('Business Case'!D11*$C962*'Business Case'!D12*$B962)-'Business Case'!D11*$C962*'Business Case'!D13*$D962-'Business Case'!D14*$E962)-MAX(0,(('Business Case'!D11*$C962*'Business Case'!D12*$B962)-'Business Case'!D11*$C962*'Business Case'!D13*$D962-'Business Case'!D14*$E962))*'Business Case'!$B$7-'Business Case'!$B$8*(('Business Case'!D11*$C962*'Business Case'!D12*$B962)-('Business Case'!C11*$C962*'Business Case'!C12*$B962))-'Business Case'!D15*$F962</f>
        <v>318649787.807662</v>
      </c>
      <c r="K962" s="39" t="n">
        <f aca="false">(('Business Case'!E11*$C962*'Business Case'!E12*$B962)-'Business Case'!E11*$C962*'Business Case'!E13*$D962-'Business Case'!E14*$E962)-MAX(0,(('Business Case'!E11*$C962*'Business Case'!E12*$B962)-'Business Case'!E11*$C962*'Business Case'!E13*$D962-'Business Case'!E14*$E962))*'Business Case'!$B$7-'Business Case'!$B$8*(('Business Case'!E11*$C962*'Business Case'!E12*$B962)-('Business Case'!D11*$C962*'Business Case'!D12*$B962))-'Business Case'!E15*$F962</f>
        <v>679251896.675062</v>
      </c>
      <c r="L962" s="39" t="n">
        <f aca="false">(('Business Case'!F11*$C962*'Business Case'!F12*$B962)-'Business Case'!F11*$C962*'Business Case'!F13*$D962-'Business Case'!F14*$E962)-MAX(0,(('Business Case'!F11*$C962*'Business Case'!F12*$B962)-'Business Case'!F11*$C962*'Business Case'!F13*$D962-'Business Case'!F14*$E962))*'Business Case'!$B$7-'Business Case'!$B$8*(('Business Case'!F11*$C962*'Business Case'!F12*$B962)-('Business Case'!E11*$C962*'Business Case'!E12*$B962))-'Business Case'!F15*$F962</f>
        <v>821577699.223191</v>
      </c>
      <c r="M962" s="39" t="n">
        <f aca="false">(('Business Case'!G11*$C962*'Business Case'!G12*$B962)-'Business Case'!G11*$C962*'Business Case'!G13*$D962-'Business Case'!G14*$E962)-MAX(0,(('Business Case'!G11*$C962*'Business Case'!G12*$B962)-'Business Case'!G11*$C962*'Business Case'!G13*$D962-'Business Case'!G14*$E962))*'Business Case'!$B$7-'Business Case'!$B$8*(('Business Case'!G11*$C962*'Business Case'!G12*$B962)-('Business Case'!F11*$C962*'Business Case'!F12*$B962))-'Business Case'!G15*$F962+'Business Case'!$B$8*('Business Case'!G11*$C962*'Business Case'!G12*$B962)</f>
        <v>1035378969.3837</v>
      </c>
      <c r="N962" s="39" t="n">
        <f aca="false">IF(COUNT('Business Case'!B11:G11)=0,"",H962+NPV(G962,I962:M962))</f>
        <v>-105381442.352798</v>
      </c>
      <c r="P962" s="40" t="n">
        <f aca="true">RAND()</f>
        <v>0.481011817144819</v>
      </c>
      <c r="Q962" s="40" t="n">
        <f aca="true">RAND()</f>
        <v>0.997485778749814</v>
      </c>
      <c r="R962" s="40" t="n">
        <f aca="true">RAND()</f>
        <v>0.902888884614819</v>
      </c>
      <c r="S962" s="40" t="n">
        <f aca="true">RAND()</f>
        <v>0.429946613268564</v>
      </c>
      <c r="T962" s="40" t="n">
        <f aca="true">RAND()</f>
        <v>0.238497503381666</v>
      </c>
      <c r="U962" s="40" t="n">
        <f aca="true">RAND()</f>
        <v>0.897549401972445</v>
      </c>
    </row>
    <row r="963" customFormat="false" ht="15" hidden="false" customHeight="false" outlineLevel="0" collapsed="false">
      <c r="A963" s="36" t="n">
        <v>883</v>
      </c>
      <c r="B963" s="37" t="n">
        <f aca="false">1+IF($G$6=$E$6,$F$6,IF(P963&lt;($F$6-$E$6)/($G$6-$E$6),$E$6+SQRT(P963*($G$6-$E$6)*($F$6-$E$6)),$G$6-SQRT((1-P963)*($G$6-$E$6)*($G$6-$F$6))))</f>
        <v>1.03191340228517</v>
      </c>
      <c r="C963" s="37" t="n">
        <f aca="false">1+IF($G$7=$E$7,$F$7,IF(Q963&lt;($F$7-$E$7)/($G$7-$E$7),$E$7+SQRT(Q963*($G$7-$E$7)*($F$7-$E$7)),$G$7-SQRT((1-Q963)*($G$7-$E$7)*($G$7-$F$7))))</f>
        <v>0.943618094383104</v>
      </c>
      <c r="D963" s="37" t="n">
        <f aca="false">1+IF($G$8=$E$8,$F$8,IF(R963&lt;($F$8-$E$8)/($G$8-$E$8),$E$8+SQRT(R963*($G$8-$E$8)*($F$8-$E$8)),$G$8-SQRT((1-R963)*($G$8-$E$8)*($G$8-$F$8))))</f>
        <v>0.999604188953728</v>
      </c>
      <c r="E963" s="37" t="n">
        <f aca="false">1+IF($G$9=$E$9,$F$9,IF(S963&lt;($F$9-$E$9)/($G$9-$E$9),$E$9+SQRT(S963*($G$9-$E$9)*($F$9-$E$9)),$G$9-SQRT((1-S963)*($G$9-$E$9)*($G$9-$F$9))))</f>
        <v>1.00927667902625</v>
      </c>
      <c r="F963" s="37" t="n">
        <f aca="false">1+IF($G$10=$E$10,$F$10,IF(T963&lt;($F$10-$E$10)/($G$10-$E$10),$E$10+SQRT(T963*($G$10-$E$10)*($F$10-$E$10)),$G$10-SQRT((1-T963)*($G$10-$E$10)*($G$10-$F$10))))</f>
        <v>1.01872948916445</v>
      </c>
      <c r="G963" s="38" t="n">
        <f aca="false">IF($G$11=$E$11,$F$11,IF(U963&lt;($F$11-$E$11)/($G$11-$E$11),$E$11+SQRT(U963*($G$11-$E$11)*($F$11-$E$11)),$G$11-SQRT((1-U963)*($G$11-$E$11)*($G$11-$F$11))))</f>
        <v>0.113786035527283</v>
      </c>
      <c r="H963" s="39" t="n">
        <f aca="false">(('Business Case'!B11*$C963*'Business Case'!B12*$B963)-'Business Case'!B11*$C963*'Business Case'!B13*$D963-'Business Case'!B14*$E963)-MAX(0,(('Business Case'!B11*$C963*'Business Case'!B12*$B963)-'Business Case'!B11*$C963*'Business Case'!B13*$D963-'Business Case'!B14*$E963))*'Business Case'!$B$7-'Business Case'!$B$8*('Business Case'!B11*$C963*'Business Case'!B12*$B963)-'Business Case'!B15*$F963</f>
        <v>-2037458978.3289</v>
      </c>
      <c r="I963" s="39" t="n">
        <f aca="false">(('Business Case'!C11*$C963*'Business Case'!C12*$B963)-'Business Case'!C11*$C963*'Business Case'!C13*$D963-'Business Case'!C14*$E963)-MAX(0,(('Business Case'!C11*$C963*'Business Case'!C12*$B963)-'Business Case'!C11*$C963*'Business Case'!C13*$D963-'Business Case'!C14*$E963))*'Business Case'!$B$7-'Business Case'!$B$8*(('Business Case'!C11*$C963*'Business Case'!C12*$B963)-('Business Case'!B11*$C963*'Business Case'!B12*$B963))-'Business Case'!C15*$F963</f>
        <v>18820602.961261</v>
      </c>
      <c r="J963" s="39" t="n">
        <f aca="false">(('Business Case'!D11*$C963*'Business Case'!D12*$B963)-'Business Case'!D11*$C963*'Business Case'!D13*$D963-'Business Case'!D14*$E963)-MAX(0,(('Business Case'!D11*$C963*'Business Case'!D12*$B963)-'Business Case'!D11*$C963*'Business Case'!D13*$D963-'Business Case'!D14*$E963))*'Business Case'!$B$7-'Business Case'!$B$8*(('Business Case'!D11*$C963*'Business Case'!D12*$B963)-('Business Case'!C11*$C963*'Business Case'!C12*$B963))-'Business Case'!D15*$F963</f>
        <v>333511573.679284</v>
      </c>
      <c r="K963" s="39" t="n">
        <f aca="false">(('Business Case'!E11*$C963*'Business Case'!E12*$B963)-'Business Case'!E11*$C963*'Business Case'!E13*$D963-'Business Case'!E14*$E963)-MAX(0,(('Business Case'!E11*$C963*'Business Case'!E12*$B963)-'Business Case'!E11*$C963*'Business Case'!E13*$D963-'Business Case'!E14*$E963))*'Business Case'!$B$7-'Business Case'!$B$8*(('Business Case'!E11*$C963*'Business Case'!E12*$B963)-('Business Case'!D11*$C963*'Business Case'!D12*$B963))-'Business Case'!E15*$F963</f>
        <v>699139018.85553</v>
      </c>
      <c r="L963" s="39" t="n">
        <f aca="false">(('Business Case'!F11*$C963*'Business Case'!F12*$B963)-'Business Case'!F11*$C963*'Business Case'!F13*$D963-'Business Case'!F14*$E963)-MAX(0,(('Business Case'!F11*$C963*'Business Case'!F12*$B963)-'Business Case'!F11*$C963*'Business Case'!F13*$D963-'Business Case'!F14*$E963))*'Business Case'!$B$7-'Business Case'!$B$8*(('Business Case'!F11*$C963*'Business Case'!F12*$B963)-('Business Case'!E11*$C963*'Business Case'!E12*$B963))-'Business Case'!F15*$F963</f>
        <v>837688192.483393</v>
      </c>
      <c r="M963" s="39" t="n">
        <f aca="false">(('Business Case'!G11*$C963*'Business Case'!G12*$B963)-'Business Case'!G11*$C963*'Business Case'!G13*$D963-'Business Case'!G14*$E963)-MAX(0,(('Business Case'!G11*$C963*'Business Case'!G12*$B963)-'Business Case'!G11*$C963*'Business Case'!G13*$D963-'Business Case'!G14*$E963))*'Business Case'!$B$7-'Business Case'!$B$8*(('Business Case'!G11*$C963*'Business Case'!G12*$B963)-('Business Case'!F11*$C963*'Business Case'!F12*$B963))-'Business Case'!G15*$F963+'Business Case'!$B$8*('Business Case'!G11*$C963*'Business Case'!G12*$B963)</f>
        <v>1022775201.12027</v>
      </c>
      <c r="N963" s="39" t="n">
        <f aca="false">IF(COUNT('Business Case'!B11:G11)=0,"",H963+NPV(G963,I963:M963))</f>
        <v>-104636384.480623</v>
      </c>
      <c r="P963" s="40" t="n">
        <f aca="true">RAND()</f>
        <v>0.986376445291349</v>
      </c>
      <c r="Q963" s="40" t="n">
        <f aca="true">RAND()</f>
        <v>0.294659386203345</v>
      </c>
      <c r="R963" s="40" t="n">
        <f aca="true">RAND()</f>
        <v>0.37855008642418</v>
      </c>
      <c r="S963" s="40" t="n">
        <f aca="true">RAND()</f>
        <v>0.451285268766272</v>
      </c>
      <c r="T963" s="40" t="n">
        <f aca="true">RAND()</f>
        <v>0.342820038028392</v>
      </c>
      <c r="U963" s="40" t="n">
        <f aca="true">RAND()</f>
        <v>0.93564440921969</v>
      </c>
    </row>
    <row r="964" customFormat="false" ht="15" hidden="false" customHeight="false" outlineLevel="0" collapsed="false">
      <c r="A964" s="36" t="n">
        <v>884</v>
      </c>
      <c r="B964" s="37" t="n">
        <f aca="false">1+IF($G$6=$E$6,$F$6,IF(P964&lt;($F$6-$E$6)/($G$6-$E$6),$E$6+SQRT(P964*($G$6-$E$6)*($F$6-$E$6)),$G$6-SQRT((1-P964)*($G$6-$E$6)*($G$6-$F$6))))</f>
        <v>1.01814724451548</v>
      </c>
      <c r="C964" s="37" t="n">
        <f aca="false">1+IF($G$7=$E$7,$F$7,IF(Q964&lt;($F$7-$E$7)/($G$7-$E$7),$E$7+SQRT(Q964*($G$7-$E$7)*($F$7-$E$7)),$G$7-SQRT((1-Q964)*($G$7-$E$7)*($G$7-$F$7))))</f>
        <v>0.966631478881789</v>
      </c>
      <c r="D964" s="37" t="n">
        <f aca="false">1+IF($G$8=$E$8,$F$8,IF(R964&lt;($F$8-$E$8)/($G$8-$E$8),$E$8+SQRT(R964*($G$8-$E$8)*($F$8-$E$8)),$G$8-SQRT((1-R964)*($G$8-$E$8)*($G$8-$F$8))))</f>
        <v>1.02815853149668</v>
      </c>
      <c r="E964" s="37" t="n">
        <f aca="false">1+IF($G$9=$E$9,$F$9,IF(S964&lt;($F$9-$E$9)/($G$9-$E$9),$E$9+SQRT(S964*($G$9-$E$9)*($F$9-$E$9)),$G$9-SQRT((1-S964)*($G$9-$E$9)*($G$9-$F$9))))</f>
        <v>0.980094348112813</v>
      </c>
      <c r="F964" s="37" t="n">
        <f aca="false">1+IF($G$10=$E$10,$F$10,IF(T964&lt;($F$10-$E$10)/($G$10-$E$10),$E$10+SQRT(T964*($G$10-$E$10)*($F$10-$E$10)),$G$10-SQRT((1-T964)*($G$10-$E$10)*($G$10-$F$10))))</f>
        <v>1.10268097536467</v>
      </c>
      <c r="G964" s="38" t="n">
        <f aca="false">IF($G$11=$E$11,$F$11,IF(U964&lt;($F$11-$E$11)/($G$11-$E$11),$E$11+SQRT(U964*($G$11-$E$11)*($F$11-$E$11)),$G$11-SQRT((1-U964)*($G$11-$E$11)*($G$11-$F$11))))</f>
        <v>0.114262371223454</v>
      </c>
      <c r="H964" s="39" t="n">
        <f aca="false">(('Business Case'!B11*$C964*'Business Case'!B12*$B964)-'Business Case'!B11*$C964*'Business Case'!B13*$D964-'Business Case'!B14*$E964)-MAX(0,(('Business Case'!B11*$C964*'Business Case'!B12*$B964)-'Business Case'!B11*$C964*'Business Case'!B13*$D964-'Business Case'!B14*$E964))*'Business Case'!$B$7-'Business Case'!$B$8*('Business Case'!B11*$C964*'Business Case'!B12*$B964)-'Business Case'!B15*$F964</f>
        <v>-2205361950.72935</v>
      </c>
      <c r="I964" s="39" t="n">
        <f aca="false">(('Business Case'!C11*$C964*'Business Case'!C12*$B964)-'Business Case'!C11*$C964*'Business Case'!C13*$D964-'Business Case'!C14*$E964)-MAX(0,(('Business Case'!C11*$C964*'Business Case'!C12*$B964)-'Business Case'!C11*$C964*'Business Case'!C13*$D964-'Business Case'!C14*$E964))*'Business Case'!$B$7-'Business Case'!$B$8*(('Business Case'!C11*$C964*'Business Case'!C12*$B964)-('Business Case'!B11*$C964*'Business Case'!B12*$B964))-'Business Case'!C15*$F964</f>
        <v>-3320256.84594657</v>
      </c>
      <c r="J964" s="39" t="n">
        <f aca="false">(('Business Case'!D11*$C964*'Business Case'!D12*$B964)-'Business Case'!D11*$C964*'Business Case'!D13*$D964-'Business Case'!D14*$E964)-MAX(0,(('Business Case'!D11*$C964*'Business Case'!D12*$B964)-'Business Case'!D11*$C964*'Business Case'!D13*$D964-'Business Case'!D14*$E964))*'Business Case'!$B$7-'Business Case'!$B$8*(('Business Case'!D11*$C964*'Business Case'!D12*$B964)-('Business Case'!C11*$C964*'Business Case'!C12*$B964))-'Business Case'!D15*$F964</f>
        <v>294016537.625588</v>
      </c>
      <c r="K964" s="39" t="n">
        <f aca="false">(('Business Case'!E11*$C964*'Business Case'!E12*$B964)-'Business Case'!E11*$C964*'Business Case'!E13*$D964-'Business Case'!E14*$E964)-MAX(0,(('Business Case'!E11*$C964*'Business Case'!E12*$B964)-'Business Case'!E11*$C964*'Business Case'!E13*$D964-'Business Case'!E14*$E964))*'Business Case'!$B$7-'Business Case'!$B$8*(('Business Case'!E11*$C964*'Business Case'!E12*$B964)-('Business Case'!D11*$C964*'Business Case'!D12*$B964))-'Business Case'!E15*$F964</f>
        <v>646487380.865357</v>
      </c>
      <c r="L964" s="39" t="n">
        <f aca="false">(('Business Case'!F11*$C964*'Business Case'!F12*$B964)-'Business Case'!F11*$C964*'Business Case'!F13*$D964-'Business Case'!F14*$E964)-MAX(0,(('Business Case'!F11*$C964*'Business Case'!F12*$B964)-'Business Case'!F11*$C964*'Business Case'!F13*$D964-'Business Case'!F14*$E964))*'Business Case'!$B$7-'Business Case'!$B$8*(('Business Case'!F11*$C964*'Business Case'!F12*$B964)-('Business Case'!E11*$C964*'Business Case'!E12*$B964))-'Business Case'!F15*$F964</f>
        <v>779612670.67545</v>
      </c>
      <c r="M964" s="39" t="n">
        <f aca="false">(('Business Case'!G11*$C964*'Business Case'!G12*$B964)-'Business Case'!G11*$C964*'Business Case'!G13*$D964-'Business Case'!G14*$E964)-MAX(0,(('Business Case'!G11*$C964*'Business Case'!G12*$B964)-'Business Case'!G11*$C964*'Business Case'!G13*$D964-'Business Case'!G14*$E964))*'Business Case'!$B$7-'Business Case'!$B$8*(('Business Case'!G11*$C964*'Business Case'!G12*$B964)-('Business Case'!F11*$C964*'Business Case'!F12*$B964))-'Business Case'!G15*$F964+'Business Case'!$B$8*('Business Case'!G11*$C964*'Business Case'!G12*$B964)</f>
        <v>966684308.099814</v>
      </c>
      <c r="N964" s="39" t="n">
        <f aca="false">IF(COUNT('Business Case'!B11:G11)=0,"",H964+NPV(G964,I964:M964))</f>
        <v>-435698187.735467</v>
      </c>
      <c r="P964" s="40" t="n">
        <f aca="true">RAND()</f>
        <v>0.90051189119454</v>
      </c>
      <c r="Q964" s="40" t="n">
        <f aca="true">RAND()</f>
        <v>0.396657853633316</v>
      </c>
      <c r="R964" s="40" t="n">
        <f aca="true">RAND()</f>
        <v>0.741582898405708</v>
      </c>
      <c r="S964" s="40" t="n">
        <f aca="true">RAND()</f>
        <v>0.120755971778022</v>
      </c>
      <c r="T964" s="40" t="n">
        <f aca="true">RAND()</f>
        <v>0.810580148880571</v>
      </c>
      <c r="U964" s="40" t="n">
        <f aca="true">RAND()</f>
        <v>0.945132693370916</v>
      </c>
    </row>
    <row r="965" customFormat="false" ht="15" hidden="false" customHeight="false" outlineLevel="0" collapsed="false">
      <c r="A965" s="36" t="n">
        <v>885</v>
      </c>
      <c r="B965" s="37" t="n">
        <f aca="false">1+IF($G$6=$E$6,$F$6,IF(P965&lt;($F$6-$E$6)/($G$6-$E$6),$E$6+SQRT(P965*($G$6-$E$6)*($F$6-$E$6)),$G$6-SQRT((1-P965)*($G$6-$E$6)*($G$6-$F$6))))</f>
        <v>0.994604086449965</v>
      </c>
      <c r="C965" s="37" t="n">
        <f aca="false">1+IF($G$7=$E$7,$F$7,IF(Q965&lt;($F$7-$E$7)/($G$7-$E$7),$E$7+SQRT(Q965*($G$7-$E$7)*($F$7-$E$7)),$G$7-SQRT((1-Q965)*($G$7-$E$7)*($G$7-$F$7))))</f>
        <v>0.836733210234449</v>
      </c>
      <c r="D965" s="37" t="n">
        <f aca="false">1+IF($G$8=$E$8,$F$8,IF(R965&lt;($F$8-$E$8)/($G$8-$E$8),$E$8+SQRT(R965*($G$8-$E$8)*($F$8-$E$8)),$G$8-SQRT((1-R965)*($G$8-$E$8)*($G$8-$F$8))))</f>
        <v>1.03108309713536</v>
      </c>
      <c r="E965" s="37" t="n">
        <f aca="false">1+IF($G$9=$E$9,$F$9,IF(S965&lt;($F$9-$E$9)/($G$9-$E$9),$E$9+SQRT(S965*($G$9-$E$9)*($F$9-$E$9)),$G$9-SQRT((1-S965)*($G$9-$E$9)*($G$9-$F$9))))</f>
        <v>0.969594972413224</v>
      </c>
      <c r="F965" s="37" t="n">
        <f aca="false">1+IF($G$10=$E$10,$F$10,IF(T965&lt;($F$10-$E$10)/($G$10-$E$10),$E$10+SQRT(T965*($G$10-$E$10)*($F$10-$E$10)),$G$10-SQRT((1-T965)*($G$10-$E$10)*($G$10-$F$10))))</f>
        <v>1.00499400502591</v>
      </c>
      <c r="G965" s="38" t="n">
        <f aca="false">IF($G$11=$E$11,$F$11,IF(U965&lt;($F$11-$E$11)/($G$11-$E$11),$E$11+SQRT(U965*($G$11-$E$11)*($F$11-$E$11)),$G$11-SQRT((1-U965)*($G$11-$E$11)*($G$11-$F$11))))</f>
        <v>0.105653236814739</v>
      </c>
      <c r="H965" s="39" t="n">
        <f aca="false">(('Business Case'!B11*$C965*'Business Case'!B12*$B965)-'Business Case'!B11*$C965*'Business Case'!B13*$D965-'Business Case'!B14*$E965)-MAX(0,(('Business Case'!B11*$C965*'Business Case'!B12*$B965)-'Business Case'!B11*$C965*'Business Case'!B13*$D965-'Business Case'!B14*$E965))*'Business Case'!$B$7-'Business Case'!$B$8*('Business Case'!B11*$C965*'Business Case'!B12*$B965)-'Business Case'!B15*$F965</f>
        <v>-2009988010.05181</v>
      </c>
      <c r="I965" s="39" t="n">
        <f aca="false">(('Business Case'!C11*$C965*'Business Case'!C12*$B965)-'Business Case'!C11*$C965*'Business Case'!C13*$D965-'Business Case'!C14*$E965)-MAX(0,(('Business Case'!C11*$C965*'Business Case'!C12*$B965)-'Business Case'!C11*$C965*'Business Case'!C13*$D965-'Business Case'!C14*$E965))*'Business Case'!$B$7-'Business Case'!$B$8*(('Business Case'!C11*$C965*'Business Case'!C12*$B965)-('Business Case'!B11*$C965*'Business Case'!B12*$B965))-'Business Case'!C15*$F965</f>
        <v>-41525930.9858373</v>
      </c>
      <c r="J965" s="39" t="n">
        <f aca="false">(('Business Case'!D11*$C965*'Business Case'!D12*$B965)-'Business Case'!D11*$C965*'Business Case'!D13*$D965-'Business Case'!D14*$E965)-MAX(0,(('Business Case'!D11*$C965*'Business Case'!D12*$B965)-'Business Case'!D11*$C965*'Business Case'!D13*$D965-'Business Case'!D14*$E965))*'Business Case'!$B$7-'Business Case'!$B$8*(('Business Case'!D11*$C965*'Business Case'!D12*$B965)-('Business Case'!C11*$C965*'Business Case'!C12*$B965))-'Business Case'!D15*$F965</f>
        <v>198466138.733564</v>
      </c>
      <c r="K965" s="39" t="n">
        <f aca="false">(('Business Case'!E11*$C965*'Business Case'!E12*$B965)-'Business Case'!E11*$C965*'Business Case'!E13*$D965-'Business Case'!E14*$E965)-MAX(0,(('Business Case'!E11*$C965*'Business Case'!E12*$B965)-'Business Case'!E11*$C965*'Business Case'!E13*$D965-'Business Case'!E14*$E965))*'Business Case'!$B$7-'Business Case'!$B$8*(('Business Case'!E11*$C965*'Business Case'!E12*$B965)-('Business Case'!D11*$C965*'Business Case'!D12*$B965))-'Business Case'!E15*$F965</f>
        <v>488707908.704261</v>
      </c>
      <c r="L965" s="39" t="n">
        <f aca="false">(('Business Case'!F11*$C965*'Business Case'!F12*$B965)-'Business Case'!F11*$C965*'Business Case'!F13*$D965-'Business Case'!F14*$E965)-MAX(0,(('Business Case'!F11*$C965*'Business Case'!F12*$B965)-'Business Case'!F11*$C965*'Business Case'!F13*$D965-'Business Case'!F14*$E965))*'Business Case'!$B$7-'Business Case'!$B$8*(('Business Case'!F11*$C965*'Business Case'!F12*$B965)-('Business Case'!E11*$C965*'Business Case'!E12*$B965))-'Business Case'!F15*$F965</f>
        <v>597466728.694386</v>
      </c>
      <c r="M965" s="39" t="n">
        <f aca="false">(('Business Case'!G11*$C965*'Business Case'!G12*$B965)-'Business Case'!G11*$C965*'Business Case'!G13*$D965-'Business Case'!G14*$E965)-MAX(0,(('Business Case'!G11*$C965*'Business Case'!G12*$B965)-'Business Case'!G11*$C965*'Business Case'!G13*$D965-'Business Case'!G14*$E965))*'Business Case'!$B$7-'Business Case'!$B$8*(('Business Case'!G11*$C965*'Business Case'!G12*$B965)-('Business Case'!F11*$C965*'Business Case'!F12*$B965))-'Business Case'!G15*$F965+'Business Case'!$B$8*('Business Case'!G11*$C965*'Business Case'!G12*$B965)</f>
        <v>755654777.48784</v>
      </c>
      <c r="N965" s="39" t="n">
        <f aca="false">IF(COUNT('Business Case'!B11:G11)=0,"",H965+NPV(G965,I965:M965))</f>
        <v>-666502577.393572</v>
      </c>
      <c r="P965" s="40" t="n">
        <f aca="true">RAND()</f>
        <v>0.579767678649351</v>
      </c>
      <c r="Q965" s="40" t="n">
        <f aca="true">RAND()</f>
        <v>0.0192761247732605</v>
      </c>
      <c r="R965" s="40" t="n">
        <f aca="true">RAND()</f>
        <v>0.769916982128045</v>
      </c>
      <c r="S965" s="40" t="n">
        <f aca="true">RAND()</f>
        <v>0.0511950591833317</v>
      </c>
      <c r="T965" s="40" t="n">
        <f aca="true">RAND()</f>
        <v>0.239453238483278</v>
      </c>
      <c r="U965" s="40" t="n">
        <f aca="true">RAND()</f>
        <v>0.656950643510059</v>
      </c>
    </row>
    <row r="966" customFormat="false" ht="15" hidden="false" customHeight="false" outlineLevel="0" collapsed="false">
      <c r="A966" s="36" t="n">
        <v>886</v>
      </c>
      <c r="B966" s="37" t="n">
        <f aca="false">1+IF($G$6=$E$6,$F$6,IF(P966&lt;($F$6-$E$6)/($G$6-$E$6),$E$6+SQRT(P966*($G$6-$E$6)*($F$6-$E$6)),$G$6-SQRT((1-P966)*($G$6-$E$6)*($G$6-$F$6))))</f>
        <v>1.00324033696361</v>
      </c>
      <c r="C966" s="37" t="n">
        <f aca="false">1+IF($G$7=$E$7,$F$7,IF(Q966&lt;($F$7-$E$7)/($G$7-$E$7),$E$7+SQRT(Q966*($G$7-$E$7)*($F$7-$E$7)),$G$7-SQRT((1-Q966)*($G$7-$E$7)*($G$7-$F$7))))</f>
        <v>1.00100937931753</v>
      </c>
      <c r="D966" s="37" t="n">
        <f aca="false">1+IF($G$8=$E$8,$F$8,IF(R966&lt;($F$8-$E$8)/($G$8-$E$8),$E$8+SQRT(R966*($G$8-$E$8)*($F$8-$E$8)),$G$8-SQRT((1-R966)*($G$8-$E$8)*($G$8-$F$8))))</f>
        <v>1.05665566266094</v>
      </c>
      <c r="E966" s="37" t="n">
        <f aca="false">1+IF($G$9=$E$9,$F$9,IF(S966&lt;($F$9-$E$9)/($G$9-$E$9),$E$9+SQRT(S966*($G$9-$E$9)*($F$9-$E$9)),$G$9-SQRT((1-S966)*($G$9-$E$9)*($G$9-$F$9))))</f>
        <v>1.0313902965279</v>
      </c>
      <c r="F966" s="37" t="n">
        <f aca="false">1+IF($G$10=$E$10,$F$10,IF(T966&lt;($F$10-$E$10)/($G$10-$E$10),$E$10+SQRT(T966*($G$10-$E$10)*($F$10-$E$10)),$G$10-SQRT((1-T966)*($G$10-$E$10)*($G$10-$F$10))))</f>
        <v>1.03689327233392</v>
      </c>
      <c r="G966" s="38" t="n">
        <f aca="false">IF($G$11=$E$11,$F$11,IF(U966&lt;($F$11-$E$11)/($G$11-$E$11),$E$11+SQRT(U966*($G$11-$E$11)*($F$11-$E$11)),$G$11-SQRT((1-U966)*($G$11-$E$11)*($G$11-$F$11))))</f>
        <v>0.106445159123177</v>
      </c>
      <c r="H966" s="39" t="n">
        <f aca="false">(('Business Case'!B11*$C966*'Business Case'!B12*$B966)-'Business Case'!B11*$C966*'Business Case'!B13*$D966-'Business Case'!B14*$E966)-MAX(0,(('Business Case'!B11*$C966*'Business Case'!B12*$B966)-'Business Case'!B11*$C966*'Business Case'!B13*$D966-'Business Case'!B14*$E966))*'Business Case'!$B$7-'Business Case'!$B$8*('Business Case'!B11*$C966*'Business Case'!B12*$B966)-'Business Case'!B15*$F966</f>
        <v>-2073786544.66784</v>
      </c>
      <c r="I966" s="39" t="n">
        <f aca="false">(('Business Case'!C11*$C966*'Business Case'!C12*$B966)-'Business Case'!C11*$C966*'Business Case'!C13*$D966-'Business Case'!C14*$E966)-MAX(0,(('Business Case'!C11*$C966*'Business Case'!C12*$B966)-'Business Case'!C11*$C966*'Business Case'!C13*$D966-'Business Case'!C14*$E966))*'Business Case'!$B$7-'Business Case'!$B$8*(('Business Case'!C11*$C966*'Business Case'!C12*$B966)-('Business Case'!B11*$C966*'Business Case'!B12*$B966))-'Business Case'!C15*$F966</f>
        <v>-21327163.1561654</v>
      </c>
      <c r="J966" s="39" t="n">
        <f aca="false">(('Business Case'!D11*$C966*'Business Case'!D12*$B966)-'Business Case'!D11*$C966*'Business Case'!D13*$D966-'Business Case'!D14*$E966)-MAX(0,(('Business Case'!D11*$C966*'Business Case'!D12*$B966)-'Business Case'!D11*$C966*'Business Case'!D13*$D966-'Business Case'!D14*$E966))*'Business Case'!$B$7-'Business Case'!$B$8*(('Business Case'!D11*$C966*'Business Case'!D12*$B966)-('Business Case'!C11*$C966*'Business Case'!C12*$B966))-'Business Case'!D15*$F966</f>
        <v>259759175.93394</v>
      </c>
      <c r="K966" s="39" t="n">
        <f aca="false">(('Business Case'!E11*$C966*'Business Case'!E12*$B966)-'Business Case'!E11*$C966*'Business Case'!E13*$D966-'Business Case'!E14*$E966)-MAX(0,(('Business Case'!E11*$C966*'Business Case'!E12*$B966)-'Business Case'!E11*$C966*'Business Case'!E13*$D966-'Business Case'!E14*$E966))*'Business Case'!$B$7-'Business Case'!$B$8*(('Business Case'!E11*$C966*'Business Case'!E12*$B966)-('Business Case'!D11*$C966*'Business Case'!D12*$B966))-'Business Case'!E15*$F966</f>
        <v>592690178.64074</v>
      </c>
      <c r="L966" s="39" t="n">
        <f aca="false">(('Business Case'!F11*$C966*'Business Case'!F12*$B966)-'Business Case'!F11*$C966*'Business Case'!F13*$D966-'Business Case'!F14*$E966)-MAX(0,(('Business Case'!F11*$C966*'Business Case'!F12*$B966)-'Business Case'!F11*$C966*'Business Case'!F13*$D966-'Business Case'!F14*$E966))*'Business Case'!$B$7-'Business Case'!$B$8*(('Business Case'!F11*$C966*'Business Case'!F12*$B966)-('Business Case'!E11*$C966*'Business Case'!E12*$B966))-'Business Case'!F15*$F966</f>
        <v>721092608.235183</v>
      </c>
      <c r="M966" s="39" t="n">
        <f aca="false">(('Business Case'!G11*$C966*'Business Case'!G12*$B966)-'Business Case'!G11*$C966*'Business Case'!G13*$D966-'Business Case'!G14*$E966)-MAX(0,(('Business Case'!G11*$C966*'Business Case'!G12*$B966)-'Business Case'!G11*$C966*'Business Case'!G13*$D966-'Business Case'!G14*$E966))*'Business Case'!$B$7-'Business Case'!$B$8*(('Business Case'!G11*$C966*'Business Case'!G12*$B966)-('Business Case'!F11*$C966*'Business Case'!F12*$B966))-'Business Case'!G15*$F966+'Business Case'!$B$8*('Business Case'!G11*$C966*'Business Case'!G12*$B966)</f>
        <v>911981016.006091</v>
      </c>
      <c r="N966" s="39" t="n">
        <f aca="false">IF(COUNT('Business Case'!B11:G11)=0,"",H966+NPV(G966,I966:M966))</f>
        <v>-412211606.226568</v>
      </c>
      <c r="P966" s="40" t="n">
        <f aca="true">RAND()</f>
        <v>0.718484827802301</v>
      </c>
      <c r="Q966" s="40" t="n">
        <f aca="true">RAND()</f>
        <v>0.577177046640992</v>
      </c>
      <c r="R966" s="40" t="n">
        <f aca="true">RAND()</f>
        <v>0.947600184057689</v>
      </c>
      <c r="S966" s="40" t="n">
        <f aca="true">RAND()</f>
        <v>0.686180572631335</v>
      </c>
      <c r="T966" s="40" t="n">
        <f aca="true">RAND()</f>
        <v>0.467923907801266</v>
      </c>
      <c r="U966" s="40" t="n">
        <f aca="true">RAND()</f>
        <v>0.693777148006695</v>
      </c>
    </row>
    <row r="967" customFormat="false" ht="15" hidden="false" customHeight="false" outlineLevel="0" collapsed="false">
      <c r="A967" s="36" t="n">
        <v>887</v>
      </c>
      <c r="B967" s="37" t="n">
        <f aca="false">1+IF($G$6=$E$6,$F$6,IF(P967&lt;($F$6-$E$6)/($G$6-$E$6),$E$6+SQRT(P967*($G$6-$E$6)*($F$6-$E$6)),$G$6-SQRT((1-P967)*($G$6-$E$6)*($G$6-$F$6))))</f>
        <v>0.967677811021143</v>
      </c>
      <c r="C967" s="37" t="n">
        <f aca="false">1+IF($G$7=$E$7,$F$7,IF(Q967&lt;($F$7-$E$7)/($G$7-$E$7),$E$7+SQRT(Q967*($G$7-$E$7)*($F$7-$E$7)),$G$7-SQRT((1-Q967)*($G$7-$E$7)*($G$7-$F$7))))</f>
        <v>1.00188902431017</v>
      </c>
      <c r="D967" s="37" t="n">
        <f aca="false">1+IF($G$8=$E$8,$F$8,IF(R967&lt;($F$8-$E$8)/($G$8-$E$8),$E$8+SQRT(R967*($G$8-$E$8)*($F$8-$E$8)),$G$8-SQRT((1-R967)*($G$8-$E$8)*($G$8-$F$8))))</f>
        <v>0.991329136295472</v>
      </c>
      <c r="E967" s="37" t="n">
        <f aca="false">1+IF($G$9=$E$9,$F$9,IF(S967&lt;($F$9-$E$9)/($G$9-$E$9),$E$9+SQRT(S967*($G$9-$E$9)*($F$9-$E$9)),$G$9-SQRT((1-S967)*($G$9-$E$9)*($G$9-$F$9))))</f>
        <v>1.04450417602898</v>
      </c>
      <c r="F967" s="37" t="n">
        <f aca="false">1+IF($G$10=$E$10,$F$10,IF(T967&lt;($F$10-$E$10)/($G$10-$E$10),$E$10+SQRT(T967*($G$10-$E$10)*($F$10-$E$10)),$G$10-SQRT((1-T967)*($G$10-$E$10)*($G$10-$F$10))))</f>
        <v>0.981935469956228</v>
      </c>
      <c r="G967" s="38" t="n">
        <f aca="false">IF($G$11=$E$11,$F$11,IF(U967&lt;($F$11-$E$11)/($G$11-$E$11),$E$11+SQRT(U967*($G$11-$E$11)*($F$11-$E$11)),$G$11-SQRT((1-U967)*($G$11-$E$11)*($G$11-$F$11))))</f>
        <v>0.1107559277799</v>
      </c>
      <c r="H967" s="39" t="n">
        <f aca="false">(('Business Case'!B11*$C967*'Business Case'!B12*$B967)-'Business Case'!B11*$C967*'Business Case'!B13*$D967-'Business Case'!B14*$E967)-MAX(0,(('Business Case'!B11*$C967*'Business Case'!B12*$B967)-'Business Case'!B11*$C967*'Business Case'!B13*$D967-'Business Case'!B14*$E967))*'Business Case'!$B$7-'Business Case'!$B$8*('Business Case'!B11*$C967*'Business Case'!B12*$B967)-'Business Case'!B15*$F967</f>
        <v>-1963870939.91246</v>
      </c>
      <c r="I967" s="39" t="n">
        <f aca="false">(('Business Case'!C11*$C967*'Business Case'!C12*$B967)-'Business Case'!C11*$C967*'Business Case'!C13*$D967-'Business Case'!C14*$E967)-MAX(0,(('Business Case'!C11*$C967*'Business Case'!C12*$B967)-'Business Case'!C11*$C967*'Business Case'!C13*$D967-'Business Case'!C14*$E967))*'Business Case'!$B$7-'Business Case'!$B$8*(('Business Case'!C11*$C967*'Business Case'!C12*$B967)-('Business Case'!B11*$C967*'Business Case'!B12*$B967))-'Business Case'!C15*$F967</f>
        <v>-11326039.6114779</v>
      </c>
      <c r="J967" s="39" t="n">
        <f aca="false">(('Business Case'!D11*$C967*'Business Case'!D12*$B967)-'Business Case'!D11*$C967*'Business Case'!D13*$D967-'Business Case'!D14*$E967)-MAX(0,(('Business Case'!D11*$C967*'Business Case'!D12*$B967)-'Business Case'!D11*$C967*'Business Case'!D13*$D967-'Business Case'!D14*$E967))*'Business Case'!$B$7-'Business Case'!$B$8*(('Business Case'!D11*$C967*'Business Case'!D12*$B967)-('Business Case'!C11*$C967*'Business Case'!C12*$B967))-'Business Case'!D15*$F967</f>
        <v>274329141.131909</v>
      </c>
      <c r="K967" s="39" t="n">
        <f aca="false">(('Business Case'!E11*$C967*'Business Case'!E12*$B967)-'Business Case'!E11*$C967*'Business Case'!E13*$D967-'Business Case'!E14*$E967)-MAX(0,(('Business Case'!E11*$C967*'Business Case'!E12*$B967)-'Business Case'!E11*$C967*'Business Case'!E13*$D967-'Business Case'!E14*$E967))*'Business Case'!$B$7-'Business Case'!$B$8*(('Business Case'!E11*$C967*'Business Case'!E12*$B967)-('Business Case'!D11*$C967*'Business Case'!D12*$B967))-'Business Case'!E15*$F967</f>
        <v>609081095.373106</v>
      </c>
      <c r="L967" s="39" t="n">
        <f aca="false">(('Business Case'!F11*$C967*'Business Case'!F12*$B967)-'Business Case'!F11*$C967*'Business Case'!F13*$D967-'Business Case'!F14*$E967)-MAX(0,(('Business Case'!F11*$C967*'Business Case'!F12*$B967)-'Business Case'!F11*$C967*'Business Case'!F13*$D967-'Business Case'!F14*$E967))*'Business Case'!$B$7-'Business Case'!$B$8*(('Business Case'!F11*$C967*'Business Case'!F12*$B967)-('Business Case'!E11*$C967*'Business Case'!E12*$B967))-'Business Case'!F15*$F967</f>
        <v>737805608.639516</v>
      </c>
      <c r="M967" s="39" t="n">
        <f aca="false">(('Business Case'!G11*$C967*'Business Case'!G12*$B967)-'Business Case'!G11*$C967*'Business Case'!G13*$D967-'Business Case'!G14*$E967)-MAX(0,(('Business Case'!G11*$C967*'Business Case'!G12*$B967)-'Business Case'!G11*$C967*'Business Case'!G13*$D967-'Business Case'!G14*$E967))*'Business Case'!$B$7-'Business Case'!$B$8*(('Business Case'!G11*$C967*'Business Case'!G12*$B967)-('Business Case'!F11*$C967*'Business Case'!F12*$B967))-'Business Case'!G15*$F967+'Business Case'!$B$8*('Business Case'!G11*$C967*'Business Case'!G12*$B967)</f>
        <v>922089266.90856</v>
      </c>
      <c r="N967" s="39" t="n">
        <f aca="false">IF(COUNT('Business Case'!B11:G11)=0,"",H967+NPV(G967,I967:M967))</f>
        <v>-277223384.522843</v>
      </c>
      <c r="P967" s="40" t="n">
        <f aca="true">RAND()</f>
        <v>0.236788923309151</v>
      </c>
      <c r="Q967" s="40" t="n">
        <f aca="true">RAND()</f>
        <v>0.582155026289674</v>
      </c>
      <c r="R967" s="40" t="n">
        <f aca="true">RAND()</f>
        <v>0.262784231835344</v>
      </c>
      <c r="S967" s="40" t="n">
        <f aca="true">RAND()</f>
        <v>0.794680901451801</v>
      </c>
      <c r="T967" s="40" t="n">
        <f aca="true">RAND()</f>
        <v>0.0815899393060088</v>
      </c>
      <c r="U967" s="40" t="n">
        <f aca="true">RAND()</f>
        <v>0.857578547982615</v>
      </c>
    </row>
    <row r="968" customFormat="false" ht="15" hidden="false" customHeight="false" outlineLevel="0" collapsed="false">
      <c r="A968" s="36" t="n">
        <v>888</v>
      </c>
      <c r="B968" s="37" t="n">
        <f aca="false">1+IF($G$6=$E$6,$F$6,IF(P968&lt;($F$6-$E$6)/($G$6-$E$6),$E$6+SQRT(P968*($G$6-$E$6)*($F$6-$E$6)),$G$6-SQRT((1-P968)*($G$6-$E$6)*($G$6-$F$6))))</f>
        <v>0.958322335620683</v>
      </c>
      <c r="C968" s="37" t="n">
        <f aca="false">1+IF($G$7=$E$7,$F$7,IF(Q968&lt;($F$7-$E$7)/($G$7-$E$7),$E$7+SQRT(Q968*($G$7-$E$7)*($F$7-$E$7)),$G$7-SQRT((1-Q968)*($G$7-$E$7)*($G$7-$F$7))))</f>
        <v>0.877267868514927</v>
      </c>
      <c r="D968" s="37" t="n">
        <f aca="false">1+IF($G$8=$E$8,$F$8,IF(R968&lt;($F$8-$E$8)/($G$8-$E$8),$E$8+SQRT(R968*($G$8-$E$8)*($F$8-$E$8)),$G$8-SQRT((1-R968)*($G$8-$E$8)*($G$8-$F$8))))</f>
        <v>0.995853430219395</v>
      </c>
      <c r="E968" s="37" t="n">
        <f aca="false">1+IF($G$9=$E$9,$F$9,IF(S968&lt;($F$9-$E$9)/($G$9-$E$9),$E$9+SQRT(S968*($G$9-$E$9)*($F$9-$E$9)),$G$9-SQRT((1-S968)*($G$9-$E$9)*($G$9-$F$9))))</f>
        <v>0.995116222035333</v>
      </c>
      <c r="F968" s="37" t="n">
        <f aca="false">1+IF($G$10=$E$10,$F$10,IF(T968&lt;($F$10-$E$10)/($G$10-$E$10),$E$10+SQRT(T968*($G$10-$E$10)*($F$10-$E$10)),$G$10-SQRT((1-T968)*($G$10-$E$10)*($G$10-$F$10))))</f>
        <v>1.02006671108746</v>
      </c>
      <c r="G968" s="38" t="n">
        <f aca="false">IF($G$11=$E$11,$F$11,IF(U968&lt;($F$11-$E$11)/($G$11-$E$11),$E$11+SQRT(U968*($G$11-$E$11)*($F$11-$E$11)),$G$11-SQRT((1-U968)*($G$11-$E$11)*($G$11-$F$11))))</f>
        <v>0.0978091648273052</v>
      </c>
      <c r="H968" s="39" t="n">
        <f aca="false">(('Business Case'!B11*$C968*'Business Case'!B12*$B968)-'Business Case'!B11*$C968*'Business Case'!B13*$D968-'Business Case'!B14*$E968)-MAX(0,(('Business Case'!B11*$C968*'Business Case'!B12*$B968)-'Business Case'!B11*$C968*'Business Case'!B13*$D968-'Business Case'!B14*$E968))*'Business Case'!$B$7-'Business Case'!$B$8*('Business Case'!B11*$C968*'Business Case'!B12*$B968)-'Business Case'!B15*$F968</f>
        <v>-2040133422.17492</v>
      </c>
      <c r="I968" s="39" t="n">
        <f aca="false">(('Business Case'!C11*$C968*'Business Case'!C12*$B968)-'Business Case'!C11*$C968*'Business Case'!C13*$D968-'Business Case'!C14*$E968)-MAX(0,(('Business Case'!C11*$C968*'Business Case'!C12*$B968)-'Business Case'!C11*$C968*'Business Case'!C13*$D968-'Business Case'!C14*$E968))*'Business Case'!$B$7-'Business Case'!$B$8*(('Business Case'!C11*$C968*'Business Case'!C12*$B968)-('Business Case'!B11*$C968*'Business Case'!B12*$B968))-'Business Case'!C15*$F968</f>
        <v>-45724898.2312828</v>
      </c>
      <c r="J968" s="39" t="n">
        <f aca="false">(('Business Case'!D11*$C968*'Business Case'!D12*$B968)-'Business Case'!D11*$C968*'Business Case'!D13*$D968-'Business Case'!D14*$E968)-MAX(0,(('Business Case'!D11*$C968*'Business Case'!D12*$B968)-'Business Case'!D11*$C968*'Business Case'!D13*$D968-'Business Case'!D14*$E968))*'Business Case'!$B$7-'Business Case'!$B$8*(('Business Case'!D11*$C968*'Business Case'!D12*$B968)-('Business Case'!C11*$C968*'Business Case'!C12*$B968))-'Business Case'!D15*$F968</f>
        <v>195644568.97822</v>
      </c>
      <c r="K968" s="39" t="n">
        <f aca="false">(('Business Case'!E11*$C968*'Business Case'!E12*$B968)-'Business Case'!E11*$C968*'Business Case'!E13*$D968-'Business Case'!E14*$E968)-MAX(0,(('Business Case'!E11*$C968*'Business Case'!E12*$B968)-'Business Case'!E11*$C968*'Business Case'!E13*$D968-'Business Case'!E14*$E968))*'Business Case'!$B$7-'Business Case'!$B$8*(('Business Case'!E11*$C968*'Business Case'!E12*$B968)-('Business Case'!D11*$C968*'Business Case'!D12*$B968))-'Business Case'!E15*$F968</f>
        <v>488017371.742096</v>
      </c>
      <c r="L968" s="39" t="n">
        <f aca="false">(('Business Case'!F11*$C968*'Business Case'!F12*$B968)-'Business Case'!F11*$C968*'Business Case'!F13*$D968-'Business Case'!F14*$E968)-MAX(0,(('Business Case'!F11*$C968*'Business Case'!F12*$B968)-'Business Case'!F11*$C968*'Business Case'!F13*$D968-'Business Case'!F14*$E968))*'Business Case'!$B$7-'Business Case'!$B$8*(('Business Case'!F11*$C968*'Business Case'!F12*$B968)-('Business Case'!E11*$C968*'Business Case'!E12*$B968))-'Business Case'!F15*$F968</f>
        <v>597528639.18434</v>
      </c>
      <c r="M968" s="39" t="n">
        <f aca="false">(('Business Case'!G11*$C968*'Business Case'!G12*$B968)-'Business Case'!G11*$C968*'Business Case'!G13*$D968-'Business Case'!G14*$E968)-MAX(0,(('Business Case'!G11*$C968*'Business Case'!G12*$B968)-'Business Case'!G11*$C968*'Business Case'!G13*$D968-'Business Case'!G14*$E968))*'Business Case'!$B$7-'Business Case'!$B$8*(('Business Case'!G11*$C968*'Business Case'!G12*$B968)-('Business Case'!F11*$C968*'Business Case'!F12*$B968))-'Business Case'!G15*$F968+'Business Case'!$B$8*('Business Case'!G11*$C968*'Business Case'!G12*$B968)</f>
        <v>757329920.232596</v>
      </c>
      <c r="N968" s="39" t="n">
        <f aca="false">IF(COUNT('Business Case'!B11:G11)=0,"",H968+NPV(G968,I968:M968))</f>
        <v>-664253598.745477</v>
      </c>
      <c r="P968" s="40" t="n">
        <f aca="true">RAND()</f>
        <v>0.152979313273361</v>
      </c>
      <c r="Q968" s="40" t="n">
        <f aca="true">RAND()</f>
        <v>0.0852903357834284</v>
      </c>
      <c r="R968" s="40" t="n">
        <f aca="true">RAND()</f>
        <v>0.323467240443835</v>
      </c>
      <c r="S968" s="40" t="n">
        <f aca="true">RAND()</f>
        <v>0.271396465432196</v>
      </c>
      <c r="T968" s="40" t="n">
        <f aca="true">RAND()</f>
        <v>0.352480230822319</v>
      </c>
      <c r="U968" s="40" t="n">
        <f aca="true">RAND()</f>
        <v>0.203276851000067</v>
      </c>
    </row>
    <row r="969" customFormat="false" ht="15" hidden="false" customHeight="false" outlineLevel="0" collapsed="false">
      <c r="A969" s="36" t="n">
        <v>889</v>
      </c>
      <c r="B969" s="37" t="n">
        <f aca="false">1+IF($G$6=$E$6,$F$6,IF(P969&lt;($F$6-$E$6)/($G$6-$E$6),$E$6+SQRT(P969*($G$6-$E$6)*($F$6-$E$6)),$G$6-SQRT((1-P969)*($G$6-$E$6)*($G$6-$F$6))))</f>
        <v>0.939159473314565</v>
      </c>
      <c r="C969" s="37" t="n">
        <f aca="false">1+IF($G$7=$E$7,$F$7,IF(Q969&lt;($F$7-$E$7)/($G$7-$E$7),$E$7+SQRT(Q969*($G$7-$E$7)*($F$7-$E$7)),$G$7-SQRT((1-Q969)*($G$7-$E$7)*($G$7-$F$7))))</f>
        <v>0.892636559849503</v>
      </c>
      <c r="D969" s="37" t="n">
        <f aca="false">1+IF($G$8=$E$8,$F$8,IF(R969&lt;($F$8-$E$8)/($G$8-$E$8),$E$8+SQRT(R969*($G$8-$E$8)*($F$8-$E$8)),$G$8-SQRT((1-R969)*($G$8-$E$8)*($G$8-$F$8))))</f>
        <v>0.997766605767196</v>
      </c>
      <c r="E969" s="37" t="n">
        <f aca="false">1+IF($G$9=$E$9,$F$9,IF(S969&lt;($F$9-$E$9)/($G$9-$E$9),$E$9+SQRT(S969*($G$9-$E$9)*($F$9-$E$9)),$G$9-SQRT((1-S969)*($G$9-$E$9)*($G$9-$F$9))))</f>
        <v>1.00990942551902</v>
      </c>
      <c r="F969" s="37" t="n">
        <f aca="false">1+IF($G$10=$E$10,$F$10,IF(T969&lt;($F$10-$E$10)/($G$10-$E$10),$E$10+SQRT(T969*($G$10-$E$10)*($F$10-$E$10)),$G$10-SQRT((1-T969)*($G$10-$E$10)*($G$10-$F$10))))</f>
        <v>1.06216560835401</v>
      </c>
      <c r="G969" s="38" t="n">
        <f aca="false">IF($G$11=$E$11,$F$11,IF(U969&lt;($F$11-$E$11)/($G$11-$E$11),$E$11+SQRT(U969*($G$11-$E$11)*($F$11-$E$11)),$G$11-SQRT((1-U969)*($G$11-$E$11)*($G$11-$F$11))))</f>
        <v>0.103612693622368</v>
      </c>
      <c r="H969" s="39" t="n">
        <f aca="false">(('Business Case'!B11*$C969*'Business Case'!B12*$B969)-'Business Case'!B11*$C969*'Business Case'!B13*$D969-'Business Case'!B14*$E969)-MAX(0,(('Business Case'!B11*$C969*'Business Case'!B12*$B969)-'Business Case'!B11*$C969*'Business Case'!B13*$D969-'Business Case'!B14*$E969))*'Business Case'!$B$7-'Business Case'!$B$8*('Business Case'!B11*$C969*'Business Case'!B12*$B969)-'Business Case'!B15*$F969</f>
        <v>-2124331216.70802</v>
      </c>
      <c r="I969" s="39" t="n">
        <f aca="false">(('Business Case'!C11*$C969*'Business Case'!C12*$B969)-'Business Case'!C11*$C969*'Business Case'!C13*$D969-'Business Case'!C14*$E969)-MAX(0,(('Business Case'!C11*$C969*'Business Case'!C12*$B969)-'Business Case'!C11*$C969*'Business Case'!C13*$D969-'Business Case'!C14*$E969))*'Business Case'!$B$7-'Business Case'!$B$8*(('Business Case'!C11*$C969*'Business Case'!C12*$B969)-('Business Case'!B11*$C969*'Business Case'!B12*$B969))-'Business Case'!C15*$F969</f>
        <v>-62571489.8105565</v>
      </c>
      <c r="J969" s="39" t="n">
        <f aca="false">(('Business Case'!D11*$C969*'Business Case'!D12*$B969)-'Business Case'!D11*$C969*'Business Case'!D13*$D969-'Business Case'!D14*$E969)-MAX(0,(('Business Case'!D11*$C969*'Business Case'!D12*$B969)-'Business Case'!D11*$C969*'Business Case'!D13*$D969-'Business Case'!D14*$E969))*'Business Case'!$B$7-'Business Case'!$B$8*(('Business Case'!D11*$C969*'Business Case'!D12*$B969)-('Business Case'!C11*$C969*'Business Case'!C12*$B969))-'Business Case'!D15*$F969</f>
        <v>168141629.263366</v>
      </c>
      <c r="K969" s="39" t="n">
        <f aca="false">(('Business Case'!E11*$C969*'Business Case'!E12*$B969)-'Business Case'!E11*$C969*'Business Case'!E13*$D969-'Business Case'!E14*$E969)-MAX(0,(('Business Case'!E11*$C969*'Business Case'!E12*$B969)-'Business Case'!E11*$C969*'Business Case'!E13*$D969-'Business Case'!E14*$E969))*'Business Case'!$B$7-'Business Case'!$B$8*(('Business Case'!E11*$C969*'Business Case'!E12*$B969)-('Business Case'!D11*$C969*'Business Case'!D12*$B969))-'Business Case'!E15*$F969</f>
        <v>451963028.754988</v>
      </c>
      <c r="L969" s="39" t="n">
        <f aca="false">(('Business Case'!F11*$C969*'Business Case'!F12*$B969)-'Business Case'!F11*$C969*'Business Case'!F13*$D969-'Business Case'!F14*$E969)-MAX(0,(('Business Case'!F11*$C969*'Business Case'!F12*$B969)-'Business Case'!F11*$C969*'Business Case'!F13*$D969-'Business Case'!F14*$E969))*'Business Case'!$B$7-'Business Case'!$B$8*(('Business Case'!F11*$C969*'Business Case'!F12*$B969)-('Business Case'!E11*$C969*'Business Case'!E12*$B969))-'Business Case'!F15*$F969</f>
        <v>557840020.273144</v>
      </c>
      <c r="M969" s="39" t="n">
        <f aca="false">(('Business Case'!G11*$C969*'Business Case'!G12*$B969)-'Business Case'!G11*$C969*'Business Case'!G13*$D969-'Business Case'!G14*$E969)-MAX(0,(('Business Case'!G11*$C969*'Business Case'!G12*$B969)-'Business Case'!G11*$C969*'Business Case'!G13*$D969-'Business Case'!G14*$E969))*'Business Case'!$B$7-'Business Case'!$B$8*(('Business Case'!G11*$C969*'Business Case'!G12*$B969)-('Business Case'!F11*$C969*'Business Case'!F12*$B969))-'Business Case'!G15*$F969+'Business Case'!$B$8*('Business Case'!G11*$C969*'Business Case'!G12*$B969)</f>
        <v>717189421.987478</v>
      </c>
      <c r="N969" s="39" t="n">
        <f aca="false">IF(COUNT('Business Case'!B11:G11)=0,"",H969+NPV(G969,I969:M969))</f>
        <v>-892609082.363606</v>
      </c>
      <c r="P969" s="40" t="n">
        <f aca="true">RAND()</f>
        <v>0.038238064342868</v>
      </c>
      <c r="Q969" s="40" t="n">
        <f aca="true">RAND()</f>
        <v>0.122593317439293</v>
      </c>
      <c r="R969" s="40" t="n">
        <f aca="true">RAND()</f>
        <v>0.351022865618262</v>
      </c>
      <c r="S969" s="40" t="n">
        <f aca="true">RAND()</f>
        <v>0.458912559312489</v>
      </c>
      <c r="T969" s="40" t="n">
        <f aca="true">RAND()</f>
        <v>0.620033609591591</v>
      </c>
      <c r="U969" s="40" t="n">
        <f aca="true">RAND()</f>
        <v>0.552426982809378</v>
      </c>
    </row>
    <row r="970" customFormat="false" ht="15" hidden="false" customHeight="false" outlineLevel="0" collapsed="false">
      <c r="A970" s="36" t="n">
        <v>890</v>
      </c>
      <c r="B970" s="37" t="n">
        <f aca="false">1+IF($G$6=$E$6,$F$6,IF(P970&lt;($F$6-$E$6)/($G$6-$E$6),$E$6+SQRT(P970*($G$6-$E$6)*($F$6-$E$6)),$G$6-SQRT((1-P970)*($G$6-$E$6)*($G$6-$F$6))))</f>
        <v>0.987556076706713</v>
      </c>
      <c r="C970" s="37" t="n">
        <f aca="false">1+IF($G$7=$E$7,$F$7,IF(Q970&lt;($F$7-$E$7)/($G$7-$E$7),$E$7+SQRT(Q970*($G$7-$E$7)*($F$7-$E$7)),$G$7-SQRT((1-Q970)*($G$7-$E$7)*($G$7-$F$7))))</f>
        <v>1.00954122070091</v>
      </c>
      <c r="D970" s="37" t="n">
        <f aca="false">1+IF($G$8=$E$8,$F$8,IF(R970&lt;($F$8-$E$8)/($G$8-$E$8),$E$8+SQRT(R970*($G$8-$E$8)*($F$8-$E$8)),$G$8-SQRT((1-R970)*($G$8-$E$8)*($G$8-$F$8))))</f>
        <v>0.988061858001583</v>
      </c>
      <c r="E970" s="37" t="n">
        <f aca="false">1+IF($G$9=$E$9,$F$9,IF(S970&lt;($F$9-$E$9)/($G$9-$E$9),$E$9+SQRT(S970*($G$9-$E$9)*($F$9-$E$9)),$G$9-SQRT((1-S970)*($G$9-$E$9)*($G$9-$F$9))))</f>
        <v>0.96052981111905</v>
      </c>
      <c r="F970" s="37" t="n">
        <f aca="false">1+IF($G$10=$E$10,$F$10,IF(T970&lt;($F$10-$E$10)/($G$10-$E$10),$E$10+SQRT(T970*($G$10-$E$10)*($F$10-$E$10)),$G$10-SQRT((1-T970)*($G$10-$E$10)*($G$10-$F$10))))</f>
        <v>1.05334171289882</v>
      </c>
      <c r="G970" s="38" t="n">
        <f aca="false">IF($G$11=$E$11,$F$11,IF(U970&lt;($F$11-$E$11)/($G$11-$E$11),$E$11+SQRT(U970*($G$11-$E$11)*($F$11-$E$11)),$G$11-SQRT((1-U970)*($G$11-$E$11)*($G$11-$F$11))))</f>
        <v>0.0967653453086502</v>
      </c>
      <c r="H970" s="39" t="n">
        <f aca="false">(('Business Case'!B11*$C970*'Business Case'!B12*$B970)-'Business Case'!B11*$C970*'Business Case'!B13*$D970-'Business Case'!B14*$E970)-MAX(0,(('Business Case'!B11*$C970*'Business Case'!B12*$B970)-'Business Case'!B11*$C970*'Business Case'!B13*$D970-'Business Case'!B14*$E970))*'Business Case'!$B$7-'Business Case'!$B$8*('Business Case'!B11*$C970*'Business Case'!B12*$B970)-'Business Case'!B15*$F970</f>
        <v>-2106683425.79763</v>
      </c>
      <c r="I970" s="39" t="n">
        <f aca="false">(('Business Case'!C11*$C970*'Business Case'!C12*$B970)-'Business Case'!C11*$C970*'Business Case'!C13*$D970-'Business Case'!C14*$E970)-MAX(0,(('Business Case'!C11*$C970*'Business Case'!C12*$B970)-'Business Case'!C11*$C970*'Business Case'!C13*$D970-'Business Case'!C14*$E970))*'Business Case'!$B$7-'Business Case'!$B$8*(('Business Case'!C11*$C970*'Business Case'!C12*$B970)-('Business Case'!B11*$C970*'Business Case'!B12*$B970))-'Business Case'!C15*$F970</f>
        <v>12357691.5460317</v>
      </c>
      <c r="J970" s="39" t="n">
        <f aca="false">(('Business Case'!D11*$C970*'Business Case'!D12*$B970)-'Business Case'!D11*$C970*'Business Case'!D13*$D970-'Business Case'!D14*$E970)-MAX(0,(('Business Case'!D11*$C970*'Business Case'!D12*$B970)-'Business Case'!D11*$C970*'Business Case'!D13*$D970-'Business Case'!D14*$E970))*'Business Case'!$B$7-'Business Case'!$B$8*(('Business Case'!D11*$C970*'Business Case'!D12*$B970)-('Business Case'!C11*$C970*'Business Case'!C12*$B970))-'Business Case'!D15*$F970</f>
        <v>318320262.446157</v>
      </c>
      <c r="K970" s="39" t="n">
        <f aca="false">(('Business Case'!E11*$C970*'Business Case'!E12*$B970)-'Business Case'!E11*$C970*'Business Case'!E13*$D970-'Business Case'!E14*$E970)-MAX(0,(('Business Case'!E11*$C970*'Business Case'!E12*$B970)-'Business Case'!E11*$C970*'Business Case'!E13*$D970-'Business Case'!E14*$E970))*'Business Case'!$B$7-'Business Case'!$B$8*(('Business Case'!E11*$C970*'Business Case'!E12*$B970)-('Business Case'!D11*$C970*'Business Case'!D12*$B970))-'Business Case'!E15*$F970</f>
        <v>676949918.991222</v>
      </c>
      <c r="L970" s="39" t="n">
        <f aca="false">(('Business Case'!F11*$C970*'Business Case'!F12*$B970)-'Business Case'!F11*$C970*'Business Case'!F13*$D970-'Business Case'!F14*$E970)-MAX(0,(('Business Case'!F11*$C970*'Business Case'!F12*$B970)-'Business Case'!F11*$C970*'Business Case'!F13*$D970-'Business Case'!F14*$E970))*'Business Case'!$B$7-'Business Case'!$B$8*(('Business Case'!F11*$C970*'Business Case'!F12*$B970)-('Business Case'!E11*$C970*'Business Case'!E12*$B970))-'Business Case'!F15*$F970</f>
        <v>813393021.906652</v>
      </c>
      <c r="M970" s="39" t="n">
        <f aca="false">(('Business Case'!G11*$C970*'Business Case'!G12*$B970)-'Business Case'!G11*$C970*'Business Case'!G13*$D970-'Business Case'!G14*$E970)-MAX(0,(('Business Case'!G11*$C970*'Business Case'!G12*$B970)-'Business Case'!G11*$C970*'Business Case'!G13*$D970-'Business Case'!G14*$E970))*'Business Case'!$B$7-'Business Case'!$B$8*(('Business Case'!G11*$C970*'Business Case'!G12*$B970)-('Business Case'!F11*$C970*'Business Case'!F12*$B970))-'Business Case'!G15*$F970+'Business Case'!$B$8*('Business Case'!G11*$C970*'Business Case'!G12*$B970)</f>
        <v>1002898707.95796</v>
      </c>
      <c r="N970" s="39" t="n">
        <f aca="false">IF(COUNT('Business Case'!B11:G11)=0,"",H970+NPV(G970,I970:M970))</f>
        <v>-123571827.402256</v>
      </c>
      <c r="P970" s="40" t="n">
        <f aca="true">RAND()</f>
        <v>0.475398281250349</v>
      </c>
      <c r="Q970" s="40" t="n">
        <f aca="true">RAND()</f>
        <v>0.62421583462493</v>
      </c>
      <c r="R970" s="40" t="n">
        <f aca="true">RAND()</f>
        <v>0.222877697620416</v>
      </c>
      <c r="S970" s="40" t="n">
        <f aca="true">RAND()</f>
        <v>0.0147835896270487</v>
      </c>
      <c r="T970" s="40" t="n">
        <f aca="true">RAND()</f>
        <v>0.56982693649093</v>
      </c>
      <c r="U970" s="40" t="n">
        <f aca="true">RAND()</f>
        <v>0.152566323817582</v>
      </c>
    </row>
    <row r="971" customFormat="false" ht="15" hidden="false" customHeight="false" outlineLevel="0" collapsed="false">
      <c r="A971" s="36" t="n">
        <v>891</v>
      </c>
      <c r="B971" s="37" t="n">
        <f aca="false">1+IF($G$6=$E$6,$F$6,IF(P971&lt;($F$6-$E$6)/($G$6-$E$6),$E$6+SQRT(P971*($G$6-$E$6)*($F$6-$E$6)),$G$6-SQRT((1-P971)*($G$6-$E$6)*($G$6-$F$6))))</f>
        <v>1.00923085543048</v>
      </c>
      <c r="C971" s="37" t="n">
        <f aca="false">1+IF($G$7=$E$7,$F$7,IF(Q971&lt;($F$7-$E$7)/($G$7-$E$7),$E$7+SQRT(Q971*($G$7-$E$7)*($F$7-$E$7)),$G$7-SQRT((1-Q971)*($G$7-$E$7)*($G$7-$F$7))))</f>
        <v>0.960958661509296</v>
      </c>
      <c r="D971" s="37" t="n">
        <f aca="false">1+IF($G$8=$E$8,$F$8,IF(R971&lt;($F$8-$E$8)/($G$8-$E$8),$E$8+SQRT(R971*($G$8-$E$8)*($F$8-$E$8)),$G$8-SQRT((1-R971)*($G$8-$E$8)*($G$8-$F$8))))</f>
        <v>0.991239638059118</v>
      </c>
      <c r="E971" s="37" t="n">
        <f aca="false">1+IF($G$9=$E$9,$F$9,IF(S971&lt;($F$9-$E$9)/($G$9-$E$9),$E$9+SQRT(S971*($G$9-$E$9)*($F$9-$E$9)),$G$9-SQRT((1-S971)*($G$9-$E$9)*($G$9-$F$9))))</f>
        <v>1.00507284513067</v>
      </c>
      <c r="F971" s="37" t="n">
        <f aca="false">1+IF($G$10=$E$10,$F$10,IF(T971&lt;($F$10-$E$10)/($G$10-$E$10),$E$10+SQRT(T971*($G$10-$E$10)*($F$10-$E$10)),$G$10-SQRT((1-T971)*($G$10-$E$10)*($G$10-$F$10))))</f>
        <v>1.00017527772226</v>
      </c>
      <c r="G971" s="38" t="n">
        <f aca="false">IF($G$11=$E$11,$F$11,IF(U971&lt;($F$11-$E$11)/($G$11-$E$11),$E$11+SQRT(U971*($G$11-$E$11)*($F$11-$E$11)),$G$11-SQRT((1-U971)*($G$11-$E$11)*($G$11-$F$11))))</f>
        <v>0.103227863851209</v>
      </c>
      <c r="H971" s="39" t="n">
        <f aca="false">(('Business Case'!B11*$C971*'Business Case'!B12*$B971)-'Business Case'!B11*$C971*'Business Case'!B13*$D971-'Business Case'!B14*$E971)-MAX(0,(('Business Case'!B11*$C971*'Business Case'!B12*$B971)-'Business Case'!B11*$C971*'Business Case'!B13*$D971-'Business Case'!B14*$E971))*'Business Case'!$B$7-'Business Case'!$B$8*('Business Case'!B11*$C971*'Business Case'!B12*$B971)-'Business Case'!B15*$F971</f>
        <v>-2000350555.44452</v>
      </c>
      <c r="I971" s="39" t="n">
        <f aca="false">(('Business Case'!C11*$C971*'Business Case'!C12*$B971)-'Business Case'!C11*$C971*'Business Case'!C13*$D971-'Business Case'!C14*$E971)-MAX(0,(('Business Case'!C11*$C971*'Business Case'!C12*$B971)-'Business Case'!C11*$C971*'Business Case'!C13*$D971-'Business Case'!C14*$E971))*'Business Case'!$B$7-'Business Case'!$B$8*(('Business Case'!C11*$C971*'Business Case'!C12*$B971)-('Business Case'!B11*$C971*'Business Case'!B12*$B971))-'Business Case'!C15*$F971</f>
        <v>13520619.767131</v>
      </c>
      <c r="J971" s="39" t="n">
        <f aca="false">(('Business Case'!D11*$C971*'Business Case'!D12*$B971)-'Business Case'!D11*$C971*'Business Case'!D13*$D971-'Business Case'!D14*$E971)-MAX(0,(('Business Case'!D11*$C971*'Business Case'!D12*$B971)-'Business Case'!D11*$C971*'Business Case'!D13*$D971-'Business Case'!D14*$E971))*'Business Case'!$B$7-'Business Case'!$B$8*(('Business Case'!D11*$C971*'Business Case'!D12*$B971)-('Business Case'!C11*$C971*'Business Case'!C12*$B971))-'Business Case'!D15*$F971</f>
        <v>320256068.086346</v>
      </c>
      <c r="K971" s="39" t="n">
        <f aca="false">(('Business Case'!E11*$C971*'Business Case'!E12*$B971)-'Business Case'!E11*$C971*'Business Case'!E13*$D971-'Business Case'!E14*$E971)-MAX(0,(('Business Case'!E11*$C971*'Business Case'!E12*$B971)-'Business Case'!E11*$C971*'Business Case'!E13*$D971-'Business Case'!E14*$E971))*'Business Case'!$B$7-'Business Case'!$B$8*(('Business Case'!E11*$C971*'Business Case'!E12*$B971)-('Business Case'!D11*$C971*'Business Case'!D12*$B971))-'Business Case'!E15*$F971</f>
        <v>677000280.291674</v>
      </c>
      <c r="L971" s="39" t="n">
        <f aca="false">(('Business Case'!F11*$C971*'Business Case'!F12*$B971)-'Business Case'!F11*$C971*'Business Case'!F13*$D971-'Business Case'!F14*$E971)-MAX(0,(('Business Case'!F11*$C971*'Business Case'!F12*$B971)-'Business Case'!F11*$C971*'Business Case'!F13*$D971-'Business Case'!F14*$E971))*'Business Case'!$B$7-'Business Case'!$B$8*(('Business Case'!F11*$C971*'Business Case'!F12*$B971)-('Business Case'!E11*$C971*'Business Case'!E12*$B971))-'Business Case'!F15*$F971</f>
        <v>812762724.53293</v>
      </c>
      <c r="M971" s="39" t="n">
        <f aca="false">(('Business Case'!G11*$C971*'Business Case'!G12*$B971)-'Business Case'!G11*$C971*'Business Case'!G13*$D971-'Business Case'!G14*$E971)-MAX(0,(('Business Case'!G11*$C971*'Business Case'!G12*$B971)-'Business Case'!G11*$C971*'Business Case'!G13*$D971-'Business Case'!G14*$E971))*'Business Case'!$B$7-'Business Case'!$B$8*(('Business Case'!G11*$C971*'Business Case'!G12*$B971)-('Business Case'!F11*$C971*'Business Case'!F12*$B971))-'Business Case'!G15*$F971+'Business Case'!$B$8*('Business Case'!G11*$C971*'Business Case'!G12*$B971)</f>
        <v>997107845.941276</v>
      </c>
      <c r="N971" s="39" t="n">
        <f aca="false">IF(COUNT('Business Case'!B11:G11)=0,"",H971+NPV(G971,I971:M971))</f>
        <v>-61997794.1524804</v>
      </c>
      <c r="P971" s="40" t="n">
        <f aca="true">RAND()</f>
        <v>0.802762446345796</v>
      </c>
      <c r="Q971" s="40" t="n">
        <f aca="true">RAND()</f>
        <v>0.370109867355201</v>
      </c>
      <c r="R971" s="40" t="n">
        <f aca="true">RAND()</f>
        <v>0.261647345730315</v>
      </c>
      <c r="S971" s="40" t="n">
        <f aca="true">RAND()</f>
        <v>0.399255684561001</v>
      </c>
      <c r="T971" s="40" t="n">
        <f aca="true">RAND()</f>
        <v>0.201401607332476</v>
      </c>
      <c r="U971" s="40" t="n">
        <f aca="true">RAND()</f>
        <v>0.531159081677336</v>
      </c>
    </row>
    <row r="972" customFormat="false" ht="15" hidden="false" customHeight="false" outlineLevel="0" collapsed="false">
      <c r="A972" s="36" t="n">
        <v>892</v>
      </c>
      <c r="B972" s="37" t="n">
        <f aca="false">1+IF($G$6=$E$6,$F$6,IF(P972&lt;($F$6-$E$6)/($G$6-$E$6),$E$6+SQRT(P972*($G$6-$E$6)*($F$6-$E$6)),$G$6-SQRT((1-P972)*($G$6-$E$6)*($G$6-$F$6))))</f>
        <v>1.02688420093062</v>
      </c>
      <c r="C972" s="37" t="n">
        <f aca="false">1+IF($G$7=$E$7,$F$7,IF(Q972&lt;($F$7-$E$7)/($G$7-$E$7),$E$7+SQRT(Q972*($G$7-$E$7)*($F$7-$E$7)),$G$7-SQRT((1-Q972)*($G$7-$E$7)*($G$7-$F$7))))</f>
        <v>0.932776154495334</v>
      </c>
      <c r="D972" s="37" t="n">
        <f aca="false">1+IF($G$8=$E$8,$F$8,IF(R972&lt;($F$8-$E$8)/($G$8-$E$8),$E$8+SQRT(R972*($G$8-$E$8)*($F$8-$E$8)),$G$8-SQRT((1-R972)*($G$8-$E$8)*($G$8-$F$8))))</f>
        <v>0.995753665294285</v>
      </c>
      <c r="E972" s="37" t="n">
        <f aca="false">1+IF($G$9=$E$9,$F$9,IF(S972&lt;($F$9-$E$9)/($G$9-$E$9),$E$9+SQRT(S972*($G$9-$E$9)*($F$9-$E$9)),$G$9-SQRT((1-S972)*($G$9-$E$9)*($G$9-$F$9))))</f>
        <v>0.969566948493946</v>
      </c>
      <c r="F972" s="37" t="n">
        <f aca="false">1+IF($G$10=$E$10,$F$10,IF(T972&lt;($F$10-$E$10)/($G$10-$E$10),$E$10+SQRT(T972*($G$10-$E$10)*($F$10-$E$10)),$G$10-SQRT((1-T972)*($G$10-$E$10)*($G$10-$F$10))))</f>
        <v>1.10923647462685</v>
      </c>
      <c r="G972" s="38" t="n">
        <f aca="false">IF($G$11=$E$11,$F$11,IF(U972&lt;($F$11-$E$11)/($G$11-$E$11),$E$11+SQRT(U972*($G$11-$E$11)*($F$11-$E$11)),$G$11-SQRT((1-U972)*($G$11-$E$11)*($G$11-$F$11))))</f>
        <v>0.11005473702544</v>
      </c>
      <c r="H972" s="39" t="n">
        <f aca="false">(('Business Case'!B11*$C972*'Business Case'!B12*$B972)-'Business Case'!B11*$C972*'Business Case'!B13*$D972-'Business Case'!B14*$E972)-MAX(0,(('Business Case'!B11*$C972*'Business Case'!B12*$B972)-'Business Case'!B11*$C972*'Business Case'!B13*$D972-'Business Case'!B14*$E972))*'Business Case'!$B$7-'Business Case'!$B$8*('Business Case'!B11*$C972*'Business Case'!B12*$B972)-'Business Case'!B15*$F972</f>
        <v>-2218472949.25371</v>
      </c>
      <c r="I972" s="39" t="n">
        <f aca="false">(('Business Case'!C11*$C972*'Business Case'!C12*$B972)-'Business Case'!C11*$C972*'Business Case'!C13*$D972-'Business Case'!C14*$E972)-MAX(0,(('Business Case'!C11*$C972*'Business Case'!C12*$B972)-'Business Case'!C11*$C972*'Business Case'!C13*$D972-'Business Case'!C14*$E972))*'Business Case'!$B$7-'Business Case'!$B$8*(('Business Case'!C11*$C972*'Business Case'!C12*$B972)-('Business Case'!B11*$C972*'Business Case'!B12*$B972))-'Business Case'!C15*$F972</f>
        <v>10620363.6109769</v>
      </c>
      <c r="J972" s="39" t="n">
        <f aca="false">(('Business Case'!D11*$C972*'Business Case'!D12*$B972)-'Business Case'!D11*$C972*'Business Case'!D13*$D972-'Business Case'!D14*$E972)-MAX(0,(('Business Case'!D11*$C972*'Business Case'!D12*$B972)-'Business Case'!D11*$C972*'Business Case'!D13*$D972-'Business Case'!D14*$E972))*'Business Case'!$B$7-'Business Case'!$B$8*(('Business Case'!D11*$C972*'Business Case'!D12*$B972)-('Business Case'!C11*$C972*'Business Case'!C12*$B972))-'Business Case'!D15*$F972</f>
        <v>319691899.260025</v>
      </c>
      <c r="K972" s="39" t="n">
        <f aca="false">(('Business Case'!E11*$C972*'Business Case'!E12*$B972)-'Business Case'!E11*$C972*'Business Case'!E13*$D972-'Business Case'!E14*$E972)-MAX(0,(('Business Case'!E11*$C972*'Business Case'!E12*$B972)-'Business Case'!E11*$C972*'Business Case'!E13*$D972-'Business Case'!E14*$E972))*'Business Case'!$B$7-'Business Case'!$B$8*(('Business Case'!E11*$C972*'Business Case'!E12*$B972)-('Business Case'!D11*$C972*'Business Case'!D12*$B972))-'Business Case'!E15*$F972</f>
        <v>684225258.640417</v>
      </c>
      <c r="L972" s="39" t="n">
        <f aca="false">(('Business Case'!F11*$C972*'Business Case'!F12*$B972)-'Business Case'!F11*$C972*'Business Case'!F13*$D972-'Business Case'!F14*$E972)-MAX(0,(('Business Case'!F11*$C972*'Business Case'!F12*$B972)-'Business Case'!F11*$C972*'Business Case'!F13*$D972-'Business Case'!F14*$E972))*'Business Case'!$B$7-'Business Case'!$B$8*(('Business Case'!F11*$C972*'Business Case'!F12*$B972)-('Business Case'!E11*$C972*'Business Case'!E12*$B972))-'Business Case'!F15*$F972</f>
        <v>820352506.856464</v>
      </c>
      <c r="M972" s="39" t="n">
        <f aca="false">(('Business Case'!G11*$C972*'Business Case'!G12*$B972)-'Business Case'!G11*$C972*'Business Case'!G13*$D972-'Business Case'!G14*$E972)-MAX(0,(('Business Case'!G11*$C972*'Business Case'!G12*$B972)-'Business Case'!G11*$C972*'Business Case'!G13*$D972-'Business Case'!G14*$E972))*'Business Case'!$B$7-'Business Case'!$B$8*(('Business Case'!G11*$C972*'Business Case'!G12*$B972)-('Business Case'!F11*$C972*'Business Case'!F12*$B972))-'Business Case'!G15*$F972+'Business Case'!$B$8*('Business Case'!G11*$C972*'Business Case'!G12*$B972)</f>
        <v>1002421223.3548</v>
      </c>
      <c r="N972" s="39" t="n">
        <f aca="false">IF(COUNT('Business Case'!B11:G11)=0,"",H972+NPV(G972,I972:M972))</f>
        <v>-314209814.01858</v>
      </c>
      <c r="P972" s="40" t="n">
        <f aca="true">RAND()</f>
        <v>0.964161628077414</v>
      </c>
      <c r="Q972" s="40" t="n">
        <f aca="true">RAND()</f>
        <v>0.251850102893841</v>
      </c>
      <c r="R972" s="40" t="n">
        <f aca="true">RAND()</f>
        <v>0.322061213517146</v>
      </c>
      <c r="S972" s="40" t="n">
        <f aca="true">RAND()</f>
        <v>0.0510487297819634</v>
      </c>
      <c r="T972" s="40" t="n">
        <f aca="true">RAND()</f>
        <v>0.835239649236762</v>
      </c>
      <c r="U972" s="40" t="n">
        <f aca="true">RAND()</f>
        <v>0.835152907278076</v>
      </c>
    </row>
    <row r="973" customFormat="false" ht="15" hidden="false" customHeight="false" outlineLevel="0" collapsed="false">
      <c r="A973" s="36" t="n">
        <v>893</v>
      </c>
      <c r="B973" s="37" t="n">
        <f aca="false">1+IF($G$6=$E$6,$F$6,IF(P973&lt;($F$6-$E$6)/($G$6-$E$6),$E$6+SQRT(P973*($G$6-$E$6)*($F$6-$E$6)),$G$6-SQRT((1-P973)*($G$6-$E$6)*($G$6-$F$6))))</f>
        <v>0.947838593968287</v>
      </c>
      <c r="C973" s="37" t="n">
        <f aca="false">1+IF($G$7=$E$7,$F$7,IF(Q973&lt;($F$7-$E$7)/($G$7-$E$7),$E$7+SQRT(Q973*($G$7-$E$7)*($F$7-$E$7)),$G$7-SQRT((1-Q973)*($G$7-$E$7)*($G$7-$F$7))))</f>
        <v>1.03294083228185</v>
      </c>
      <c r="D973" s="37" t="n">
        <f aca="false">1+IF($G$8=$E$8,$F$8,IF(R973&lt;($F$8-$E$8)/($G$8-$E$8),$E$8+SQRT(R973*($G$8-$E$8)*($F$8-$E$8)),$G$8-SQRT((1-R973)*($G$8-$E$8)*($G$8-$F$8))))</f>
        <v>0.986956040212843</v>
      </c>
      <c r="E973" s="37" t="n">
        <f aca="false">1+IF($G$9=$E$9,$F$9,IF(S973&lt;($F$9-$E$9)/($G$9-$E$9),$E$9+SQRT(S973*($G$9-$E$9)*($F$9-$E$9)),$G$9-SQRT((1-S973)*($G$9-$E$9)*($G$9-$F$9))))</f>
        <v>1.02286480609177</v>
      </c>
      <c r="F973" s="37" t="n">
        <f aca="false">1+IF($G$10=$E$10,$F$10,IF(T973&lt;($F$10-$E$10)/($G$10-$E$10),$E$10+SQRT(T973*($G$10-$E$10)*($F$10-$E$10)),$G$10-SQRT((1-T973)*($G$10-$E$10)*($G$10-$F$10))))</f>
        <v>1.15457796807026</v>
      </c>
      <c r="G973" s="38" t="n">
        <f aca="false">IF($G$11=$E$11,$F$11,IF(U973&lt;($F$11-$E$11)/($G$11-$E$11),$E$11+SQRT(U973*($G$11-$E$11)*($F$11-$E$11)),$G$11-SQRT((1-U973)*($G$11-$E$11)*($G$11-$F$11))))</f>
        <v>0.104883047346769</v>
      </c>
      <c r="H973" s="39" t="n">
        <f aca="false">(('Business Case'!B11*$C973*'Business Case'!B12*$B973)-'Business Case'!B11*$C973*'Business Case'!B13*$D973-'Business Case'!B14*$E973)-MAX(0,(('Business Case'!B11*$C973*'Business Case'!B12*$B973)-'Business Case'!B11*$C973*'Business Case'!B13*$D973-'Business Case'!B14*$E973))*'Business Case'!$B$7-'Business Case'!$B$8*('Business Case'!B11*$C973*'Business Case'!B12*$B973)-'Business Case'!B15*$F973</f>
        <v>-2309155936.14052</v>
      </c>
      <c r="I973" s="39" t="n">
        <f aca="false">(('Business Case'!C11*$C973*'Business Case'!C12*$B973)-'Business Case'!C11*$C973*'Business Case'!C13*$D973-'Business Case'!C14*$E973)-MAX(0,(('Business Case'!C11*$C973*'Business Case'!C12*$B973)-'Business Case'!C11*$C973*'Business Case'!C13*$D973-'Business Case'!C14*$E973))*'Business Case'!$B$7-'Business Case'!$B$8*(('Business Case'!C11*$C973*'Business Case'!C12*$B973)-('Business Case'!B11*$C973*'Business Case'!B12*$B973))-'Business Case'!C15*$F973</f>
        <v>-31627746.031442</v>
      </c>
      <c r="J973" s="39" t="n">
        <f aca="false">(('Business Case'!D11*$C973*'Business Case'!D12*$B973)-'Business Case'!D11*$C973*'Business Case'!D13*$D973-'Business Case'!D14*$E973)-MAX(0,(('Business Case'!D11*$C973*'Business Case'!D12*$B973)-'Business Case'!D11*$C973*'Business Case'!D13*$D973-'Business Case'!D14*$E973))*'Business Case'!$B$7-'Business Case'!$B$8*(('Business Case'!D11*$C973*'Business Case'!D12*$B973)-('Business Case'!C11*$C973*'Business Case'!C12*$B973))-'Business Case'!D15*$F973</f>
        <v>248408212.05898</v>
      </c>
      <c r="K973" s="39" t="n">
        <f aca="false">(('Business Case'!E11*$C973*'Business Case'!E12*$B973)-'Business Case'!E11*$C973*'Business Case'!E13*$D973-'Business Case'!E14*$E973)-MAX(0,(('Business Case'!E11*$C973*'Business Case'!E12*$B973)-'Business Case'!E11*$C973*'Business Case'!E13*$D973-'Business Case'!E14*$E973))*'Business Case'!$B$7-'Business Case'!$B$8*(('Business Case'!E11*$C973*'Business Case'!E12*$B973)-('Business Case'!D11*$C973*'Business Case'!D12*$B973))-'Business Case'!E15*$F973</f>
        <v>586173068.552915</v>
      </c>
      <c r="L973" s="39" t="n">
        <f aca="false">(('Business Case'!F11*$C973*'Business Case'!F12*$B973)-'Business Case'!F11*$C973*'Business Case'!F13*$D973-'Business Case'!F14*$E973)-MAX(0,(('Business Case'!F11*$C973*'Business Case'!F12*$B973)-'Business Case'!F11*$C973*'Business Case'!F13*$D973-'Business Case'!F14*$E973))*'Business Case'!$B$7-'Business Case'!$B$8*(('Business Case'!F11*$C973*'Business Case'!F12*$B973)-('Business Case'!E11*$C973*'Business Case'!E12*$B973))-'Business Case'!F15*$F973</f>
        <v>713354742.50878</v>
      </c>
      <c r="M973" s="39" t="n">
        <f aca="false">(('Business Case'!G11*$C973*'Business Case'!G12*$B973)-'Business Case'!G11*$C973*'Business Case'!G13*$D973-'Business Case'!G14*$E973)-MAX(0,(('Business Case'!G11*$C973*'Business Case'!G12*$B973)-'Business Case'!G11*$C973*'Business Case'!G13*$D973-'Business Case'!G14*$E973))*'Business Case'!$B$7-'Business Case'!$B$8*(('Business Case'!G11*$C973*'Business Case'!G12*$B973)-('Business Case'!F11*$C973*'Business Case'!F12*$B973))-'Business Case'!G15*$F973+'Business Case'!$B$8*('Business Case'!G11*$C973*'Business Case'!G12*$B973)</f>
        <v>899454692.766938</v>
      </c>
      <c r="N973" s="39" t="n">
        <f aca="false">IF(COUNT('Business Case'!B11:G11)=0,"",H973+NPV(G973,I973:M973))</f>
        <v>-674776289.493256</v>
      </c>
      <c r="P973" s="40" t="n">
        <f aca="true">RAND()</f>
        <v>0.0807278452219943</v>
      </c>
      <c r="Q973" s="40" t="n">
        <f aca="true">RAND()</f>
        <v>0.738993357202557</v>
      </c>
      <c r="R973" s="40" t="n">
        <f aca="true">RAND()</f>
        <v>0.210115216648193</v>
      </c>
      <c r="S973" s="40" t="n">
        <f aca="true">RAND()</f>
        <v>0.603344124049289</v>
      </c>
      <c r="T973" s="40" t="n">
        <f aca="true">RAND()</f>
        <v>0.958736780307473</v>
      </c>
      <c r="U973" s="40" t="n">
        <f aca="true">RAND()</f>
        <v>0.619129570799937</v>
      </c>
    </row>
    <row r="974" customFormat="false" ht="15" hidden="false" customHeight="false" outlineLevel="0" collapsed="false">
      <c r="A974" s="36" t="n">
        <v>894</v>
      </c>
      <c r="B974" s="37" t="n">
        <f aca="false">1+IF($G$6=$E$6,$F$6,IF(P974&lt;($F$6-$E$6)/($G$6-$E$6),$E$6+SQRT(P974*($G$6-$E$6)*($F$6-$E$6)),$G$6-SQRT((1-P974)*($G$6-$E$6)*($G$6-$F$6))))</f>
        <v>0.953284555124216</v>
      </c>
      <c r="C974" s="37" t="n">
        <f aca="false">1+IF($G$7=$E$7,$F$7,IF(Q974&lt;($F$7-$E$7)/($G$7-$E$7),$E$7+SQRT(Q974*($G$7-$E$7)*($F$7-$E$7)),$G$7-SQRT((1-Q974)*($G$7-$E$7)*($G$7-$F$7))))</f>
        <v>0.997880567429523</v>
      </c>
      <c r="D974" s="37" t="n">
        <f aca="false">1+IF($G$8=$E$8,$F$8,IF(R974&lt;($F$8-$E$8)/($G$8-$E$8),$E$8+SQRT(R974*($G$8-$E$8)*($F$8-$E$8)),$G$8-SQRT((1-R974)*($G$8-$E$8)*($G$8-$F$8))))</f>
        <v>1.03360210283142</v>
      </c>
      <c r="E974" s="37" t="n">
        <f aca="false">1+IF($G$9=$E$9,$F$9,IF(S974&lt;($F$9-$E$9)/($G$9-$E$9),$E$9+SQRT(S974*($G$9-$E$9)*($F$9-$E$9)),$G$9-SQRT((1-S974)*($G$9-$E$9)*($G$9-$F$9))))</f>
        <v>1.07241866371801</v>
      </c>
      <c r="F974" s="37" t="n">
        <f aca="false">1+IF($G$10=$E$10,$F$10,IF(T974&lt;($F$10-$E$10)/($G$10-$E$10),$E$10+SQRT(T974*($G$10-$E$10)*($F$10-$E$10)),$G$10-SQRT((1-T974)*($G$10-$E$10)*($G$10-$F$10))))</f>
        <v>1.09735986150643</v>
      </c>
      <c r="G974" s="38" t="n">
        <f aca="false">IF($G$11=$E$11,$F$11,IF(U974&lt;($F$11-$E$11)/($G$11-$E$11),$E$11+SQRT(U974*($G$11-$E$11)*($F$11-$E$11)),$G$11-SQRT((1-U974)*($G$11-$E$11)*($G$11-$F$11))))</f>
        <v>0.111210249461945</v>
      </c>
      <c r="H974" s="39" t="n">
        <f aca="false">(('Business Case'!B11*$C974*'Business Case'!B12*$B974)-'Business Case'!B11*$C974*'Business Case'!B13*$D974-'Business Case'!B14*$E974)-MAX(0,(('Business Case'!B11*$C974*'Business Case'!B12*$B974)-'Business Case'!B11*$C974*'Business Case'!B13*$D974-'Business Case'!B14*$E974))*'Business Case'!$B$7-'Business Case'!$B$8*('Business Case'!B11*$C974*'Business Case'!B12*$B974)-'Business Case'!B15*$F974</f>
        <v>-2194719723.01287</v>
      </c>
      <c r="I974" s="39" t="n">
        <f aca="false">(('Business Case'!C11*$C974*'Business Case'!C12*$B974)-'Business Case'!C11*$C974*'Business Case'!C13*$D974-'Business Case'!C14*$E974)-MAX(0,(('Business Case'!C11*$C974*'Business Case'!C12*$B974)-'Business Case'!C11*$C974*'Business Case'!C13*$D974-'Business Case'!C14*$E974))*'Business Case'!$B$7-'Business Case'!$B$8*(('Business Case'!C11*$C974*'Business Case'!C12*$B974)-('Business Case'!B11*$C974*'Business Case'!B12*$B974))-'Business Case'!C15*$F974</f>
        <v>-60393787.9563454</v>
      </c>
      <c r="J974" s="39" t="n">
        <f aca="false">(('Business Case'!D11*$C974*'Business Case'!D12*$B974)-'Business Case'!D11*$C974*'Business Case'!D13*$D974-'Business Case'!D14*$E974)-MAX(0,(('Business Case'!D11*$C974*'Business Case'!D12*$B974)-'Business Case'!D11*$C974*'Business Case'!D13*$D974-'Business Case'!D14*$E974))*'Business Case'!$B$7-'Business Case'!$B$8*(('Business Case'!D11*$C974*'Business Case'!D12*$B974)-('Business Case'!C11*$C974*'Business Case'!C12*$B974))-'Business Case'!D15*$F974</f>
        <v>190759876.862443</v>
      </c>
      <c r="K974" s="39" t="n">
        <f aca="false">(('Business Case'!E11*$C974*'Business Case'!E12*$B974)-'Business Case'!E11*$C974*'Business Case'!E13*$D974-'Business Case'!E14*$E974)-MAX(0,(('Business Case'!E11*$C974*'Business Case'!E12*$B974)-'Business Case'!E11*$C974*'Business Case'!E13*$D974-'Business Case'!E14*$E974))*'Business Case'!$B$7-'Business Case'!$B$8*(('Business Case'!E11*$C974*'Business Case'!E12*$B974)-('Business Case'!D11*$C974*'Business Case'!D12*$B974))-'Business Case'!E15*$F974</f>
        <v>496781534.756554</v>
      </c>
      <c r="L974" s="39" t="n">
        <f aca="false">(('Business Case'!F11*$C974*'Business Case'!F12*$B974)-'Business Case'!F11*$C974*'Business Case'!F13*$D974-'Business Case'!F14*$E974)-MAX(0,(('Business Case'!F11*$C974*'Business Case'!F12*$B974)-'Business Case'!F11*$C974*'Business Case'!F13*$D974-'Business Case'!F14*$E974))*'Business Case'!$B$7-'Business Case'!$B$8*(('Business Case'!F11*$C974*'Business Case'!F12*$B974)-('Business Case'!E11*$C974*'Business Case'!E12*$B974))-'Business Case'!F15*$F974</f>
        <v>613375111.458677</v>
      </c>
      <c r="M974" s="39" t="n">
        <f aca="false">(('Business Case'!G11*$C974*'Business Case'!G12*$B974)-'Business Case'!G11*$C974*'Business Case'!G13*$D974-'Business Case'!G14*$E974)-MAX(0,(('Business Case'!G11*$C974*'Business Case'!G12*$B974)-'Business Case'!G11*$C974*'Business Case'!G13*$D974-'Business Case'!G14*$E974))*'Business Case'!$B$7-'Business Case'!$B$8*(('Business Case'!G11*$C974*'Business Case'!G12*$B974)-('Business Case'!F11*$C974*'Business Case'!F12*$B974))-'Business Case'!G15*$F974+'Business Case'!$B$8*('Business Case'!G11*$C974*'Business Case'!G12*$B974)</f>
        <v>794191397.819239</v>
      </c>
      <c r="N974" s="39" t="n">
        <f aca="false">IF(COUNT('Business Case'!B11:G11)=0,"",H974+NPV(G974,I974:M974))</f>
        <v>-861479800.737895</v>
      </c>
      <c r="P974" s="40" t="n">
        <f aca="true">RAND()</f>
        <v>0.1154022510226</v>
      </c>
      <c r="Q974" s="40" t="n">
        <f aca="true">RAND()</f>
        <v>0.559381699517573</v>
      </c>
      <c r="R974" s="40" t="n">
        <f aca="true">RAND()</f>
        <v>0.793003378685915</v>
      </c>
      <c r="S974" s="40" t="n">
        <f aca="true">RAND()</f>
        <v>0.949284659259984</v>
      </c>
      <c r="T974" s="40" t="n">
        <f aca="true">RAND()</f>
        <v>0.789300039400434</v>
      </c>
      <c r="U974" s="40" t="n">
        <f aca="true">RAND()</f>
        <v>0.871233809131263</v>
      </c>
    </row>
    <row r="975" customFormat="false" ht="15" hidden="false" customHeight="false" outlineLevel="0" collapsed="false">
      <c r="A975" s="36" t="n">
        <v>895</v>
      </c>
      <c r="B975" s="37" t="n">
        <f aca="false">1+IF($G$6=$E$6,$F$6,IF(P975&lt;($F$6-$E$6)/($G$6-$E$6),$E$6+SQRT(P975*($G$6-$E$6)*($F$6-$E$6)),$G$6-SQRT((1-P975)*($G$6-$E$6)*($G$6-$F$6))))</f>
        <v>0.948830477121766</v>
      </c>
      <c r="C975" s="37" t="n">
        <f aca="false">1+IF($G$7=$E$7,$F$7,IF(Q975&lt;($F$7-$E$7)/($G$7-$E$7),$E$7+SQRT(Q975*($G$7-$E$7)*($F$7-$E$7)),$G$7-SQRT((1-Q975)*($G$7-$E$7)*($G$7-$F$7))))</f>
        <v>1.05097243060458</v>
      </c>
      <c r="D975" s="37" t="n">
        <f aca="false">1+IF($G$8=$E$8,$F$8,IF(R975&lt;($F$8-$E$8)/($G$8-$E$8),$E$8+SQRT(R975*($G$8-$E$8)*($F$8-$E$8)),$G$8-SQRT((1-R975)*($G$8-$E$8)*($G$8-$F$8))))</f>
        <v>1.03940698531782</v>
      </c>
      <c r="E975" s="37" t="n">
        <f aca="false">1+IF($G$9=$E$9,$F$9,IF(S975&lt;($F$9-$E$9)/($G$9-$E$9),$E$9+SQRT(S975*($G$9-$E$9)*($F$9-$E$9)),$G$9-SQRT((1-S975)*($G$9-$E$9)*($G$9-$F$9))))</f>
        <v>0.991576310855623</v>
      </c>
      <c r="F975" s="37" t="n">
        <f aca="false">1+IF($G$10=$E$10,$F$10,IF(T975&lt;($F$10-$E$10)/($G$10-$E$10),$E$10+SQRT(T975*($G$10-$E$10)*($F$10-$E$10)),$G$10-SQRT((1-T975)*($G$10-$E$10)*($G$10-$F$10))))</f>
        <v>1.03584573233503</v>
      </c>
      <c r="G975" s="38" t="n">
        <f aca="false">IF($G$11=$E$11,$F$11,IF(U975&lt;($F$11-$E$11)/($G$11-$E$11),$E$11+SQRT(U975*($G$11-$E$11)*($F$11-$E$11)),$G$11-SQRT((1-U975)*($G$11-$E$11)*($G$11-$F$11))))</f>
        <v>0.0963868919213921</v>
      </c>
      <c r="H975" s="39" t="n">
        <f aca="false">(('Business Case'!B11*$C975*'Business Case'!B12*$B975)-'Business Case'!B11*$C975*'Business Case'!B13*$D975-'Business Case'!B14*$E975)-MAX(0,(('Business Case'!B11*$C975*'Business Case'!B12*$B975)-'Business Case'!B11*$C975*'Business Case'!B13*$D975-'Business Case'!B14*$E975))*'Business Case'!$B$7-'Business Case'!$B$8*('Business Case'!B11*$C975*'Business Case'!B12*$B975)-'Business Case'!B15*$F975</f>
        <v>-2071691464.67006</v>
      </c>
      <c r="I975" s="39" t="n">
        <f aca="false">(('Business Case'!C11*$C975*'Business Case'!C12*$B975)-'Business Case'!C11*$C975*'Business Case'!C13*$D975-'Business Case'!C14*$E975)-MAX(0,(('Business Case'!C11*$C975*'Business Case'!C12*$B975)-'Business Case'!C11*$C975*'Business Case'!C13*$D975-'Business Case'!C14*$E975))*'Business Case'!$B$7-'Business Case'!$B$8*(('Business Case'!C11*$C975*'Business Case'!C12*$B975)-('Business Case'!B11*$C975*'Business Case'!B12*$B975))-'Business Case'!C15*$F975</f>
        <v>-38722370.3122095</v>
      </c>
      <c r="J975" s="39" t="n">
        <f aca="false">(('Business Case'!D11*$C975*'Business Case'!D12*$B975)-'Business Case'!D11*$C975*'Business Case'!D13*$D975-'Business Case'!D14*$E975)-MAX(0,(('Business Case'!D11*$C975*'Business Case'!D12*$B975)-'Business Case'!D11*$C975*'Business Case'!D13*$D975-'Business Case'!D14*$E975))*'Business Case'!$B$7-'Business Case'!$B$8*(('Business Case'!D11*$C975*'Business Case'!D12*$B975)-('Business Case'!C11*$C975*'Business Case'!C12*$B975))-'Business Case'!D15*$F975</f>
        <v>218836555.849273</v>
      </c>
      <c r="K975" s="39" t="n">
        <f aca="false">(('Business Case'!E11*$C975*'Business Case'!E12*$B975)-'Business Case'!E11*$C975*'Business Case'!E13*$D975-'Business Case'!E14*$E975)-MAX(0,(('Business Case'!E11*$C975*'Business Case'!E12*$B975)-'Business Case'!E11*$C975*'Business Case'!E13*$D975-'Business Case'!E14*$E975))*'Business Case'!$B$7-'Business Case'!$B$8*(('Business Case'!E11*$C975*'Business Case'!E12*$B975)-('Business Case'!D11*$C975*'Business Case'!D12*$B975))-'Business Case'!E15*$F975</f>
        <v>528187768.627507</v>
      </c>
      <c r="L975" s="39" t="n">
        <f aca="false">(('Business Case'!F11*$C975*'Business Case'!F12*$B975)-'Business Case'!F11*$C975*'Business Case'!F13*$D975-'Business Case'!F14*$E975)-MAX(0,(('Business Case'!F11*$C975*'Business Case'!F12*$B975)-'Business Case'!F11*$C975*'Business Case'!F13*$D975-'Business Case'!F14*$E975))*'Business Case'!$B$7-'Business Case'!$B$8*(('Business Case'!F11*$C975*'Business Case'!F12*$B975)-('Business Case'!E11*$C975*'Business Case'!E12*$B975))-'Business Case'!F15*$F975</f>
        <v>648503791.905681</v>
      </c>
      <c r="M975" s="39" t="n">
        <f aca="false">(('Business Case'!G11*$C975*'Business Case'!G12*$B975)-'Business Case'!G11*$C975*'Business Case'!G13*$D975-'Business Case'!G14*$E975)-MAX(0,(('Business Case'!G11*$C975*'Business Case'!G12*$B975)-'Business Case'!G11*$C975*'Business Case'!G13*$D975-'Business Case'!G14*$E975))*'Business Case'!$B$7-'Business Case'!$B$8*(('Business Case'!G11*$C975*'Business Case'!G12*$B975)-('Business Case'!F11*$C975*'Business Case'!F12*$B975))-'Business Case'!G15*$F975+'Business Case'!$B$8*('Business Case'!G11*$C975*'Business Case'!G12*$B975)</f>
        <v>838050555.306253</v>
      </c>
      <c r="N975" s="39" t="n">
        <f aca="false">IF(COUNT('Business Case'!B11:G11)=0,"",H975+NPV(G975,I975:M975))</f>
        <v>-546388642.793102</v>
      </c>
      <c r="P975" s="40" t="n">
        <f aca="true">RAND()</f>
        <v>0.0865829594863226</v>
      </c>
      <c r="Q975" s="40" t="n">
        <f aca="true">RAND()</f>
        <v>0.813210295231166</v>
      </c>
      <c r="R975" s="40" t="n">
        <f aca="true">RAND()</f>
        <v>0.841558380674255</v>
      </c>
      <c r="S975" s="40" t="n">
        <f aca="true">RAND()</f>
        <v>0.230478616581786</v>
      </c>
      <c r="T975" s="40" t="n">
        <f aca="true">RAND()</f>
        <v>0.461067528147533</v>
      </c>
      <c r="U975" s="40" t="n">
        <f aca="true">RAND()</f>
        <v>0.13597462805181</v>
      </c>
    </row>
    <row r="976" customFormat="false" ht="15" hidden="false" customHeight="false" outlineLevel="0" collapsed="false">
      <c r="A976" s="36" t="n">
        <v>896</v>
      </c>
      <c r="B976" s="37" t="n">
        <f aca="false">1+IF($G$6=$E$6,$F$6,IF(P976&lt;($F$6-$E$6)/($G$6-$E$6),$E$6+SQRT(P976*($G$6-$E$6)*($F$6-$E$6)),$G$6-SQRT((1-P976)*($G$6-$E$6)*($G$6-$F$6))))</f>
        <v>1.02108539850941</v>
      </c>
      <c r="C976" s="37" t="n">
        <f aca="false">1+IF($G$7=$E$7,$F$7,IF(Q976&lt;($F$7-$E$7)/($G$7-$E$7),$E$7+SQRT(Q976*($G$7-$E$7)*($F$7-$E$7)),$G$7-SQRT((1-Q976)*($G$7-$E$7)*($G$7-$F$7))))</f>
        <v>0.913029376629115</v>
      </c>
      <c r="D976" s="37" t="n">
        <f aca="false">1+IF($G$8=$E$8,$F$8,IF(R976&lt;($F$8-$E$8)/($G$8-$E$8),$E$8+SQRT(R976*($G$8-$E$8)*($F$8-$E$8)),$G$8-SQRT((1-R976)*($G$8-$E$8)*($G$8-$F$8))))</f>
        <v>0.996242111672604</v>
      </c>
      <c r="E976" s="37" t="n">
        <f aca="false">1+IF($G$9=$E$9,$F$9,IF(S976&lt;($F$9-$E$9)/($G$9-$E$9),$E$9+SQRT(S976*($G$9-$E$9)*($F$9-$E$9)),$G$9-SQRT((1-S976)*($G$9-$E$9)*($G$9-$F$9))))</f>
        <v>1.05155207771128</v>
      </c>
      <c r="F976" s="37" t="n">
        <f aca="false">1+IF($G$10=$E$10,$F$10,IF(T976&lt;($F$10-$E$10)/($G$10-$E$10),$E$10+SQRT(T976*($G$10-$E$10)*($F$10-$E$10)),$G$10-SQRT((1-T976)*($G$10-$E$10)*($G$10-$F$10))))</f>
        <v>1.02792943795299</v>
      </c>
      <c r="G976" s="38" t="n">
        <f aca="false">IF($G$11=$E$11,$F$11,IF(U976&lt;($F$11-$E$11)/($G$11-$E$11),$E$11+SQRT(U976*($G$11-$E$11)*($F$11-$E$11)),$G$11-SQRT((1-U976)*($G$11-$E$11)*($G$11-$F$11))))</f>
        <v>0.100093768211263</v>
      </c>
      <c r="H976" s="39" t="n">
        <f aca="false">(('Business Case'!B11*$C976*'Business Case'!B12*$B976)-'Business Case'!B11*$C976*'Business Case'!B13*$D976-'Business Case'!B14*$E976)-MAX(0,(('Business Case'!B11*$C976*'Business Case'!B12*$B976)-'Business Case'!B11*$C976*'Business Case'!B13*$D976-'Business Case'!B14*$E976))*'Business Case'!$B$7-'Business Case'!$B$8*('Business Case'!B11*$C976*'Business Case'!B12*$B976)-'Business Case'!B15*$F976</f>
        <v>-2055858875.90599</v>
      </c>
      <c r="I976" s="39" t="n">
        <f aca="false">(('Business Case'!C11*$C976*'Business Case'!C12*$B976)-'Business Case'!C11*$C976*'Business Case'!C13*$D976-'Business Case'!C14*$E976)-MAX(0,(('Business Case'!C11*$C976*'Business Case'!C12*$B976)-'Business Case'!C11*$C976*'Business Case'!C13*$D976-'Business Case'!C14*$E976))*'Business Case'!$B$7-'Business Case'!$B$8*(('Business Case'!C11*$C976*'Business Case'!C12*$B976)-('Business Case'!B11*$C976*'Business Case'!B12*$B976))-'Business Case'!C15*$F976</f>
        <v>-2689428.99554889</v>
      </c>
      <c r="J976" s="39" t="n">
        <f aca="false">(('Business Case'!D11*$C976*'Business Case'!D12*$B976)-'Business Case'!D11*$C976*'Business Case'!D13*$D976-'Business Case'!D14*$E976)-MAX(0,(('Business Case'!D11*$C976*'Business Case'!D12*$B976)-'Business Case'!D11*$C976*'Business Case'!D13*$D976-'Business Case'!D14*$E976))*'Business Case'!$B$7-'Business Case'!$B$8*(('Business Case'!D11*$C976*'Business Case'!D12*$B976)-('Business Case'!C11*$C976*'Business Case'!C12*$B976))-'Business Case'!D15*$F976</f>
        <v>295274236.474443</v>
      </c>
      <c r="K976" s="39" t="n">
        <f aca="false">(('Business Case'!E11*$C976*'Business Case'!E12*$B976)-'Business Case'!E11*$C976*'Business Case'!E13*$D976-'Business Case'!E14*$E976)-MAX(0,(('Business Case'!E11*$C976*'Business Case'!E12*$B976)-'Business Case'!E11*$C976*'Business Case'!E13*$D976-'Business Case'!E14*$E976))*'Business Case'!$B$7-'Business Case'!$B$8*(('Business Case'!E11*$C976*'Business Case'!E12*$B976)-('Business Case'!D11*$C976*'Business Case'!D12*$B976))-'Business Case'!E15*$F976</f>
        <v>644634373.842085</v>
      </c>
      <c r="L976" s="39" t="n">
        <f aca="false">(('Business Case'!F11*$C976*'Business Case'!F12*$B976)-'Business Case'!F11*$C976*'Business Case'!F13*$D976-'Business Case'!F14*$E976)-MAX(0,(('Business Case'!F11*$C976*'Business Case'!F12*$B976)-'Business Case'!F11*$C976*'Business Case'!F13*$D976-'Business Case'!F14*$E976))*'Business Case'!$B$7-'Business Case'!$B$8*(('Business Case'!F11*$C976*'Business Case'!F12*$B976)-('Business Case'!E11*$C976*'Business Case'!E12*$B976))-'Business Case'!F15*$F976</f>
        <v>776175225.811881</v>
      </c>
      <c r="M976" s="39" t="n">
        <f aca="false">(('Business Case'!G11*$C976*'Business Case'!G12*$B976)-'Business Case'!G11*$C976*'Business Case'!G13*$D976-'Business Case'!G14*$E976)-MAX(0,(('Business Case'!G11*$C976*'Business Case'!G12*$B976)-'Business Case'!G11*$C976*'Business Case'!G13*$D976-'Business Case'!G14*$E976))*'Business Case'!$B$7-'Business Case'!$B$8*(('Business Case'!G11*$C976*'Business Case'!G12*$B976)-('Business Case'!F11*$C976*'Business Case'!F12*$B976))-'Business Case'!G15*$F976+'Business Case'!$B$8*('Business Case'!G11*$C976*'Business Case'!G12*$B976)</f>
        <v>953383191.617438</v>
      </c>
      <c r="N976" s="39" t="n">
        <f aca="false">IF(COUNT('Business Case'!B11:G11)=0,"",H976+NPV(G976,I976:M976))</f>
        <v>-208436293.019179</v>
      </c>
      <c r="P976" s="40" t="n">
        <f aca="true">RAND()</f>
        <v>0.92546621884419</v>
      </c>
      <c r="Q976" s="40" t="n">
        <f aca="true">RAND()</f>
        <v>0.18250914258809</v>
      </c>
      <c r="R976" s="40" t="n">
        <f aca="true">RAND()</f>
        <v>0.328974291067937</v>
      </c>
      <c r="S976" s="40" t="n">
        <f aca="true">RAND()</f>
        <v>0.843519921727102</v>
      </c>
      <c r="T976" s="40" t="n">
        <f aca="true">RAND()</f>
        <v>0.40783443353654</v>
      </c>
      <c r="U976" s="40" t="n">
        <f aca="true">RAND()</f>
        <v>0.33956989328847</v>
      </c>
    </row>
    <row r="977" customFormat="false" ht="15" hidden="false" customHeight="false" outlineLevel="0" collapsed="false">
      <c r="A977" s="36" t="n">
        <v>897</v>
      </c>
      <c r="B977" s="37" t="n">
        <f aca="false">1+IF($G$6=$E$6,$F$6,IF(P977&lt;($F$6-$E$6)/($G$6-$E$6),$E$6+SQRT(P977*($G$6-$E$6)*($F$6-$E$6)),$G$6-SQRT((1-P977)*($G$6-$E$6)*($G$6-$F$6))))</f>
        <v>1.00576358107139</v>
      </c>
      <c r="C977" s="37" t="n">
        <f aca="false">1+IF($G$7=$E$7,$F$7,IF(Q977&lt;($F$7-$E$7)/($G$7-$E$7),$E$7+SQRT(Q977*($G$7-$E$7)*($F$7-$E$7)),$G$7-SQRT((1-Q977)*($G$7-$E$7)*($G$7-$F$7))))</f>
        <v>1.00663209184006</v>
      </c>
      <c r="D977" s="37" t="n">
        <f aca="false">1+IF($G$8=$E$8,$F$8,IF(R977&lt;($F$8-$E$8)/($G$8-$E$8),$E$8+SQRT(R977*($G$8-$E$8)*($F$8-$E$8)),$G$8-SQRT((1-R977)*($G$8-$E$8)*($G$8-$F$8))))</f>
        <v>1.03344419894426</v>
      </c>
      <c r="E977" s="37" t="n">
        <f aca="false">1+IF($G$9=$E$9,$F$9,IF(S977&lt;($F$9-$E$9)/($G$9-$E$9),$E$9+SQRT(S977*($G$9-$E$9)*($F$9-$E$9)),$G$9-SQRT((1-S977)*($G$9-$E$9)*($G$9-$F$9))))</f>
        <v>0.998746651424369</v>
      </c>
      <c r="F977" s="37" t="n">
        <f aca="false">1+IF($G$10=$E$10,$F$10,IF(T977&lt;($F$10-$E$10)/($G$10-$E$10),$E$10+SQRT(T977*($G$10-$E$10)*($F$10-$E$10)),$G$10-SQRT((1-T977)*($G$10-$E$10)*($G$10-$F$10))))</f>
        <v>1.06996229016352</v>
      </c>
      <c r="G977" s="38" t="n">
        <f aca="false">IF($G$11=$E$11,$F$11,IF(U977&lt;($F$11-$E$11)/($G$11-$E$11),$E$11+SQRT(U977*($G$11-$E$11)*($F$11-$E$11)),$G$11-SQRT((1-U977)*($G$11-$E$11)*($G$11-$F$11))))</f>
        <v>0.110561980450453</v>
      </c>
      <c r="H977" s="39" t="n">
        <f aca="false">(('Business Case'!B11*$C977*'Business Case'!B12*$B977)-'Business Case'!B11*$C977*'Business Case'!B13*$D977-'Business Case'!B14*$E977)-MAX(0,(('Business Case'!B11*$C977*'Business Case'!B12*$B977)-'Business Case'!B11*$C977*'Business Case'!B13*$D977-'Business Case'!B14*$E977))*'Business Case'!$B$7-'Business Case'!$B$8*('Business Case'!B11*$C977*'Business Case'!B12*$B977)-'Business Case'!B15*$F977</f>
        <v>-2139924580.32703</v>
      </c>
      <c r="I977" s="39" t="n">
        <f aca="false">(('Business Case'!C11*$C977*'Business Case'!C12*$B977)-'Business Case'!C11*$C977*'Business Case'!C13*$D977-'Business Case'!C14*$E977)-MAX(0,(('Business Case'!C11*$C977*'Business Case'!C12*$B977)-'Business Case'!C11*$C977*'Business Case'!C13*$D977-'Business Case'!C14*$E977))*'Business Case'!$B$7-'Business Case'!$B$8*(('Business Case'!C11*$C977*'Business Case'!C12*$B977)-('Business Case'!B11*$C977*'Business Case'!B12*$B977))-'Business Case'!C15*$F977</f>
        <v>-4795719.98752284</v>
      </c>
      <c r="J977" s="39" t="n">
        <f aca="false">(('Business Case'!D11*$C977*'Business Case'!D12*$B977)-'Business Case'!D11*$C977*'Business Case'!D13*$D977-'Business Case'!D14*$E977)-MAX(0,(('Business Case'!D11*$C977*'Business Case'!D12*$B977)-'Business Case'!D11*$C977*'Business Case'!D13*$D977-'Business Case'!D14*$E977))*'Business Case'!$B$7-'Business Case'!$B$8*(('Business Case'!D11*$C977*'Business Case'!D12*$B977)-('Business Case'!C11*$C977*'Business Case'!C12*$B977))-'Business Case'!D15*$F977</f>
        <v>291911136.120792</v>
      </c>
      <c r="K977" s="39" t="n">
        <f aca="false">(('Business Case'!E11*$C977*'Business Case'!E12*$B977)-'Business Case'!E11*$C977*'Business Case'!E13*$D977-'Business Case'!E14*$E977)-MAX(0,(('Business Case'!E11*$C977*'Business Case'!E12*$B977)-'Business Case'!E11*$C977*'Business Case'!E13*$D977-'Business Case'!E14*$E977))*'Business Case'!$B$7-'Business Case'!$B$8*(('Business Case'!E11*$C977*'Business Case'!E12*$B977)-('Business Case'!D11*$C977*'Business Case'!D12*$B977))-'Business Case'!E15*$F977</f>
        <v>642116106.737284</v>
      </c>
      <c r="L977" s="39" t="n">
        <f aca="false">(('Business Case'!F11*$C977*'Business Case'!F12*$B977)-'Business Case'!F11*$C977*'Business Case'!F13*$D977-'Business Case'!F14*$E977)-MAX(0,(('Business Case'!F11*$C977*'Business Case'!F12*$B977)-'Business Case'!F11*$C977*'Business Case'!F13*$D977-'Business Case'!F14*$E977))*'Business Case'!$B$7-'Business Case'!$B$8*(('Business Case'!F11*$C977*'Business Case'!F12*$B977)-('Business Case'!E11*$C977*'Business Case'!E12*$B977))-'Business Case'!F15*$F977</f>
        <v>776008107.604683</v>
      </c>
      <c r="M977" s="39" t="n">
        <f aca="false">(('Business Case'!G11*$C977*'Business Case'!G12*$B977)-'Business Case'!G11*$C977*'Business Case'!G13*$D977-'Business Case'!G14*$E977)-MAX(0,(('Business Case'!G11*$C977*'Business Case'!G12*$B977)-'Business Case'!G11*$C977*'Business Case'!G13*$D977-'Business Case'!G14*$E977))*'Business Case'!$B$7-'Business Case'!$B$8*(('Business Case'!G11*$C977*'Business Case'!G12*$B977)-('Business Case'!F11*$C977*'Business Case'!F12*$B977))-'Business Case'!G15*$F977+'Business Case'!$B$8*('Business Case'!G11*$C977*'Business Case'!G12*$B977)</f>
        <v>968451542.843468</v>
      </c>
      <c r="N977" s="39" t="n">
        <f aca="false">IF(COUNT('Business Case'!B11:G11)=0,"",H977+NPV(G977,I977:M977))</f>
        <v>-355340759.552785</v>
      </c>
      <c r="P977" s="40" t="n">
        <f aca="true">RAND()</f>
        <v>0.755805753946752</v>
      </c>
      <c r="Q977" s="40" t="n">
        <f aca="true">RAND()</f>
        <v>0.608488436377975</v>
      </c>
      <c r="R977" s="40" t="n">
        <f aca="true">RAND()</f>
        <v>0.791592056544099</v>
      </c>
      <c r="S977" s="40" t="n">
        <f aca="true">RAND()</f>
        <v>0.316831470011852</v>
      </c>
      <c r="T977" s="40" t="n">
        <f aca="true">RAND()</f>
        <v>0.661803880409647</v>
      </c>
      <c r="U977" s="40" t="n">
        <f aca="true">RAND()</f>
        <v>0.851539644970616</v>
      </c>
    </row>
    <row r="978" customFormat="false" ht="15" hidden="false" customHeight="false" outlineLevel="0" collapsed="false">
      <c r="A978" s="36" t="n">
        <v>898</v>
      </c>
      <c r="B978" s="37" t="n">
        <f aca="false">1+IF($G$6=$E$6,$F$6,IF(P978&lt;($F$6-$E$6)/($G$6-$E$6),$E$6+SQRT(P978*($G$6-$E$6)*($F$6-$E$6)),$G$6-SQRT((1-P978)*($G$6-$E$6)*($G$6-$F$6))))</f>
        <v>1.00613351920626</v>
      </c>
      <c r="C978" s="37" t="n">
        <f aca="false">1+IF($G$7=$E$7,$F$7,IF(Q978&lt;($F$7-$E$7)/($G$7-$E$7),$E$7+SQRT(Q978*($G$7-$E$7)*($F$7-$E$7)),$G$7-SQRT((1-Q978)*($G$7-$E$7)*($G$7-$F$7))))</f>
        <v>0.834525851365337</v>
      </c>
      <c r="D978" s="37" t="n">
        <f aca="false">1+IF($G$8=$E$8,$F$8,IF(R978&lt;($F$8-$E$8)/($G$8-$E$8),$E$8+SQRT(R978*($G$8-$E$8)*($F$8-$E$8)),$G$8-SQRT((1-R978)*($G$8-$E$8)*($G$8-$F$8))))</f>
        <v>0.988304237701912</v>
      </c>
      <c r="E978" s="37" t="n">
        <f aca="false">1+IF($G$9=$E$9,$F$9,IF(S978&lt;($F$9-$E$9)/($G$9-$E$9),$E$9+SQRT(S978*($G$9-$E$9)*($F$9-$E$9)),$G$9-SQRT((1-S978)*($G$9-$E$9)*($G$9-$F$9))))</f>
        <v>1.04113950598741</v>
      </c>
      <c r="F978" s="37" t="n">
        <f aca="false">1+IF($G$10=$E$10,$F$10,IF(T978&lt;($F$10-$E$10)/($G$10-$E$10),$E$10+SQRT(T978*($G$10-$E$10)*($F$10-$E$10)),$G$10-SQRT((1-T978)*($G$10-$E$10)*($G$10-$F$10))))</f>
        <v>1.10109371426118</v>
      </c>
      <c r="G978" s="38" t="n">
        <f aca="false">IF($G$11=$E$11,$F$11,IF(U978&lt;($F$11-$E$11)/($G$11-$E$11),$E$11+SQRT(U978*($G$11-$E$11)*($F$11-$E$11)),$G$11-SQRT((1-U978)*($G$11-$E$11)*($G$11-$F$11))))</f>
        <v>0.110245071069228</v>
      </c>
      <c r="H978" s="39" t="n">
        <f aca="false">(('Business Case'!B11*$C978*'Business Case'!B12*$B978)-'Business Case'!B11*$C978*'Business Case'!B13*$D978-'Business Case'!B14*$E978)-MAX(0,(('Business Case'!B11*$C978*'Business Case'!B12*$B978)-'Business Case'!B11*$C978*'Business Case'!B13*$D978-'Business Case'!B14*$E978))*'Business Case'!$B$7-'Business Case'!$B$8*('Business Case'!B11*$C978*'Business Case'!B12*$B978)-'Business Case'!B15*$F978</f>
        <v>-2202187428.52237</v>
      </c>
      <c r="I978" s="39" t="n">
        <f aca="false">(('Business Case'!C11*$C978*'Business Case'!C12*$B978)-'Business Case'!C11*$C978*'Business Case'!C13*$D978-'Business Case'!C14*$E978)-MAX(0,(('Business Case'!C11*$C978*'Business Case'!C12*$B978)-'Business Case'!C11*$C978*'Business Case'!C13*$D978-'Business Case'!C14*$E978))*'Business Case'!$B$7-'Business Case'!$B$8*(('Business Case'!C11*$C978*'Business Case'!C12*$B978)-('Business Case'!B11*$C978*'Business Case'!B12*$B978))-'Business Case'!C15*$F978</f>
        <v>-36171254.2310848</v>
      </c>
      <c r="J978" s="39" t="n">
        <f aca="false">(('Business Case'!D11*$C978*'Business Case'!D12*$B978)-'Business Case'!D11*$C978*'Business Case'!D13*$D978-'Business Case'!D14*$E978)-MAX(0,(('Business Case'!D11*$C978*'Business Case'!D12*$B978)-'Business Case'!D11*$C978*'Business Case'!D13*$D978-'Business Case'!D14*$E978))*'Business Case'!$B$7-'Business Case'!$B$8*(('Business Case'!D11*$C978*'Business Case'!D12*$B978)-('Business Case'!C11*$C978*'Business Case'!C12*$B978))-'Business Case'!D15*$F978</f>
        <v>229344068.054832</v>
      </c>
      <c r="K978" s="39" t="n">
        <f aca="false">(('Business Case'!E11*$C978*'Business Case'!E12*$B978)-'Business Case'!E11*$C978*'Business Case'!E13*$D978-'Business Case'!E14*$E978)-MAX(0,(('Business Case'!E11*$C978*'Business Case'!E12*$B978)-'Business Case'!E11*$C978*'Business Case'!E13*$D978-'Business Case'!E14*$E978))*'Business Case'!$B$7-'Business Case'!$B$8*(('Business Case'!E11*$C978*'Business Case'!E12*$B978)-('Business Case'!D11*$C978*'Business Case'!D12*$B978))-'Business Case'!E15*$F978</f>
        <v>549914076.053808</v>
      </c>
      <c r="L978" s="39" t="n">
        <f aca="false">(('Business Case'!F11*$C978*'Business Case'!F12*$B978)-'Business Case'!F11*$C978*'Business Case'!F13*$D978-'Business Case'!F14*$E978)-MAX(0,(('Business Case'!F11*$C978*'Business Case'!F12*$B978)-'Business Case'!F11*$C978*'Business Case'!F13*$D978-'Business Case'!F14*$E978))*'Business Case'!$B$7-'Business Case'!$B$8*(('Business Case'!F11*$C978*'Business Case'!F12*$B978)-('Business Case'!E11*$C978*'Business Case'!E12*$B978))-'Business Case'!F15*$F978</f>
        <v>667437295.042096</v>
      </c>
      <c r="M978" s="39" t="n">
        <f aca="false">(('Business Case'!G11*$C978*'Business Case'!G12*$B978)-'Business Case'!G11*$C978*'Business Case'!G13*$D978-'Business Case'!G14*$E978)-MAX(0,(('Business Case'!G11*$C978*'Business Case'!G12*$B978)-'Business Case'!G11*$C978*'Business Case'!G13*$D978-'Business Case'!G14*$E978))*'Business Case'!$B$7-'Business Case'!$B$8*(('Business Case'!G11*$C978*'Business Case'!G12*$B978)-('Business Case'!F11*$C978*'Business Case'!F12*$B978))-'Business Case'!G15*$F978+'Business Case'!$B$8*('Business Case'!G11*$C978*'Business Case'!G12*$B978)</f>
        <v>827036908.620166</v>
      </c>
      <c r="N978" s="39" t="n">
        <f aca="false">IF(COUNT('Business Case'!B11:G11)=0,"",H978+NPV(G978,I978:M978))</f>
        <v>-717343855.154991</v>
      </c>
      <c r="P978" s="40" t="n">
        <f aca="true">RAND()</f>
        <v>0.761054474718146</v>
      </c>
      <c r="Q978" s="40" t="n">
        <f aca="true">RAND()</f>
        <v>0.0170290630357331</v>
      </c>
      <c r="R978" s="40" t="n">
        <f aca="true">RAND()</f>
        <v>0.225725327065314</v>
      </c>
      <c r="S978" s="40" t="n">
        <f aca="true">RAND()</f>
        <v>0.769029482972933</v>
      </c>
      <c r="T978" s="40" t="n">
        <f aca="true">RAND()</f>
        <v>0.804350932827032</v>
      </c>
      <c r="U978" s="40" t="n">
        <f aca="true">RAND()</f>
        <v>0.84140226925931</v>
      </c>
    </row>
    <row r="979" customFormat="false" ht="15" hidden="false" customHeight="false" outlineLevel="0" collapsed="false">
      <c r="A979" s="36" t="n">
        <v>899</v>
      </c>
      <c r="B979" s="37" t="n">
        <f aca="false">1+IF($G$6=$E$6,$F$6,IF(P979&lt;($F$6-$E$6)/($G$6-$E$6),$E$6+SQRT(P979*($G$6-$E$6)*($F$6-$E$6)),$G$6-SQRT((1-P979)*($G$6-$E$6)*($G$6-$F$6))))</f>
        <v>1.0151328279873</v>
      </c>
      <c r="C979" s="37" t="n">
        <f aca="false">1+IF($G$7=$E$7,$F$7,IF(Q979&lt;($F$7-$E$7)/($G$7-$E$7),$E$7+SQRT(Q979*($G$7-$E$7)*($F$7-$E$7)),$G$7-SQRT((1-Q979)*($G$7-$E$7)*($G$7-$F$7))))</f>
        <v>1.12361607108801</v>
      </c>
      <c r="D979" s="37" t="n">
        <f aca="false">1+IF($G$8=$E$8,$F$8,IF(R979&lt;($F$8-$E$8)/($G$8-$E$8),$E$8+SQRT(R979*($G$8-$E$8)*($F$8-$E$8)),$G$8-SQRT((1-R979)*($G$8-$E$8)*($G$8-$F$8))))</f>
        <v>0.972208702212504</v>
      </c>
      <c r="E979" s="37" t="n">
        <f aca="false">1+IF($G$9=$E$9,$F$9,IF(S979&lt;($F$9-$E$9)/($G$9-$E$9),$E$9+SQRT(S979*($G$9-$E$9)*($F$9-$E$9)),$G$9-SQRT((1-S979)*($G$9-$E$9)*($G$9-$F$9))))</f>
        <v>1.06752237680403</v>
      </c>
      <c r="F979" s="37" t="n">
        <f aca="false">1+IF($G$10=$E$10,$F$10,IF(T979&lt;($F$10-$E$10)/($G$10-$E$10),$E$10+SQRT(T979*($G$10-$E$10)*($F$10-$E$10)),$G$10-SQRT((1-T979)*($G$10-$E$10)*($G$10-$F$10))))</f>
        <v>0.975712766004318</v>
      </c>
      <c r="G979" s="38" t="n">
        <f aca="false">IF($G$11=$E$11,$F$11,IF(U979&lt;($F$11-$E$11)/($G$11-$E$11),$E$11+SQRT(U979*($G$11-$E$11)*($F$11-$E$11)),$G$11-SQRT((1-U979)*($G$11-$E$11)*($G$11-$F$11))))</f>
        <v>0.105657368165563</v>
      </c>
      <c r="H979" s="39" t="n">
        <f aca="false">(('Business Case'!B11*$C979*'Business Case'!B12*$B979)-'Business Case'!B11*$C979*'Business Case'!B13*$D979-'Business Case'!B14*$E979)-MAX(0,(('Business Case'!B11*$C979*'Business Case'!B12*$B979)-'Business Case'!B11*$C979*'Business Case'!B13*$D979-'Business Case'!B14*$E979))*'Business Case'!$B$7-'Business Case'!$B$8*('Business Case'!B11*$C979*'Business Case'!B12*$B979)-'Business Case'!B15*$F979</f>
        <v>-1951425532.00864</v>
      </c>
      <c r="I979" s="39" t="n">
        <f aca="false">(('Business Case'!C11*$C979*'Business Case'!C12*$B979)-'Business Case'!C11*$C979*'Business Case'!C13*$D979-'Business Case'!C14*$E979)-MAX(0,(('Business Case'!C11*$C979*'Business Case'!C12*$B979)-'Business Case'!C11*$C979*'Business Case'!C13*$D979-'Business Case'!C14*$E979))*'Business Case'!$B$7-'Business Case'!$B$8*(('Business Case'!C11*$C979*'Business Case'!C12*$B979)-('Business Case'!B11*$C979*'Business Case'!B12*$B979))-'Business Case'!C15*$F979</f>
        <v>66530925.6843362</v>
      </c>
      <c r="J979" s="39" t="n">
        <f aca="false">(('Business Case'!D11*$C979*'Business Case'!D12*$B979)-'Business Case'!D11*$C979*'Business Case'!D13*$D979-'Business Case'!D14*$E979)-MAX(0,(('Business Case'!D11*$C979*'Business Case'!D12*$B979)-'Business Case'!D11*$C979*'Business Case'!D13*$D979-'Business Case'!D14*$E979))*'Business Case'!$B$7-'Business Case'!$B$8*(('Business Case'!D11*$C979*'Business Case'!D12*$B979)-('Business Case'!C11*$C979*'Business Case'!C12*$B979))-'Business Case'!D15*$F979</f>
        <v>441564527.931475</v>
      </c>
      <c r="K979" s="39" t="n">
        <f aca="false">(('Business Case'!E11*$C979*'Business Case'!E12*$B979)-'Business Case'!E11*$C979*'Business Case'!E13*$D979-'Business Case'!E14*$E979)-MAX(0,(('Business Case'!E11*$C979*'Business Case'!E12*$B979)-'Business Case'!E11*$C979*'Business Case'!E13*$D979-'Business Case'!E14*$E979))*'Business Case'!$B$7-'Business Case'!$B$8*(('Business Case'!E11*$C979*'Business Case'!E12*$B979)-('Business Case'!D11*$C979*'Business Case'!D12*$B979))-'Business Case'!E15*$F979</f>
        <v>865383768.47883</v>
      </c>
      <c r="L979" s="39" t="n">
        <f aca="false">(('Business Case'!F11*$C979*'Business Case'!F12*$B979)-'Business Case'!F11*$C979*'Business Case'!F13*$D979-'Business Case'!F14*$E979)-MAX(0,(('Business Case'!F11*$C979*'Business Case'!F12*$B979)-'Business Case'!F11*$C979*'Business Case'!F13*$D979-'Business Case'!F14*$E979))*'Business Case'!$B$7-'Business Case'!$B$8*(('Business Case'!F11*$C979*'Business Case'!F12*$B979)-('Business Case'!E11*$C979*'Business Case'!E12*$B979))-'Business Case'!F15*$F979</f>
        <v>1029814781.2151</v>
      </c>
      <c r="M979" s="39" t="n">
        <f aca="false">(('Business Case'!G11*$C979*'Business Case'!G12*$B979)-'Business Case'!G11*$C979*'Business Case'!G13*$D979-'Business Case'!G14*$E979)-MAX(0,(('Business Case'!G11*$C979*'Business Case'!G12*$B979)-'Business Case'!G11*$C979*'Business Case'!G13*$D979-'Business Case'!G14*$E979))*'Business Case'!$B$7-'Business Case'!$B$8*(('Business Case'!G11*$C979*'Business Case'!G12*$B979)-('Business Case'!F11*$C979*'Business Case'!F12*$B979))-'Business Case'!G15*$F979+'Business Case'!$B$8*('Business Case'!G11*$C979*'Business Case'!G12*$B979)</f>
        <v>1246623747.14484</v>
      </c>
      <c r="N979" s="39" t="n">
        <f aca="false">IF(COUNT('Business Case'!B11:G11)=0,"",H979+NPV(G979,I979:M979))</f>
        <v>553743449.581189</v>
      </c>
      <c r="P979" s="40" t="n">
        <f aca="true">RAND()</f>
        <v>0.871171615852232</v>
      </c>
      <c r="Q979" s="40" t="n">
        <f aca="true">RAND()</f>
        <v>0.986740729431758</v>
      </c>
      <c r="R979" s="40" t="n">
        <f aca="true">RAND()</f>
        <v>0.0758809929174893</v>
      </c>
      <c r="S979" s="40" t="n">
        <f aca="true">RAND()</f>
        <v>0.929680266102686</v>
      </c>
      <c r="T979" s="40" t="n">
        <f aca="true">RAND()</f>
        <v>0.0528917068474264</v>
      </c>
      <c r="U979" s="40" t="n">
        <f aca="true">RAND()</f>
        <v>0.657148186769654</v>
      </c>
    </row>
    <row r="980" customFormat="false" ht="15" hidden="false" customHeight="false" outlineLevel="0" collapsed="false">
      <c r="A980" s="36" t="n">
        <v>900</v>
      </c>
      <c r="B980" s="37" t="n">
        <f aca="false">1+IF($G$6=$E$6,$F$6,IF(P980&lt;($F$6-$E$6)/($G$6-$E$6),$E$6+SQRT(P980*($G$6-$E$6)*($F$6-$E$6)),$G$6-SQRT((1-P980)*($G$6-$E$6)*($G$6-$F$6))))</f>
        <v>0.999460928966928</v>
      </c>
      <c r="C980" s="37" t="n">
        <f aca="false">1+IF($G$7=$E$7,$F$7,IF(Q980&lt;($F$7-$E$7)/($G$7-$E$7),$E$7+SQRT(Q980*($G$7-$E$7)*($F$7-$E$7)),$G$7-SQRT((1-Q980)*($G$7-$E$7)*($G$7-$F$7))))</f>
        <v>1.00307666806308</v>
      </c>
      <c r="D980" s="37" t="n">
        <f aca="false">1+IF($G$8=$E$8,$F$8,IF(R980&lt;($F$8-$E$8)/($G$8-$E$8),$E$8+SQRT(R980*($G$8-$E$8)*($F$8-$E$8)),$G$8-SQRT((1-R980)*($G$8-$E$8)*($G$8-$F$8))))</f>
        <v>0.986472772671388</v>
      </c>
      <c r="E980" s="37" t="n">
        <f aca="false">1+IF($G$9=$E$9,$F$9,IF(S980&lt;($F$9-$E$9)/($G$9-$E$9),$E$9+SQRT(S980*($G$9-$E$9)*($F$9-$E$9)),$G$9-SQRT((1-S980)*($G$9-$E$9)*($G$9-$F$9))))</f>
        <v>0.986665122157531</v>
      </c>
      <c r="F980" s="37" t="n">
        <f aca="false">1+IF($G$10=$E$10,$F$10,IF(T980&lt;($F$10-$E$10)/($G$10-$E$10),$E$10+SQRT(T980*($G$10-$E$10)*($F$10-$E$10)),$G$10-SQRT((1-T980)*($G$10-$E$10)*($G$10-$F$10))))</f>
        <v>1.05283174411824</v>
      </c>
      <c r="G980" s="38" t="n">
        <f aca="false">IF($G$11=$E$11,$F$11,IF(U980&lt;($F$11-$E$11)/($G$11-$E$11),$E$11+SQRT(U980*($G$11-$E$11)*($F$11-$E$11)),$G$11-SQRT((1-U980)*($G$11-$E$11)*($G$11-$F$11))))</f>
        <v>0.0986029013641109</v>
      </c>
      <c r="H980" s="39" t="n">
        <f aca="false">(('Business Case'!B11*$C980*'Business Case'!B12*$B980)-'Business Case'!B11*$C980*'Business Case'!B13*$D980-'Business Case'!B14*$E980)-MAX(0,(('Business Case'!B11*$C980*'Business Case'!B12*$B980)-'Business Case'!B11*$C980*'Business Case'!B13*$D980-'Business Case'!B14*$E980))*'Business Case'!$B$7-'Business Case'!$B$8*('Business Case'!B11*$C980*'Business Case'!B12*$B980)-'Business Case'!B15*$F980</f>
        <v>-2105663488.23648</v>
      </c>
      <c r="I980" s="39" t="n">
        <f aca="false">(('Business Case'!C11*$C980*'Business Case'!C12*$B980)-'Business Case'!C11*$C980*'Business Case'!C13*$D980-'Business Case'!C14*$E980)-MAX(0,(('Business Case'!C11*$C980*'Business Case'!C12*$B980)-'Business Case'!C11*$C980*'Business Case'!C13*$D980-'Business Case'!C14*$E980))*'Business Case'!$B$7-'Business Case'!$B$8*(('Business Case'!C11*$C980*'Business Case'!C12*$B980)-('Business Case'!B11*$C980*'Business Case'!B12*$B980))-'Business Case'!C15*$F980</f>
        <v>17041854.1642429</v>
      </c>
      <c r="J980" s="39" t="n">
        <f aca="false">(('Business Case'!D11*$C980*'Business Case'!D12*$B980)-'Business Case'!D11*$C980*'Business Case'!D13*$D980-'Business Case'!D14*$E980)-MAX(0,(('Business Case'!D11*$C980*'Business Case'!D12*$B980)-'Business Case'!D11*$C980*'Business Case'!D13*$D980-'Business Case'!D14*$E980))*'Business Case'!$B$7-'Business Case'!$B$8*(('Business Case'!D11*$C980*'Business Case'!D12*$B980)-('Business Case'!C11*$C980*'Business Case'!C12*$B980))-'Business Case'!D15*$F980</f>
        <v>331642126.162297</v>
      </c>
      <c r="K980" s="39" t="n">
        <f aca="false">(('Business Case'!E11*$C980*'Business Case'!E12*$B980)-'Business Case'!E11*$C980*'Business Case'!E13*$D980-'Business Case'!E14*$E980)-MAX(0,(('Business Case'!E11*$C980*'Business Case'!E12*$B980)-'Business Case'!E11*$C980*'Business Case'!E13*$D980-'Business Case'!E14*$E980))*'Business Case'!$B$7-'Business Case'!$B$8*(('Business Case'!E11*$C980*'Business Case'!E12*$B980)-('Business Case'!D11*$C980*'Business Case'!D12*$B980))-'Business Case'!E15*$F980</f>
        <v>698883985.366262</v>
      </c>
      <c r="L980" s="39" t="n">
        <f aca="false">(('Business Case'!F11*$C980*'Business Case'!F12*$B980)-'Business Case'!F11*$C980*'Business Case'!F13*$D980-'Business Case'!F14*$E980)-MAX(0,(('Business Case'!F11*$C980*'Business Case'!F12*$B980)-'Business Case'!F11*$C980*'Business Case'!F13*$D980-'Business Case'!F14*$E980))*'Business Case'!$B$7-'Business Case'!$B$8*(('Business Case'!F11*$C980*'Business Case'!F12*$B980)-('Business Case'!E11*$C980*'Business Case'!E12*$B980))-'Business Case'!F15*$F980</f>
        <v>838398384.733071</v>
      </c>
      <c r="M980" s="39" t="n">
        <f aca="false">(('Business Case'!G11*$C980*'Business Case'!G12*$B980)-'Business Case'!G11*$C980*'Business Case'!G13*$D980-'Business Case'!G14*$E980)-MAX(0,(('Business Case'!G11*$C980*'Business Case'!G12*$B980)-'Business Case'!G11*$C980*'Business Case'!G13*$D980-'Business Case'!G14*$E980))*'Business Case'!$B$7-'Business Case'!$B$8*(('Business Case'!G11*$C980*'Business Case'!G12*$B980)-('Business Case'!F11*$C980*'Business Case'!F12*$B980))-'Business Case'!G15*$F980+'Business Case'!$B$8*('Business Case'!G11*$C980*'Business Case'!G12*$B980)</f>
        <v>1028960415.92075</v>
      </c>
      <c r="N980" s="39" t="n">
        <f aca="false">IF(COUNT('Business Case'!B11:G11)=0,"",H980+NPV(G980,I980:M980))</f>
        <v>-69749425.5179057</v>
      </c>
      <c r="P980" s="40" t="n">
        <f aca="true">RAND()</f>
        <v>0.657712420029917</v>
      </c>
      <c r="Q980" s="40" t="n">
        <f aca="true">RAND()</f>
        <v>0.588829229191518</v>
      </c>
      <c r="R980" s="40" t="n">
        <f aca="true">RAND()</f>
        <v>0.204655868667499</v>
      </c>
      <c r="S980" s="40" t="n">
        <f aca="true">RAND()</f>
        <v>0.179244157710218</v>
      </c>
      <c r="T980" s="40" t="n">
        <f aca="true">RAND()</f>
        <v>0.566830089214431</v>
      </c>
      <c r="U980" s="40" t="n">
        <f aca="true">RAND()</f>
        <v>0.246699706268734</v>
      </c>
    </row>
    <row r="981" customFormat="false" ht="15" hidden="false" customHeight="false" outlineLevel="0" collapsed="false">
      <c r="A981" s="36" t="n">
        <v>901</v>
      </c>
      <c r="B981" s="37" t="n">
        <f aca="false">1+IF($G$6=$E$6,$F$6,IF(P981&lt;($F$6-$E$6)/($G$6-$E$6),$E$6+SQRT(P981*($G$6-$E$6)*($F$6-$E$6)),$G$6-SQRT((1-P981)*($G$6-$E$6)*($G$6-$F$6))))</f>
        <v>0.939526567285888</v>
      </c>
      <c r="C981" s="37" t="n">
        <f aca="false">1+IF($G$7=$E$7,$F$7,IF(Q981&lt;($F$7-$E$7)/($G$7-$E$7),$E$7+SQRT(Q981*($G$7-$E$7)*($F$7-$E$7)),$G$7-SQRT((1-Q981)*($G$7-$E$7)*($G$7-$F$7))))</f>
        <v>1.0744713432886</v>
      </c>
      <c r="D981" s="37" t="n">
        <f aca="false">1+IF($G$8=$E$8,$F$8,IF(R981&lt;($F$8-$E$8)/($G$8-$E$8),$E$8+SQRT(R981*($G$8-$E$8)*($F$8-$E$8)),$G$8-SQRT((1-R981)*($G$8-$E$8)*($G$8-$F$8))))</f>
        <v>1.02914339241137</v>
      </c>
      <c r="E981" s="37" t="n">
        <f aca="false">1+IF($G$9=$E$9,$F$9,IF(S981&lt;($F$9-$E$9)/($G$9-$E$9),$E$9+SQRT(S981*($G$9-$E$9)*($F$9-$E$9)),$G$9-SQRT((1-S981)*($G$9-$E$9)*($G$9-$F$9))))</f>
        <v>1.02838013148975</v>
      </c>
      <c r="F981" s="37" t="n">
        <f aca="false">1+IF($G$10=$E$10,$F$10,IF(T981&lt;($F$10-$E$10)/($G$10-$E$10),$E$10+SQRT(T981*($G$10-$E$10)*($F$10-$E$10)),$G$10-SQRT((1-T981)*($G$10-$E$10)*($G$10-$F$10))))</f>
        <v>1.12509484362212</v>
      </c>
      <c r="G981" s="38" t="n">
        <f aca="false">IF($G$11=$E$11,$F$11,IF(U981&lt;($F$11-$E$11)/($G$11-$E$11),$E$11+SQRT(U981*($G$11-$E$11)*($F$11-$E$11)),$G$11-SQRT((1-U981)*($G$11-$E$11)*($G$11-$F$11))))</f>
        <v>0.116325774458972</v>
      </c>
      <c r="H981" s="39" t="n">
        <f aca="false">(('Business Case'!B11*$C981*'Business Case'!B12*$B981)-'Business Case'!B11*$C981*'Business Case'!B13*$D981-'Business Case'!B14*$E981)-MAX(0,(('Business Case'!B11*$C981*'Business Case'!B12*$B981)-'Business Case'!B11*$C981*'Business Case'!B13*$D981-'Business Case'!B14*$E981))*'Business Case'!$B$7-'Business Case'!$B$8*('Business Case'!B11*$C981*'Business Case'!B12*$B981)-'Business Case'!B15*$F981</f>
        <v>-2250189687.24424</v>
      </c>
      <c r="I981" s="39" t="n">
        <f aca="false">(('Business Case'!C11*$C981*'Business Case'!C12*$B981)-'Business Case'!C11*$C981*'Business Case'!C13*$D981-'Business Case'!C14*$E981)-MAX(0,(('Business Case'!C11*$C981*'Business Case'!C12*$B981)-'Business Case'!C11*$C981*'Business Case'!C13*$D981-'Business Case'!C14*$E981))*'Business Case'!$B$7-'Business Case'!$B$8*(('Business Case'!C11*$C981*'Business Case'!C12*$B981)-('Business Case'!B11*$C981*'Business Case'!B12*$B981))-'Business Case'!C15*$F981</f>
        <v>-50302252.2557188</v>
      </c>
      <c r="J981" s="39" t="n">
        <f aca="false">(('Business Case'!D11*$C981*'Business Case'!D12*$B981)-'Business Case'!D11*$C981*'Business Case'!D13*$D981-'Business Case'!D14*$E981)-MAX(0,(('Business Case'!D11*$C981*'Business Case'!D12*$B981)-'Business Case'!D11*$C981*'Business Case'!D13*$D981-'Business Case'!D14*$E981))*'Business Case'!$B$7-'Business Case'!$B$8*(('Business Case'!D11*$C981*'Business Case'!D12*$B981)-('Business Case'!C11*$C981*'Business Case'!C12*$B981))-'Business Case'!D15*$F981</f>
        <v>210472822.83493</v>
      </c>
      <c r="K981" s="39" t="n">
        <f aca="false">(('Business Case'!E11*$C981*'Business Case'!E12*$B981)-'Business Case'!E11*$C981*'Business Case'!E13*$D981-'Business Case'!E14*$E981)-MAX(0,(('Business Case'!E11*$C981*'Business Case'!E12*$B981)-'Business Case'!E11*$C981*'Business Case'!E13*$D981-'Business Case'!E14*$E981))*'Business Case'!$B$7-'Business Case'!$B$8*(('Business Case'!E11*$C981*'Business Case'!E12*$B981)-('Business Case'!D11*$C981*'Business Case'!D12*$B981))-'Business Case'!E15*$F981</f>
        <v>527502640.106685</v>
      </c>
      <c r="L981" s="39" t="n">
        <f aca="false">(('Business Case'!F11*$C981*'Business Case'!F12*$B981)-'Business Case'!F11*$C981*'Business Case'!F13*$D981-'Business Case'!F14*$E981)-MAX(0,(('Business Case'!F11*$C981*'Business Case'!F12*$B981)-'Business Case'!F11*$C981*'Business Case'!F13*$D981-'Business Case'!F14*$E981))*'Business Case'!$B$7-'Business Case'!$B$8*(('Business Case'!F11*$C981*'Business Case'!F12*$B981)-('Business Case'!E11*$C981*'Business Case'!E12*$B981))-'Business Case'!F15*$F981</f>
        <v>649315790.661111</v>
      </c>
      <c r="M981" s="39" t="n">
        <f aca="false">(('Business Case'!G11*$C981*'Business Case'!G12*$B981)-'Business Case'!G11*$C981*'Business Case'!G13*$D981-'Business Case'!G14*$E981)-MAX(0,(('Business Case'!G11*$C981*'Business Case'!G12*$B981)-'Business Case'!G11*$C981*'Business Case'!G13*$D981-'Business Case'!G14*$E981))*'Business Case'!$B$7-'Business Case'!$B$8*(('Business Case'!G11*$C981*'Business Case'!G12*$B981)-('Business Case'!F11*$C981*'Business Case'!F12*$B981))-'Business Case'!G15*$F981+'Business Case'!$B$8*('Business Case'!G11*$C981*'Business Case'!G12*$B981)</f>
        <v>841200481.044264</v>
      </c>
      <c r="N981" s="39" t="n">
        <f aca="false">IF(COUNT('Business Case'!B11:G11)=0,"",H981+NPV(G981,I981:M981))</f>
        <v>-843832412.815409</v>
      </c>
      <c r="P981" s="40" t="n">
        <f aca="true">RAND()</f>
        <v>0.0397173781219081</v>
      </c>
      <c r="Q981" s="40" t="n">
        <f aca="true">RAND()</f>
        <v>0.89134137172135</v>
      </c>
      <c r="R981" s="40" t="n">
        <f aca="true">RAND()</f>
        <v>0.751308217747665</v>
      </c>
      <c r="S981" s="40" t="n">
        <f aca="true">RAND()</f>
        <v>0.658039628971586</v>
      </c>
      <c r="T981" s="40" t="n">
        <f aca="true">RAND()</f>
        <v>0.887784350960102</v>
      </c>
      <c r="U981" s="40" t="n">
        <f aca="true">RAND()</f>
        <v>0.977500111122766</v>
      </c>
    </row>
    <row r="982" customFormat="false" ht="15" hidden="false" customHeight="false" outlineLevel="0" collapsed="false">
      <c r="A982" s="36" t="n">
        <v>902</v>
      </c>
      <c r="B982" s="37" t="n">
        <f aca="false">1+IF($G$6=$E$6,$F$6,IF(P982&lt;($F$6-$E$6)/($G$6-$E$6),$E$6+SQRT(P982*($G$6-$E$6)*($F$6-$E$6)),$G$6-SQRT((1-P982)*($G$6-$E$6)*($G$6-$F$6))))</f>
        <v>1.03369913704822</v>
      </c>
      <c r="C982" s="37" t="n">
        <f aca="false">1+IF($G$7=$E$7,$F$7,IF(Q982&lt;($F$7-$E$7)/($G$7-$E$7),$E$7+SQRT(Q982*($G$7-$E$7)*($F$7-$E$7)),$G$7-SQRT((1-Q982)*($G$7-$E$7)*($G$7-$F$7))))</f>
        <v>1.01603060456783</v>
      </c>
      <c r="D982" s="37" t="n">
        <f aca="false">1+IF($G$8=$E$8,$F$8,IF(R982&lt;($F$8-$E$8)/($G$8-$E$8),$E$8+SQRT(R982*($G$8-$E$8)*($F$8-$E$8)),$G$8-SQRT((1-R982)*($G$8-$E$8)*($G$8-$F$8))))</f>
        <v>1.02812073847968</v>
      </c>
      <c r="E982" s="37" t="n">
        <f aca="false">1+IF($G$9=$E$9,$F$9,IF(S982&lt;($F$9-$E$9)/($G$9-$E$9),$E$9+SQRT(S982*($G$9-$E$9)*($F$9-$E$9)),$G$9-SQRT((1-S982)*($G$9-$E$9)*($G$9-$F$9))))</f>
        <v>1.00407695038017</v>
      </c>
      <c r="F982" s="37" t="n">
        <f aca="false">1+IF($G$10=$E$10,$F$10,IF(T982&lt;($F$10-$E$10)/($G$10-$E$10),$E$10+SQRT(T982*($G$10-$E$10)*($F$10-$E$10)),$G$10-SQRT((1-T982)*($G$10-$E$10)*($G$10-$F$10))))</f>
        <v>1.03997125671379</v>
      </c>
      <c r="G982" s="38" t="n">
        <f aca="false">IF($G$11=$E$11,$F$11,IF(U982&lt;($F$11-$E$11)/($G$11-$E$11),$E$11+SQRT(U982*($G$11-$E$11)*($F$11-$E$11)),$G$11-SQRT((1-U982)*($G$11-$E$11)*($G$11-$F$11))))</f>
        <v>0.112527105672012</v>
      </c>
      <c r="H982" s="39" t="n">
        <f aca="false">(('Business Case'!B11*$C982*'Business Case'!B12*$B982)-'Business Case'!B11*$C982*'Business Case'!B13*$D982-'Business Case'!B14*$E982)-MAX(0,(('Business Case'!B11*$C982*'Business Case'!B12*$B982)-'Business Case'!B11*$C982*'Business Case'!B13*$D982-'Business Case'!B14*$E982))*'Business Case'!$B$7-'Business Case'!$B$8*('Business Case'!B11*$C982*'Business Case'!B12*$B982)-'Business Case'!B15*$F982</f>
        <v>-2079942513.42757</v>
      </c>
      <c r="I982" s="39" t="n">
        <f aca="false">(('Business Case'!C11*$C982*'Business Case'!C12*$B982)-'Business Case'!C11*$C982*'Business Case'!C13*$D982-'Business Case'!C14*$E982)-MAX(0,(('Business Case'!C11*$C982*'Business Case'!C12*$B982)-'Business Case'!C11*$C982*'Business Case'!C13*$D982-'Business Case'!C14*$E982))*'Business Case'!$B$7-'Business Case'!$B$8*(('Business Case'!C11*$C982*'Business Case'!C12*$B982)-('Business Case'!B11*$C982*'Business Case'!B12*$B982))-'Business Case'!C15*$F982</f>
        <v>24271128.0898891</v>
      </c>
      <c r="J982" s="39" t="n">
        <f aca="false">(('Business Case'!D11*$C982*'Business Case'!D12*$B982)-'Business Case'!D11*$C982*'Business Case'!D13*$D982-'Business Case'!D14*$E982)-MAX(0,(('Business Case'!D11*$C982*'Business Case'!D12*$B982)-'Business Case'!D11*$C982*'Business Case'!D13*$D982-'Business Case'!D14*$E982))*'Business Case'!$B$7-'Business Case'!$B$8*(('Business Case'!D11*$C982*'Business Case'!D12*$B982)-('Business Case'!C11*$C982*'Business Case'!C12*$B982))-'Business Case'!D15*$F982</f>
        <v>349765118.877882</v>
      </c>
      <c r="K982" s="39" t="n">
        <f aca="false">(('Business Case'!E11*$C982*'Business Case'!E12*$B982)-'Business Case'!E11*$C982*'Business Case'!E13*$D982-'Business Case'!E14*$E982)-MAX(0,(('Business Case'!E11*$C982*'Business Case'!E12*$B982)-'Business Case'!E11*$C982*'Business Case'!E13*$D982-'Business Case'!E14*$E982))*'Business Case'!$B$7-'Business Case'!$B$8*(('Business Case'!E11*$C982*'Business Case'!E12*$B982)-('Business Case'!D11*$C982*'Business Case'!D12*$B982))-'Business Case'!E15*$F982</f>
        <v>727257672.501564</v>
      </c>
      <c r="L982" s="39" t="n">
        <f aca="false">(('Business Case'!F11*$C982*'Business Case'!F12*$B982)-'Business Case'!F11*$C982*'Business Case'!F13*$D982-'Business Case'!F14*$E982)-MAX(0,(('Business Case'!F11*$C982*'Business Case'!F12*$B982)-'Business Case'!F11*$C982*'Business Case'!F13*$D982-'Business Case'!F14*$E982))*'Business Case'!$B$7-'Business Case'!$B$8*(('Business Case'!F11*$C982*'Business Case'!F12*$B982)-('Business Case'!E11*$C982*'Business Case'!E12*$B982))-'Business Case'!F15*$F982</f>
        <v>872052999.219338</v>
      </c>
      <c r="M982" s="39" t="n">
        <f aca="false">(('Business Case'!G11*$C982*'Business Case'!G12*$B982)-'Business Case'!G11*$C982*'Business Case'!G13*$D982-'Business Case'!G14*$E982)-MAX(0,(('Business Case'!G11*$C982*'Business Case'!G12*$B982)-'Business Case'!G11*$C982*'Business Case'!G13*$D982-'Business Case'!G14*$E982))*'Business Case'!$B$7-'Business Case'!$B$8*(('Business Case'!G11*$C982*'Business Case'!G12*$B982)-('Business Case'!F11*$C982*'Business Case'!F12*$B982))-'Business Case'!G15*$F982+'Business Case'!$B$8*('Business Case'!G11*$C982*'Business Case'!G12*$B982)</f>
        <v>1071688313.05578</v>
      </c>
      <c r="N982" s="39" t="n">
        <f aca="false">IF(COUNT('Business Case'!B11:G11)=0,"",H982+NPV(G982,I982:M982))</f>
        <v>-49337294.5718725</v>
      </c>
      <c r="P982" s="40" t="n">
        <f aca="true">RAND()</f>
        <v>0.991728984596437</v>
      </c>
      <c r="Q982" s="40" t="n">
        <f aca="true">RAND()</f>
        <v>0.658137163572161</v>
      </c>
      <c r="R982" s="40" t="n">
        <f aca="true">RAND()</f>
        <v>0.741205983087187</v>
      </c>
      <c r="S982" s="40" t="n">
        <f aca="true">RAND()</f>
        <v>0.386584570108794</v>
      </c>
      <c r="T982" s="40" t="n">
        <f aca="true">RAND()</f>
        <v>0.487816026444697</v>
      </c>
      <c r="U982" s="40" t="n">
        <f aca="true">RAND()</f>
        <v>0.906926417271199</v>
      </c>
    </row>
    <row r="983" customFormat="false" ht="15" hidden="false" customHeight="false" outlineLevel="0" collapsed="false">
      <c r="A983" s="36" t="n">
        <v>903</v>
      </c>
      <c r="B983" s="37" t="n">
        <f aca="false">1+IF($G$6=$E$6,$F$6,IF(P983&lt;($F$6-$E$6)/($G$6-$E$6),$E$6+SQRT(P983*($G$6-$E$6)*($F$6-$E$6)),$G$6-SQRT((1-P983)*($G$6-$E$6)*($G$6-$F$6))))</f>
        <v>1.00559162479697</v>
      </c>
      <c r="C983" s="37" t="n">
        <f aca="false">1+IF($G$7=$E$7,$F$7,IF(Q983&lt;($F$7-$E$7)/($G$7-$E$7),$E$7+SQRT(Q983*($G$7-$E$7)*($F$7-$E$7)),$G$7-SQRT((1-Q983)*($G$7-$E$7)*($G$7-$F$7))))</f>
        <v>1.01378006628333</v>
      </c>
      <c r="D983" s="37" t="n">
        <f aca="false">1+IF($G$8=$E$8,$F$8,IF(R983&lt;($F$8-$E$8)/($G$8-$E$8),$E$8+SQRT(R983*($G$8-$E$8)*($F$8-$E$8)),$G$8-SQRT((1-R983)*($G$8-$E$8)*($G$8-$F$8))))</f>
        <v>1.01368872004832</v>
      </c>
      <c r="E983" s="37" t="n">
        <f aca="false">1+IF($G$9=$E$9,$F$9,IF(S983&lt;($F$9-$E$9)/($G$9-$E$9),$E$9+SQRT(S983*($G$9-$E$9)*($F$9-$E$9)),$G$9-SQRT((1-S983)*($G$9-$E$9)*($G$9-$F$9))))</f>
        <v>1.06082638046952</v>
      </c>
      <c r="F983" s="37" t="n">
        <f aca="false">1+IF($G$10=$E$10,$F$10,IF(T983&lt;($F$10-$E$10)/($G$10-$E$10),$E$10+SQRT(T983*($G$10-$E$10)*($F$10-$E$10)),$G$10-SQRT((1-T983)*($G$10-$E$10)*($G$10-$F$10))))</f>
        <v>1.05897770920274</v>
      </c>
      <c r="G983" s="38" t="n">
        <f aca="false">IF($G$11=$E$11,$F$11,IF(U983&lt;($F$11-$E$11)/($G$11-$E$11),$E$11+SQRT(U983*($G$11-$E$11)*($F$11-$E$11)),$G$11-SQRT((1-U983)*($G$11-$E$11)*($G$11-$F$11))))</f>
        <v>0.0997325543609426</v>
      </c>
      <c r="H983" s="39" t="n">
        <f aca="false">(('Business Case'!B11*$C983*'Business Case'!B12*$B983)-'Business Case'!B11*$C983*'Business Case'!B13*$D983-'Business Case'!B14*$E983)-MAX(0,(('Business Case'!B11*$C983*'Business Case'!B12*$B983)-'Business Case'!B11*$C983*'Business Case'!B13*$D983-'Business Case'!B14*$E983))*'Business Case'!$B$7-'Business Case'!$B$8*('Business Case'!B11*$C983*'Business Case'!B12*$B983)-'Business Case'!B15*$F983</f>
        <v>-2117955418.40548</v>
      </c>
      <c r="I983" s="39" t="n">
        <f aca="false">(('Business Case'!C11*$C983*'Business Case'!C12*$B983)-'Business Case'!C11*$C983*'Business Case'!C13*$D983-'Business Case'!C14*$E983)-MAX(0,(('Business Case'!C11*$C983*'Business Case'!C12*$B983)-'Business Case'!C11*$C983*'Business Case'!C13*$D983-'Business Case'!C14*$E983))*'Business Case'!$B$7-'Business Case'!$B$8*(('Business Case'!C11*$C983*'Business Case'!C12*$B983)-('Business Case'!B11*$C983*'Business Case'!B12*$B983))-'Business Case'!C15*$F983</f>
        <v>-671968.756068185</v>
      </c>
      <c r="J983" s="39" t="n">
        <f aca="false">(('Business Case'!D11*$C983*'Business Case'!D12*$B983)-'Business Case'!D11*$C983*'Business Case'!D13*$D983-'Business Case'!D14*$E983)-MAX(0,(('Business Case'!D11*$C983*'Business Case'!D12*$B983)-'Business Case'!D11*$C983*'Business Case'!D13*$D983-'Business Case'!D14*$E983))*'Business Case'!$B$7-'Business Case'!$B$8*(('Business Case'!D11*$C983*'Business Case'!D12*$B983)-('Business Case'!C11*$C983*'Business Case'!C12*$B983))-'Business Case'!D15*$F983</f>
        <v>308251567.60197</v>
      </c>
      <c r="K983" s="39" t="n">
        <f aca="false">(('Business Case'!E11*$C983*'Business Case'!E12*$B983)-'Business Case'!E11*$C983*'Business Case'!E13*$D983-'Business Case'!E14*$E983)-MAX(0,(('Business Case'!E11*$C983*'Business Case'!E12*$B983)-'Business Case'!E11*$C983*'Business Case'!E13*$D983-'Business Case'!E14*$E983))*'Business Case'!$B$7-'Business Case'!$B$8*(('Business Case'!E11*$C983*'Business Case'!E12*$B983)-('Business Case'!D11*$C983*'Business Case'!D12*$B983))-'Business Case'!E15*$F983</f>
        <v>670123989.420145</v>
      </c>
      <c r="L983" s="39" t="n">
        <f aca="false">(('Business Case'!F11*$C983*'Business Case'!F12*$B983)-'Business Case'!F11*$C983*'Business Case'!F13*$D983-'Business Case'!F14*$E983)-MAX(0,(('Business Case'!F11*$C983*'Business Case'!F12*$B983)-'Business Case'!F11*$C983*'Business Case'!F13*$D983-'Business Case'!F14*$E983))*'Business Case'!$B$7-'Business Case'!$B$8*(('Business Case'!F11*$C983*'Business Case'!F12*$B983)-('Business Case'!E11*$C983*'Business Case'!E12*$B983))-'Business Case'!F15*$F983</f>
        <v>808330650.133536</v>
      </c>
      <c r="M983" s="39" t="n">
        <f aca="false">(('Business Case'!G11*$C983*'Business Case'!G12*$B983)-'Business Case'!G11*$C983*'Business Case'!G13*$D983-'Business Case'!G14*$E983)-MAX(0,(('Business Case'!G11*$C983*'Business Case'!G12*$B983)-'Business Case'!G11*$C983*'Business Case'!G13*$D983-'Business Case'!G14*$E983))*'Business Case'!$B$7-'Business Case'!$B$8*(('Business Case'!G11*$C983*'Business Case'!G12*$B983)-('Business Case'!F11*$C983*'Business Case'!F12*$B983))-'Business Case'!G15*$F983+'Business Case'!$B$8*('Business Case'!G11*$C983*'Business Case'!G12*$B983)</f>
        <v>1002107467.40078</v>
      </c>
      <c r="N983" s="39" t="n">
        <f aca="false">IF(COUNT('Business Case'!B11:G11)=0,"",H983+NPV(G983,I983:M983))</f>
        <v>-184222841.286125</v>
      </c>
      <c r="P983" s="40" t="n">
        <f aca="true">RAND()</f>
        <v>0.753346607476576</v>
      </c>
      <c r="Q983" s="40" t="n">
        <f aca="true">RAND()</f>
        <v>0.646554850632896</v>
      </c>
      <c r="R983" s="40" t="n">
        <f aca="true">RAND()</f>
        <v>0.577193668381666</v>
      </c>
      <c r="S983" s="40" t="n">
        <f aca="true">RAND()</f>
        <v>0.897695168858739</v>
      </c>
      <c r="T983" s="40" t="n">
        <f aca="true">RAND()</f>
        <v>0.602254269965874</v>
      </c>
      <c r="U983" s="40" t="n">
        <f aca="true">RAND()</f>
        <v>0.315742047962345</v>
      </c>
    </row>
    <row r="984" customFormat="false" ht="15" hidden="false" customHeight="false" outlineLevel="0" collapsed="false">
      <c r="A984" s="36" t="n">
        <v>904</v>
      </c>
      <c r="B984" s="37" t="n">
        <f aca="false">1+IF($G$6=$E$6,$F$6,IF(P984&lt;($F$6-$E$6)/($G$6-$E$6),$E$6+SQRT(P984*($G$6-$E$6)*($F$6-$E$6)),$G$6-SQRT((1-P984)*($G$6-$E$6)*($G$6-$F$6))))</f>
        <v>1.01755251581318</v>
      </c>
      <c r="C984" s="37" t="n">
        <f aca="false">1+IF($G$7=$E$7,$F$7,IF(Q984&lt;($F$7-$E$7)/($G$7-$E$7),$E$7+SQRT(Q984*($G$7-$E$7)*($F$7-$E$7)),$G$7-SQRT((1-Q984)*($G$7-$E$7)*($G$7-$F$7))))</f>
        <v>1.02929082359101</v>
      </c>
      <c r="D984" s="37" t="n">
        <f aca="false">1+IF($G$8=$E$8,$F$8,IF(R984&lt;($F$8-$E$8)/($G$8-$E$8),$E$8+SQRT(R984*($G$8-$E$8)*($F$8-$E$8)),$G$8-SQRT((1-R984)*($G$8-$E$8)*($G$8-$F$8))))</f>
        <v>1.02676012812457</v>
      </c>
      <c r="E984" s="37" t="n">
        <f aca="false">1+IF($G$9=$E$9,$F$9,IF(S984&lt;($F$9-$E$9)/($G$9-$E$9),$E$9+SQRT(S984*($G$9-$E$9)*($F$9-$E$9)),$G$9-SQRT((1-S984)*($G$9-$E$9)*($G$9-$F$9))))</f>
        <v>1.06633469616625</v>
      </c>
      <c r="F984" s="37" t="n">
        <f aca="false">1+IF($G$10=$E$10,$F$10,IF(T984&lt;($F$10-$E$10)/($G$10-$E$10),$E$10+SQRT(T984*($G$10-$E$10)*($F$10-$E$10)),$G$10-SQRT((1-T984)*($G$10-$E$10)*($G$10-$F$10))))</f>
        <v>0.997504595286842</v>
      </c>
      <c r="G984" s="38" t="n">
        <f aca="false">IF($G$11=$E$11,$F$11,IF(U984&lt;($F$11-$E$11)/($G$11-$E$11),$E$11+SQRT(U984*($G$11-$E$11)*($F$11-$E$11)),$G$11-SQRT((1-U984)*($G$11-$E$11)*($G$11-$F$11))))</f>
        <v>0.110092379621575</v>
      </c>
      <c r="H984" s="39" t="n">
        <f aca="false">(('Business Case'!B11*$C984*'Business Case'!B12*$B984)-'Business Case'!B11*$C984*'Business Case'!B13*$D984-'Business Case'!B14*$E984)-MAX(0,(('Business Case'!B11*$C984*'Business Case'!B12*$B984)-'Business Case'!B11*$C984*'Business Case'!B13*$D984-'Business Case'!B14*$E984))*'Business Case'!$B$7-'Business Case'!$B$8*('Business Case'!B11*$C984*'Business Case'!B12*$B984)-'Business Case'!B15*$F984</f>
        <v>-1995009190.57369</v>
      </c>
      <c r="I984" s="39" t="n">
        <f aca="false">(('Business Case'!C11*$C984*'Business Case'!C12*$B984)-'Business Case'!C11*$C984*'Business Case'!C13*$D984-'Business Case'!C14*$E984)-MAX(0,(('Business Case'!C11*$C984*'Business Case'!C12*$B984)-'Business Case'!C11*$C984*'Business Case'!C13*$D984-'Business Case'!C14*$E984))*'Business Case'!$B$7-'Business Case'!$B$8*(('Business Case'!C11*$C984*'Business Case'!C12*$B984)-('Business Case'!B11*$C984*'Business Case'!B12*$B984))-'Business Case'!C15*$F984</f>
        <v>11168051.3284537</v>
      </c>
      <c r="J984" s="39" t="n">
        <f aca="false">(('Business Case'!D11*$C984*'Business Case'!D12*$B984)-'Business Case'!D11*$C984*'Business Case'!D13*$D984-'Business Case'!D14*$E984)-MAX(0,(('Business Case'!D11*$C984*'Business Case'!D12*$B984)-'Business Case'!D11*$C984*'Business Case'!D13*$D984-'Business Case'!D14*$E984))*'Business Case'!$B$7-'Business Case'!$B$8*(('Business Case'!D11*$C984*'Business Case'!D12*$B984)-('Business Case'!C11*$C984*'Business Case'!C12*$B984))-'Business Case'!D15*$F984</f>
        <v>328014367.072223</v>
      </c>
      <c r="K984" s="39" t="n">
        <f aca="false">(('Business Case'!E11*$C984*'Business Case'!E12*$B984)-'Business Case'!E11*$C984*'Business Case'!E13*$D984-'Business Case'!E14*$E984)-MAX(0,(('Business Case'!E11*$C984*'Business Case'!E12*$B984)-'Business Case'!E11*$C984*'Business Case'!E13*$D984-'Business Case'!E14*$E984))*'Business Case'!$B$7-'Business Case'!$B$8*(('Business Case'!E11*$C984*'Business Case'!E12*$B984)-('Business Case'!D11*$C984*'Business Case'!D12*$B984))-'Business Case'!E15*$F984</f>
        <v>694735912.580335</v>
      </c>
      <c r="L984" s="39" t="n">
        <f aca="false">(('Business Case'!F11*$C984*'Business Case'!F12*$B984)-'Business Case'!F11*$C984*'Business Case'!F13*$D984-'Business Case'!F14*$E984)-MAX(0,(('Business Case'!F11*$C984*'Business Case'!F12*$B984)-'Business Case'!F11*$C984*'Business Case'!F13*$D984-'Business Case'!F14*$E984))*'Business Case'!$B$7-'Business Case'!$B$8*(('Business Case'!F11*$C984*'Business Case'!F12*$B984)-('Business Case'!E11*$C984*'Business Case'!E12*$B984))-'Business Case'!F15*$F984</f>
        <v>836548025.222786</v>
      </c>
      <c r="M984" s="39" t="n">
        <f aca="false">(('Business Case'!G11*$C984*'Business Case'!G12*$B984)-'Business Case'!G11*$C984*'Business Case'!G13*$D984-'Business Case'!G14*$E984)-MAX(0,(('Business Case'!G11*$C984*'Business Case'!G12*$B984)-'Business Case'!G11*$C984*'Business Case'!G13*$D984-'Business Case'!G14*$E984))*'Business Case'!$B$7-'Business Case'!$B$8*(('Business Case'!G11*$C984*'Business Case'!G12*$B984)-('Business Case'!F11*$C984*'Business Case'!F12*$B984))-'Business Case'!G15*$F984+'Business Case'!$B$8*('Business Case'!G11*$C984*'Business Case'!G12*$B984)</f>
        <v>1035629732.55935</v>
      </c>
      <c r="N984" s="39" t="n">
        <f aca="false">IF(COUNT('Business Case'!B11:G11)=0,"",H984+NPV(G984,I984:M984))</f>
        <v>-45694265.5082736</v>
      </c>
      <c r="P984" s="40" t="n">
        <f aca="true">RAND()</f>
        <v>0.895023011183807</v>
      </c>
      <c r="Q984" s="40" t="n">
        <f aca="true">RAND()</f>
        <v>0.722462756774519</v>
      </c>
      <c r="R984" s="40" t="n">
        <f aca="true">RAND()</f>
        <v>0.72745346564306</v>
      </c>
      <c r="S984" s="40" t="n">
        <f aca="true">RAND()</f>
        <v>0.924443154518744</v>
      </c>
      <c r="T984" s="40" t="n">
        <f aca="true">RAND()</f>
        <v>0.180534925869335</v>
      </c>
      <c r="U984" s="40" t="n">
        <f aca="true">RAND()</f>
        <v>0.836398430728379</v>
      </c>
    </row>
    <row r="985" customFormat="false" ht="15" hidden="false" customHeight="false" outlineLevel="0" collapsed="false">
      <c r="A985" s="36" t="n">
        <v>905</v>
      </c>
      <c r="B985" s="37" t="n">
        <f aca="false">1+IF($G$6=$E$6,$F$6,IF(P985&lt;($F$6-$E$6)/($G$6-$E$6),$E$6+SQRT(P985*($G$6-$E$6)*($F$6-$E$6)),$G$6-SQRT((1-P985)*($G$6-$E$6)*($G$6-$F$6))))</f>
        <v>0.999096102128469</v>
      </c>
      <c r="C985" s="37" t="n">
        <f aca="false">1+IF($G$7=$E$7,$F$7,IF(Q985&lt;($F$7-$E$7)/($G$7-$E$7),$E$7+SQRT(Q985*($G$7-$E$7)*($F$7-$E$7)),$G$7-SQRT((1-Q985)*($G$7-$E$7)*($G$7-$F$7))))</f>
        <v>0.986459083384697</v>
      </c>
      <c r="D985" s="37" t="n">
        <f aca="false">1+IF($G$8=$E$8,$F$8,IF(R985&lt;($F$8-$E$8)/($G$8-$E$8),$E$8+SQRT(R985*($G$8-$E$8)*($F$8-$E$8)),$G$8-SQRT((1-R985)*($G$8-$E$8)*($G$8-$F$8))))</f>
        <v>0.98751161740191</v>
      </c>
      <c r="E985" s="37" t="n">
        <f aca="false">1+IF($G$9=$E$9,$F$9,IF(S985&lt;($F$9-$E$9)/($G$9-$E$9),$E$9+SQRT(S985*($G$9-$E$9)*($F$9-$E$9)),$G$9-SQRT((1-S985)*($G$9-$E$9)*($G$9-$F$9))))</f>
        <v>1.01756442596874</v>
      </c>
      <c r="F985" s="37" t="n">
        <f aca="false">1+IF($G$10=$E$10,$F$10,IF(T985&lt;($F$10-$E$10)/($G$10-$E$10),$E$10+SQRT(T985*($G$10-$E$10)*($F$10-$E$10)),$G$10-SQRT((1-T985)*($G$10-$E$10)*($G$10-$F$10))))</f>
        <v>0.964723999268366</v>
      </c>
      <c r="G985" s="38" t="n">
        <f aca="false">IF($G$11=$E$11,$F$11,IF(U985&lt;($F$11-$E$11)/($G$11-$E$11),$E$11+SQRT(U985*($G$11-$E$11)*($F$11-$E$11)),$G$11-SQRT((1-U985)*($G$11-$E$11)*($G$11-$F$11))))</f>
        <v>0.101368671995114</v>
      </c>
      <c r="H985" s="39" t="n">
        <f aca="false">(('Business Case'!B11*$C985*'Business Case'!B12*$B985)-'Business Case'!B11*$C985*'Business Case'!B13*$D985-'Business Case'!B14*$E985)-MAX(0,(('Business Case'!B11*$C985*'Business Case'!B12*$B985)-'Business Case'!B11*$C985*'Business Case'!B13*$D985-'Business Case'!B14*$E985))*'Business Case'!$B$7-'Business Case'!$B$8*('Business Case'!B11*$C985*'Business Case'!B12*$B985)-'Business Case'!B15*$F985</f>
        <v>-1929447998.53673</v>
      </c>
      <c r="I985" s="39" t="n">
        <f aca="false">(('Business Case'!C11*$C985*'Business Case'!C12*$B985)-'Business Case'!C11*$C985*'Business Case'!C13*$D985-'Business Case'!C14*$E985)-MAX(0,(('Business Case'!C11*$C985*'Business Case'!C12*$B985)-'Business Case'!C11*$C985*'Business Case'!C13*$D985-'Business Case'!C14*$E985))*'Business Case'!$B$7-'Business Case'!$B$8*(('Business Case'!C11*$C985*'Business Case'!C12*$B985)-('Business Case'!B11*$C985*'Business Case'!B12*$B985))-'Business Case'!C15*$F985</f>
        <v>16307156.4673841</v>
      </c>
      <c r="J985" s="39" t="n">
        <f aca="false">(('Business Case'!D11*$C985*'Business Case'!D12*$B985)-'Business Case'!D11*$C985*'Business Case'!D13*$D985-'Business Case'!D14*$E985)-MAX(0,(('Business Case'!D11*$C985*'Business Case'!D12*$B985)-'Business Case'!D11*$C985*'Business Case'!D13*$D985-'Business Case'!D14*$E985))*'Business Case'!$B$7-'Business Case'!$B$8*(('Business Case'!D11*$C985*'Business Case'!D12*$B985)-('Business Case'!C11*$C985*'Business Case'!C12*$B985))-'Business Case'!D15*$F985</f>
        <v>324876189.552522</v>
      </c>
      <c r="K985" s="39" t="n">
        <f aca="false">(('Business Case'!E11*$C985*'Business Case'!E12*$B985)-'Business Case'!E11*$C985*'Business Case'!E13*$D985-'Business Case'!E14*$E985)-MAX(0,(('Business Case'!E11*$C985*'Business Case'!E12*$B985)-'Business Case'!E11*$C985*'Business Case'!E13*$D985-'Business Case'!E14*$E985))*'Business Case'!$B$7-'Business Case'!$B$8*(('Business Case'!E11*$C985*'Business Case'!E12*$B985)-('Business Case'!D11*$C985*'Business Case'!D12*$B985))-'Business Case'!E15*$F985</f>
        <v>681681422.601079</v>
      </c>
      <c r="L985" s="39" t="n">
        <f aca="false">(('Business Case'!F11*$C985*'Business Case'!F12*$B985)-'Business Case'!F11*$C985*'Business Case'!F13*$D985-'Business Case'!F14*$E985)-MAX(0,(('Business Case'!F11*$C985*'Business Case'!F12*$B985)-'Business Case'!F11*$C985*'Business Case'!F13*$D985-'Business Case'!F14*$E985))*'Business Case'!$B$7-'Business Case'!$B$8*(('Business Case'!F11*$C985*'Business Case'!F12*$B985)-('Business Case'!E11*$C985*'Business Case'!E12*$B985))-'Business Case'!F15*$F985</f>
        <v>818598977.1749</v>
      </c>
      <c r="M985" s="39" t="n">
        <f aca="false">(('Business Case'!G11*$C985*'Business Case'!G12*$B985)-'Business Case'!G11*$C985*'Business Case'!G13*$D985-'Business Case'!G14*$E985)-MAX(0,(('Business Case'!G11*$C985*'Business Case'!G12*$B985)-'Business Case'!G11*$C985*'Business Case'!G13*$D985-'Business Case'!G14*$E985))*'Business Case'!$B$7-'Business Case'!$B$8*(('Business Case'!G11*$C985*'Business Case'!G12*$B985)-('Business Case'!F11*$C985*'Business Case'!F12*$B985))-'Business Case'!G15*$F985+'Business Case'!$B$8*('Business Case'!G11*$C985*'Business Case'!G12*$B985)</f>
        <v>1005935633.3415</v>
      </c>
      <c r="N985" s="39" t="n">
        <f aca="false">IF(COUNT('Business Case'!B11:G11)=0,"",H985+NPV(G985,I985:M985))</f>
        <v>40509991.7830195</v>
      </c>
      <c r="P985" s="40" t="n">
        <f aca="true">RAND()</f>
        <v>0.651686809574711</v>
      </c>
      <c r="Q985" s="40" t="n">
        <f aca="true">RAND()</f>
        <v>0.496671282523733</v>
      </c>
      <c r="R985" s="40" t="n">
        <f aca="true">RAND()</f>
        <v>0.21648022155497</v>
      </c>
      <c r="S985" s="40" t="n">
        <f aca="true">RAND()</f>
        <v>0.546958408942456</v>
      </c>
      <c r="T985" s="40" t="n">
        <f aca="true">RAND()</f>
        <v>0.0173436923563872</v>
      </c>
      <c r="U985" s="40" t="n">
        <f aca="true">RAND()</f>
        <v>0.421456027957225</v>
      </c>
    </row>
    <row r="986" customFormat="false" ht="15" hidden="false" customHeight="false" outlineLevel="0" collapsed="false">
      <c r="A986" s="36" t="n">
        <v>906</v>
      </c>
      <c r="B986" s="37" t="n">
        <f aca="false">1+IF($G$6=$E$6,$F$6,IF(P986&lt;($F$6-$E$6)/($G$6-$E$6),$E$6+SQRT(P986*($G$6-$E$6)*($F$6-$E$6)),$G$6-SQRT((1-P986)*($G$6-$E$6)*($G$6-$F$6))))</f>
        <v>0.96830375336913</v>
      </c>
      <c r="C986" s="37" t="n">
        <f aca="false">1+IF($G$7=$E$7,$F$7,IF(Q986&lt;($F$7-$E$7)/($G$7-$E$7),$E$7+SQRT(Q986*($G$7-$E$7)*($F$7-$E$7)),$G$7-SQRT((1-Q986)*($G$7-$E$7)*($G$7-$F$7))))</f>
        <v>0.889788396539216</v>
      </c>
      <c r="D986" s="37" t="n">
        <f aca="false">1+IF($G$8=$E$8,$F$8,IF(R986&lt;($F$8-$E$8)/($G$8-$E$8),$E$8+SQRT(R986*($G$8-$E$8)*($F$8-$E$8)),$G$8-SQRT((1-R986)*($G$8-$E$8)*($G$8-$F$8))))</f>
        <v>1.0208869690409</v>
      </c>
      <c r="E986" s="37" t="n">
        <f aca="false">1+IF($G$9=$E$9,$F$9,IF(S986&lt;($F$9-$E$9)/($G$9-$E$9),$E$9+SQRT(S986*($G$9-$E$9)*($F$9-$E$9)),$G$9-SQRT((1-S986)*($G$9-$E$9)*($G$9-$F$9))))</f>
        <v>0.964997243390619</v>
      </c>
      <c r="F986" s="37" t="n">
        <f aca="false">1+IF($G$10=$E$10,$F$10,IF(T986&lt;($F$10-$E$10)/($G$10-$E$10),$E$10+SQRT(T986*($G$10-$E$10)*($F$10-$E$10)),$G$10-SQRT((1-T986)*($G$10-$E$10)*($G$10-$F$10))))</f>
        <v>1.03266066031677</v>
      </c>
      <c r="G986" s="38" t="n">
        <f aca="false">IF($G$11=$E$11,$F$11,IF(U986&lt;($F$11-$E$11)/($G$11-$E$11),$E$11+SQRT(U986*($G$11-$E$11)*($F$11-$E$11)),$G$11-SQRT((1-U986)*($G$11-$E$11)*($G$11-$F$11))))</f>
        <v>0.110459672584064</v>
      </c>
      <c r="H986" s="39" t="n">
        <f aca="false">(('Business Case'!B11*$C986*'Business Case'!B12*$B986)-'Business Case'!B11*$C986*'Business Case'!B13*$D986-'Business Case'!B14*$E986)-MAX(0,(('Business Case'!B11*$C986*'Business Case'!B12*$B986)-'Business Case'!B11*$C986*'Business Case'!B13*$D986-'Business Case'!B14*$E986))*'Business Case'!$B$7-'Business Case'!$B$8*('Business Case'!B11*$C986*'Business Case'!B12*$B986)-'Business Case'!B15*$F986</f>
        <v>-2065321320.63354</v>
      </c>
      <c r="I986" s="39" t="n">
        <f aca="false">(('Business Case'!C11*$C986*'Business Case'!C12*$B986)-'Business Case'!C11*$C986*'Business Case'!C13*$D986-'Business Case'!C14*$E986)-MAX(0,(('Business Case'!C11*$C986*'Business Case'!C12*$B986)-'Business Case'!C11*$C986*'Business Case'!C13*$D986-'Business Case'!C14*$E986))*'Business Case'!$B$7-'Business Case'!$B$8*(('Business Case'!C11*$C986*'Business Case'!C12*$B986)-('Business Case'!B11*$C986*'Business Case'!B12*$B986))-'Business Case'!C15*$F986</f>
        <v>-44467250.910409</v>
      </c>
      <c r="J986" s="39" t="n">
        <f aca="false">(('Business Case'!D11*$C986*'Business Case'!D12*$B986)-'Business Case'!D11*$C986*'Business Case'!D13*$D986-'Business Case'!D14*$E986)-MAX(0,(('Business Case'!D11*$C986*'Business Case'!D12*$B986)-'Business Case'!D11*$C986*'Business Case'!D13*$D986-'Business Case'!D14*$E986))*'Business Case'!$B$7-'Business Case'!$B$8*(('Business Case'!D11*$C986*'Business Case'!D12*$B986)-('Business Case'!C11*$C986*'Business Case'!C12*$B986))-'Business Case'!D15*$F986</f>
        <v>196218761.641761</v>
      </c>
      <c r="K986" s="39" t="n">
        <f aca="false">(('Business Case'!E11*$C986*'Business Case'!E12*$B986)-'Business Case'!E11*$C986*'Business Case'!E13*$D986-'Business Case'!E14*$E986)-MAX(0,(('Business Case'!E11*$C986*'Business Case'!E12*$B986)-'Business Case'!E11*$C986*'Business Case'!E13*$D986-'Business Case'!E14*$E986))*'Business Case'!$B$7-'Business Case'!$B$8*(('Business Case'!E11*$C986*'Business Case'!E12*$B986)-('Business Case'!D11*$C986*'Business Case'!D12*$B986))-'Business Case'!E15*$F986</f>
        <v>488537807.209769</v>
      </c>
      <c r="L986" s="39" t="n">
        <f aca="false">(('Business Case'!F11*$C986*'Business Case'!F12*$B986)-'Business Case'!F11*$C986*'Business Case'!F13*$D986-'Business Case'!F14*$E986)-MAX(0,(('Business Case'!F11*$C986*'Business Case'!F12*$B986)-'Business Case'!F11*$C986*'Business Case'!F13*$D986-'Business Case'!F14*$E986))*'Business Case'!$B$7-'Business Case'!$B$8*(('Business Case'!F11*$C986*'Business Case'!F12*$B986)-('Business Case'!E11*$C986*'Business Case'!E12*$B986))-'Business Case'!F15*$F986</f>
        <v>598542871.007663</v>
      </c>
      <c r="M986" s="39" t="n">
        <f aca="false">(('Business Case'!G11*$C986*'Business Case'!G12*$B986)-'Business Case'!G11*$C986*'Business Case'!G13*$D986-'Business Case'!G14*$E986)-MAX(0,(('Business Case'!G11*$C986*'Business Case'!G12*$B986)-'Business Case'!G11*$C986*'Business Case'!G13*$D986-'Business Case'!G14*$E986))*'Business Case'!$B$7-'Business Case'!$B$8*(('Business Case'!G11*$C986*'Business Case'!G12*$B986)-('Business Case'!F11*$C986*'Business Case'!F12*$B986))-'Business Case'!G15*$F986+'Business Case'!$B$8*('Business Case'!G11*$C986*'Business Case'!G12*$B986)</f>
        <v>762313032.217101</v>
      </c>
      <c r="N986" s="39" t="n">
        <f aca="false">IF(COUNT('Business Case'!B11:G11)=0,"",H986+NPV(G986,I986:M986))</f>
        <v>-744383977.319459</v>
      </c>
      <c r="P986" s="40" t="n">
        <f aca="true">RAND()</f>
        <v>0.243047144744346</v>
      </c>
      <c r="Q986" s="40" t="n">
        <f aca="true">RAND()</f>
        <v>0.115170802186906</v>
      </c>
      <c r="R986" s="40" t="n">
        <f aca="true">RAND()</f>
        <v>0.664004766425852</v>
      </c>
      <c r="S986" s="40" t="n">
        <f aca="true">RAND()</f>
        <v>0.0299889745756631</v>
      </c>
      <c r="T986" s="40" t="n">
        <f aca="true">RAND()</f>
        <v>0.439950907887596</v>
      </c>
      <c r="U986" s="40" t="n">
        <f aca="true">RAND()</f>
        <v>0.84830358799458</v>
      </c>
    </row>
    <row r="987" customFormat="false" ht="15" hidden="false" customHeight="false" outlineLevel="0" collapsed="false">
      <c r="A987" s="36" t="n">
        <v>907</v>
      </c>
      <c r="B987" s="37" t="n">
        <f aca="false">1+IF($G$6=$E$6,$F$6,IF(P987&lt;($F$6-$E$6)/($G$6-$E$6),$E$6+SQRT(P987*($G$6-$E$6)*($F$6-$E$6)),$G$6-SQRT((1-P987)*($G$6-$E$6)*($G$6-$F$6))))</f>
        <v>1.01422132415545</v>
      </c>
      <c r="C987" s="37" t="n">
        <f aca="false">1+IF($G$7=$E$7,$F$7,IF(Q987&lt;($F$7-$E$7)/($G$7-$E$7),$E$7+SQRT(Q987*($G$7-$E$7)*($F$7-$E$7)),$G$7-SQRT((1-Q987)*($G$7-$E$7)*($G$7-$F$7))))</f>
        <v>0.985844891512686</v>
      </c>
      <c r="D987" s="37" t="n">
        <f aca="false">1+IF($G$8=$E$8,$F$8,IF(R987&lt;($F$8-$E$8)/($G$8-$E$8),$E$8+SQRT(R987*($G$8-$E$8)*($F$8-$E$8)),$G$8-SQRT((1-R987)*($G$8-$E$8)*($G$8-$F$8))))</f>
        <v>1.01804301226695</v>
      </c>
      <c r="E987" s="37" t="n">
        <f aca="false">1+IF($G$9=$E$9,$F$9,IF(S987&lt;($F$9-$E$9)/($G$9-$E$9),$E$9+SQRT(S987*($G$9-$E$9)*($F$9-$E$9)),$G$9-SQRT((1-S987)*($G$9-$E$9)*($G$9-$F$9))))</f>
        <v>1.01309647117664</v>
      </c>
      <c r="F987" s="37" t="n">
        <f aca="false">1+IF($G$10=$E$10,$F$10,IF(T987&lt;($F$10-$E$10)/($G$10-$E$10),$E$10+SQRT(T987*($G$10-$E$10)*($F$10-$E$10)),$G$10-SQRT((1-T987)*($G$10-$E$10)*($G$10-$F$10))))</f>
        <v>1.05108819953723</v>
      </c>
      <c r="G987" s="38" t="n">
        <f aca="false">IF($G$11=$E$11,$F$11,IF(U987&lt;($F$11-$E$11)/($G$11-$E$11),$E$11+SQRT(U987*($G$11-$E$11)*($F$11-$E$11)),$G$11-SQRT((1-U987)*($G$11-$E$11)*($G$11-$F$11))))</f>
        <v>0.0989710395918919</v>
      </c>
      <c r="H987" s="39" t="n">
        <f aca="false">(('Business Case'!B11*$C987*'Business Case'!B12*$B987)-'Business Case'!B11*$C987*'Business Case'!B13*$D987-'Business Case'!B14*$E987)-MAX(0,(('Business Case'!B11*$C987*'Business Case'!B12*$B987)-'Business Case'!B11*$C987*'Business Case'!B13*$D987-'Business Case'!B14*$E987))*'Business Case'!$B$7-'Business Case'!$B$8*('Business Case'!B11*$C987*'Business Case'!B12*$B987)-'Business Case'!B15*$F987</f>
        <v>-2102176399.07447</v>
      </c>
      <c r="I987" s="39" t="n">
        <f aca="false">(('Business Case'!C11*$C987*'Business Case'!C12*$B987)-'Business Case'!C11*$C987*'Business Case'!C13*$D987-'Business Case'!C14*$E987)-MAX(0,(('Business Case'!C11*$C987*'Business Case'!C12*$B987)-'Business Case'!C11*$C987*'Business Case'!C13*$D987-'Business Case'!C14*$E987))*'Business Case'!$B$7-'Business Case'!$B$8*(('Business Case'!C11*$C987*'Business Case'!C12*$B987)-('Business Case'!B11*$C987*'Business Case'!B12*$B987))-'Business Case'!C15*$F987</f>
        <v>4177666.53023498</v>
      </c>
      <c r="J987" s="39" t="n">
        <f aca="false">(('Business Case'!D11*$C987*'Business Case'!D12*$B987)-'Business Case'!D11*$C987*'Business Case'!D13*$D987-'Business Case'!D14*$E987)-MAX(0,(('Business Case'!D11*$C987*'Business Case'!D12*$B987)-'Business Case'!D11*$C987*'Business Case'!D13*$D987-'Business Case'!D14*$E987))*'Business Case'!$B$7-'Business Case'!$B$8*(('Business Case'!D11*$C987*'Business Case'!D12*$B987)-('Business Case'!C11*$C987*'Business Case'!C12*$B987))-'Business Case'!D15*$F987</f>
        <v>309359468.216365</v>
      </c>
      <c r="K987" s="39" t="n">
        <f aca="false">(('Business Case'!E11*$C987*'Business Case'!E12*$B987)-'Business Case'!E11*$C987*'Business Case'!E13*$D987-'Business Case'!E14*$E987)-MAX(0,(('Business Case'!E11*$C987*'Business Case'!E12*$B987)-'Business Case'!E11*$C987*'Business Case'!E13*$D987-'Business Case'!E14*$E987))*'Business Case'!$B$7-'Business Case'!$B$8*(('Business Case'!E11*$C987*'Business Case'!E12*$B987)-('Business Case'!D11*$C987*'Business Case'!D12*$B987))-'Business Case'!E15*$F987</f>
        <v>667095679.879357</v>
      </c>
      <c r="L987" s="39" t="n">
        <f aca="false">(('Business Case'!F11*$C987*'Business Case'!F12*$B987)-'Business Case'!F11*$C987*'Business Case'!F13*$D987-'Business Case'!F14*$E987)-MAX(0,(('Business Case'!F11*$C987*'Business Case'!F12*$B987)-'Business Case'!F11*$C987*'Business Case'!F13*$D987-'Business Case'!F14*$E987))*'Business Case'!$B$7-'Business Case'!$B$8*(('Business Case'!F11*$C987*'Business Case'!F12*$B987)-('Business Case'!E11*$C987*'Business Case'!E12*$B987))-'Business Case'!F15*$F987</f>
        <v>803378278.441968</v>
      </c>
      <c r="M987" s="39" t="n">
        <f aca="false">(('Business Case'!G11*$C987*'Business Case'!G12*$B987)-'Business Case'!G11*$C987*'Business Case'!G13*$D987-'Business Case'!G14*$E987)-MAX(0,(('Business Case'!G11*$C987*'Business Case'!G12*$B987)-'Business Case'!G11*$C987*'Business Case'!G13*$D987-'Business Case'!G14*$E987))*'Business Case'!$B$7-'Business Case'!$B$8*(('Business Case'!G11*$C987*'Business Case'!G12*$B987)-('Business Case'!F11*$C987*'Business Case'!F12*$B987))-'Business Case'!G15*$F987+'Business Case'!$B$8*('Business Case'!G11*$C987*'Business Case'!G12*$B987)</f>
        <v>993432600.778429</v>
      </c>
      <c r="N987" s="39" t="n">
        <f aca="false">IF(COUNT('Business Case'!B11:G11)=0,"",H987+NPV(G987,I987:M987))</f>
        <v>-169106268.238475</v>
      </c>
      <c r="P987" s="40" t="n">
        <f aca="true">RAND()</f>
        <v>0.861554139937863</v>
      </c>
      <c r="Q987" s="40" t="n">
        <f aca="true">RAND()</f>
        <v>0.49340462430517</v>
      </c>
      <c r="R987" s="40" t="n">
        <f aca="true">RAND()</f>
        <v>0.630897276062232</v>
      </c>
      <c r="S987" s="40" t="n">
        <f aca="true">RAND()</f>
        <v>0.496518445203216</v>
      </c>
      <c r="T987" s="40" t="n">
        <f aca="true">RAND()</f>
        <v>0.556505513658741</v>
      </c>
      <c r="U987" s="40" t="n">
        <f aca="true">RAND()</f>
        <v>0.268265171197642</v>
      </c>
    </row>
    <row r="988" customFormat="false" ht="15" hidden="false" customHeight="false" outlineLevel="0" collapsed="false">
      <c r="A988" s="36" t="n">
        <v>908</v>
      </c>
      <c r="B988" s="37" t="n">
        <f aca="false">1+IF($G$6=$E$6,$F$6,IF(P988&lt;($F$6-$E$6)/($G$6-$E$6),$E$6+SQRT(P988*($G$6-$E$6)*($F$6-$E$6)),$G$6-SQRT((1-P988)*($G$6-$E$6)*($G$6-$F$6))))</f>
        <v>0.952833219367714</v>
      </c>
      <c r="C988" s="37" t="n">
        <f aca="false">1+IF($G$7=$E$7,$F$7,IF(Q988&lt;($F$7-$E$7)/($G$7-$E$7),$E$7+SQRT(Q988*($G$7-$E$7)*($F$7-$E$7)),$G$7-SQRT((1-Q988)*($G$7-$E$7)*($G$7-$F$7))))</f>
        <v>1.0425509403025</v>
      </c>
      <c r="D988" s="37" t="n">
        <f aca="false">1+IF($G$8=$E$8,$F$8,IF(R988&lt;($F$8-$E$8)/($G$8-$E$8),$E$8+SQRT(R988*($G$8-$E$8)*($F$8-$E$8)),$G$8-SQRT((1-R988)*($G$8-$E$8)*($G$8-$F$8))))</f>
        <v>1.00375549057006</v>
      </c>
      <c r="E988" s="37" t="n">
        <f aca="false">1+IF($G$9=$E$9,$F$9,IF(S988&lt;($F$9-$E$9)/($G$9-$E$9),$E$9+SQRT(S988*($G$9-$E$9)*($F$9-$E$9)),$G$9-SQRT((1-S988)*($G$9-$E$9)*($G$9-$F$9))))</f>
        <v>1.04707252782543</v>
      </c>
      <c r="F988" s="37" t="n">
        <f aca="false">1+IF($G$10=$E$10,$F$10,IF(T988&lt;($F$10-$E$10)/($G$10-$E$10),$E$10+SQRT(T988*($G$10-$E$10)*($F$10-$E$10)),$G$10-SQRT((1-T988)*($G$10-$E$10)*($G$10-$F$10))))</f>
        <v>0.958429840342395</v>
      </c>
      <c r="G988" s="38" t="n">
        <f aca="false">IF($G$11=$E$11,$F$11,IF(U988&lt;($F$11-$E$11)/($G$11-$E$11),$E$11+SQRT(U988*($G$11-$E$11)*($F$11-$E$11)),$G$11-SQRT((1-U988)*($G$11-$E$11)*($G$11-$F$11))))</f>
        <v>0.104719784450037</v>
      </c>
      <c r="H988" s="39" t="n">
        <f aca="false">(('Business Case'!B11*$C988*'Business Case'!B12*$B988)-'Business Case'!B11*$C988*'Business Case'!B13*$D988-'Business Case'!B14*$E988)-MAX(0,(('Business Case'!B11*$C988*'Business Case'!B12*$B988)-'Business Case'!B11*$C988*'Business Case'!B13*$D988-'Business Case'!B14*$E988))*'Business Case'!$B$7-'Business Case'!$B$8*('Business Case'!B11*$C988*'Business Case'!B12*$B988)-'Business Case'!B15*$F988</f>
        <v>-1916859680.68479</v>
      </c>
      <c r="I988" s="39" t="n">
        <f aca="false">(('Business Case'!C11*$C988*'Business Case'!C12*$B988)-'Business Case'!C11*$C988*'Business Case'!C13*$D988-'Business Case'!C14*$E988)-MAX(0,(('Business Case'!C11*$C988*'Business Case'!C12*$B988)-'Business Case'!C11*$C988*'Business Case'!C13*$D988-'Business Case'!C14*$E988))*'Business Case'!$B$7-'Business Case'!$B$8*(('Business Case'!C11*$C988*'Business Case'!C12*$B988)-('Business Case'!B11*$C988*'Business Case'!B12*$B988))-'Business Case'!C15*$F988</f>
        <v>-18292938.2474442</v>
      </c>
      <c r="J988" s="39" t="n">
        <f aca="false">(('Business Case'!D11*$C988*'Business Case'!D12*$B988)-'Business Case'!D11*$C988*'Business Case'!D13*$D988-'Business Case'!D14*$E988)-MAX(0,(('Business Case'!D11*$C988*'Business Case'!D12*$B988)-'Business Case'!D11*$C988*'Business Case'!D13*$D988-'Business Case'!D14*$E988))*'Business Case'!$B$7-'Business Case'!$B$8*(('Business Case'!D11*$C988*'Business Case'!D12*$B988)-('Business Case'!C11*$C988*'Business Case'!C12*$B988))-'Business Case'!D15*$F988</f>
        <v>259647493.426889</v>
      </c>
      <c r="K988" s="39" t="n">
        <f aca="false">(('Business Case'!E11*$C988*'Business Case'!E12*$B988)-'Business Case'!E11*$C988*'Business Case'!E13*$D988-'Business Case'!E14*$E988)-MAX(0,(('Business Case'!E11*$C988*'Business Case'!E12*$B988)-'Business Case'!E11*$C988*'Business Case'!E13*$D988-'Business Case'!E14*$E988))*'Business Case'!$B$7-'Business Case'!$B$8*(('Business Case'!E11*$C988*'Business Case'!E12*$B988)-('Business Case'!D11*$C988*'Business Case'!D12*$B988))-'Business Case'!E15*$F988</f>
        <v>585509417.118341</v>
      </c>
      <c r="L988" s="39" t="n">
        <f aca="false">(('Business Case'!F11*$C988*'Business Case'!F12*$B988)-'Business Case'!F11*$C988*'Business Case'!F13*$D988-'Business Case'!F14*$E988)-MAX(0,(('Business Case'!F11*$C988*'Business Case'!F12*$B988)-'Business Case'!F11*$C988*'Business Case'!F13*$D988-'Business Case'!F14*$E988))*'Business Case'!$B$7-'Business Case'!$B$8*(('Business Case'!F11*$C988*'Business Case'!F12*$B988)-('Business Case'!E11*$C988*'Business Case'!E12*$B988))-'Business Case'!F15*$F988</f>
        <v>712487342.630293</v>
      </c>
      <c r="M988" s="39" t="n">
        <f aca="false">(('Business Case'!G11*$C988*'Business Case'!G12*$B988)-'Business Case'!G11*$C988*'Business Case'!G13*$D988-'Business Case'!G14*$E988)-MAX(0,(('Business Case'!G11*$C988*'Business Case'!G12*$B988)-'Business Case'!G11*$C988*'Business Case'!G13*$D988-'Business Case'!G14*$E988))*'Business Case'!$B$7-'Business Case'!$B$8*(('Business Case'!G11*$C988*'Business Case'!G12*$B988)-('Business Case'!F11*$C988*'Business Case'!F12*$B988))-'Business Case'!G15*$F988+'Business Case'!$B$8*('Business Case'!G11*$C988*'Business Case'!G12*$B988)</f>
        <v>901308474.876418</v>
      </c>
      <c r="N988" s="39" t="n">
        <f aca="false">IF(COUNT('Business Case'!B11:G11)=0,"",H988+NPV(G988,I988:M988))</f>
        <v>-260212348.160317</v>
      </c>
      <c r="P988" s="40" t="n">
        <f aca="true">RAND()</f>
        <v>0.112293780630044</v>
      </c>
      <c r="Q988" s="40" t="n">
        <f aca="true">RAND()</f>
        <v>0.780089515621379</v>
      </c>
      <c r="R988" s="40" t="n">
        <f aca="true">RAND()</f>
        <v>0.441036036710396</v>
      </c>
      <c r="S988" s="40" t="n">
        <f aca="true">RAND()</f>
        <v>0.813245512614014</v>
      </c>
      <c r="T988" s="40" t="n">
        <f aca="true">RAND()</f>
        <v>0.00568497665586163</v>
      </c>
      <c r="U988" s="40" t="n">
        <f aca="true">RAND()</f>
        <v>0.610858354577798</v>
      </c>
    </row>
    <row r="989" customFormat="false" ht="15" hidden="false" customHeight="false" outlineLevel="0" collapsed="false">
      <c r="A989" s="36" t="n">
        <v>909</v>
      </c>
      <c r="B989" s="37" t="n">
        <f aca="false">1+IF($G$6=$E$6,$F$6,IF(P989&lt;($F$6-$E$6)/($G$6-$E$6),$E$6+SQRT(P989*($G$6-$E$6)*($F$6-$E$6)),$G$6-SQRT((1-P989)*($G$6-$E$6)*($G$6-$F$6))))</f>
        <v>0.938638477698094</v>
      </c>
      <c r="C989" s="37" t="n">
        <f aca="false">1+IF($G$7=$E$7,$F$7,IF(Q989&lt;($F$7-$E$7)/($G$7-$E$7),$E$7+SQRT(Q989*($G$7-$E$7)*($F$7-$E$7)),$G$7-SQRT((1-Q989)*($G$7-$E$7)*($G$7-$F$7))))</f>
        <v>0.840072676097987</v>
      </c>
      <c r="D989" s="37" t="n">
        <f aca="false">1+IF($G$8=$E$8,$F$8,IF(R989&lt;($F$8-$E$8)/($G$8-$E$8),$E$8+SQRT(R989*($G$8-$E$8)*($F$8-$E$8)),$G$8-SQRT((1-R989)*($G$8-$E$8)*($G$8-$F$8))))</f>
        <v>1.03616712896904</v>
      </c>
      <c r="E989" s="37" t="n">
        <f aca="false">1+IF($G$9=$E$9,$F$9,IF(S989&lt;($F$9-$E$9)/($G$9-$E$9),$E$9+SQRT(S989*($G$9-$E$9)*($F$9-$E$9)),$G$9-SQRT((1-S989)*($G$9-$E$9)*($G$9-$F$9))))</f>
        <v>1.04519360533078</v>
      </c>
      <c r="F989" s="37" t="n">
        <f aca="false">1+IF($G$10=$E$10,$F$10,IF(T989&lt;($F$10-$E$10)/($G$10-$E$10),$E$10+SQRT(T989*($G$10-$E$10)*($F$10-$E$10)),$G$10-SQRT((1-T989)*($G$10-$E$10)*($G$10-$F$10))))</f>
        <v>1.12256217855924</v>
      </c>
      <c r="G989" s="38" t="n">
        <f aca="false">IF($G$11=$E$11,$F$11,IF(U989&lt;($F$11-$E$11)/($G$11-$E$11),$E$11+SQRT(U989*($G$11-$E$11)*($F$11-$E$11)),$G$11-SQRT((1-U989)*($G$11-$E$11)*($G$11-$F$11))))</f>
        <v>0.0953256824435983</v>
      </c>
      <c r="H989" s="39" t="n">
        <f aca="false">(('Business Case'!B11*$C989*'Business Case'!B12*$B989)-'Business Case'!B11*$C989*'Business Case'!B13*$D989-'Business Case'!B14*$E989)-MAX(0,(('Business Case'!B11*$C989*'Business Case'!B12*$B989)-'Business Case'!B11*$C989*'Business Case'!B13*$D989-'Business Case'!B14*$E989))*'Business Case'!$B$7-'Business Case'!$B$8*('Business Case'!B11*$C989*'Business Case'!B12*$B989)-'Business Case'!B15*$F989</f>
        <v>-2245124357.11848</v>
      </c>
      <c r="I989" s="39" t="n">
        <f aca="false">(('Business Case'!C11*$C989*'Business Case'!C12*$B989)-'Business Case'!C11*$C989*'Business Case'!C13*$D989-'Business Case'!C14*$E989)-MAX(0,(('Business Case'!C11*$C989*'Business Case'!C12*$B989)-'Business Case'!C11*$C989*'Business Case'!C13*$D989-'Business Case'!C14*$E989))*'Business Case'!$B$7-'Business Case'!$B$8*(('Business Case'!C11*$C989*'Business Case'!C12*$B989)-('Business Case'!B11*$C989*'Business Case'!B12*$B989))-'Business Case'!C15*$F989</f>
        <v>-101505168.62995</v>
      </c>
      <c r="J989" s="39" t="n">
        <f aca="false">(('Business Case'!D11*$C989*'Business Case'!D12*$B989)-'Business Case'!D11*$C989*'Business Case'!D13*$D989-'Business Case'!D14*$E989)-MAX(0,(('Business Case'!D11*$C989*'Business Case'!D12*$B989)-'Business Case'!D11*$C989*'Business Case'!D13*$D989-'Business Case'!D14*$E989))*'Business Case'!$B$7-'Business Case'!$B$8*(('Business Case'!D11*$C989*'Business Case'!D12*$B989)-('Business Case'!C11*$C989*'Business Case'!C12*$B989))-'Business Case'!D15*$F989</f>
        <v>98749523.316122</v>
      </c>
      <c r="K989" s="39" t="n">
        <f aca="false">(('Business Case'!E11*$C989*'Business Case'!E12*$B989)-'Business Case'!E11*$C989*'Business Case'!E13*$D989-'Business Case'!E14*$E989)-MAX(0,(('Business Case'!E11*$C989*'Business Case'!E12*$B989)-'Business Case'!E11*$C989*'Business Case'!E13*$D989-'Business Case'!E14*$E989))*'Business Case'!$B$7-'Business Case'!$B$8*(('Business Case'!E11*$C989*'Business Case'!E12*$B989)-('Business Case'!D11*$C989*'Business Case'!D12*$B989))-'Business Case'!E15*$F989</f>
        <v>355132324.190155</v>
      </c>
      <c r="L989" s="39" t="n">
        <f aca="false">(('Business Case'!F11*$C989*'Business Case'!F12*$B989)-'Business Case'!F11*$C989*'Business Case'!F13*$D989-'Business Case'!F14*$E989)-MAX(0,(('Business Case'!F11*$C989*'Business Case'!F12*$B989)-'Business Case'!F11*$C989*'Business Case'!F13*$D989-'Business Case'!F14*$E989))*'Business Case'!$B$7-'Business Case'!$B$8*(('Business Case'!F11*$C989*'Business Case'!F12*$B989)-('Business Case'!E11*$C989*'Business Case'!E12*$B989))-'Business Case'!F15*$F989</f>
        <v>449135296.20022</v>
      </c>
      <c r="M989" s="39" t="n">
        <f aca="false">(('Business Case'!G11*$C989*'Business Case'!G12*$B989)-'Business Case'!G11*$C989*'Business Case'!G13*$D989-'Business Case'!G14*$E989)-MAX(0,(('Business Case'!G11*$C989*'Business Case'!G12*$B989)-'Business Case'!G11*$C989*'Business Case'!G13*$D989-'Business Case'!G14*$E989))*'Business Case'!$B$7-'Business Case'!$B$8*(('Business Case'!G11*$C989*'Business Case'!G12*$B989)-('Business Case'!F11*$C989*'Business Case'!F12*$B989))-'Business Case'!G15*$F989+'Business Case'!$B$8*('Business Case'!G11*$C989*'Business Case'!G12*$B989)</f>
        <v>599018040.35444</v>
      </c>
      <c r="N989" s="39" t="n">
        <f aca="false">IF(COUNT('Business Case'!B11:G11)=0,"",H989+NPV(G989,I989:M989))</f>
        <v>-1293256635.61162</v>
      </c>
      <c r="P989" s="40" t="n">
        <f aca="true">RAND()</f>
        <v>0.0361867553023295</v>
      </c>
      <c r="Q989" s="40" t="n">
        <f aca="true">RAND()</f>
        <v>0.0229402767093456</v>
      </c>
      <c r="R989" s="40" t="n">
        <f aca="true">RAND()</f>
        <v>0.815257636267638</v>
      </c>
      <c r="S989" s="40" t="n">
        <f aca="true">RAND()</f>
        <v>0.799750606890792</v>
      </c>
      <c r="T989" s="40" t="n">
        <f aca="true">RAND()</f>
        <v>0.880067676210178</v>
      </c>
      <c r="U989" s="40" t="n">
        <f aca="true">RAND()</f>
        <v>0.0945429783001713</v>
      </c>
    </row>
    <row r="990" customFormat="false" ht="15" hidden="false" customHeight="false" outlineLevel="0" collapsed="false">
      <c r="A990" s="36" t="n">
        <v>910</v>
      </c>
      <c r="B990" s="37" t="n">
        <f aca="false">1+IF($G$6=$E$6,$F$6,IF(P990&lt;($F$6-$E$6)/($G$6-$E$6),$E$6+SQRT(P990*($G$6-$E$6)*($F$6-$E$6)),$G$6-SQRT((1-P990)*($G$6-$E$6)*($G$6-$F$6))))</f>
        <v>1.01719465231857</v>
      </c>
      <c r="C990" s="37" t="n">
        <f aca="false">1+IF($G$7=$E$7,$F$7,IF(Q990&lt;($F$7-$E$7)/($G$7-$E$7),$E$7+SQRT(Q990*($G$7-$E$7)*($F$7-$E$7)),$G$7-SQRT((1-Q990)*($G$7-$E$7)*($G$7-$F$7))))</f>
        <v>1.02086723237762</v>
      </c>
      <c r="D990" s="37" t="n">
        <f aca="false">1+IF($G$8=$E$8,$F$8,IF(R990&lt;($F$8-$E$8)/($G$8-$E$8),$E$8+SQRT(R990*($G$8-$E$8)*($F$8-$E$8)),$G$8-SQRT((1-R990)*($G$8-$E$8)*($G$8-$F$8))))</f>
        <v>1.01816616799774</v>
      </c>
      <c r="E990" s="37" t="n">
        <f aca="false">1+IF($G$9=$E$9,$F$9,IF(S990&lt;($F$9-$E$9)/($G$9-$E$9),$E$9+SQRT(S990*($G$9-$E$9)*($F$9-$E$9)),$G$9-SQRT((1-S990)*($G$9-$E$9)*($G$9-$F$9))))</f>
        <v>0.995195387897845</v>
      </c>
      <c r="F990" s="37" t="n">
        <f aca="false">1+IF($G$10=$E$10,$F$10,IF(T990&lt;($F$10-$E$10)/($G$10-$E$10),$E$10+SQRT(T990*($G$10-$E$10)*($F$10-$E$10)),$G$10-SQRT((1-T990)*($G$10-$E$10)*($G$10-$F$10))))</f>
        <v>1.06891963142393</v>
      </c>
      <c r="G990" s="38" t="n">
        <f aca="false">IF($G$11=$E$11,$F$11,IF(U990&lt;($F$11-$E$11)/($G$11-$E$11),$E$11+SQRT(U990*($G$11-$E$11)*($F$11-$E$11)),$G$11-SQRT((1-U990)*($G$11-$E$11)*($G$11-$F$11))))</f>
        <v>0.095210529251892</v>
      </c>
      <c r="H990" s="39" t="n">
        <f aca="false">(('Business Case'!B11*$C990*'Business Case'!B12*$B990)-'Business Case'!B11*$C990*'Business Case'!B13*$D990-'Business Case'!B14*$E990)-MAX(0,(('Business Case'!B11*$C990*'Business Case'!B12*$B990)-'Business Case'!B11*$C990*'Business Case'!B13*$D990-'Business Case'!B14*$E990))*'Business Case'!$B$7-'Business Case'!$B$8*('Business Case'!B11*$C990*'Business Case'!B12*$B990)-'Business Case'!B15*$F990</f>
        <v>-2137839262.84786</v>
      </c>
      <c r="I990" s="39" t="n">
        <f aca="false">(('Business Case'!C11*$C990*'Business Case'!C12*$B990)-'Business Case'!C11*$C990*'Business Case'!C13*$D990-'Business Case'!C14*$E990)-MAX(0,(('Business Case'!C11*$C990*'Business Case'!C12*$B990)-'Business Case'!C11*$C990*'Business Case'!C13*$D990-'Business Case'!C14*$E990))*'Business Case'!$B$7-'Business Case'!$B$8*(('Business Case'!C11*$C990*'Business Case'!C12*$B990)-('Business Case'!B11*$C990*'Business Case'!B12*$B990))-'Business Case'!C15*$F990</f>
        <v>16204799.3961169</v>
      </c>
      <c r="J990" s="39" t="n">
        <f aca="false">(('Business Case'!D11*$C990*'Business Case'!D12*$B990)-'Business Case'!D11*$C990*'Business Case'!D13*$D990-'Business Case'!D14*$E990)-MAX(0,(('Business Case'!D11*$C990*'Business Case'!D12*$B990)-'Business Case'!D11*$C990*'Business Case'!D13*$D990-'Business Case'!D14*$E990))*'Business Case'!$B$7-'Business Case'!$B$8*(('Business Case'!D11*$C990*'Business Case'!D12*$B990)-('Business Case'!C11*$C990*'Business Case'!C12*$B990))-'Business Case'!D15*$F990</f>
        <v>334650074.637472</v>
      </c>
      <c r="K990" s="39" t="n">
        <f aca="false">(('Business Case'!E11*$C990*'Business Case'!E12*$B990)-'Business Case'!E11*$C990*'Business Case'!E13*$D990-'Business Case'!E14*$E990)-MAX(0,(('Business Case'!E11*$C990*'Business Case'!E12*$B990)-'Business Case'!E11*$C990*'Business Case'!E13*$D990-'Business Case'!E14*$E990))*'Business Case'!$B$7-'Business Case'!$B$8*(('Business Case'!E11*$C990*'Business Case'!E12*$B990)-('Business Case'!D11*$C990*'Business Case'!D12*$B990))-'Business Case'!E15*$F990</f>
        <v>706541331.450025</v>
      </c>
      <c r="L990" s="39" t="n">
        <f aca="false">(('Business Case'!F11*$C990*'Business Case'!F12*$B990)-'Business Case'!F11*$C990*'Business Case'!F13*$D990-'Business Case'!F14*$E990)-MAX(0,(('Business Case'!F11*$C990*'Business Case'!F12*$B990)-'Business Case'!F11*$C990*'Business Case'!F13*$D990-'Business Case'!F14*$E990))*'Business Case'!$B$7-'Business Case'!$B$8*(('Business Case'!F11*$C990*'Business Case'!F12*$B990)-('Business Case'!E11*$C990*'Business Case'!E12*$B990))-'Business Case'!F15*$F990</f>
        <v>848577575.559658</v>
      </c>
      <c r="M990" s="39" t="n">
        <f aca="false">(('Business Case'!G11*$C990*'Business Case'!G12*$B990)-'Business Case'!G11*$C990*'Business Case'!G13*$D990-'Business Case'!G14*$E990)-MAX(0,(('Business Case'!G11*$C990*'Business Case'!G12*$B990)-'Business Case'!G11*$C990*'Business Case'!G13*$D990-'Business Case'!G14*$E990))*'Business Case'!$B$7-'Business Case'!$B$8*(('Business Case'!G11*$C990*'Business Case'!G12*$B990)-('Business Case'!F11*$C990*'Business Case'!F12*$B990))-'Business Case'!G15*$F990+'Business Case'!$B$8*('Business Case'!G11*$C990*'Business Case'!G12*$B990)</f>
        <v>1045960580.22016</v>
      </c>
      <c r="N990" s="39" t="n">
        <f aca="false">IF(COUNT('Business Case'!B11:G11)=0,"",H990+NPV(G990,I990:M990))</f>
        <v>-52639239.8699143</v>
      </c>
      <c r="P990" s="40" t="n">
        <f aca="true">RAND()</f>
        <v>0.891649191068559</v>
      </c>
      <c r="Q990" s="40" t="n">
        <f aca="true">RAND()</f>
        <v>0.682375777641621</v>
      </c>
      <c r="R990" s="40" t="n">
        <f aca="true">RAND()</f>
        <v>0.632363194222757</v>
      </c>
      <c r="S990" s="40" t="n">
        <f aca="true">RAND()</f>
        <v>0.272349744964893</v>
      </c>
      <c r="T990" s="40" t="n">
        <f aca="true">RAND()</f>
        <v>0.656358739479226</v>
      </c>
      <c r="U990" s="40" t="n">
        <f aca="true">RAND()</f>
        <v>0.0904987169494058</v>
      </c>
    </row>
    <row r="991" customFormat="false" ht="15" hidden="false" customHeight="false" outlineLevel="0" collapsed="false">
      <c r="A991" s="36" t="n">
        <v>911</v>
      </c>
      <c r="B991" s="37" t="n">
        <f aca="false">1+IF($G$6=$E$6,$F$6,IF(P991&lt;($F$6-$E$6)/($G$6-$E$6),$E$6+SQRT(P991*($G$6-$E$6)*($F$6-$E$6)),$G$6-SQRT((1-P991)*($G$6-$E$6)*($G$6-$F$6))))</f>
        <v>0.99587912488537</v>
      </c>
      <c r="C991" s="37" t="n">
        <f aca="false">1+IF($G$7=$E$7,$F$7,IF(Q991&lt;($F$7-$E$7)/($G$7-$E$7),$E$7+SQRT(Q991*($G$7-$E$7)*($F$7-$E$7)),$G$7-SQRT((1-Q991)*($G$7-$E$7)*($G$7-$F$7))))</f>
        <v>1.02210545729632</v>
      </c>
      <c r="D991" s="37" t="n">
        <f aca="false">1+IF($G$8=$E$8,$F$8,IF(R991&lt;($F$8-$E$8)/($G$8-$E$8),$E$8+SQRT(R991*($G$8-$E$8)*($F$8-$E$8)),$G$8-SQRT((1-R991)*($G$8-$E$8)*($G$8-$F$8))))</f>
        <v>1.05766651097124</v>
      </c>
      <c r="E991" s="37" t="n">
        <f aca="false">1+IF($G$9=$E$9,$F$9,IF(S991&lt;($F$9-$E$9)/($G$9-$E$9),$E$9+SQRT(S991*($G$9-$E$9)*($F$9-$E$9)),$G$9-SQRT((1-S991)*($G$9-$E$9)*($G$9-$F$9))))</f>
        <v>0.999181316268072</v>
      </c>
      <c r="F991" s="37" t="n">
        <f aca="false">1+IF($G$10=$E$10,$F$10,IF(T991&lt;($F$10-$E$10)/($G$10-$E$10),$E$10+SQRT(T991*($G$10-$E$10)*($F$10-$E$10)),$G$10-SQRT((1-T991)*($G$10-$E$10)*($G$10-$F$10))))</f>
        <v>1.06397152974045</v>
      </c>
      <c r="G991" s="38" t="n">
        <f aca="false">IF($G$11=$E$11,$F$11,IF(U991&lt;($F$11-$E$11)/($G$11-$E$11),$E$11+SQRT(U991*($G$11-$E$11)*($F$11-$E$11)),$G$11-SQRT((1-U991)*($G$11-$E$11)*($G$11-$F$11))))</f>
        <v>0.117683088662505</v>
      </c>
      <c r="H991" s="39" t="n">
        <f aca="false">(('Business Case'!B11*$C991*'Business Case'!B12*$B991)-'Business Case'!B11*$C991*'Business Case'!B13*$D991-'Business Case'!B14*$E991)-MAX(0,(('Business Case'!B11*$C991*'Business Case'!B12*$B991)-'Business Case'!B11*$C991*'Business Case'!B13*$D991-'Business Case'!B14*$E991))*'Business Case'!$B$7-'Business Case'!$B$8*('Business Case'!B11*$C991*'Business Case'!B12*$B991)-'Business Case'!B15*$F991</f>
        <v>-2127943059.48089</v>
      </c>
      <c r="I991" s="39" t="n">
        <f aca="false">(('Business Case'!C11*$C991*'Business Case'!C12*$B991)-'Business Case'!C11*$C991*'Business Case'!C13*$D991-'Business Case'!C14*$E991)-MAX(0,(('Business Case'!C11*$C991*'Business Case'!C12*$B991)-'Business Case'!C11*$C991*'Business Case'!C13*$D991-'Business Case'!C14*$E991))*'Business Case'!$B$7-'Business Case'!$B$8*(('Business Case'!C11*$C991*'Business Case'!C12*$B991)-('Business Case'!B11*$C991*'Business Case'!B12*$B991))-'Business Case'!C15*$F991</f>
        <v>-20929712.5404132</v>
      </c>
      <c r="J991" s="39" t="n">
        <f aca="false">(('Business Case'!D11*$C991*'Business Case'!D12*$B991)-'Business Case'!D11*$C991*'Business Case'!D13*$D991-'Business Case'!D14*$E991)-MAX(0,(('Business Case'!D11*$C991*'Business Case'!D12*$B991)-'Business Case'!D11*$C991*'Business Case'!D13*$D991-'Business Case'!D14*$E991))*'Business Case'!$B$7-'Business Case'!$B$8*(('Business Case'!D11*$C991*'Business Case'!D12*$B991)-('Business Case'!C11*$C991*'Business Case'!C12*$B991))-'Business Case'!D15*$F991</f>
        <v>259388909.502748</v>
      </c>
      <c r="K991" s="39" t="n">
        <f aca="false">(('Business Case'!E11*$C991*'Business Case'!E12*$B991)-'Business Case'!E11*$C991*'Business Case'!E13*$D991-'Business Case'!E14*$E991)-MAX(0,(('Business Case'!E11*$C991*'Business Case'!E12*$B991)-'Business Case'!E11*$C991*'Business Case'!E13*$D991-'Business Case'!E14*$E991))*'Business Case'!$B$7-'Business Case'!$B$8*(('Business Case'!E11*$C991*'Business Case'!E12*$B991)-('Business Case'!D11*$C991*'Business Case'!D12*$B991))-'Business Case'!E15*$F991</f>
        <v>592906108.032932</v>
      </c>
      <c r="L991" s="39" t="n">
        <f aca="false">(('Business Case'!F11*$C991*'Business Case'!F12*$B991)-'Business Case'!F11*$C991*'Business Case'!F13*$D991-'Business Case'!F14*$E991)-MAX(0,(('Business Case'!F11*$C991*'Business Case'!F12*$B991)-'Business Case'!F11*$C991*'Business Case'!F13*$D991-'Business Case'!F14*$E991))*'Business Case'!$B$7-'Business Case'!$B$8*(('Business Case'!F11*$C991*'Business Case'!F12*$B991)-('Business Case'!E11*$C991*'Business Case'!E12*$B991))-'Business Case'!F15*$F991</f>
        <v>721524047.67146</v>
      </c>
      <c r="M991" s="39" t="n">
        <f aca="false">(('Business Case'!G11*$C991*'Business Case'!G12*$B991)-'Business Case'!G11*$C991*'Business Case'!G13*$D991-'Business Case'!G14*$E991)-MAX(0,(('Business Case'!G11*$C991*'Business Case'!G12*$B991)-'Business Case'!G11*$C991*'Business Case'!G13*$D991-'Business Case'!G14*$E991))*'Business Case'!$B$7-'Business Case'!$B$8*(('Business Case'!G11*$C991*'Business Case'!G12*$B991)-('Business Case'!F11*$C991*'Business Case'!F12*$B991))-'Business Case'!G15*$F991+'Business Case'!$B$8*('Business Case'!G11*$C991*'Business Case'!G12*$B991)</f>
        <v>915005241.937565</v>
      </c>
      <c r="N991" s="39" t="n">
        <f aca="false">IF(COUNT('Business Case'!B11:G11)=0,"",H991+NPV(G991,I991:M991))</f>
        <v>-527420952.696727</v>
      </c>
      <c r="P991" s="40" t="n">
        <f aca="true">RAND()</f>
        <v>0.599754332642656</v>
      </c>
      <c r="Q991" s="40" t="n">
        <f aca="true">RAND()</f>
        <v>0.688437827554625</v>
      </c>
      <c r="R991" s="40" t="n">
        <f aca="true">RAND()</f>
        <v>0.952039929596363</v>
      </c>
      <c r="S991" s="40" t="n">
        <f aca="true">RAND()</f>
        <v>0.32250691598135</v>
      </c>
      <c r="T991" s="40" t="n">
        <f aca="true">RAND()</f>
        <v>0.629925105576911</v>
      </c>
      <c r="U991" s="40" t="n">
        <f aca="true">RAND()</f>
        <v>0.991053203090309</v>
      </c>
    </row>
    <row r="992" customFormat="false" ht="15" hidden="false" customHeight="false" outlineLevel="0" collapsed="false">
      <c r="A992" s="36" t="n">
        <v>912</v>
      </c>
      <c r="B992" s="37" t="n">
        <f aca="false">1+IF($G$6=$E$6,$F$6,IF(P992&lt;($F$6-$E$6)/($G$6-$E$6),$E$6+SQRT(P992*($G$6-$E$6)*($F$6-$E$6)),$G$6-SQRT((1-P992)*($G$6-$E$6)*($G$6-$F$6))))</f>
        <v>1.03666557742783</v>
      </c>
      <c r="C992" s="37" t="n">
        <f aca="false">1+IF($G$7=$E$7,$F$7,IF(Q992&lt;($F$7-$E$7)/($G$7-$E$7),$E$7+SQRT(Q992*($G$7-$E$7)*($F$7-$E$7)),$G$7-SQRT((1-Q992)*($G$7-$E$7)*($G$7-$F$7))))</f>
        <v>0.944769606636705</v>
      </c>
      <c r="D992" s="37" t="n">
        <f aca="false">1+IF($G$8=$E$8,$F$8,IF(R992&lt;($F$8-$E$8)/($G$8-$E$8),$E$8+SQRT(R992*($G$8-$E$8)*($F$8-$E$8)),$G$8-SQRT((1-R992)*($G$8-$E$8)*($G$8-$F$8))))</f>
        <v>1.0587945645348</v>
      </c>
      <c r="E992" s="37" t="n">
        <f aca="false">1+IF($G$9=$E$9,$F$9,IF(S992&lt;($F$9-$E$9)/($G$9-$E$9),$E$9+SQRT(S992*($G$9-$E$9)*($F$9-$E$9)),$G$9-SQRT((1-S992)*($G$9-$E$9)*($G$9-$F$9))))</f>
        <v>0.992424997689044</v>
      </c>
      <c r="F992" s="37" t="n">
        <f aca="false">1+IF($G$10=$E$10,$F$10,IF(T992&lt;($F$10-$E$10)/($G$10-$E$10),$E$10+SQRT(T992*($G$10-$E$10)*($F$10-$E$10)),$G$10-SQRT((1-T992)*($G$10-$E$10)*($G$10-$F$10))))</f>
        <v>1.09074533882733</v>
      </c>
      <c r="G992" s="38" t="n">
        <f aca="false">IF($G$11=$E$11,$F$11,IF(U992&lt;($F$11-$E$11)/($G$11-$E$11),$E$11+SQRT(U992*($G$11-$E$11)*($F$11-$E$11)),$G$11-SQRT((1-U992)*($G$11-$E$11)*($G$11-$F$11))))</f>
        <v>0.101905223769378</v>
      </c>
      <c r="H992" s="39" t="n">
        <f aca="false">(('Business Case'!B11*$C992*'Business Case'!B12*$B992)-'Business Case'!B11*$C992*'Business Case'!B13*$D992-'Business Case'!B14*$E992)-MAX(0,(('Business Case'!B11*$C992*'Business Case'!B12*$B992)-'Business Case'!B11*$C992*'Business Case'!B13*$D992-'Business Case'!B14*$E992))*'Business Case'!$B$7-'Business Case'!$B$8*('Business Case'!B11*$C992*'Business Case'!B12*$B992)-'Business Case'!B15*$F992</f>
        <v>-2181490677.65467</v>
      </c>
      <c r="I992" s="39" t="n">
        <f aca="false">(('Business Case'!C11*$C992*'Business Case'!C12*$B992)-'Business Case'!C11*$C992*'Business Case'!C13*$D992-'Business Case'!C14*$E992)-MAX(0,(('Business Case'!C11*$C992*'Business Case'!C12*$B992)-'Business Case'!C11*$C992*'Business Case'!C13*$D992-'Business Case'!C14*$E992))*'Business Case'!$B$7-'Business Case'!$B$8*(('Business Case'!C11*$C992*'Business Case'!C12*$B992)-('Business Case'!B11*$C992*'Business Case'!B12*$B992))-'Business Case'!C15*$F992</f>
        <v>-10844815.7064806</v>
      </c>
      <c r="J992" s="39" t="n">
        <f aca="false">(('Business Case'!D11*$C992*'Business Case'!D12*$B992)-'Business Case'!D11*$C992*'Business Case'!D13*$D992-'Business Case'!D14*$E992)-MAX(0,(('Business Case'!D11*$C992*'Business Case'!D12*$B992)-'Business Case'!D11*$C992*'Business Case'!D13*$D992-'Business Case'!D14*$E992))*'Business Case'!$B$7-'Business Case'!$B$8*(('Business Case'!D11*$C992*'Business Case'!D12*$B992)-('Business Case'!C11*$C992*'Business Case'!C12*$B992))-'Business Case'!D15*$F992</f>
        <v>279280358.270002</v>
      </c>
      <c r="K992" s="39" t="n">
        <f aca="false">(('Business Case'!E11*$C992*'Business Case'!E12*$B992)-'Business Case'!E11*$C992*'Business Case'!E13*$D992-'Business Case'!E14*$E992)-MAX(0,(('Business Case'!E11*$C992*'Business Case'!E12*$B992)-'Business Case'!E11*$C992*'Business Case'!E13*$D992-'Business Case'!E14*$E992))*'Business Case'!$B$7-'Business Case'!$B$8*(('Business Case'!E11*$C992*'Business Case'!E12*$B992)-('Business Case'!D11*$C992*'Business Case'!D12*$B992))-'Business Case'!E15*$F992</f>
        <v>623942799.187851</v>
      </c>
      <c r="L992" s="39" t="n">
        <f aca="false">(('Business Case'!F11*$C992*'Business Case'!F12*$B992)-'Business Case'!F11*$C992*'Business Case'!F13*$D992-'Business Case'!F14*$E992)-MAX(0,(('Business Case'!F11*$C992*'Business Case'!F12*$B992)-'Business Case'!F11*$C992*'Business Case'!F13*$D992-'Business Case'!F14*$E992))*'Business Case'!$B$7-'Business Case'!$B$8*(('Business Case'!F11*$C992*'Business Case'!F12*$B992)-('Business Case'!E11*$C992*'Business Case'!E12*$B992))-'Business Case'!F15*$F992</f>
        <v>754499604.599243</v>
      </c>
      <c r="M992" s="39" t="n">
        <f aca="false">(('Business Case'!G11*$C992*'Business Case'!G12*$B992)-'Business Case'!G11*$C992*'Business Case'!G13*$D992-'Business Case'!G14*$E992)-MAX(0,(('Business Case'!G11*$C992*'Business Case'!G12*$B992)-'Business Case'!G11*$C992*'Business Case'!G13*$D992-'Business Case'!G14*$E992))*'Business Case'!$B$7-'Business Case'!$B$8*(('Business Case'!G11*$C992*'Business Case'!G12*$B992)-('Business Case'!F11*$C992*'Business Case'!F12*$B992))-'Business Case'!G15*$F992+'Business Case'!$B$8*('Business Case'!G11*$C992*'Business Case'!G12*$B992)</f>
        <v>940665882.071684</v>
      </c>
      <c r="N992" s="39" t="n">
        <f aca="false">IF(COUNT('Business Case'!B11:G11)=0,"",H992+NPV(G992,I992:M992))</f>
        <v>-404143726.894869</v>
      </c>
      <c r="P992" s="40" t="n">
        <f aca="true">RAND()</f>
        <v>0.997683672106287</v>
      </c>
      <c r="Q992" s="40" t="n">
        <f aca="true">RAND()</f>
        <v>0.299403414367804</v>
      </c>
      <c r="R992" s="40" t="n">
        <f aca="true">RAND()</f>
        <v>0.956762452570317</v>
      </c>
      <c r="S992" s="40" t="n">
        <f aca="true">RAND()</f>
        <v>0.239984057188715</v>
      </c>
      <c r="T992" s="40" t="n">
        <f aca="true">RAND()</f>
        <v>0.761268380240918</v>
      </c>
      <c r="U992" s="40" t="n">
        <f aca="true">RAND()</f>
        <v>0.454298455272879</v>
      </c>
    </row>
    <row r="993" customFormat="false" ht="15" hidden="false" customHeight="false" outlineLevel="0" collapsed="false">
      <c r="A993" s="36" t="n">
        <v>913</v>
      </c>
      <c r="B993" s="37" t="n">
        <f aca="false">1+IF($G$6=$E$6,$F$6,IF(P993&lt;($F$6-$E$6)/($G$6-$E$6),$E$6+SQRT(P993*($G$6-$E$6)*($F$6-$E$6)),$G$6-SQRT((1-P993)*($G$6-$E$6)*($G$6-$F$6))))</f>
        <v>0.977973439015725</v>
      </c>
      <c r="C993" s="37" t="n">
        <f aca="false">1+IF($G$7=$E$7,$F$7,IF(Q993&lt;($F$7-$E$7)/($G$7-$E$7),$E$7+SQRT(Q993*($G$7-$E$7)*($F$7-$E$7)),$G$7-SQRT((1-Q993)*($G$7-$E$7)*($G$7-$F$7))))</f>
        <v>0.994860971927166</v>
      </c>
      <c r="D993" s="37" t="n">
        <f aca="false">1+IF($G$8=$E$8,$F$8,IF(R993&lt;($F$8-$E$8)/($G$8-$E$8),$E$8+SQRT(R993*($G$8-$E$8)*($F$8-$E$8)),$G$8-SQRT((1-R993)*($G$8-$E$8)*($G$8-$F$8))))</f>
        <v>0.98910981367632</v>
      </c>
      <c r="E993" s="37" t="n">
        <f aca="false">1+IF($G$9=$E$9,$F$9,IF(S993&lt;($F$9-$E$9)/($G$9-$E$9),$E$9+SQRT(S993*($G$9-$E$9)*($F$9-$E$9)),$G$9-SQRT((1-S993)*($G$9-$E$9)*($G$9-$F$9))))</f>
        <v>1.00468017065635</v>
      </c>
      <c r="F993" s="37" t="n">
        <f aca="false">1+IF($G$10=$E$10,$F$10,IF(T993&lt;($F$10-$E$10)/($G$10-$E$10),$E$10+SQRT(T993*($G$10-$E$10)*($F$10-$E$10)),$G$10-SQRT((1-T993)*($G$10-$E$10)*($G$10-$F$10))))</f>
        <v>1.00308972752979</v>
      </c>
      <c r="G993" s="38" t="n">
        <f aca="false">IF($G$11=$E$11,$F$11,IF(U993&lt;($F$11-$E$11)/($G$11-$E$11),$E$11+SQRT(U993*($G$11-$E$11)*($F$11-$E$11)),$G$11-SQRT((1-U993)*($G$11-$E$11)*($G$11-$F$11))))</f>
        <v>0.107644378706712</v>
      </c>
      <c r="H993" s="39" t="n">
        <f aca="false">(('Business Case'!B11*$C993*'Business Case'!B12*$B993)-'Business Case'!B11*$C993*'Business Case'!B13*$D993-'Business Case'!B14*$E993)-MAX(0,(('Business Case'!B11*$C993*'Business Case'!B12*$B993)-'Business Case'!B11*$C993*'Business Case'!B13*$D993-'Business Case'!B14*$E993))*'Business Case'!$B$7-'Business Case'!$B$8*('Business Case'!B11*$C993*'Business Case'!B12*$B993)-'Business Case'!B15*$F993</f>
        <v>-2006179455.05958</v>
      </c>
      <c r="I993" s="39" t="n">
        <f aca="false">(('Business Case'!C11*$C993*'Business Case'!C12*$B993)-'Business Case'!C11*$C993*'Business Case'!C13*$D993-'Business Case'!C14*$E993)-MAX(0,(('Business Case'!C11*$C993*'Business Case'!C12*$B993)-'Business Case'!C11*$C993*'Business Case'!C13*$D993-'Business Case'!C14*$E993))*'Business Case'!$B$7-'Business Case'!$B$8*(('Business Case'!C11*$C993*'Business Case'!C12*$B993)-('Business Case'!B11*$C993*'Business Case'!B12*$B993))-'Business Case'!C15*$F993</f>
        <v>-440929.484350681</v>
      </c>
      <c r="J993" s="39" t="n">
        <f aca="false">(('Business Case'!D11*$C993*'Business Case'!D12*$B993)-'Business Case'!D11*$C993*'Business Case'!D13*$D993-'Business Case'!D14*$E993)-MAX(0,(('Business Case'!D11*$C993*'Business Case'!D12*$B993)-'Business Case'!D11*$C993*'Business Case'!D13*$D993-'Business Case'!D14*$E993))*'Business Case'!$B$7-'Business Case'!$B$8*(('Business Case'!D11*$C993*'Business Case'!D12*$B993)-('Business Case'!C11*$C993*'Business Case'!C12*$B993))-'Business Case'!D15*$F993</f>
        <v>292730237.949664</v>
      </c>
      <c r="K993" s="39" t="n">
        <f aca="false">(('Business Case'!E11*$C993*'Business Case'!E12*$B993)-'Business Case'!E11*$C993*'Business Case'!E13*$D993-'Business Case'!E14*$E993)-MAX(0,(('Business Case'!E11*$C993*'Business Case'!E12*$B993)-'Business Case'!E11*$C993*'Business Case'!E13*$D993-'Business Case'!E14*$E993))*'Business Case'!$B$7-'Business Case'!$B$8*(('Business Case'!E11*$C993*'Business Case'!E12*$B993)-('Business Case'!D11*$C993*'Business Case'!D12*$B993))-'Business Case'!E15*$F993</f>
        <v>636055891.760168</v>
      </c>
      <c r="L993" s="39" t="n">
        <f aca="false">(('Business Case'!F11*$C993*'Business Case'!F12*$B993)-'Business Case'!F11*$C993*'Business Case'!F13*$D993-'Business Case'!F14*$E993)-MAX(0,(('Business Case'!F11*$C993*'Business Case'!F12*$B993)-'Business Case'!F11*$C993*'Business Case'!F13*$D993-'Business Case'!F14*$E993))*'Business Case'!$B$7-'Business Case'!$B$8*(('Business Case'!F11*$C993*'Business Case'!F12*$B993)-('Business Case'!E11*$C993*'Business Case'!E12*$B993))-'Business Case'!F15*$F993</f>
        <v>767404683.503543</v>
      </c>
      <c r="M993" s="39" t="n">
        <f aca="false">(('Business Case'!G11*$C993*'Business Case'!G12*$B993)-'Business Case'!G11*$C993*'Business Case'!G13*$D993-'Business Case'!G14*$E993)-MAX(0,(('Business Case'!G11*$C993*'Business Case'!G12*$B993)-'Business Case'!G11*$C993*'Business Case'!G13*$D993-'Business Case'!G14*$E993))*'Business Case'!$B$7-'Business Case'!$B$8*(('Business Case'!G11*$C993*'Business Case'!G12*$B993)-('Business Case'!F11*$C993*'Business Case'!F12*$B993))-'Business Case'!G15*$F993+'Business Case'!$B$8*('Business Case'!G11*$C993*'Business Case'!G12*$B993)</f>
        <v>952342564.463074</v>
      </c>
      <c r="N993" s="39" t="n">
        <f aca="false">IF(COUNT('Business Case'!B11:G11)=0,"",H993+NPV(G993,I993:M993))</f>
        <v>-218895796.414344</v>
      </c>
      <c r="P993" s="40" t="n">
        <f aca="true">RAND()</f>
        <v>0.350095794928123</v>
      </c>
      <c r="Q993" s="40" t="n">
        <f aca="true">RAND()</f>
        <v>0.542439976862854</v>
      </c>
      <c r="R993" s="40" t="n">
        <f aca="true">RAND()</f>
        <v>0.235319619353304</v>
      </c>
      <c r="S993" s="40" t="n">
        <f aca="true">RAND()</f>
        <v>0.394275342259845</v>
      </c>
      <c r="T993" s="40" t="n">
        <f aca="true">RAND()</f>
        <v>0.224526891914139</v>
      </c>
      <c r="U993" s="40" t="n">
        <f aca="true">RAND()</f>
        <v>0.745564370761427</v>
      </c>
    </row>
    <row r="994" customFormat="false" ht="15" hidden="false" customHeight="false" outlineLevel="0" collapsed="false">
      <c r="A994" s="36" t="n">
        <v>914</v>
      </c>
      <c r="B994" s="37" t="n">
        <f aca="false">1+IF($G$6=$E$6,$F$6,IF(P994&lt;($F$6-$E$6)/($G$6-$E$6),$E$6+SQRT(P994*($G$6-$E$6)*($F$6-$E$6)),$G$6-SQRT((1-P994)*($G$6-$E$6)*($G$6-$F$6))))</f>
        <v>0.973815020798305</v>
      </c>
      <c r="C994" s="37" t="n">
        <f aca="false">1+IF($G$7=$E$7,$F$7,IF(Q994&lt;($F$7-$E$7)/($G$7-$E$7),$E$7+SQRT(Q994*($G$7-$E$7)*($F$7-$E$7)),$G$7-SQRT((1-Q994)*($G$7-$E$7)*($G$7-$F$7))))</f>
        <v>0.968792502691789</v>
      </c>
      <c r="D994" s="37" t="n">
        <f aca="false">1+IF($G$8=$E$8,$F$8,IF(R994&lt;($F$8-$E$8)/($G$8-$E$8),$E$8+SQRT(R994*($G$8-$E$8)*($F$8-$E$8)),$G$8-SQRT((1-R994)*($G$8-$E$8)*($G$8-$F$8))))</f>
        <v>1.01376226409005</v>
      </c>
      <c r="E994" s="37" t="n">
        <f aca="false">1+IF($G$9=$E$9,$F$9,IF(S994&lt;($F$9-$E$9)/($G$9-$E$9),$E$9+SQRT(S994*($G$9-$E$9)*($F$9-$E$9)),$G$9-SQRT((1-S994)*($G$9-$E$9)*($G$9-$F$9))))</f>
        <v>1.06428202272611</v>
      </c>
      <c r="F994" s="37" t="n">
        <f aca="false">1+IF($G$10=$E$10,$F$10,IF(T994&lt;($F$10-$E$10)/($G$10-$E$10),$E$10+SQRT(T994*($G$10-$E$10)*($F$10-$E$10)),$G$10-SQRT((1-T994)*($G$10-$E$10)*($G$10-$F$10))))</f>
        <v>1.04734823190081</v>
      </c>
      <c r="G994" s="38" t="n">
        <f aca="false">IF($G$11=$E$11,$F$11,IF(U994&lt;($F$11-$E$11)/($G$11-$E$11),$E$11+SQRT(U994*($G$11-$E$11)*($F$11-$E$11)),$G$11-SQRT((1-U994)*($G$11-$E$11)*($G$11-$F$11))))</f>
        <v>0.0940276549516787</v>
      </c>
      <c r="H994" s="39" t="n">
        <f aca="false">(('Business Case'!B11*$C994*'Business Case'!B12*$B994)-'Business Case'!B11*$C994*'Business Case'!B13*$D994-'Business Case'!B14*$E994)-MAX(0,(('Business Case'!B11*$C994*'Business Case'!B12*$B994)-'Business Case'!B11*$C994*'Business Case'!B13*$D994-'Business Case'!B14*$E994))*'Business Case'!$B$7-'Business Case'!$B$8*('Business Case'!B11*$C994*'Business Case'!B12*$B994)-'Business Case'!B15*$F994</f>
        <v>-2094696463.80162</v>
      </c>
      <c r="I994" s="39" t="n">
        <f aca="false">(('Business Case'!C11*$C994*'Business Case'!C12*$B994)-'Business Case'!C11*$C994*'Business Case'!C13*$D994-'Business Case'!C14*$E994)-MAX(0,(('Business Case'!C11*$C994*'Business Case'!C12*$B994)-'Business Case'!C11*$C994*'Business Case'!C13*$D994-'Business Case'!C14*$E994))*'Business Case'!$B$7-'Business Case'!$B$8*(('Business Case'!C11*$C994*'Business Case'!C12*$B994)-('Business Case'!B11*$C994*'Business Case'!B12*$B994))-'Business Case'!C15*$F994</f>
        <v>-35019688.0053804</v>
      </c>
      <c r="J994" s="39" t="n">
        <f aca="false">(('Business Case'!D11*$C994*'Business Case'!D12*$B994)-'Business Case'!D11*$C994*'Business Case'!D13*$D994-'Business Case'!D14*$E994)-MAX(0,(('Business Case'!D11*$C994*'Business Case'!D12*$B994)-'Business Case'!D11*$C994*'Business Case'!D13*$D994-'Business Case'!D14*$E994))*'Business Case'!$B$7-'Business Case'!$B$8*(('Business Case'!D11*$C994*'Business Case'!D12*$B994)-('Business Case'!C11*$C994*'Business Case'!C12*$B994))-'Business Case'!D15*$F994</f>
        <v>234943486.800607</v>
      </c>
      <c r="K994" s="39" t="n">
        <f aca="false">(('Business Case'!E11*$C994*'Business Case'!E12*$B994)-'Business Case'!E11*$C994*'Business Case'!E13*$D994-'Business Case'!E14*$E994)-MAX(0,(('Business Case'!E11*$C994*'Business Case'!E12*$B994)-'Business Case'!E11*$C994*'Business Case'!E13*$D994-'Business Case'!E14*$E994))*'Business Case'!$B$7-'Business Case'!$B$8*(('Business Case'!E11*$C994*'Business Case'!E12*$B994)-('Business Case'!D11*$C994*'Business Case'!D12*$B994))-'Business Case'!E15*$F994</f>
        <v>557274073.201634</v>
      </c>
      <c r="L994" s="39" t="n">
        <f aca="false">(('Business Case'!F11*$C994*'Business Case'!F12*$B994)-'Business Case'!F11*$C994*'Business Case'!F13*$D994-'Business Case'!F14*$E994)-MAX(0,(('Business Case'!F11*$C994*'Business Case'!F12*$B994)-'Business Case'!F11*$C994*'Business Case'!F13*$D994-'Business Case'!F14*$E994))*'Business Case'!$B$7-'Business Case'!$B$8*(('Business Case'!F11*$C994*'Business Case'!F12*$B994)-('Business Case'!E11*$C994*'Business Case'!E12*$B994))-'Business Case'!F15*$F994</f>
        <v>679866555.463386</v>
      </c>
      <c r="M994" s="39" t="n">
        <f aca="false">(('Business Case'!G11*$C994*'Business Case'!G12*$B994)-'Business Case'!G11*$C994*'Business Case'!G13*$D994-'Business Case'!G14*$E994)-MAX(0,(('Business Case'!G11*$C994*'Business Case'!G12*$B994)-'Business Case'!G11*$C994*'Business Case'!G13*$D994-'Business Case'!G14*$E994))*'Business Case'!$B$7-'Business Case'!$B$8*(('Business Case'!G11*$C994*'Business Case'!G12*$B994)-('Business Case'!F11*$C994*'Business Case'!F12*$B994))-'Business Case'!G15*$F994+'Business Case'!$B$8*('Business Case'!G11*$C994*'Business Case'!G12*$B994)</f>
        <v>859192720.758707</v>
      </c>
      <c r="N994" s="39" t="n">
        <f aca="false">IF(COUNT('Business Case'!B11:G11)=0,"",H994+NPV(G994,I994:M994))</f>
        <v>-482035928.038678</v>
      </c>
      <c r="P994" s="40" t="n">
        <f aca="true">RAND()</f>
        <v>0.301672548283543</v>
      </c>
      <c r="Q994" s="40" t="n">
        <f aca="true">RAND()</f>
        <v>0.407012985213679</v>
      </c>
      <c r="R994" s="40" t="n">
        <f aca="true">RAND()</f>
        <v>0.578130994377257</v>
      </c>
      <c r="S994" s="40" t="n">
        <f aca="true">RAND()</f>
        <v>0.914948406630799</v>
      </c>
      <c r="T994" s="40" t="n">
        <f aca="true">RAND()</f>
        <v>0.533948753923829</v>
      </c>
      <c r="U994" s="40" t="n">
        <f aca="true">RAND()</f>
        <v>0.0540733480326069</v>
      </c>
    </row>
    <row r="995" customFormat="false" ht="15" hidden="false" customHeight="false" outlineLevel="0" collapsed="false">
      <c r="A995" s="36" t="n">
        <v>915</v>
      </c>
      <c r="B995" s="37" t="n">
        <f aca="false">1+IF($G$6=$E$6,$F$6,IF(P995&lt;($F$6-$E$6)/($G$6-$E$6),$E$6+SQRT(P995*($G$6-$E$6)*($F$6-$E$6)),$G$6-SQRT((1-P995)*($G$6-$E$6)*($G$6-$F$6))))</f>
        <v>0.954453383743042</v>
      </c>
      <c r="C995" s="37" t="n">
        <f aca="false">1+IF($G$7=$E$7,$F$7,IF(Q995&lt;($F$7-$E$7)/($G$7-$E$7),$E$7+SQRT(Q995*($G$7-$E$7)*($F$7-$E$7)),$G$7-SQRT((1-Q995)*($G$7-$E$7)*($G$7-$F$7))))</f>
        <v>0.88314330221863</v>
      </c>
      <c r="D995" s="37" t="n">
        <f aca="false">1+IF($G$8=$E$8,$F$8,IF(R995&lt;($F$8-$E$8)/($G$8-$E$8),$E$8+SQRT(R995*($G$8-$E$8)*($F$8-$E$8)),$G$8-SQRT((1-R995)*($G$8-$E$8)*($G$8-$F$8))))</f>
        <v>1.02138189129994</v>
      </c>
      <c r="E995" s="37" t="n">
        <f aca="false">1+IF($G$9=$E$9,$F$9,IF(S995&lt;($F$9-$E$9)/($G$9-$E$9),$E$9+SQRT(S995*($G$9-$E$9)*($F$9-$E$9)),$G$9-SQRT((1-S995)*($G$9-$E$9)*($G$9-$F$9))))</f>
        <v>1.05245729758925</v>
      </c>
      <c r="F995" s="37" t="n">
        <f aca="false">1+IF($G$10=$E$10,$F$10,IF(T995&lt;($F$10-$E$10)/($G$10-$E$10),$E$10+SQRT(T995*($G$10-$E$10)*($F$10-$E$10)),$G$10-SQRT((1-T995)*($G$10-$E$10)*($G$10-$F$10))))</f>
        <v>0.986748391201475</v>
      </c>
      <c r="G995" s="38" t="n">
        <f aca="false">IF($G$11=$E$11,$F$11,IF(U995&lt;($F$11-$E$11)/($G$11-$E$11),$E$11+SQRT(U995*($G$11-$E$11)*($F$11-$E$11)),$G$11-SQRT((1-U995)*($G$11-$E$11)*($G$11-$F$11))))</f>
        <v>0.0944737326259888</v>
      </c>
      <c r="H995" s="39" t="n">
        <f aca="false">(('Business Case'!B11*$C995*'Business Case'!B12*$B995)-'Business Case'!B11*$C995*'Business Case'!B13*$D995-'Business Case'!B14*$E995)-MAX(0,(('Business Case'!B11*$C995*'Business Case'!B12*$B995)-'Business Case'!B11*$C995*'Business Case'!B13*$D995-'Business Case'!B14*$E995))*'Business Case'!$B$7-'Business Case'!$B$8*('Business Case'!B11*$C995*'Business Case'!B12*$B995)-'Business Case'!B15*$F995</f>
        <v>-1973496782.40295</v>
      </c>
      <c r="I995" s="39" t="n">
        <f aca="false">(('Business Case'!C11*$C995*'Business Case'!C12*$B995)-'Business Case'!C11*$C995*'Business Case'!C13*$D995-'Business Case'!C14*$E995)-MAX(0,(('Business Case'!C11*$C995*'Business Case'!C12*$B995)-'Business Case'!C11*$C995*'Business Case'!C13*$D995-'Business Case'!C14*$E995))*'Business Case'!$B$7-'Business Case'!$B$8*(('Business Case'!C11*$C995*'Business Case'!C12*$B995)-('Business Case'!B11*$C995*'Business Case'!B12*$B995))-'Business Case'!C15*$F995</f>
        <v>-63385194.7744778</v>
      </c>
      <c r="J995" s="39" t="n">
        <f aca="false">(('Business Case'!D11*$C995*'Business Case'!D12*$B995)-'Business Case'!D11*$C995*'Business Case'!D13*$D995-'Business Case'!D14*$E995)-MAX(0,(('Business Case'!D11*$C995*'Business Case'!D12*$B995)-'Business Case'!D11*$C995*'Business Case'!D13*$D995-'Business Case'!D14*$E995))*'Business Case'!$B$7-'Business Case'!$B$8*(('Business Case'!D11*$C995*'Business Case'!D12*$B995)-('Business Case'!C11*$C995*'Business Case'!C12*$B995))-'Business Case'!D15*$F995</f>
        <v>165260804.113176</v>
      </c>
      <c r="K995" s="39" t="n">
        <f aca="false">(('Business Case'!E11*$C995*'Business Case'!E12*$B995)-'Business Case'!E11*$C995*'Business Case'!E13*$D995-'Business Case'!E14*$E995)-MAX(0,(('Business Case'!E11*$C995*'Business Case'!E12*$B995)-'Business Case'!E11*$C995*'Business Case'!E13*$D995-'Business Case'!E14*$E995))*'Business Case'!$B$7-'Business Case'!$B$8*(('Business Case'!E11*$C995*'Business Case'!E12*$B995)-('Business Case'!D11*$C995*'Business Case'!D12*$B995))-'Business Case'!E15*$F995</f>
        <v>443244222.560904</v>
      </c>
      <c r="L995" s="39" t="n">
        <f aca="false">(('Business Case'!F11*$C995*'Business Case'!F12*$B995)-'Business Case'!F11*$C995*'Business Case'!F13*$D995-'Business Case'!F14*$E995)-MAX(0,(('Business Case'!F11*$C995*'Business Case'!F12*$B995)-'Business Case'!F11*$C995*'Business Case'!F13*$D995-'Business Case'!F14*$E995))*'Business Case'!$B$7-'Business Case'!$B$8*(('Business Case'!F11*$C995*'Business Case'!F12*$B995)-('Business Case'!E11*$C995*'Business Case'!E12*$B995))-'Business Case'!F15*$F995</f>
        <v>548590840.073316</v>
      </c>
      <c r="M995" s="39" t="n">
        <f aca="false">(('Business Case'!G11*$C995*'Business Case'!G12*$B995)-'Business Case'!G11*$C995*'Business Case'!G13*$D995-'Business Case'!G14*$E995)-MAX(0,(('Business Case'!G11*$C995*'Business Case'!G12*$B995)-'Business Case'!G11*$C995*'Business Case'!G13*$D995-'Business Case'!G14*$E995))*'Business Case'!$B$7-'Business Case'!$B$8*(('Business Case'!G11*$C995*'Business Case'!G12*$B995)-('Business Case'!F11*$C995*'Business Case'!F12*$B995))-'Business Case'!G15*$F995+'Business Case'!$B$8*('Business Case'!G11*$C995*'Business Case'!G12*$B995)</f>
        <v>708812905.097556</v>
      </c>
      <c r="N995" s="39" t="n">
        <f aca="false">IF(COUNT('Business Case'!B11:G11)=0,"",H995+NPV(G995,I995:M995))</f>
        <v>-721701577.42156</v>
      </c>
      <c r="P995" s="40" t="n">
        <f aca="true">RAND()</f>
        <v>0.123649547015139</v>
      </c>
      <c r="Q995" s="40" t="n">
        <f aca="true">RAND()</f>
        <v>0.0987544100545491</v>
      </c>
      <c r="R995" s="40" t="n">
        <f aca="true">RAND()</f>
        <v>0.669607435810364</v>
      </c>
      <c r="S995" s="40" t="n">
        <f aca="true">RAND()</f>
        <v>0.849312763165526</v>
      </c>
      <c r="T995" s="40" t="n">
        <f aca="true">RAND()</f>
        <v>0.108035540471731</v>
      </c>
      <c r="U995" s="40" t="n">
        <f aca="true">RAND()</f>
        <v>0.0667142786961208</v>
      </c>
    </row>
    <row r="996" customFormat="false" ht="15" hidden="false" customHeight="false" outlineLevel="0" collapsed="false">
      <c r="A996" s="36" t="n">
        <v>916</v>
      </c>
      <c r="B996" s="37" t="n">
        <f aca="false">1+IF($G$6=$E$6,$F$6,IF(P996&lt;($F$6-$E$6)/($G$6-$E$6),$E$6+SQRT(P996*($G$6-$E$6)*($F$6-$E$6)),$G$6-SQRT((1-P996)*($G$6-$E$6)*($G$6-$F$6))))</f>
        <v>0.986513902581904</v>
      </c>
      <c r="C996" s="37" t="n">
        <f aca="false">1+IF($G$7=$E$7,$F$7,IF(Q996&lt;($F$7-$E$7)/($G$7-$E$7),$E$7+SQRT(Q996*($G$7-$E$7)*($F$7-$E$7)),$G$7-SQRT((1-Q996)*($G$7-$E$7)*($G$7-$F$7))))</f>
        <v>1.02596446219719</v>
      </c>
      <c r="D996" s="37" t="n">
        <f aca="false">1+IF($G$8=$E$8,$F$8,IF(R996&lt;($F$8-$E$8)/($G$8-$E$8),$E$8+SQRT(R996*($G$8-$E$8)*($F$8-$E$8)),$G$8-SQRT((1-R996)*($G$8-$E$8)*($G$8-$F$8))))</f>
        <v>1.02171255271881</v>
      </c>
      <c r="E996" s="37" t="n">
        <f aca="false">1+IF($G$9=$E$9,$F$9,IF(S996&lt;($F$9-$E$9)/($G$9-$E$9),$E$9+SQRT(S996*($G$9-$E$9)*($F$9-$E$9)),$G$9-SQRT((1-S996)*($G$9-$E$9)*($G$9-$F$9))))</f>
        <v>1.00807753968175</v>
      </c>
      <c r="F996" s="37" t="n">
        <f aca="false">1+IF($G$10=$E$10,$F$10,IF(T996&lt;($F$10-$E$10)/($G$10-$E$10),$E$10+SQRT(T996*($G$10-$E$10)*($F$10-$E$10)),$G$10-SQRT((1-T996)*($G$10-$E$10)*($G$10-$F$10))))</f>
        <v>1.02653809784312</v>
      </c>
      <c r="G996" s="38" t="n">
        <f aca="false">IF($G$11=$E$11,$F$11,IF(U996&lt;($F$11-$E$11)/($G$11-$E$11),$E$11+SQRT(U996*($G$11-$E$11)*($F$11-$E$11)),$G$11-SQRT((1-U996)*($G$11-$E$11)*($G$11-$F$11))))</f>
        <v>0.0983281948226433</v>
      </c>
      <c r="H996" s="39" t="n">
        <f aca="false">(('Business Case'!B11*$C996*'Business Case'!B12*$B996)-'Business Case'!B11*$C996*'Business Case'!B13*$D996-'Business Case'!B14*$E996)-MAX(0,(('Business Case'!B11*$C996*'Business Case'!B12*$B996)-'Business Case'!B11*$C996*'Business Case'!B13*$D996-'Business Case'!B14*$E996))*'Business Case'!$B$7-'Business Case'!$B$8*('Business Case'!B11*$C996*'Business Case'!B12*$B996)-'Business Case'!B15*$F996</f>
        <v>-2053076195.68624</v>
      </c>
      <c r="I996" s="39" t="n">
        <f aca="false">(('Business Case'!C11*$C996*'Business Case'!C12*$B996)-'Business Case'!C11*$C996*'Business Case'!C13*$D996-'Business Case'!C14*$E996)-MAX(0,(('Business Case'!C11*$C996*'Business Case'!C12*$B996)-'Business Case'!C11*$C996*'Business Case'!C13*$D996-'Business Case'!C14*$E996))*'Business Case'!$B$7-'Business Case'!$B$8*(('Business Case'!C11*$C996*'Business Case'!C12*$B996)-('Business Case'!B11*$C996*'Business Case'!B12*$B996))-'Business Case'!C15*$F996</f>
        <v>-6080703.36490017</v>
      </c>
      <c r="J996" s="39" t="n">
        <f aca="false">(('Business Case'!D11*$C996*'Business Case'!D12*$B996)-'Business Case'!D11*$C996*'Business Case'!D13*$D996-'Business Case'!D14*$E996)-MAX(0,(('Business Case'!D11*$C996*'Business Case'!D12*$B996)-'Business Case'!D11*$C996*'Business Case'!D13*$D996-'Business Case'!D14*$E996))*'Business Case'!$B$7-'Business Case'!$B$8*(('Business Case'!D11*$C996*'Business Case'!D12*$B996)-('Business Case'!C11*$C996*'Business Case'!C12*$B996))-'Business Case'!D15*$F996</f>
        <v>286309755.371025</v>
      </c>
      <c r="K996" s="39" t="n">
        <f aca="false">(('Business Case'!E11*$C996*'Business Case'!E12*$B996)-'Business Case'!E11*$C996*'Business Case'!E13*$D996-'Business Case'!E14*$E996)-MAX(0,(('Business Case'!E11*$C996*'Business Case'!E12*$B996)-'Business Case'!E11*$C996*'Business Case'!E13*$D996-'Business Case'!E14*$E996))*'Business Case'!$B$7-'Business Case'!$B$8*(('Business Case'!E11*$C996*'Business Case'!E12*$B996)-('Business Case'!D11*$C996*'Business Case'!D12*$B996))-'Business Case'!E15*$F996</f>
        <v>630027118.999106</v>
      </c>
      <c r="L996" s="39" t="n">
        <f aca="false">(('Business Case'!F11*$C996*'Business Case'!F12*$B996)-'Business Case'!F11*$C996*'Business Case'!F13*$D996-'Business Case'!F14*$E996)-MAX(0,(('Business Case'!F11*$C996*'Business Case'!F12*$B996)-'Business Case'!F11*$C996*'Business Case'!F13*$D996-'Business Case'!F14*$E996))*'Business Case'!$B$7-'Business Case'!$B$8*(('Business Case'!F11*$C996*'Business Case'!F12*$B996)-('Business Case'!E11*$C996*'Business Case'!E12*$B996))-'Business Case'!F15*$F996</f>
        <v>762469756.026926</v>
      </c>
      <c r="M996" s="39" t="n">
        <f aca="false">(('Business Case'!G11*$C996*'Business Case'!G12*$B996)-'Business Case'!G11*$C996*'Business Case'!G13*$D996-'Business Case'!G14*$E996)-MAX(0,(('Business Case'!G11*$C996*'Business Case'!G12*$B996)-'Business Case'!G11*$C996*'Business Case'!G13*$D996-'Business Case'!G14*$E996))*'Business Case'!$B$7-'Business Case'!$B$8*(('Business Case'!G11*$C996*'Business Case'!G12*$B996)-('Business Case'!F11*$C996*'Business Case'!F12*$B996))-'Business Case'!G15*$F996+'Business Case'!$B$8*('Business Case'!G11*$C996*'Business Case'!G12*$B996)</f>
        <v>954855085.330741</v>
      </c>
      <c r="N996" s="39" t="n">
        <f aca="false">IF(COUNT('Business Case'!B11:G11)=0,"",H996+NPV(G996,I996:M996))</f>
        <v>-224387450.880992</v>
      </c>
      <c r="P996" s="40" t="n">
        <f aca="true">RAND()</f>
        <v>0.460843670486974</v>
      </c>
      <c r="Q996" s="40" t="n">
        <f aca="true">RAND()</f>
        <v>0.706955911656531</v>
      </c>
      <c r="R996" s="40" t="n">
        <f aca="true">RAND()</f>
        <v>0.673324373984832</v>
      </c>
      <c r="S996" s="40" t="n">
        <f aca="true">RAND()</f>
        <v>0.436684085936035</v>
      </c>
      <c r="T996" s="40" t="n">
        <f aca="true">RAND()</f>
        <v>0.398219370002337</v>
      </c>
      <c r="U996" s="40" t="n">
        <f aca="true">RAND()</f>
        <v>0.231196096679673</v>
      </c>
    </row>
    <row r="997" customFormat="false" ht="15" hidden="false" customHeight="false" outlineLevel="0" collapsed="false">
      <c r="A997" s="36" t="n">
        <v>917</v>
      </c>
      <c r="B997" s="37" t="n">
        <f aca="false">1+IF($G$6=$E$6,$F$6,IF(P997&lt;($F$6-$E$6)/($G$6-$E$6),$E$6+SQRT(P997*($G$6-$E$6)*($F$6-$E$6)),$G$6-SQRT((1-P997)*($G$6-$E$6)*($G$6-$F$6))))</f>
        <v>0.973745998767099</v>
      </c>
      <c r="C997" s="37" t="n">
        <f aca="false">1+IF($G$7=$E$7,$F$7,IF(Q997&lt;($F$7-$E$7)/($G$7-$E$7),$E$7+SQRT(Q997*($G$7-$E$7)*($F$7-$E$7)),$G$7-SQRT((1-Q997)*($G$7-$E$7)*($G$7-$F$7))))</f>
        <v>0.827156734605695</v>
      </c>
      <c r="D997" s="37" t="n">
        <f aca="false">1+IF($G$8=$E$8,$F$8,IF(R997&lt;($F$8-$E$8)/($G$8-$E$8),$E$8+SQRT(R997*($G$8-$E$8)*($F$8-$E$8)),$G$8-SQRT((1-R997)*($G$8-$E$8)*($G$8-$F$8))))</f>
        <v>1.05134712924802</v>
      </c>
      <c r="E997" s="37" t="n">
        <f aca="false">1+IF($G$9=$E$9,$F$9,IF(S997&lt;($F$9-$E$9)/($G$9-$E$9),$E$9+SQRT(S997*($G$9-$E$9)*($F$9-$E$9)),$G$9-SQRT((1-S997)*($G$9-$E$9)*($G$9-$F$9))))</f>
        <v>0.997750440470187</v>
      </c>
      <c r="F997" s="37" t="n">
        <f aca="false">1+IF($G$10=$E$10,$F$10,IF(T997&lt;($F$10-$E$10)/($G$10-$E$10),$E$10+SQRT(T997*($G$10-$E$10)*($F$10-$E$10)),$G$10-SQRT((1-T997)*($G$10-$E$10)*($G$10-$F$10))))</f>
        <v>1.13400858428905</v>
      </c>
      <c r="G997" s="38" t="n">
        <f aca="false">IF($G$11=$E$11,$F$11,IF(U997&lt;($F$11-$E$11)/($G$11-$E$11),$E$11+SQRT(U997*($G$11-$E$11)*($F$11-$E$11)),$G$11-SQRT((1-U997)*($G$11-$E$11)*($G$11-$F$11))))</f>
        <v>0.11675466127673</v>
      </c>
      <c r="H997" s="39" t="n">
        <f aca="false">(('Business Case'!B11*$C997*'Business Case'!B12*$B997)-'Business Case'!B11*$C997*'Business Case'!B13*$D997-'Business Case'!B14*$E997)-MAX(0,(('Business Case'!B11*$C997*'Business Case'!B12*$B997)-'Business Case'!B11*$C997*'Business Case'!B13*$D997-'Business Case'!B14*$E997))*'Business Case'!$B$7-'Business Case'!$B$8*('Business Case'!B11*$C997*'Business Case'!B12*$B997)-'Business Case'!B15*$F997</f>
        <v>-2268017168.5781</v>
      </c>
      <c r="I997" s="39" t="n">
        <f aca="false">(('Business Case'!C11*$C997*'Business Case'!C12*$B997)-'Business Case'!C11*$C997*'Business Case'!C13*$D997-'Business Case'!C14*$E997)-MAX(0,(('Business Case'!C11*$C997*'Business Case'!C12*$B997)-'Business Case'!C11*$C997*'Business Case'!C13*$D997-'Business Case'!C14*$E997))*'Business Case'!$B$7-'Business Case'!$B$8*(('Business Case'!C11*$C997*'Business Case'!C12*$B997)-('Business Case'!B11*$C997*'Business Case'!B12*$B997))-'Business Case'!C15*$F997</f>
        <v>-82501603.9901913</v>
      </c>
      <c r="J997" s="39" t="n">
        <f aca="false">(('Business Case'!D11*$C997*'Business Case'!D12*$B997)-'Business Case'!D11*$C997*'Business Case'!D13*$D997-'Business Case'!D14*$E997)-MAX(0,(('Business Case'!D11*$C997*'Business Case'!D12*$B997)-'Business Case'!D11*$C997*'Business Case'!D13*$D997-'Business Case'!D14*$E997))*'Business Case'!$B$7-'Business Case'!$B$8*(('Business Case'!D11*$C997*'Business Case'!D12*$B997)-('Business Case'!C11*$C997*'Business Case'!C12*$B997))-'Business Case'!D15*$F997</f>
        <v>132031801.748804</v>
      </c>
      <c r="K997" s="39" t="n">
        <f aca="false">(('Business Case'!E11*$C997*'Business Case'!E12*$B997)-'Business Case'!E11*$C997*'Business Case'!E13*$D997-'Business Case'!E14*$E997)-MAX(0,(('Business Case'!E11*$C997*'Business Case'!E12*$B997)-'Business Case'!E11*$C997*'Business Case'!E13*$D997-'Business Case'!E14*$E997))*'Business Case'!$B$7-'Business Case'!$B$8*(('Business Case'!E11*$C997*'Business Case'!E12*$B997)-('Business Case'!D11*$C997*'Business Case'!D12*$B997))-'Business Case'!E15*$F997</f>
        <v>403265636.702251</v>
      </c>
      <c r="L997" s="39" t="n">
        <f aca="false">(('Business Case'!F11*$C997*'Business Case'!F12*$B997)-'Business Case'!F11*$C997*'Business Case'!F13*$D997-'Business Case'!F14*$E997)-MAX(0,(('Business Case'!F11*$C997*'Business Case'!F12*$B997)-'Business Case'!F11*$C997*'Business Case'!F13*$D997-'Business Case'!F14*$E997))*'Business Case'!$B$7-'Business Case'!$B$8*(('Business Case'!F11*$C997*'Business Case'!F12*$B997)-('Business Case'!E11*$C997*'Business Case'!E12*$B997))-'Business Case'!F15*$F997</f>
        <v>502612797.72553</v>
      </c>
      <c r="M997" s="39" t="n">
        <f aca="false">(('Business Case'!G11*$C997*'Business Case'!G12*$B997)-'Business Case'!G11*$C997*'Business Case'!G13*$D997-'Business Case'!G14*$E997)-MAX(0,(('Business Case'!G11*$C997*'Business Case'!G12*$B997)-'Business Case'!G11*$C997*'Business Case'!G13*$D997-'Business Case'!G14*$E997))*'Business Case'!$B$7-'Business Case'!$B$8*(('Business Case'!G11*$C997*'Business Case'!G12*$B997)-('Business Case'!F11*$C997*'Business Case'!F12*$B997))-'Business Case'!G15*$F997+'Business Case'!$B$8*('Business Case'!G11*$C997*'Business Case'!G12*$B997)</f>
        <v>655710939.49874</v>
      </c>
      <c r="N997" s="39" t="n">
        <f aca="false">IF(COUNT('Business Case'!B11:G11)=0,"",H997+NPV(G997,I997:M997))</f>
        <v>-1245825114.20993</v>
      </c>
      <c r="P997" s="40" t="n">
        <f aca="true">RAND()</f>
        <v>0.300899206611773</v>
      </c>
      <c r="Q997" s="40" t="n">
        <f aca="true">RAND()</f>
        <v>0.0105355462063449</v>
      </c>
      <c r="R997" s="40" t="n">
        <f aca="true">RAND()</f>
        <v>0.921058942083684</v>
      </c>
      <c r="S997" s="40" t="n">
        <f aca="true">RAND()</f>
        <v>0.304013942012909</v>
      </c>
      <c r="T997" s="40" t="n">
        <f aca="true">RAND()</f>
        <v>0.912902661049292</v>
      </c>
      <c r="U997" s="40" t="n">
        <f aca="true">RAND()</f>
        <v>0.982446294285409</v>
      </c>
    </row>
    <row r="998" customFormat="false" ht="15" hidden="false" customHeight="false" outlineLevel="0" collapsed="false">
      <c r="A998" s="36" t="n">
        <v>918</v>
      </c>
      <c r="B998" s="37" t="n">
        <f aca="false">1+IF($G$6=$E$6,$F$6,IF(P998&lt;($F$6-$E$6)/($G$6-$E$6),$E$6+SQRT(P998*($G$6-$E$6)*($F$6-$E$6)),$G$6-SQRT((1-P998)*($G$6-$E$6)*($G$6-$F$6))))</f>
        <v>1.02009579921764</v>
      </c>
      <c r="C998" s="37" t="n">
        <f aca="false">1+IF($G$7=$E$7,$F$7,IF(Q998&lt;($F$7-$E$7)/($G$7-$E$7),$E$7+SQRT(Q998*($G$7-$E$7)*($F$7-$E$7)),$G$7-SQRT((1-Q998)*($G$7-$E$7)*($G$7-$F$7))))</f>
        <v>0.949484755520427</v>
      </c>
      <c r="D998" s="37" t="n">
        <f aca="false">1+IF($G$8=$E$8,$F$8,IF(R998&lt;($F$8-$E$8)/($G$8-$E$8),$E$8+SQRT(R998*($G$8-$E$8)*($F$8-$E$8)),$G$8-SQRT((1-R998)*($G$8-$E$8)*($G$8-$F$8))))</f>
        <v>1.02731736874472</v>
      </c>
      <c r="E998" s="37" t="n">
        <f aca="false">1+IF($G$9=$E$9,$F$9,IF(S998&lt;($F$9-$E$9)/($G$9-$E$9),$E$9+SQRT(S998*($G$9-$E$9)*($F$9-$E$9)),$G$9-SQRT((1-S998)*($G$9-$E$9)*($G$9-$F$9))))</f>
        <v>1.06104043454637</v>
      </c>
      <c r="F998" s="37" t="n">
        <f aca="false">1+IF($G$10=$E$10,$F$10,IF(T998&lt;($F$10-$E$10)/($G$10-$E$10),$E$10+SQRT(T998*($G$10-$E$10)*($F$10-$E$10)),$G$10-SQRT((1-T998)*($G$10-$E$10)*($G$10-$F$10))))</f>
        <v>0.985853611318825</v>
      </c>
      <c r="G998" s="38" t="n">
        <f aca="false">IF($G$11=$E$11,$F$11,IF(U998&lt;($F$11-$E$11)/($G$11-$E$11),$E$11+SQRT(U998*($G$11-$E$11)*($F$11-$E$11)),$G$11-SQRT((1-U998)*($G$11-$E$11)*($G$11-$F$11))))</f>
        <v>0.0985795272573596</v>
      </c>
      <c r="H998" s="39" t="n">
        <f aca="false">(('Business Case'!B11*$C998*'Business Case'!B12*$B998)-'Business Case'!B11*$C998*'Business Case'!B13*$D998-'Business Case'!B14*$E998)-MAX(0,(('Business Case'!B11*$C998*'Business Case'!B12*$B998)-'Business Case'!B11*$C998*'Business Case'!B13*$D998-'Business Case'!B14*$E998))*'Business Case'!$B$7-'Business Case'!$B$8*('Business Case'!B11*$C998*'Business Case'!B12*$B998)-'Business Case'!B15*$F998</f>
        <v>-1971707222.63765</v>
      </c>
      <c r="I998" s="39" t="n">
        <f aca="false">(('Business Case'!C11*$C998*'Business Case'!C12*$B998)-'Business Case'!C11*$C998*'Business Case'!C13*$D998-'Business Case'!C14*$E998)-MAX(0,(('Business Case'!C11*$C998*'Business Case'!C12*$B998)-'Business Case'!C11*$C998*'Business Case'!C13*$D998-'Business Case'!C14*$E998))*'Business Case'!$B$7-'Business Case'!$B$8*(('Business Case'!C11*$C998*'Business Case'!C12*$B998)-('Business Case'!B11*$C998*'Business Case'!B12*$B998))-'Business Case'!C15*$F998</f>
        <v>-5689056.62071778</v>
      </c>
      <c r="J998" s="39" t="n">
        <f aca="false">(('Business Case'!D11*$C998*'Business Case'!D12*$B998)-'Business Case'!D11*$C998*'Business Case'!D13*$D998-'Business Case'!D14*$E998)-MAX(0,(('Business Case'!D11*$C998*'Business Case'!D12*$B998)-'Business Case'!D11*$C998*'Business Case'!D13*$D998-'Business Case'!D14*$E998))*'Business Case'!$B$7-'Business Case'!$B$8*(('Business Case'!D11*$C998*'Business Case'!D12*$B998)-('Business Case'!C11*$C998*'Business Case'!C12*$B998))-'Business Case'!D15*$F998</f>
        <v>288297628.56469</v>
      </c>
      <c r="K998" s="39" t="n">
        <f aca="false">(('Business Case'!E11*$C998*'Business Case'!E12*$B998)-'Business Case'!E11*$C998*'Business Case'!E13*$D998-'Business Case'!E14*$E998)-MAX(0,(('Business Case'!E11*$C998*'Business Case'!E12*$B998)-'Business Case'!E11*$C998*'Business Case'!E13*$D998-'Business Case'!E14*$E998))*'Business Case'!$B$7-'Business Case'!$B$8*(('Business Case'!E11*$C998*'Business Case'!E12*$B998)-('Business Case'!D11*$C998*'Business Case'!D12*$B998))-'Business Case'!E15*$F998</f>
        <v>631576994.31604</v>
      </c>
      <c r="L998" s="39" t="n">
        <f aca="false">(('Business Case'!F11*$C998*'Business Case'!F12*$B998)-'Business Case'!F11*$C998*'Business Case'!F13*$D998-'Business Case'!F14*$E998)-MAX(0,(('Business Case'!F11*$C998*'Business Case'!F12*$B998)-'Business Case'!F11*$C998*'Business Case'!F13*$D998-'Business Case'!F14*$E998))*'Business Case'!$B$7-'Business Case'!$B$8*(('Business Case'!F11*$C998*'Business Case'!F12*$B998)-('Business Case'!E11*$C998*'Business Case'!E12*$B998))-'Business Case'!F15*$F998</f>
        <v>763046176.632342</v>
      </c>
      <c r="M998" s="39" t="n">
        <f aca="false">(('Business Case'!G11*$C998*'Business Case'!G12*$B998)-'Business Case'!G11*$C998*'Business Case'!G13*$D998-'Business Case'!G14*$E998)-MAX(0,(('Business Case'!G11*$C998*'Business Case'!G12*$B998)-'Business Case'!G11*$C998*'Business Case'!G13*$D998-'Business Case'!G14*$E998))*'Business Case'!$B$7-'Business Case'!$B$8*(('Business Case'!G11*$C998*'Business Case'!G12*$B998)-('Business Case'!F11*$C998*'Business Case'!F12*$B998))-'Business Case'!G15*$F998+'Business Case'!$B$8*('Business Case'!G11*$C998*'Business Case'!G12*$B998)</f>
        <v>947151089.865423</v>
      </c>
      <c r="N998" s="39" t="n">
        <f aca="false">IF(COUNT('Business Case'!B11:G11)=0,"",H998+NPV(G998,I998:M998))</f>
        <v>-145860717.034285</v>
      </c>
      <c r="P998" s="40" t="n">
        <f aca="true">RAND()</f>
        <v>0.917463081503222</v>
      </c>
      <c r="Q998" s="40" t="n">
        <f aca="true">RAND()</f>
        <v>0.319224173328596</v>
      </c>
      <c r="R998" s="40" t="n">
        <f aca="true">RAND()</f>
        <v>0.733128881155826</v>
      </c>
      <c r="S998" s="40" t="n">
        <f aca="true">RAND()</f>
        <v>0.898810150644292</v>
      </c>
      <c r="T998" s="40" t="n">
        <f aca="true">RAND()</f>
        <v>0.10283851556811</v>
      </c>
      <c r="U998" s="40" t="n">
        <f aca="true">RAND()</f>
        <v>0.245360959865921</v>
      </c>
    </row>
    <row r="999" customFormat="false" ht="15" hidden="false" customHeight="false" outlineLevel="0" collapsed="false">
      <c r="A999" s="36" t="n">
        <v>919</v>
      </c>
      <c r="B999" s="37" t="n">
        <f aca="false">1+IF($G$6=$E$6,$F$6,IF(P999&lt;($F$6-$E$6)/($G$6-$E$6),$E$6+SQRT(P999*($G$6-$E$6)*($F$6-$E$6)),$G$6-SQRT((1-P999)*($G$6-$E$6)*($G$6-$F$6))))</f>
        <v>1.02022271440341</v>
      </c>
      <c r="C999" s="37" t="n">
        <f aca="false">1+IF($G$7=$E$7,$F$7,IF(Q999&lt;($F$7-$E$7)/($G$7-$E$7),$E$7+SQRT(Q999*($G$7-$E$7)*($F$7-$E$7)),$G$7-SQRT((1-Q999)*($G$7-$E$7)*($G$7-$F$7))))</f>
        <v>0.979618540690722</v>
      </c>
      <c r="D999" s="37" t="n">
        <f aca="false">1+IF($G$8=$E$8,$F$8,IF(R999&lt;($F$8-$E$8)/($G$8-$E$8),$E$8+SQRT(R999*($G$8-$E$8)*($F$8-$E$8)),$G$8-SQRT((1-R999)*($G$8-$E$8)*($G$8-$F$8))))</f>
        <v>0.988138268474858</v>
      </c>
      <c r="E999" s="37" t="n">
        <f aca="false">1+IF($G$9=$E$9,$F$9,IF(S999&lt;($F$9-$E$9)/($G$9-$E$9),$E$9+SQRT(S999*($G$9-$E$9)*($F$9-$E$9)),$G$9-SQRT((1-S999)*($G$9-$E$9)*($G$9-$F$9))))</f>
        <v>1.0504655586288</v>
      </c>
      <c r="F999" s="37" t="n">
        <f aca="false">1+IF($G$10=$E$10,$F$10,IF(T999&lt;($F$10-$E$10)/($G$10-$E$10),$E$10+SQRT(T999*($G$10-$E$10)*($F$10-$E$10)),$G$10-SQRT((1-T999)*($G$10-$E$10)*($G$10-$F$10))))</f>
        <v>1.03597945469982</v>
      </c>
      <c r="G999" s="38" t="n">
        <f aca="false">IF($G$11=$E$11,$F$11,IF(U999&lt;($F$11-$E$11)/($G$11-$E$11),$E$11+SQRT(U999*($G$11-$E$11)*($F$11-$E$11)),$G$11-SQRT((1-U999)*($G$11-$E$11)*($G$11-$F$11))))</f>
        <v>0.10977406409053</v>
      </c>
      <c r="H999" s="39" t="n">
        <f aca="false">(('Business Case'!B11*$C999*'Business Case'!B12*$B999)-'Business Case'!B11*$C999*'Business Case'!B13*$D999-'Business Case'!B14*$E999)-MAX(0,(('Business Case'!B11*$C999*'Business Case'!B12*$B999)-'Business Case'!B11*$C999*'Business Case'!B13*$D999-'Business Case'!B14*$E999))*'Business Case'!$B$7-'Business Case'!$B$8*('Business Case'!B11*$C999*'Business Case'!B12*$B999)-'Business Case'!B15*$F999</f>
        <v>-2071958909.39964</v>
      </c>
      <c r="I999" s="39" t="n">
        <f aca="false">(('Business Case'!C11*$C999*'Business Case'!C12*$B999)-'Business Case'!C11*$C999*'Business Case'!C13*$D999-'Business Case'!C14*$E999)-MAX(0,(('Business Case'!C11*$C999*'Business Case'!C12*$B999)-'Business Case'!C11*$C999*'Business Case'!C13*$D999-'Business Case'!C14*$E999))*'Business Case'!$B$7-'Business Case'!$B$8*(('Business Case'!C11*$C999*'Business Case'!C12*$B999)-('Business Case'!B11*$C999*'Business Case'!B12*$B999))-'Business Case'!C15*$F999</f>
        <v>18282001.8926485</v>
      </c>
      <c r="J999" s="39" t="n">
        <f aca="false">(('Business Case'!D11*$C999*'Business Case'!D12*$B999)-'Business Case'!D11*$C999*'Business Case'!D13*$D999-'Business Case'!D14*$E999)-MAX(0,(('Business Case'!D11*$C999*'Business Case'!D12*$B999)-'Business Case'!D11*$C999*'Business Case'!D13*$D999-'Business Case'!D14*$E999))*'Business Case'!$B$7-'Business Case'!$B$8*(('Business Case'!D11*$C999*'Business Case'!D12*$B999)-('Business Case'!C11*$C999*'Business Case'!C12*$B999))-'Business Case'!D15*$F999</f>
        <v>341348555.544925</v>
      </c>
      <c r="K999" s="39" t="n">
        <f aca="false">(('Business Case'!E11*$C999*'Business Case'!E12*$B999)-'Business Case'!E11*$C999*'Business Case'!E13*$D999-'Business Case'!E14*$E999)-MAX(0,(('Business Case'!E11*$C999*'Business Case'!E12*$B999)-'Business Case'!E11*$C999*'Business Case'!E13*$D999-'Business Case'!E14*$E999))*'Business Case'!$B$7-'Business Case'!$B$8*(('Business Case'!E11*$C999*'Business Case'!E12*$B999)-('Business Case'!D11*$C999*'Business Case'!D12*$B999))-'Business Case'!E15*$F999</f>
        <v>716214081.932193</v>
      </c>
      <c r="L999" s="39" t="n">
        <f aca="false">(('Business Case'!F11*$C999*'Business Case'!F12*$B999)-'Business Case'!F11*$C999*'Business Case'!F13*$D999-'Business Case'!F14*$E999)-MAX(0,(('Business Case'!F11*$C999*'Business Case'!F12*$B999)-'Business Case'!F11*$C999*'Business Case'!F13*$D999-'Business Case'!F14*$E999))*'Business Case'!$B$7-'Business Case'!$B$8*(('Business Case'!F11*$C999*'Business Case'!F12*$B999)-('Business Case'!E11*$C999*'Business Case'!E12*$B999))-'Business Case'!F15*$F999</f>
        <v>858443202.384705</v>
      </c>
      <c r="M999" s="39" t="n">
        <f aca="false">(('Business Case'!G11*$C999*'Business Case'!G12*$B999)-'Business Case'!G11*$C999*'Business Case'!G13*$D999-'Business Case'!G14*$E999)-MAX(0,(('Business Case'!G11*$C999*'Business Case'!G12*$B999)-'Business Case'!G11*$C999*'Business Case'!G13*$D999-'Business Case'!G14*$E999))*'Business Case'!$B$7-'Business Case'!$B$8*(('Business Case'!G11*$C999*'Business Case'!G12*$B999)-('Business Case'!F11*$C999*'Business Case'!F12*$B999))-'Business Case'!G15*$F999+'Business Case'!$B$8*('Business Case'!G11*$C999*'Business Case'!G12*$B999)</f>
        <v>1048414683.17768</v>
      </c>
      <c r="N999" s="39" t="n">
        <f aca="false">IF(COUNT('Business Case'!B11:G11)=0,"",H999+NPV(G999,I999:M999))</f>
        <v>-65556387.5270832</v>
      </c>
      <c r="P999" s="40" t="n">
        <f aca="true">RAND()</f>
        <v>0.918512286339741</v>
      </c>
      <c r="Q999" s="40" t="n">
        <f aca="true">RAND()</f>
        <v>0.460897430855209</v>
      </c>
      <c r="R999" s="40" t="n">
        <f aca="true">RAND()</f>
        <v>0.223773464963127</v>
      </c>
      <c r="S999" s="40" t="n">
        <f aca="true">RAND()</f>
        <v>0.83642260786957</v>
      </c>
      <c r="T999" s="40" t="n">
        <f aca="true">RAND()</f>
        <v>0.461945214388622</v>
      </c>
      <c r="U999" s="40" t="n">
        <f aca="true">RAND()</f>
        <v>0.825717057959034</v>
      </c>
    </row>
    <row r="1000" customFormat="false" ht="15" hidden="false" customHeight="false" outlineLevel="0" collapsed="false">
      <c r="A1000" s="36" t="n">
        <v>920</v>
      </c>
      <c r="B1000" s="37" t="n">
        <f aca="false">1+IF($G$6=$E$6,$F$6,IF(P1000&lt;($F$6-$E$6)/($G$6-$E$6),$E$6+SQRT(P1000*($G$6-$E$6)*($F$6-$E$6)),$G$6-SQRT((1-P1000)*($G$6-$E$6)*($G$6-$F$6))))</f>
        <v>0.965295393164804</v>
      </c>
      <c r="C1000" s="37" t="n">
        <f aca="false">1+IF($G$7=$E$7,$F$7,IF(Q1000&lt;($F$7-$E$7)/($G$7-$E$7),$E$7+SQRT(Q1000*($G$7-$E$7)*($F$7-$E$7)),$G$7-SQRT((1-Q1000)*($G$7-$E$7)*($G$7-$F$7))))</f>
        <v>0.917474608873672</v>
      </c>
      <c r="D1000" s="37" t="n">
        <f aca="false">1+IF($G$8=$E$8,$F$8,IF(R1000&lt;($F$8-$E$8)/($G$8-$E$8),$E$8+SQRT(R1000*($G$8-$E$8)*($F$8-$E$8)),$G$8-SQRT((1-R1000)*($G$8-$E$8)*($G$8-$F$8))))</f>
        <v>1.04170988156213</v>
      </c>
      <c r="E1000" s="37" t="n">
        <f aca="false">1+IF($G$9=$E$9,$F$9,IF(S1000&lt;($F$9-$E$9)/($G$9-$E$9),$E$9+SQRT(S1000*($G$9-$E$9)*($F$9-$E$9)),$G$9-SQRT((1-S1000)*($G$9-$E$9)*($G$9-$F$9))))</f>
        <v>0.974119623482788</v>
      </c>
      <c r="F1000" s="37" t="n">
        <f aca="false">1+IF($G$10=$E$10,$F$10,IF(T1000&lt;($F$10-$E$10)/($G$10-$E$10),$E$10+SQRT(T1000*($G$10-$E$10)*($F$10-$E$10)),$G$10-SQRT((1-T1000)*($G$10-$E$10)*($G$10-$F$10))))</f>
        <v>1.05348669340672</v>
      </c>
      <c r="G1000" s="38" t="n">
        <f aca="false">IF($G$11=$E$11,$F$11,IF(U1000&lt;($F$11-$E$11)/($G$11-$E$11),$E$11+SQRT(U1000*($G$11-$E$11)*($F$11-$E$11)),$G$11-SQRT((1-U1000)*($G$11-$E$11)*($G$11-$F$11))))</f>
        <v>0.105331294457441</v>
      </c>
      <c r="H1000" s="39" t="n">
        <f aca="false">(('Business Case'!B11*$C1000*'Business Case'!B12*$B1000)-'Business Case'!B11*$C1000*'Business Case'!B13*$D1000-'Business Case'!B14*$E1000)-MAX(0,(('Business Case'!B11*$C1000*'Business Case'!B12*$B1000)-'Business Case'!B11*$C1000*'Business Case'!B13*$D1000-'Business Case'!B14*$E1000))*'Business Case'!$B$7-'Business Case'!$B$8*('Business Case'!B11*$C1000*'Business Case'!B12*$B1000)-'Business Case'!B15*$F1000</f>
        <v>-2106973386.81344</v>
      </c>
      <c r="I1000" s="39" t="n">
        <f aca="false">(('Business Case'!C11*$C1000*'Business Case'!C12*$B1000)-'Business Case'!C11*$C1000*'Business Case'!C13*$D1000-'Business Case'!C14*$E1000)-MAX(0,(('Business Case'!C11*$C1000*'Business Case'!C12*$B1000)-'Business Case'!C11*$C1000*'Business Case'!C13*$D1000-'Business Case'!C14*$E1000))*'Business Case'!$B$7-'Business Case'!$B$8*(('Business Case'!C11*$C1000*'Business Case'!C12*$B1000)-('Business Case'!B11*$C1000*'Business Case'!B12*$B1000))-'Business Case'!C15*$F1000</f>
        <v>-53645356.5917961</v>
      </c>
      <c r="J1000" s="39" t="n">
        <f aca="false">(('Business Case'!D11*$C1000*'Business Case'!D12*$B1000)-'Business Case'!D11*$C1000*'Business Case'!D13*$D1000-'Business Case'!D14*$E1000)-MAX(0,(('Business Case'!D11*$C1000*'Business Case'!D12*$B1000)-'Business Case'!D11*$C1000*'Business Case'!D13*$D1000-'Business Case'!D14*$E1000))*'Business Case'!$B$7-'Business Case'!$B$8*(('Business Case'!D11*$C1000*'Business Case'!D12*$B1000)-('Business Case'!C11*$C1000*'Business Case'!C12*$B1000))-'Business Case'!D15*$F1000</f>
        <v>182489033.86536</v>
      </c>
      <c r="K1000" s="39" t="n">
        <f aca="false">(('Business Case'!E11*$C1000*'Business Case'!E12*$B1000)-'Business Case'!E11*$C1000*'Business Case'!E13*$D1000-'Business Case'!E14*$E1000)-MAX(0,(('Business Case'!E11*$C1000*'Business Case'!E12*$B1000)-'Business Case'!E11*$C1000*'Business Case'!E13*$D1000-'Business Case'!E14*$E1000))*'Business Case'!$B$7-'Business Case'!$B$8*(('Business Case'!E11*$C1000*'Business Case'!E12*$B1000)-('Business Case'!D11*$C1000*'Business Case'!D12*$B1000))-'Business Case'!E15*$F1000</f>
        <v>471297758.992852</v>
      </c>
      <c r="L1000" s="39" t="n">
        <f aca="false">(('Business Case'!F11*$C1000*'Business Case'!F12*$B1000)-'Business Case'!F11*$C1000*'Business Case'!F13*$D1000-'Business Case'!F14*$E1000)-MAX(0,(('Business Case'!F11*$C1000*'Business Case'!F12*$B1000)-'Business Case'!F11*$C1000*'Business Case'!F13*$D1000-'Business Case'!F14*$E1000))*'Business Case'!$B$7-'Business Case'!$B$8*(('Business Case'!F11*$C1000*'Business Case'!F12*$B1000)-('Business Case'!E11*$C1000*'Business Case'!E12*$B1000))-'Business Case'!F15*$F1000</f>
        <v>580616733.977923</v>
      </c>
      <c r="M1000" s="39" t="n">
        <f aca="false">(('Business Case'!G11*$C1000*'Business Case'!G12*$B1000)-'Business Case'!G11*$C1000*'Business Case'!G13*$D1000-'Business Case'!G14*$E1000)-MAX(0,(('Business Case'!G11*$C1000*'Business Case'!G12*$B1000)-'Business Case'!G11*$C1000*'Business Case'!G13*$D1000-'Business Case'!G14*$E1000))*'Business Case'!$B$7-'Business Case'!$B$8*(('Business Case'!G11*$C1000*'Business Case'!G12*$B1000)-('Business Case'!F11*$C1000*'Business Case'!F12*$B1000))-'Business Case'!G15*$F1000+'Business Case'!$B$8*('Business Case'!G11*$C1000*'Business Case'!G12*$B1000)</f>
        <v>748958047.224359</v>
      </c>
      <c r="N1000" s="39" t="n">
        <f aca="false">IF(COUNT('Business Case'!B11:G11)=0,"",H1000+NPV(G1000,I1000:M1000))</f>
        <v>-814236863.529059</v>
      </c>
      <c r="P1000" s="40" t="n">
        <f aca="true">RAND()</f>
        <v>0.213715900203555</v>
      </c>
      <c r="Q1000" s="40" t="n">
        <f aca="true">RAND()</f>
        <v>0.197146910428888</v>
      </c>
      <c r="R1000" s="40" t="n">
        <f aca="true">RAND()</f>
        <v>0.859025656732078</v>
      </c>
      <c r="S1000" s="40" t="n">
        <f aca="true">RAND()</f>
        <v>0.0775674982601926</v>
      </c>
      <c r="T1000" s="40" t="n">
        <f aca="true">RAND()</f>
        <v>0.570677019822064</v>
      </c>
      <c r="U1000" s="40" t="n">
        <f aca="true">RAND()</f>
        <v>0.641381796176154</v>
      </c>
    </row>
    <row r="1001" customFormat="false" ht="15" hidden="false" customHeight="false" outlineLevel="0" collapsed="false">
      <c r="A1001" s="36" t="n">
        <v>921</v>
      </c>
      <c r="B1001" s="37" t="n">
        <f aca="false">1+IF($G$6=$E$6,$F$6,IF(P1001&lt;($F$6-$E$6)/($G$6-$E$6),$E$6+SQRT(P1001*($G$6-$E$6)*($F$6-$E$6)),$G$6-SQRT((1-P1001)*($G$6-$E$6)*($G$6-$F$6))))</f>
        <v>1.00065841616044</v>
      </c>
      <c r="C1001" s="37" t="n">
        <f aca="false">1+IF($G$7=$E$7,$F$7,IF(Q1001&lt;($F$7-$E$7)/($G$7-$E$7),$E$7+SQRT(Q1001*($G$7-$E$7)*($F$7-$E$7)),$G$7-SQRT((1-Q1001)*($G$7-$E$7)*($G$7-$F$7))))</f>
        <v>1.02281364429902</v>
      </c>
      <c r="D1001" s="37" t="n">
        <f aca="false">1+IF($G$8=$E$8,$F$8,IF(R1001&lt;($F$8-$E$8)/($G$8-$E$8),$E$8+SQRT(R1001*($G$8-$E$8)*($F$8-$E$8)),$G$8-SQRT((1-R1001)*($G$8-$E$8)*($G$8-$F$8))))</f>
        <v>0.9826238288109</v>
      </c>
      <c r="E1001" s="37" t="n">
        <f aca="false">1+IF($G$9=$E$9,$F$9,IF(S1001&lt;($F$9-$E$9)/($G$9-$E$9),$E$9+SQRT(S1001*($G$9-$E$9)*($F$9-$E$9)),$G$9-SQRT((1-S1001)*($G$9-$E$9)*($G$9-$F$9))))</f>
        <v>0.996254817050305</v>
      </c>
      <c r="F1001" s="37" t="n">
        <f aca="false">1+IF($G$10=$E$10,$F$10,IF(T1001&lt;($F$10-$E$10)/($G$10-$E$10),$E$10+SQRT(T1001*($G$10-$E$10)*($F$10-$E$10)),$G$10-SQRT((1-T1001)*($G$10-$E$10)*($G$10-$F$10))))</f>
        <v>1.03424153310515</v>
      </c>
      <c r="G1001" s="38" t="n">
        <f aca="false">IF($G$11=$E$11,$F$11,IF(U1001&lt;($F$11-$E$11)/($G$11-$E$11),$E$11+SQRT(U1001*($G$11-$E$11)*($F$11-$E$11)),$G$11-SQRT((1-U1001)*($G$11-$E$11)*($G$11-$F$11))))</f>
        <v>0.0957246260168383</v>
      </c>
      <c r="H1001" s="39" t="n">
        <f aca="false">(('Business Case'!B11*$C1001*'Business Case'!B12*$B1001)-'Business Case'!B11*$C1001*'Business Case'!B13*$D1001-'Business Case'!B14*$E1001)-MAX(0,(('Business Case'!B11*$C1001*'Business Case'!B12*$B1001)-'Business Case'!B11*$C1001*'Business Case'!B13*$D1001-'Business Case'!B14*$E1001))*'Business Case'!$B$7-'Business Case'!$B$8*('Business Case'!B11*$C1001*'Business Case'!B12*$B1001)-'Business Case'!B15*$F1001</f>
        <v>-2068483066.2103</v>
      </c>
      <c r="I1001" s="39" t="n">
        <f aca="false">(('Business Case'!C11*$C1001*'Business Case'!C12*$B1001)-'Business Case'!C11*$C1001*'Business Case'!C13*$D1001-'Business Case'!C14*$E1001)-MAX(0,(('Business Case'!C11*$C1001*'Business Case'!C12*$B1001)-'Business Case'!C11*$C1001*'Business Case'!C13*$D1001-'Business Case'!C14*$E1001))*'Business Case'!$B$7-'Business Case'!$B$8*(('Business Case'!C11*$C1001*'Business Case'!C12*$B1001)-('Business Case'!B11*$C1001*'Business Case'!B12*$B1001))-'Business Case'!C15*$F1001</f>
        <v>25659833.0014194</v>
      </c>
      <c r="J1001" s="39" t="n">
        <f aca="false">(('Business Case'!D11*$C1001*'Business Case'!D12*$B1001)-'Business Case'!D11*$C1001*'Business Case'!D13*$D1001-'Business Case'!D14*$E1001)-MAX(0,(('Business Case'!D11*$C1001*'Business Case'!D12*$B1001)-'Business Case'!D11*$C1001*'Business Case'!D13*$D1001-'Business Case'!D14*$E1001))*'Business Case'!$B$7-'Business Case'!$B$8*(('Business Case'!D11*$C1001*'Business Case'!D12*$B1001)-('Business Case'!C11*$C1001*'Business Case'!C12*$B1001))-'Business Case'!D15*$F1001</f>
        <v>349468824.594135</v>
      </c>
      <c r="K1001" s="39" t="n">
        <f aca="false">(('Business Case'!E11*$C1001*'Business Case'!E12*$B1001)-'Business Case'!E11*$C1001*'Business Case'!E13*$D1001-'Business Case'!E14*$E1001)-MAX(0,(('Business Case'!E11*$C1001*'Business Case'!E12*$B1001)-'Business Case'!E11*$C1001*'Business Case'!E13*$D1001-'Business Case'!E14*$E1001))*'Business Case'!$B$7-'Business Case'!$B$8*(('Business Case'!E11*$C1001*'Business Case'!E12*$B1001)-('Business Case'!D11*$C1001*'Business Case'!D12*$B1001))-'Business Case'!E15*$F1001</f>
        <v>724989892.842108</v>
      </c>
      <c r="L1001" s="39" t="n">
        <f aca="false">(('Business Case'!F11*$C1001*'Business Case'!F12*$B1001)-'Business Case'!F11*$C1001*'Business Case'!F13*$D1001-'Business Case'!F14*$E1001)-MAX(0,(('Business Case'!F11*$C1001*'Business Case'!F12*$B1001)-'Business Case'!F11*$C1001*'Business Case'!F13*$D1001-'Business Case'!F14*$E1001))*'Business Case'!$B$7-'Business Case'!$B$8*(('Business Case'!F11*$C1001*'Business Case'!F12*$B1001)-('Business Case'!E11*$C1001*'Business Case'!E12*$B1001))-'Business Case'!F15*$F1001</f>
        <v>868297936.903831</v>
      </c>
      <c r="M1001" s="39" t="n">
        <f aca="false">(('Business Case'!G11*$C1001*'Business Case'!G12*$B1001)-'Business Case'!G11*$C1001*'Business Case'!G13*$D1001-'Business Case'!G14*$E1001)-MAX(0,(('Business Case'!G11*$C1001*'Business Case'!G12*$B1001)-'Business Case'!G11*$C1001*'Business Case'!G13*$D1001-'Business Case'!G14*$E1001))*'Business Case'!$B$7-'Business Case'!$B$8*(('Business Case'!G11*$C1001*'Business Case'!G12*$B1001)-('Business Case'!F11*$C1001*'Business Case'!F12*$B1001))-'Business Case'!G15*$F1001+'Business Case'!$B$8*('Business Case'!G11*$C1001*'Business Case'!G12*$B1001)</f>
        <v>1062842361.32333</v>
      </c>
      <c r="N1001" s="39" t="n">
        <f aca="false">IF(COUNT('Business Case'!B11:G11)=0,"",H1001+NPV(G1001,I1001:M1001))</f>
        <v>72394100.3450823</v>
      </c>
      <c r="P1001" s="40" t="n">
        <f aca="true">RAND()</f>
        <v>0.677549954373872</v>
      </c>
      <c r="Q1001" s="40" t="n">
        <f aca="true">RAND()</f>
        <v>0.691878684257235</v>
      </c>
      <c r="R1001" s="40" t="n">
        <f aca="true">RAND()</f>
        <v>0.163740647120444</v>
      </c>
      <c r="S1001" s="40" t="n">
        <f aca="true">RAND()</f>
        <v>0.285267746714292</v>
      </c>
      <c r="T1001" s="40" t="n">
        <f aca="true">RAND()</f>
        <v>0.45048261305339</v>
      </c>
      <c r="U1001" s="40" t="n">
        <f aca="true">RAND()</f>
        <v>0.109237810108873</v>
      </c>
    </row>
    <row r="1002" customFormat="false" ht="15" hidden="false" customHeight="false" outlineLevel="0" collapsed="false">
      <c r="A1002" s="36" t="n">
        <v>922</v>
      </c>
      <c r="B1002" s="37" t="n">
        <f aca="false">1+IF($G$6=$E$6,$F$6,IF(P1002&lt;($F$6-$E$6)/($G$6-$E$6),$E$6+SQRT(P1002*($G$6-$E$6)*($F$6-$E$6)),$G$6-SQRT((1-P1002)*($G$6-$E$6)*($G$6-$F$6))))</f>
        <v>0.982844497297621</v>
      </c>
      <c r="C1002" s="37" t="n">
        <f aca="false">1+IF($G$7=$E$7,$F$7,IF(Q1002&lt;($F$7-$E$7)/($G$7-$E$7),$E$7+SQRT(Q1002*($G$7-$E$7)*($F$7-$E$7)),$G$7-SQRT((1-Q1002)*($G$7-$E$7)*($G$7-$F$7))))</f>
        <v>0.940461176245183</v>
      </c>
      <c r="D1002" s="37" t="n">
        <f aca="false">1+IF($G$8=$E$8,$F$8,IF(R1002&lt;($F$8-$E$8)/($G$8-$E$8),$E$8+SQRT(R1002*($G$8-$E$8)*($F$8-$E$8)),$G$8-SQRT((1-R1002)*($G$8-$E$8)*($G$8-$F$8))))</f>
        <v>1.03333338831407</v>
      </c>
      <c r="E1002" s="37" t="n">
        <f aca="false">1+IF($G$9=$E$9,$F$9,IF(S1002&lt;($F$9-$E$9)/($G$9-$E$9),$E$9+SQRT(S1002*($G$9-$E$9)*($F$9-$E$9)),$G$9-SQRT((1-S1002)*($G$9-$E$9)*($G$9-$F$9))))</f>
        <v>1.00165986705759</v>
      </c>
      <c r="F1002" s="37" t="n">
        <f aca="false">1+IF($G$10=$E$10,$F$10,IF(T1002&lt;($F$10-$E$10)/($G$10-$E$10),$E$10+SQRT(T1002*($G$10-$E$10)*($F$10-$E$10)),$G$10-SQRT((1-T1002)*($G$10-$E$10)*($G$10-$F$10))))</f>
        <v>1.01268359703052</v>
      </c>
      <c r="G1002" s="38" t="n">
        <f aca="false">IF($G$11=$E$11,$F$11,IF(U1002&lt;($F$11-$E$11)/($G$11-$E$11),$E$11+SQRT(U1002*($G$11-$E$11)*($F$11-$E$11)),$G$11-SQRT((1-U1002)*($G$11-$E$11)*($G$11-$F$11))))</f>
        <v>0.105477551317588</v>
      </c>
      <c r="H1002" s="39" t="n">
        <f aca="false">(('Business Case'!B11*$C1002*'Business Case'!B12*$B1002)-'Business Case'!B11*$C1002*'Business Case'!B13*$D1002-'Business Case'!B14*$E1002)-MAX(0,(('Business Case'!B11*$C1002*'Business Case'!B12*$B1002)-'Business Case'!B11*$C1002*'Business Case'!B13*$D1002-'Business Case'!B14*$E1002))*'Business Case'!$B$7-'Business Case'!$B$8*('Business Case'!B11*$C1002*'Business Case'!B12*$B1002)-'Business Case'!B15*$F1002</f>
        <v>-2025367194.06105</v>
      </c>
      <c r="I1002" s="39" t="n">
        <f aca="false">(('Business Case'!C11*$C1002*'Business Case'!C12*$B1002)-'Business Case'!C11*$C1002*'Business Case'!C13*$D1002-'Business Case'!C14*$E1002)-MAX(0,(('Business Case'!C11*$C1002*'Business Case'!C12*$B1002)-'Business Case'!C11*$C1002*'Business Case'!C13*$D1002-'Business Case'!C14*$E1002))*'Business Case'!$B$7-'Business Case'!$B$8*(('Business Case'!C11*$C1002*'Business Case'!C12*$B1002)-('Business Case'!B11*$C1002*'Business Case'!B12*$B1002))-'Business Case'!C15*$F1002</f>
        <v>-32020010.6782787</v>
      </c>
      <c r="J1002" s="39" t="n">
        <f aca="false">(('Business Case'!D11*$C1002*'Business Case'!D12*$B1002)-'Business Case'!D11*$C1002*'Business Case'!D13*$D1002-'Business Case'!D14*$E1002)-MAX(0,(('Business Case'!D11*$C1002*'Business Case'!D12*$B1002)-'Business Case'!D11*$C1002*'Business Case'!D13*$D1002-'Business Case'!D14*$E1002))*'Business Case'!$B$7-'Business Case'!$B$8*(('Business Case'!D11*$C1002*'Business Case'!D12*$B1002)-('Business Case'!C11*$C1002*'Business Case'!C12*$B1002))-'Business Case'!D15*$F1002</f>
        <v>227581487.891086</v>
      </c>
      <c r="K1002" s="39" t="n">
        <f aca="false">(('Business Case'!E11*$C1002*'Business Case'!E12*$B1002)-'Business Case'!E11*$C1002*'Business Case'!E13*$D1002-'Business Case'!E14*$E1002)-MAX(0,(('Business Case'!E11*$C1002*'Business Case'!E12*$B1002)-'Business Case'!E11*$C1002*'Business Case'!E13*$D1002-'Business Case'!E14*$E1002))*'Business Case'!$B$7-'Business Case'!$B$8*(('Business Case'!E11*$C1002*'Business Case'!E12*$B1002)-('Business Case'!D11*$C1002*'Business Case'!D12*$B1002))-'Business Case'!E15*$F1002</f>
        <v>537817166.311977</v>
      </c>
      <c r="L1002" s="39" t="n">
        <f aca="false">(('Business Case'!F11*$C1002*'Business Case'!F12*$B1002)-'Business Case'!F11*$C1002*'Business Case'!F13*$D1002-'Business Case'!F14*$E1002)-MAX(0,(('Business Case'!F11*$C1002*'Business Case'!F12*$B1002)-'Business Case'!F11*$C1002*'Business Case'!F13*$D1002-'Business Case'!F14*$E1002))*'Business Case'!$B$7-'Business Case'!$B$8*(('Business Case'!F11*$C1002*'Business Case'!F12*$B1002)-('Business Case'!E11*$C1002*'Business Case'!E12*$B1002))-'Business Case'!F15*$F1002</f>
        <v>656295743.467766</v>
      </c>
      <c r="M1002" s="39" t="n">
        <f aca="false">(('Business Case'!G11*$C1002*'Business Case'!G12*$B1002)-'Business Case'!G11*$C1002*'Business Case'!G13*$D1002-'Business Case'!G14*$E1002)-MAX(0,(('Business Case'!G11*$C1002*'Business Case'!G12*$B1002)-'Business Case'!G11*$C1002*'Business Case'!G13*$D1002-'Business Case'!G14*$E1002))*'Business Case'!$B$7-'Business Case'!$B$8*(('Business Case'!G11*$C1002*'Business Case'!G12*$B1002)-('Business Case'!F11*$C1002*'Business Case'!F12*$B1002))-'Business Case'!G15*$F1002+'Business Case'!$B$8*('Business Case'!G11*$C1002*'Business Case'!G12*$B1002)</f>
        <v>831991837.114105</v>
      </c>
      <c r="N1002" s="39" t="n">
        <f aca="false">IF(COUNT('Business Case'!B11:G11)=0,"",H1002+NPV(G1002,I1002:M1002))</f>
        <v>-526644763.137405</v>
      </c>
      <c r="P1002" s="40" t="n">
        <f aca="true">RAND()</f>
        <v>0.411399045894862</v>
      </c>
      <c r="Q1002" s="40" t="n">
        <f aca="true">RAND()</f>
        <v>0.281847743316863</v>
      </c>
      <c r="R1002" s="40" t="n">
        <f aca="true">RAND()</f>
        <v>0.79059878401489</v>
      </c>
      <c r="S1002" s="40" t="n">
        <f aca="true">RAND()</f>
        <v>0.355281216857962</v>
      </c>
      <c r="T1002" s="40" t="n">
        <f aca="true">RAND()</f>
        <v>0.298251303571544</v>
      </c>
      <c r="U1002" s="40" t="n">
        <f aca="true">RAND()</f>
        <v>0.648497473777856</v>
      </c>
    </row>
    <row r="1003" customFormat="false" ht="15" hidden="false" customHeight="false" outlineLevel="0" collapsed="false">
      <c r="A1003" s="36" t="n">
        <v>923</v>
      </c>
      <c r="B1003" s="37" t="n">
        <f aca="false">1+IF($G$6=$E$6,$F$6,IF(P1003&lt;($F$6-$E$6)/($G$6-$E$6),$E$6+SQRT(P1003*($G$6-$E$6)*($F$6-$E$6)),$G$6-SQRT((1-P1003)*($G$6-$E$6)*($G$6-$F$6))))</f>
        <v>1.01230320040295</v>
      </c>
      <c r="C1003" s="37" t="n">
        <f aca="false">1+IF($G$7=$E$7,$F$7,IF(Q1003&lt;($F$7-$E$7)/($G$7-$E$7),$E$7+SQRT(Q1003*($G$7-$E$7)*($F$7-$E$7)),$G$7-SQRT((1-Q1003)*($G$7-$E$7)*($G$7-$F$7))))</f>
        <v>0.945456695036328</v>
      </c>
      <c r="D1003" s="37" t="n">
        <f aca="false">1+IF($G$8=$E$8,$F$8,IF(R1003&lt;($F$8-$E$8)/($G$8-$E$8),$E$8+SQRT(R1003*($G$8-$E$8)*($F$8-$E$8)),$G$8-SQRT((1-R1003)*($G$8-$E$8)*($G$8-$F$8))))</f>
        <v>0.986429519810637</v>
      </c>
      <c r="E1003" s="37" t="n">
        <f aca="false">1+IF($G$9=$E$9,$F$9,IF(S1003&lt;($F$9-$E$9)/($G$9-$E$9),$E$9+SQRT(S1003*($G$9-$E$9)*($F$9-$E$9)),$G$9-SQRT((1-S1003)*($G$9-$E$9)*($G$9-$F$9))))</f>
        <v>1.00591232449657</v>
      </c>
      <c r="F1003" s="37" t="n">
        <f aca="false">1+IF($G$10=$E$10,$F$10,IF(T1003&lt;($F$10-$E$10)/($G$10-$E$10),$E$10+SQRT(T1003*($G$10-$E$10)*($F$10-$E$10)),$G$10-SQRT((1-T1003)*($G$10-$E$10)*($G$10-$F$10))))</f>
        <v>1.02613372145166</v>
      </c>
      <c r="G1003" s="38" t="n">
        <f aca="false">IF($G$11=$E$11,$F$11,IF(U1003&lt;($F$11-$E$11)/($G$11-$E$11),$E$11+SQRT(U1003*($G$11-$E$11)*($F$11-$E$11)),$G$11-SQRT((1-U1003)*($G$11-$E$11)*($G$11-$F$11))))</f>
        <v>0.0904352239655102</v>
      </c>
      <c r="H1003" s="39" t="n">
        <f aca="false">(('Business Case'!B11*$C1003*'Business Case'!B12*$B1003)-'Business Case'!B11*$C1003*'Business Case'!B13*$D1003-'Business Case'!B14*$E1003)-MAX(0,(('Business Case'!B11*$C1003*'Business Case'!B12*$B1003)-'Business Case'!B11*$C1003*'Business Case'!B13*$D1003-'Business Case'!B14*$E1003))*'Business Case'!$B$7-'Business Case'!$B$8*('Business Case'!B11*$C1003*'Business Case'!B12*$B1003)-'Business Case'!B15*$F1003</f>
        <v>-2052267442.90331</v>
      </c>
      <c r="I1003" s="39" t="n">
        <f aca="false">(('Business Case'!C11*$C1003*'Business Case'!C12*$B1003)-'Business Case'!C11*$C1003*'Business Case'!C13*$D1003-'Business Case'!C14*$E1003)-MAX(0,(('Business Case'!C11*$C1003*'Business Case'!C12*$B1003)-'Business Case'!C11*$C1003*'Business Case'!C13*$D1003-'Business Case'!C14*$E1003))*'Business Case'!$B$7-'Business Case'!$B$8*(('Business Case'!C11*$C1003*'Business Case'!C12*$B1003)-('Business Case'!B11*$C1003*'Business Case'!B12*$B1003))-'Business Case'!C15*$F1003</f>
        <v>11224975.3865557</v>
      </c>
      <c r="J1003" s="39" t="n">
        <f aca="false">(('Business Case'!D11*$C1003*'Business Case'!D12*$B1003)-'Business Case'!D11*$C1003*'Business Case'!D13*$D1003-'Business Case'!D14*$E1003)-MAX(0,(('Business Case'!D11*$C1003*'Business Case'!D12*$B1003)-'Business Case'!D11*$C1003*'Business Case'!D13*$D1003-'Business Case'!D14*$E1003))*'Business Case'!$B$7-'Business Case'!$B$8*(('Business Case'!D11*$C1003*'Business Case'!D12*$B1003)-('Business Case'!C11*$C1003*'Business Case'!C12*$B1003))-'Business Case'!D15*$F1003</f>
        <v>317719540.835411</v>
      </c>
      <c r="K1003" s="39" t="n">
        <f aca="false">(('Business Case'!E11*$C1003*'Business Case'!E12*$B1003)-'Business Case'!E11*$C1003*'Business Case'!E13*$D1003-'Business Case'!E14*$E1003)-MAX(0,(('Business Case'!E11*$C1003*'Business Case'!E12*$B1003)-'Business Case'!E11*$C1003*'Business Case'!E13*$D1003-'Business Case'!E14*$E1003))*'Business Case'!$B$7-'Business Case'!$B$8*(('Business Case'!E11*$C1003*'Business Case'!E12*$B1003)-('Business Case'!D11*$C1003*'Business Case'!D12*$B1003))-'Business Case'!E15*$F1003</f>
        <v>675520792.356849</v>
      </c>
      <c r="L1003" s="39" t="n">
        <f aca="false">(('Business Case'!F11*$C1003*'Business Case'!F12*$B1003)-'Business Case'!F11*$C1003*'Business Case'!F13*$D1003-'Business Case'!F14*$E1003)-MAX(0,(('Business Case'!F11*$C1003*'Business Case'!F12*$B1003)-'Business Case'!F11*$C1003*'Business Case'!F13*$D1003-'Business Case'!F14*$E1003))*'Business Case'!$B$7-'Business Case'!$B$8*(('Business Case'!F11*$C1003*'Business Case'!F12*$B1003)-('Business Case'!E11*$C1003*'Business Case'!E12*$B1003))-'Business Case'!F15*$F1003</f>
        <v>810762637.755616</v>
      </c>
      <c r="M1003" s="39" t="n">
        <f aca="false">(('Business Case'!G11*$C1003*'Business Case'!G12*$B1003)-'Business Case'!G11*$C1003*'Business Case'!G13*$D1003-'Business Case'!G14*$E1003)-MAX(0,(('Business Case'!G11*$C1003*'Business Case'!G12*$B1003)-'Business Case'!G11*$C1003*'Business Case'!G13*$D1003-'Business Case'!G14*$E1003))*'Business Case'!$B$7-'Business Case'!$B$8*(('Business Case'!G11*$C1003*'Business Case'!G12*$B1003)-('Business Case'!F11*$C1003*'Business Case'!F12*$B1003))-'Business Case'!G15*$F1003+'Business Case'!$B$8*('Business Case'!G11*$C1003*'Business Case'!G12*$B1003)</f>
        <v>992686084.125932</v>
      </c>
      <c r="N1003" s="39" t="n">
        <f aca="false">IF(COUNT('Business Case'!B11:G11)=0,"",H1003+NPV(G1003,I1003:M1003))</f>
        <v>-36427412.4337943</v>
      </c>
      <c r="P1003" s="40" t="n">
        <f aca="true">RAND()</f>
        <v>0.840184852516866</v>
      </c>
      <c r="Q1003" s="40" t="n">
        <f aca="true">RAND()</f>
        <v>0.302252144727017</v>
      </c>
      <c r="R1003" s="40" t="n">
        <f aca="true">RAND()</f>
        <v>0.204170755943628</v>
      </c>
      <c r="S1003" s="40" t="n">
        <f aca="true">RAND()</f>
        <v>0.409833954557354</v>
      </c>
      <c r="T1003" s="40" t="n">
        <f aca="true">RAND()</f>
        <v>0.395410343675003</v>
      </c>
      <c r="U1003" s="40" t="n">
        <f aca="true">RAND()</f>
        <v>0.000631399667181478</v>
      </c>
    </row>
    <row r="1004" customFormat="false" ht="15" hidden="false" customHeight="false" outlineLevel="0" collapsed="false">
      <c r="A1004" s="36" t="n">
        <v>924</v>
      </c>
      <c r="B1004" s="37" t="n">
        <f aca="false">1+IF($G$6=$E$6,$F$6,IF(P1004&lt;($F$6-$E$6)/($G$6-$E$6),$E$6+SQRT(P1004*($G$6-$E$6)*($F$6-$E$6)),$G$6-SQRT((1-P1004)*($G$6-$E$6)*($G$6-$F$6))))</f>
        <v>0.990942041142131</v>
      </c>
      <c r="C1004" s="37" t="n">
        <f aca="false">1+IF($G$7=$E$7,$F$7,IF(Q1004&lt;($F$7-$E$7)/($G$7-$E$7),$E$7+SQRT(Q1004*($G$7-$E$7)*($F$7-$E$7)),$G$7-SQRT((1-Q1004)*($G$7-$E$7)*($G$7-$F$7))))</f>
        <v>1.0625662994482</v>
      </c>
      <c r="D1004" s="37" t="n">
        <f aca="false">1+IF($G$8=$E$8,$F$8,IF(R1004&lt;($F$8-$E$8)/($G$8-$E$8),$E$8+SQRT(R1004*($G$8-$E$8)*($F$8-$E$8)),$G$8-SQRT((1-R1004)*($G$8-$E$8)*($G$8-$F$8))))</f>
        <v>0.963686694028448</v>
      </c>
      <c r="E1004" s="37" t="n">
        <f aca="false">1+IF($G$9=$E$9,$F$9,IF(S1004&lt;($F$9-$E$9)/($G$9-$E$9),$E$9+SQRT(S1004*($G$9-$E$9)*($F$9-$E$9)),$G$9-SQRT((1-S1004)*($G$9-$E$9)*($G$9-$F$9))))</f>
        <v>1.02047013430533</v>
      </c>
      <c r="F1004" s="37" t="n">
        <f aca="false">1+IF($G$10=$E$10,$F$10,IF(T1004&lt;($F$10-$E$10)/($G$10-$E$10),$E$10+SQRT(T1004*($G$10-$E$10)*($F$10-$E$10)),$G$10-SQRT((1-T1004)*($G$10-$E$10)*($G$10-$F$10))))</f>
        <v>0.984711135873996</v>
      </c>
      <c r="G1004" s="38" t="n">
        <f aca="false">IF($G$11=$E$11,$F$11,IF(U1004&lt;($F$11-$E$11)/($G$11-$E$11),$E$11+SQRT(U1004*($G$11-$E$11)*($F$11-$E$11)),$G$11-SQRT((1-U1004)*($G$11-$E$11)*($G$11-$F$11))))</f>
        <v>0.104437449567994</v>
      </c>
      <c r="H1004" s="39" t="n">
        <f aca="false">(('Business Case'!B11*$C1004*'Business Case'!B12*$B1004)-'Business Case'!B11*$C1004*'Business Case'!B13*$D1004-'Business Case'!B14*$E1004)-MAX(0,(('Business Case'!B11*$C1004*'Business Case'!B12*$B1004)-'Business Case'!B11*$C1004*'Business Case'!B13*$D1004-'Business Case'!B14*$E1004))*'Business Case'!$B$7-'Business Case'!$B$8*('Business Case'!B11*$C1004*'Business Case'!B12*$B1004)-'Business Case'!B15*$F1004</f>
        <v>-1969422271.74799</v>
      </c>
      <c r="I1004" s="39" t="n">
        <f aca="false">(('Business Case'!C11*$C1004*'Business Case'!C12*$B1004)-'Business Case'!C11*$C1004*'Business Case'!C13*$D1004-'Business Case'!C14*$E1004)-MAX(0,(('Business Case'!C11*$C1004*'Business Case'!C12*$B1004)-'Business Case'!C11*$C1004*'Business Case'!C13*$D1004-'Business Case'!C14*$E1004))*'Business Case'!$B$7-'Business Case'!$B$8*(('Business Case'!C11*$C1004*'Business Case'!C12*$B1004)-('Business Case'!B11*$C1004*'Business Case'!B12*$B1004))-'Business Case'!C15*$F1004</f>
        <v>40072180.7653996</v>
      </c>
      <c r="J1004" s="39" t="n">
        <f aca="false">(('Business Case'!D11*$C1004*'Business Case'!D12*$B1004)-'Business Case'!D11*$C1004*'Business Case'!D13*$D1004-'Business Case'!D14*$E1004)-MAX(0,(('Business Case'!D11*$C1004*'Business Case'!D12*$B1004)-'Business Case'!D11*$C1004*'Business Case'!D13*$D1004-'Business Case'!D14*$E1004))*'Business Case'!$B$7-'Business Case'!$B$8*(('Business Case'!D11*$C1004*'Business Case'!D12*$B1004)-('Business Case'!C11*$C1004*'Business Case'!C12*$B1004))-'Business Case'!D15*$F1004</f>
        <v>378310821.674047</v>
      </c>
      <c r="K1004" s="39" t="n">
        <f aca="false">(('Business Case'!E11*$C1004*'Business Case'!E12*$B1004)-'Business Case'!E11*$C1004*'Business Case'!E13*$D1004-'Business Case'!E14*$E1004)-MAX(0,(('Business Case'!E11*$C1004*'Business Case'!E12*$B1004)-'Business Case'!E11*$C1004*'Business Case'!E13*$D1004-'Business Case'!E14*$E1004))*'Business Case'!$B$7-'Business Case'!$B$8*(('Business Case'!E11*$C1004*'Business Case'!E12*$B1004)-('Business Case'!D11*$C1004*'Business Case'!D12*$B1004))-'Business Case'!E15*$F1004</f>
        <v>765785019.376394</v>
      </c>
      <c r="L1004" s="39" t="n">
        <f aca="false">(('Business Case'!F11*$C1004*'Business Case'!F12*$B1004)-'Business Case'!F11*$C1004*'Business Case'!F13*$D1004-'Business Case'!F14*$E1004)-MAX(0,(('Business Case'!F11*$C1004*'Business Case'!F12*$B1004)-'Business Case'!F11*$C1004*'Business Case'!F13*$D1004-'Business Case'!F14*$E1004))*'Business Case'!$B$7-'Business Case'!$B$8*(('Business Case'!F11*$C1004*'Business Case'!F12*$B1004)-('Business Case'!E11*$C1004*'Business Case'!E12*$B1004))-'Business Case'!F15*$F1004</f>
        <v>914920895.317696</v>
      </c>
      <c r="M1004" s="39" t="n">
        <f aca="false">(('Business Case'!G11*$C1004*'Business Case'!G12*$B1004)-'Business Case'!G11*$C1004*'Business Case'!G13*$D1004-'Business Case'!G14*$E1004)-MAX(0,(('Business Case'!G11*$C1004*'Business Case'!G12*$B1004)-'Business Case'!G11*$C1004*'Business Case'!G13*$D1004-'Business Case'!G14*$E1004))*'Business Case'!$B$7-'Business Case'!$B$8*(('Business Case'!G11*$C1004*'Business Case'!G12*$B1004)-('Business Case'!F11*$C1004*'Business Case'!F12*$B1004))-'Business Case'!G15*$F1004+'Business Case'!$B$8*('Business Case'!G11*$C1004*'Business Case'!G12*$B1004)</f>
        <v>1115064037.99567</v>
      </c>
      <c r="N1004" s="39" t="n">
        <f aca="false">IF(COUNT('Business Case'!B11:G11)=0,"",H1004+NPV(G1004,I1004:M1004))</f>
        <v>238935242.606131</v>
      </c>
      <c r="P1004" s="40" t="n">
        <f aca="true">RAND()</f>
        <v>0.524247208480389</v>
      </c>
      <c r="Q1004" s="40" t="n">
        <f aca="true">RAND()</f>
        <v>0.854387581101302</v>
      </c>
      <c r="R1004" s="40" t="n">
        <f aca="true">RAND()</f>
        <v>0.0288193220659018</v>
      </c>
      <c r="S1004" s="40" t="n">
        <f aca="true">RAND()</f>
        <v>0.5783333641725</v>
      </c>
      <c r="T1004" s="40" t="n">
        <f aca="true">RAND()</f>
        <v>0.0963890362930425</v>
      </c>
      <c r="U1004" s="40" t="n">
        <f aca="true">RAND()</f>
        <v>0.596345040085458</v>
      </c>
    </row>
    <row r="1005" customFormat="false" ht="15" hidden="false" customHeight="false" outlineLevel="0" collapsed="false">
      <c r="A1005" s="36" t="n">
        <v>925</v>
      </c>
      <c r="B1005" s="37" t="n">
        <f aca="false">1+IF($G$6=$E$6,$F$6,IF(P1005&lt;($F$6-$E$6)/($G$6-$E$6),$E$6+SQRT(P1005*($G$6-$E$6)*($F$6-$E$6)),$G$6-SQRT((1-P1005)*($G$6-$E$6)*($G$6-$F$6))))</f>
        <v>1.00678593809854</v>
      </c>
      <c r="C1005" s="37" t="n">
        <f aca="false">1+IF($G$7=$E$7,$F$7,IF(Q1005&lt;($F$7-$E$7)/($G$7-$E$7),$E$7+SQRT(Q1005*($G$7-$E$7)*($F$7-$E$7)),$G$7-SQRT((1-Q1005)*($G$7-$E$7)*($G$7-$F$7))))</f>
        <v>0.99544796567917</v>
      </c>
      <c r="D1005" s="37" t="n">
        <f aca="false">1+IF($G$8=$E$8,$F$8,IF(R1005&lt;($F$8-$E$8)/($G$8-$E$8),$E$8+SQRT(R1005*($G$8-$E$8)*($F$8-$E$8)),$G$8-SQRT((1-R1005)*($G$8-$E$8)*($G$8-$F$8))))</f>
        <v>0.981251161821115</v>
      </c>
      <c r="E1005" s="37" t="n">
        <f aca="false">1+IF($G$9=$E$9,$F$9,IF(S1005&lt;($F$9-$E$9)/($G$9-$E$9),$E$9+SQRT(S1005*($G$9-$E$9)*($F$9-$E$9)),$G$9-SQRT((1-S1005)*($G$9-$E$9)*($G$9-$F$9))))</f>
        <v>0.997308010479398</v>
      </c>
      <c r="F1005" s="37" t="n">
        <f aca="false">1+IF($G$10=$E$10,$F$10,IF(T1005&lt;($F$10-$E$10)/($G$10-$E$10),$E$10+SQRT(T1005*($G$10-$E$10)*($F$10-$E$10)),$G$10-SQRT((1-T1005)*($G$10-$E$10)*($G$10-$F$10))))</f>
        <v>1.04481026602024</v>
      </c>
      <c r="G1005" s="38" t="n">
        <f aca="false">IF($G$11=$E$11,$F$11,IF(U1005&lt;($F$11-$E$11)/($G$11-$E$11),$E$11+SQRT(U1005*($G$11-$E$11)*($F$11-$E$11)),$G$11-SQRT((1-U1005)*($G$11-$E$11)*($G$11-$F$11))))</f>
        <v>0.102568921823653</v>
      </c>
      <c r="H1005" s="39" t="n">
        <f aca="false">(('Business Case'!B11*$C1005*'Business Case'!B12*$B1005)-'Business Case'!B11*$C1005*'Business Case'!B13*$D1005-'Business Case'!B14*$E1005)-MAX(0,(('Business Case'!B11*$C1005*'Business Case'!B12*$B1005)-'Business Case'!B11*$C1005*'Business Case'!B13*$D1005-'Business Case'!B14*$E1005))*'Business Case'!$B$7-'Business Case'!$B$8*('Business Case'!B11*$C1005*'Business Case'!B12*$B1005)-'Business Case'!B15*$F1005</f>
        <v>-2089620532.04047</v>
      </c>
      <c r="I1005" s="39" t="n">
        <f aca="false">(('Business Case'!C11*$C1005*'Business Case'!C12*$B1005)-'Business Case'!C11*$C1005*'Business Case'!C13*$D1005-'Business Case'!C14*$E1005)-MAX(0,(('Business Case'!C11*$C1005*'Business Case'!C12*$B1005)-'Business Case'!C11*$C1005*'Business Case'!C13*$D1005-'Business Case'!C14*$E1005))*'Business Case'!$B$7-'Business Case'!$B$8*(('Business Case'!C11*$C1005*'Business Case'!C12*$B1005)-('Business Case'!B11*$C1005*'Business Case'!B12*$B1005))-'Business Case'!C15*$F1005</f>
        <v>22588489.7662054</v>
      </c>
      <c r="J1005" s="39" t="n">
        <f aca="false">(('Business Case'!D11*$C1005*'Business Case'!D12*$B1005)-'Business Case'!D11*$C1005*'Business Case'!D13*$D1005-'Business Case'!D14*$E1005)-MAX(0,(('Business Case'!D11*$C1005*'Business Case'!D12*$B1005)-'Business Case'!D11*$C1005*'Business Case'!D13*$D1005-'Business Case'!D14*$E1005))*'Business Case'!$B$7-'Business Case'!$B$8*(('Business Case'!D11*$C1005*'Business Case'!D12*$B1005)-('Business Case'!C11*$C1005*'Business Case'!C12*$B1005))-'Business Case'!D15*$F1005</f>
        <v>343429409.468011</v>
      </c>
      <c r="K1005" s="39" t="n">
        <f aca="false">(('Business Case'!E11*$C1005*'Business Case'!E12*$B1005)-'Business Case'!E11*$C1005*'Business Case'!E13*$D1005-'Business Case'!E14*$E1005)-MAX(0,(('Business Case'!E11*$C1005*'Business Case'!E12*$B1005)-'Business Case'!E11*$C1005*'Business Case'!E13*$D1005-'Business Case'!E14*$E1005))*'Business Case'!$B$7-'Business Case'!$B$8*(('Business Case'!E11*$C1005*'Business Case'!E12*$B1005)-('Business Case'!D11*$C1005*'Business Case'!D12*$B1005))-'Business Case'!E15*$F1005</f>
        <v>716510842.470828</v>
      </c>
      <c r="L1005" s="39" t="n">
        <f aca="false">(('Business Case'!F11*$C1005*'Business Case'!F12*$B1005)-'Business Case'!F11*$C1005*'Business Case'!F13*$D1005-'Business Case'!F14*$E1005)-MAX(0,(('Business Case'!F11*$C1005*'Business Case'!F12*$B1005)-'Business Case'!F11*$C1005*'Business Case'!F13*$D1005-'Business Case'!F14*$E1005))*'Business Case'!$B$7-'Business Case'!$B$8*(('Business Case'!F11*$C1005*'Business Case'!F12*$B1005)-('Business Case'!E11*$C1005*'Business Case'!E12*$B1005))-'Business Case'!F15*$F1005</f>
        <v>858093951.867034</v>
      </c>
      <c r="M1005" s="39" t="n">
        <f aca="false">(('Business Case'!G11*$C1005*'Business Case'!G12*$B1005)-'Business Case'!G11*$C1005*'Business Case'!G13*$D1005-'Business Case'!G14*$E1005)-MAX(0,(('Business Case'!G11*$C1005*'Business Case'!G12*$B1005)-'Business Case'!G11*$C1005*'Business Case'!G13*$D1005-'Business Case'!G14*$E1005))*'Business Case'!$B$7-'Business Case'!$B$8*(('Business Case'!G11*$C1005*'Business Case'!G12*$B1005)-('Business Case'!F11*$C1005*'Business Case'!F12*$B1005))-'Business Case'!G15*$F1005+'Business Case'!$B$8*('Business Case'!G11*$C1005*'Business Case'!G12*$B1005)</f>
        <v>1048592700.75952</v>
      </c>
      <c r="N1005" s="39" t="n">
        <f aca="false">IF(COUNT('Business Case'!B11:G11)=0,"",H1005+NPV(G1005,I1005:M1005))</f>
        <v>-27866988.8950162</v>
      </c>
      <c r="P1005" s="40" t="n">
        <f aca="true">RAND()</f>
        <v>0.770172102501305</v>
      </c>
      <c r="Q1005" s="40" t="n">
        <f aca="true">RAND()</f>
        <v>0.545712961258942</v>
      </c>
      <c r="R1005" s="40" t="n">
        <f aca="true">RAND()</f>
        <v>0.150251556179926</v>
      </c>
      <c r="S1005" s="40" t="n">
        <f aca="true">RAND()</f>
        <v>0.298406380735844</v>
      </c>
      <c r="T1005" s="40" t="n">
        <f aca="true">RAND()</f>
        <v>0.518322929345809</v>
      </c>
      <c r="U1005" s="40" t="n">
        <f aca="true">RAND()</f>
        <v>0.493595856016806</v>
      </c>
    </row>
    <row r="1006" customFormat="false" ht="15" hidden="false" customHeight="false" outlineLevel="0" collapsed="false">
      <c r="A1006" s="36" t="n">
        <v>926</v>
      </c>
      <c r="B1006" s="37" t="n">
        <f aca="false">1+IF($G$6=$E$6,$F$6,IF(P1006&lt;($F$6-$E$6)/($G$6-$E$6),$E$6+SQRT(P1006*($G$6-$E$6)*($F$6-$E$6)),$G$6-SQRT((1-P1006)*($G$6-$E$6)*($G$6-$F$6))))</f>
        <v>0.98504057271981</v>
      </c>
      <c r="C1006" s="37" t="n">
        <f aca="false">1+IF($G$7=$E$7,$F$7,IF(Q1006&lt;($F$7-$E$7)/($G$7-$E$7),$E$7+SQRT(Q1006*($G$7-$E$7)*($F$7-$E$7)),$G$7-SQRT((1-Q1006)*($G$7-$E$7)*($G$7-$F$7))))</f>
        <v>1.07538947443481</v>
      </c>
      <c r="D1006" s="37" t="n">
        <f aca="false">1+IF($G$8=$E$8,$F$8,IF(R1006&lt;($F$8-$E$8)/($G$8-$E$8),$E$8+SQRT(R1006*($G$8-$E$8)*($F$8-$E$8)),$G$8-SQRT((1-R1006)*($G$8-$E$8)*($G$8-$F$8))))</f>
        <v>1.01425897586381</v>
      </c>
      <c r="E1006" s="37" t="n">
        <f aca="false">1+IF($G$9=$E$9,$F$9,IF(S1006&lt;($F$9-$E$9)/($G$9-$E$9),$E$9+SQRT(S1006*($G$9-$E$9)*($F$9-$E$9)),$G$9-SQRT((1-S1006)*($G$9-$E$9)*($G$9-$F$9))))</f>
        <v>1.02062514887708</v>
      </c>
      <c r="F1006" s="37" t="n">
        <f aca="false">1+IF($G$10=$E$10,$F$10,IF(T1006&lt;($F$10-$E$10)/($G$10-$E$10),$E$10+SQRT(T1006*($G$10-$E$10)*($F$10-$E$10)),$G$10-SQRT((1-T1006)*($G$10-$E$10)*($G$10-$F$10))))</f>
        <v>1.01946232210019</v>
      </c>
      <c r="G1006" s="38" t="n">
        <f aca="false">IF($G$11=$E$11,$F$11,IF(U1006&lt;($F$11-$E$11)/($G$11-$E$11),$E$11+SQRT(U1006*($G$11-$E$11)*($F$11-$E$11)),$G$11-SQRT((1-U1006)*($G$11-$E$11)*($G$11-$F$11))))</f>
        <v>0.093647183537817</v>
      </c>
      <c r="H1006" s="39" t="n">
        <f aca="false">(('Business Case'!B11*$C1006*'Business Case'!B12*$B1006)-'Business Case'!B11*$C1006*'Business Case'!B13*$D1006-'Business Case'!B14*$E1006)-MAX(0,(('Business Case'!B11*$C1006*'Business Case'!B12*$B1006)-'Business Case'!B11*$C1006*'Business Case'!B13*$D1006-'Business Case'!B14*$E1006))*'Business Case'!$B$7-'Business Case'!$B$8*('Business Case'!B11*$C1006*'Business Case'!B12*$B1006)-'Business Case'!B15*$F1006</f>
        <v>-2038924644.20039</v>
      </c>
      <c r="I1006" s="39" t="n">
        <f aca="false">(('Business Case'!C11*$C1006*'Business Case'!C12*$B1006)-'Business Case'!C11*$C1006*'Business Case'!C13*$D1006-'Business Case'!C14*$E1006)-MAX(0,(('Business Case'!C11*$C1006*'Business Case'!C12*$B1006)-'Business Case'!C11*$C1006*'Business Case'!C13*$D1006-'Business Case'!C14*$E1006))*'Business Case'!$B$7-'Business Case'!$B$8*(('Business Case'!C11*$C1006*'Business Case'!C12*$B1006)-('Business Case'!B11*$C1006*'Business Case'!B12*$B1006))-'Business Case'!C15*$F1006</f>
        <v>7288329.32768519</v>
      </c>
      <c r="J1006" s="39" t="n">
        <f aca="false">(('Business Case'!D11*$C1006*'Business Case'!D12*$B1006)-'Business Case'!D11*$C1006*'Business Case'!D13*$D1006-'Business Case'!D14*$E1006)-MAX(0,(('Business Case'!D11*$C1006*'Business Case'!D12*$B1006)-'Business Case'!D11*$C1006*'Business Case'!D13*$D1006-'Business Case'!D14*$E1006))*'Business Case'!$B$7-'Business Case'!$B$8*(('Business Case'!D11*$C1006*'Business Case'!D12*$B1006)-('Business Case'!C11*$C1006*'Business Case'!C12*$B1006))-'Business Case'!D15*$F1006</f>
        <v>316570016.390798</v>
      </c>
      <c r="K1006" s="39" t="n">
        <f aca="false">(('Business Case'!E11*$C1006*'Business Case'!E12*$B1006)-'Business Case'!E11*$C1006*'Business Case'!E13*$D1006-'Business Case'!E14*$E1006)-MAX(0,(('Business Case'!E11*$C1006*'Business Case'!E12*$B1006)-'Business Case'!E11*$C1006*'Business Case'!E13*$D1006-'Business Case'!E14*$E1006))*'Business Case'!$B$7-'Business Case'!$B$8*(('Business Case'!E11*$C1006*'Business Case'!E12*$B1006)-('Business Case'!D11*$C1006*'Business Case'!D12*$B1006))-'Business Case'!E15*$F1006</f>
        <v>676824819.55892</v>
      </c>
      <c r="L1006" s="39" t="n">
        <f aca="false">(('Business Case'!F11*$C1006*'Business Case'!F12*$B1006)-'Business Case'!F11*$C1006*'Business Case'!F13*$D1006-'Business Case'!F14*$E1006)-MAX(0,(('Business Case'!F11*$C1006*'Business Case'!F12*$B1006)-'Business Case'!F11*$C1006*'Business Case'!F13*$D1006-'Business Case'!F14*$E1006))*'Business Case'!$B$7-'Business Case'!$B$8*(('Business Case'!F11*$C1006*'Business Case'!F12*$B1006)-('Business Case'!E11*$C1006*'Business Case'!E12*$B1006))-'Business Case'!F15*$F1006</f>
        <v>816528201.48335</v>
      </c>
      <c r="M1006" s="39" t="n">
        <f aca="false">(('Business Case'!G11*$C1006*'Business Case'!G12*$B1006)-'Business Case'!G11*$C1006*'Business Case'!G13*$D1006-'Business Case'!G14*$E1006)-MAX(0,(('Business Case'!G11*$C1006*'Business Case'!G12*$B1006)-'Business Case'!G11*$C1006*'Business Case'!G13*$D1006-'Business Case'!G14*$E1006))*'Business Case'!$B$7-'Business Case'!$B$8*(('Business Case'!G11*$C1006*'Business Case'!G12*$B1006)-('Business Case'!F11*$C1006*'Business Case'!F12*$B1006))-'Business Case'!G15*$F1006+'Business Case'!$B$8*('Business Case'!G11*$C1006*'Business Case'!G12*$B1006)</f>
        <v>1017880375.78534</v>
      </c>
      <c r="N1006" s="39" t="n">
        <f aca="false">IF(COUNT('Business Case'!B11:G11)=0,"",H1006+NPV(G1006,I1006:M1006))</f>
        <v>-28796167.5515416</v>
      </c>
      <c r="P1006" s="40" t="n">
        <f aca="true">RAND()</f>
        <v>0.440653760387593</v>
      </c>
      <c r="Q1006" s="40" t="n">
        <f aca="true">RAND()</f>
        <v>0.893967037616889</v>
      </c>
      <c r="R1006" s="40" t="n">
        <f aca="true">RAND()</f>
        <v>0.58443439860818</v>
      </c>
      <c r="S1006" s="40" t="n">
        <f aca="true">RAND()</f>
        <v>0.579975533947606</v>
      </c>
      <c r="T1006" s="40" t="n">
        <f aca="true">RAND()</f>
        <v>0.348122937170917</v>
      </c>
      <c r="U1006" s="40" t="n">
        <f aca="true">RAND()</f>
        <v>0.0443398258617446</v>
      </c>
    </row>
    <row r="1007" customFormat="false" ht="15" hidden="false" customHeight="false" outlineLevel="0" collapsed="false">
      <c r="A1007" s="36" t="n">
        <v>927</v>
      </c>
      <c r="B1007" s="37" t="n">
        <f aca="false">1+IF($G$6=$E$6,$F$6,IF(P1007&lt;($F$6-$E$6)/($G$6-$E$6),$E$6+SQRT(P1007*($G$6-$E$6)*($F$6-$E$6)),$G$6-SQRT((1-P1007)*($G$6-$E$6)*($G$6-$F$6))))</f>
        <v>0.980992059668074</v>
      </c>
      <c r="C1007" s="37" t="n">
        <f aca="false">1+IF($G$7=$E$7,$F$7,IF(Q1007&lt;($F$7-$E$7)/($G$7-$E$7),$E$7+SQRT(Q1007*($G$7-$E$7)*($F$7-$E$7)),$G$7-SQRT((1-Q1007)*($G$7-$E$7)*($G$7-$F$7))))</f>
        <v>1.06294510241445</v>
      </c>
      <c r="D1007" s="37" t="n">
        <f aca="false">1+IF($G$8=$E$8,$F$8,IF(R1007&lt;($F$8-$E$8)/($G$8-$E$8),$E$8+SQRT(R1007*($G$8-$E$8)*($F$8-$E$8)),$G$8-SQRT((1-R1007)*($G$8-$E$8)*($G$8-$F$8))))</f>
        <v>0.988816745930167</v>
      </c>
      <c r="E1007" s="37" t="n">
        <f aca="false">1+IF($G$9=$E$9,$F$9,IF(S1007&lt;($F$9-$E$9)/($G$9-$E$9),$E$9+SQRT(S1007*($G$9-$E$9)*($F$9-$E$9)),$G$9-SQRT((1-S1007)*($G$9-$E$9)*($G$9-$F$9))))</f>
        <v>0.980858547170703</v>
      </c>
      <c r="F1007" s="37" t="n">
        <f aca="false">1+IF($G$10=$E$10,$F$10,IF(T1007&lt;($F$10-$E$10)/($G$10-$E$10),$E$10+SQRT(T1007*($G$10-$E$10)*($F$10-$E$10)),$G$10-SQRT((1-T1007)*($G$10-$E$10)*($G$10-$F$10))))</f>
        <v>1.1415346325447</v>
      </c>
      <c r="G1007" s="38" t="n">
        <f aca="false">IF($G$11=$E$11,$F$11,IF(U1007&lt;($F$11-$E$11)/($G$11-$E$11),$E$11+SQRT(U1007*($G$11-$E$11)*($F$11-$E$11)),$G$11-SQRT((1-U1007)*($G$11-$E$11)*($G$11-$F$11))))</f>
        <v>0.0989345736963425</v>
      </c>
      <c r="H1007" s="39" t="n">
        <f aca="false">(('Business Case'!B11*$C1007*'Business Case'!B12*$B1007)-'Business Case'!B11*$C1007*'Business Case'!B13*$D1007-'Business Case'!B14*$E1007)-MAX(0,(('Business Case'!B11*$C1007*'Business Case'!B12*$B1007)-'Business Case'!B11*$C1007*'Business Case'!B13*$D1007-'Business Case'!B14*$E1007))*'Business Case'!$B$7-'Business Case'!$B$8*('Business Case'!B11*$C1007*'Business Case'!B12*$B1007)-'Business Case'!B15*$F1007</f>
        <v>-2283069265.08941</v>
      </c>
      <c r="I1007" s="39" t="n">
        <f aca="false">(('Business Case'!C11*$C1007*'Business Case'!C12*$B1007)-'Business Case'!C11*$C1007*'Business Case'!C13*$D1007-'Business Case'!C14*$E1007)-MAX(0,(('Business Case'!C11*$C1007*'Business Case'!C12*$B1007)-'Business Case'!C11*$C1007*'Business Case'!C13*$D1007-'Business Case'!C14*$E1007))*'Business Case'!$B$7-'Business Case'!$B$8*(('Business Case'!C11*$C1007*'Business Case'!C12*$B1007)-('Business Case'!B11*$C1007*'Business Case'!B12*$B1007))-'Business Case'!C15*$F1007</f>
        <v>8334919.16104884</v>
      </c>
      <c r="J1007" s="39" t="n">
        <f aca="false">(('Business Case'!D11*$C1007*'Business Case'!D12*$B1007)-'Business Case'!D11*$C1007*'Business Case'!D13*$D1007-'Business Case'!D14*$E1007)-MAX(0,(('Business Case'!D11*$C1007*'Business Case'!D12*$B1007)-'Business Case'!D11*$C1007*'Business Case'!D13*$D1007-'Business Case'!D14*$E1007))*'Business Case'!$B$7-'Business Case'!$B$8*(('Business Case'!D11*$C1007*'Business Case'!D12*$B1007)-('Business Case'!C11*$C1007*'Business Case'!C12*$B1007))-'Business Case'!D15*$F1007</f>
        <v>324357065.148634</v>
      </c>
      <c r="K1007" s="39" t="n">
        <f aca="false">(('Business Case'!E11*$C1007*'Business Case'!E12*$B1007)-'Business Case'!E11*$C1007*'Business Case'!E13*$D1007-'Business Case'!E14*$E1007)-MAX(0,(('Business Case'!E11*$C1007*'Business Case'!E12*$B1007)-'Business Case'!E11*$C1007*'Business Case'!E13*$D1007-'Business Case'!E14*$E1007))*'Business Case'!$B$7-'Business Case'!$B$8*(('Business Case'!E11*$C1007*'Business Case'!E12*$B1007)-('Business Case'!D11*$C1007*'Business Case'!D12*$B1007))-'Business Case'!E15*$F1007</f>
        <v>697455942.763455</v>
      </c>
      <c r="L1007" s="39" t="n">
        <f aca="false">(('Business Case'!F11*$C1007*'Business Case'!F12*$B1007)-'Business Case'!F11*$C1007*'Business Case'!F13*$D1007-'Business Case'!F14*$E1007)-MAX(0,(('Business Case'!F11*$C1007*'Business Case'!F12*$B1007)-'Business Case'!F11*$C1007*'Business Case'!F13*$D1007-'Business Case'!F14*$E1007))*'Business Case'!$B$7-'Business Case'!$B$8*(('Business Case'!F11*$C1007*'Business Case'!F12*$B1007)-('Business Case'!E11*$C1007*'Business Case'!E12*$B1007))-'Business Case'!F15*$F1007</f>
        <v>838833776.868911</v>
      </c>
      <c r="M1007" s="39" t="n">
        <f aca="false">(('Business Case'!G11*$C1007*'Business Case'!G12*$B1007)-'Business Case'!G11*$C1007*'Business Case'!G13*$D1007-'Business Case'!G14*$E1007)-MAX(0,(('Business Case'!G11*$C1007*'Business Case'!G12*$B1007)-'Business Case'!G11*$C1007*'Business Case'!G13*$D1007-'Business Case'!G14*$E1007))*'Business Case'!$B$7-'Business Case'!$B$8*(('Business Case'!G11*$C1007*'Business Case'!G12*$B1007)-('Business Case'!F11*$C1007*'Business Case'!F12*$B1007))-'Business Case'!G15*$F1007+'Business Case'!$B$8*('Business Case'!G11*$C1007*'Business Case'!G12*$B1007)</f>
        <v>1037037930.13835</v>
      </c>
      <c r="N1007" s="39" t="n">
        <f aca="false">IF(COUNT('Business Case'!B11:G11)=0,"",H1007+NPV(G1007,I1007:M1007))</f>
        <v>-259160157.185162</v>
      </c>
      <c r="P1007" s="40" t="n">
        <f aca="true">RAND()</f>
        <v>0.387503264849359</v>
      </c>
      <c r="Q1007" s="40" t="n">
        <f aca="true">RAND()</f>
        <v>0.855646567740361</v>
      </c>
      <c r="R1007" s="40" t="n">
        <f aca="true">RAND()</f>
        <v>0.231806117631871</v>
      </c>
      <c r="S1007" s="40" t="n">
        <f aca="true">RAND()</f>
        <v>0.1269666577982</v>
      </c>
      <c r="T1007" s="40" t="n">
        <f aca="true">RAND()</f>
        <v>0.931636016166343</v>
      </c>
      <c r="U1007" s="40" t="n">
        <f aca="true">RAND()</f>
        <v>0.26608869045125</v>
      </c>
    </row>
    <row r="1008" customFormat="false" ht="15" hidden="false" customHeight="false" outlineLevel="0" collapsed="false">
      <c r="A1008" s="36" t="n">
        <v>928</v>
      </c>
      <c r="B1008" s="37" t="n">
        <f aca="false">1+IF($G$6=$E$6,$F$6,IF(P1008&lt;($F$6-$E$6)/($G$6-$E$6),$E$6+SQRT(P1008*($G$6-$E$6)*($F$6-$E$6)),$G$6-SQRT((1-P1008)*($G$6-$E$6)*($G$6-$F$6))))</f>
        <v>0.957354463539097</v>
      </c>
      <c r="C1008" s="37" t="n">
        <f aca="false">1+IF($G$7=$E$7,$F$7,IF(Q1008&lt;($F$7-$E$7)/($G$7-$E$7),$E$7+SQRT(Q1008*($G$7-$E$7)*($F$7-$E$7)),$G$7-SQRT((1-Q1008)*($G$7-$E$7)*($G$7-$F$7))))</f>
        <v>0.971430000567805</v>
      </c>
      <c r="D1008" s="37" t="n">
        <f aca="false">1+IF($G$8=$E$8,$F$8,IF(R1008&lt;($F$8-$E$8)/($G$8-$E$8),$E$8+SQRT(R1008*($G$8-$E$8)*($F$8-$E$8)),$G$8-SQRT((1-R1008)*($G$8-$E$8)*($G$8-$F$8))))</f>
        <v>1.03296493192485</v>
      </c>
      <c r="E1008" s="37" t="n">
        <f aca="false">1+IF($G$9=$E$9,$F$9,IF(S1008&lt;($F$9-$E$9)/($G$9-$E$9),$E$9+SQRT(S1008*($G$9-$E$9)*($F$9-$E$9)),$G$9-SQRT((1-S1008)*($G$9-$E$9)*($G$9-$F$9))))</f>
        <v>0.991305099515556</v>
      </c>
      <c r="F1008" s="37" t="n">
        <f aca="false">1+IF($G$10=$E$10,$F$10,IF(T1008&lt;($F$10-$E$10)/($G$10-$E$10),$E$10+SQRT(T1008*($G$10-$E$10)*($F$10-$E$10)),$G$10-SQRT((1-T1008)*($G$10-$E$10)*($G$10-$F$10))))</f>
        <v>1.02977601646405</v>
      </c>
      <c r="G1008" s="38" t="n">
        <f aca="false">IF($G$11=$E$11,$F$11,IF(U1008&lt;($F$11-$E$11)/($G$11-$E$11),$E$11+SQRT(U1008*($G$11-$E$11)*($F$11-$E$11)),$G$11-SQRT((1-U1008)*($G$11-$E$11)*($G$11-$F$11))))</f>
        <v>0.111805706616942</v>
      </c>
      <c r="H1008" s="39" t="n">
        <f aca="false">(('Business Case'!B11*$C1008*'Business Case'!B12*$B1008)-'Business Case'!B11*$C1008*'Business Case'!B13*$D1008-'Business Case'!B14*$E1008)-MAX(0,(('Business Case'!B11*$C1008*'Business Case'!B12*$B1008)-'Business Case'!B11*$C1008*'Business Case'!B13*$D1008-'Business Case'!B14*$E1008))*'Business Case'!$B$7-'Business Case'!$B$8*('Business Case'!B11*$C1008*'Business Case'!B12*$B1008)-'Business Case'!B15*$F1008</f>
        <v>-2059552032.92809</v>
      </c>
      <c r="I1008" s="39" t="n">
        <f aca="false">(('Business Case'!C11*$C1008*'Business Case'!C12*$B1008)-'Business Case'!C11*$C1008*'Business Case'!C13*$D1008-'Business Case'!C14*$E1008)-MAX(0,(('Business Case'!C11*$C1008*'Business Case'!C12*$B1008)-'Business Case'!C11*$C1008*'Business Case'!C13*$D1008-'Business Case'!C14*$E1008))*'Business Case'!$B$7-'Business Case'!$B$8*(('Business Case'!C11*$C1008*'Business Case'!C12*$B1008)-('Business Case'!B11*$C1008*'Business Case'!B12*$B1008))-'Business Case'!C15*$F1008</f>
        <v>-44100965.8885221</v>
      </c>
      <c r="J1008" s="39" t="n">
        <f aca="false">(('Business Case'!D11*$C1008*'Business Case'!D12*$B1008)-'Business Case'!D11*$C1008*'Business Case'!D13*$D1008-'Business Case'!D14*$E1008)-MAX(0,(('Business Case'!D11*$C1008*'Business Case'!D12*$B1008)-'Business Case'!D11*$C1008*'Business Case'!D13*$D1008-'Business Case'!D14*$E1008))*'Business Case'!$B$7-'Business Case'!$B$8*(('Business Case'!D11*$C1008*'Business Case'!D12*$B1008)-('Business Case'!C11*$C1008*'Business Case'!C12*$B1008))-'Business Case'!D15*$F1008</f>
        <v>203950602.61203</v>
      </c>
      <c r="K1008" s="39" t="n">
        <f aca="false">(('Business Case'!E11*$C1008*'Business Case'!E12*$B1008)-'Business Case'!E11*$C1008*'Business Case'!E13*$D1008-'Business Case'!E14*$E1008)-MAX(0,(('Business Case'!E11*$C1008*'Business Case'!E12*$B1008)-'Business Case'!E11*$C1008*'Business Case'!E13*$D1008-'Business Case'!E14*$E1008))*'Business Case'!$B$7-'Business Case'!$B$8*(('Business Case'!E11*$C1008*'Business Case'!E12*$B1008)-('Business Case'!D11*$C1008*'Business Case'!D12*$B1008))-'Business Case'!E15*$F1008</f>
        <v>503490971.935785</v>
      </c>
      <c r="L1008" s="39" t="n">
        <f aca="false">(('Business Case'!F11*$C1008*'Business Case'!F12*$B1008)-'Business Case'!F11*$C1008*'Business Case'!F13*$D1008-'Business Case'!F14*$E1008)-MAX(0,(('Business Case'!F11*$C1008*'Business Case'!F12*$B1008)-'Business Case'!F11*$C1008*'Business Case'!F13*$D1008-'Business Case'!F14*$E1008))*'Business Case'!$B$7-'Business Case'!$B$8*(('Business Case'!F11*$C1008*'Business Case'!F12*$B1008)-('Business Case'!E11*$C1008*'Business Case'!E12*$B1008))-'Business Case'!F15*$F1008</f>
        <v>618315726.497008</v>
      </c>
      <c r="M1008" s="39" t="n">
        <f aca="false">(('Business Case'!G11*$C1008*'Business Case'!G12*$B1008)-'Business Case'!G11*$C1008*'Business Case'!G13*$D1008-'Business Case'!G14*$E1008)-MAX(0,(('Business Case'!G11*$C1008*'Business Case'!G12*$B1008)-'Business Case'!G11*$C1008*'Business Case'!G13*$D1008-'Business Case'!G14*$E1008))*'Business Case'!$B$7-'Business Case'!$B$8*(('Business Case'!G11*$C1008*'Business Case'!G12*$B1008)-('Business Case'!F11*$C1008*'Business Case'!F12*$B1008))-'Business Case'!G15*$F1008+'Business Case'!$B$8*('Business Case'!G11*$C1008*'Business Case'!G12*$B1008)</f>
        <v>795090667.666054</v>
      </c>
      <c r="N1008" s="39" t="n">
        <f aca="false">IF(COUNT('Business Case'!B11:G11)=0,"",H1008+NPV(G1008,I1008:M1008))</f>
        <v>-695174579.481883</v>
      </c>
      <c r="P1008" s="40" t="n">
        <f aca="true">RAND()</f>
        <v>0.14534957773893</v>
      </c>
      <c r="Q1008" s="40" t="n">
        <f aca="true">RAND()</f>
        <v>0.419832072781107</v>
      </c>
      <c r="R1008" s="40" t="n">
        <f aca="true">RAND()</f>
        <v>0.787279074150606</v>
      </c>
      <c r="S1008" s="40" t="n">
        <f aca="true">RAND()</f>
        <v>0.227481499465335</v>
      </c>
      <c r="T1008" s="40" t="n">
        <f aca="true">RAND()</f>
        <v>0.420475908583022</v>
      </c>
      <c r="U1008" s="40" t="n">
        <f aca="true">RAND()</f>
        <v>0.888089259920609</v>
      </c>
    </row>
    <row r="1009" customFormat="false" ht="15" hidden="false" customHeight="false" outlineLevel="0" collapsed="false">
      <c r="A1009" s="36" t="n">
        <v>929</v>
      </c>
      <c r="B1009" s="37" t="n">
        <f aca="false">1+IF($G$6=$E$6,$F$6,IF(P1009&lt;($F$6-$E$6)/($G$6-$E$6),$E$6+SQRT(P1009*($G$6-$E$6)*($F$6-$E$6)),$G$6-SQRT((1-P1009)*($G$6-$E$6)*($G$6-$F$6))))</f>
        <v>1.02882229764559</v>
      </c>
      <c r="C1009" s="37" t="n">
        <f aca="false">1+IF($G$7=$E$7,$F$7,IF(Q1009&lt;($F$7-$E$7)/($G$7-$E$7),$E$7+SQRT(Q1009*($G$7-$E$7)*($F$7-$E$7)),$G$7-SQRT((1-Q1009)*($G$7-$E$7)*($G$7-$F$7))))</f>
        <v>0.912829458979847</v>
      </c>
      <c r="D1009" s="37" t="n">
        <f aca="false">1+IF($G$8=$E$8,$F$8,IF(R1009&lt;($F$8-$E$8)/($G$8-$E$8),$E$8+SQRT(R1009*($G$8-$E$8)*($F$8-$E$8)),$G$8-SQRT((1-R1009)*($G$8-$E$8)*($G$8-$F$8))))</f>
        <v>0.986740703064536</v>
      </c>
      <c r="E1009" s="37" t="n">
        <f aca="false">1+IF($G$9=$E$9,$F$9,IF(S1009&lt;($F$9-$E$9)/($G$9-$E$9),$E$9+SQRT(S1009*($G$9-$E$9)*($F$9-$E$9)),$G$9-SQRT((1-S1009)*($G$9-$E$9)*($G$9-$F$9))))</f>
        <v>0.972711350912718</v>
      </c>
      <c r="F1009" s="37" t="n">
        <f aca="false">1+IF($G$10=$E$10,$F$10,IF(T1009&lt;($F$10-$E$10)/($G$10-$E$10),$E$10+SQRT(T1009*($G$10-$E$10)*($F$10-$E$10)),$G$10-SQRT((1-T1009)*($G$10-$E$10)*($G$10-$F$10))))</f>
        <v>1.01493062016896</v>
      </c>
      <c r="G1009" s="38" t="n">
        <f aca="false">IF($G$11=$E$11,$F$11,IF(U1009&lt;($F$11-$E$11)/($G$11-$E$11),$E$11+SQRT(U1009*($G$11-$E$11)*($F$11-$E$11)),$G$11-SQRT((1-U1009)*($G$11-$E$11)*($G$11-$F$11))))</f>
        <v>0.0982248352148558</v>
      </c>
      <c r="H1009" s="39" t="n">
        <f aca="false">(('Business Case'!B11*$C1009*'Business Case'!B12*$B1009)-'Business Case'!B11*$C1009*'Business Case'!B13*$D1009-'Business Case'!B14*$E1009)-MAX(0,(('Business Case'!B11*$C1009*'Business Case'!B12*$B1009)-'Business Case'!B11*$C1009*'Business Case'!B13*$D1009-'Business Case'!B14*$E1009))*'Business Case'!$B$7-'Business Case'!$B$8*('Business Case'!B11*$C1009*'Business Case'!B12*$B1009)-'Business Case'!B15*$F1009</f>
        <v>-2029861240.33793</v>
      </c>
      <c r="I1009" s="39" t="n">
        <f aca="false">(('Business Case'!C11*$C1009*'Business Case'!C12*$B1009)-'Business Case'!C11*$C1009*'Business Case'!C13*$D1009-'Business Case'!C14*$E1009)-MAX(0,(('Business Case'!C11*$C1009*'Business Case'!C12*$B1009)-'Business Case'!C11*$C1009*'Business Case'!C13*$D1009-'Business Case'!C14*$E1009))*'Business Case'!$B$7-'Business Case'!$B$8*(('Business Case'!C11*$C1009*'Business Case'!C12*$B1009)-('Business Case'!B11*$C1009*'Business Case'!B12*$B1009))-'Business Case'!C15*$F1009</f>
        <v>19625463.560873</v>
      </c>
      <c r="J1009" s="39" t="n">
        <f aca="false">(('Business Case'!D11*$C1009*'Business Case'!D12*$B1009)-'Business Case'!D11*$C1009*'Business Case'!D13*$D1009-'Business Case'!D14*$E1009)-MAX(0,(('Business Case'!D11*$C1009*'Business Case'!D12*$B1009)-'Business Case'!D11*$C1009*'Business Case'!D13*$D1009-'Business Case'!D14*$E1009))*'Business Case'!$B$7-'Business Case'!$B$8*(('Business Case'!D11*$C1009*'Business Case'!D12*$B1009)-('Business Case'!C11*$C1009*'Business Case'!C12*$B1009))-'Business Case'!D15*$F1009</f>
        <v>327748524.620219</v>
      </c>
      <c r="K1009" s="39" t="n">
        <f aca="false">(('Business Case'!E11*$C1009*'Business Case'!E12*$B1009)-'Business Case'!E11*$C1009*'Business Case'!E13*$D1009-'Business Case'!E14*$E1009)-MAX(0,(('Business Case'!E11*$C1009*'Business Case'!E12*$B1009)-'Business Case'!E11*$C1009*'Business Case'!E13*$D1009-'Business Case'!E14*$E1009))*'Business Case'!$B$7-'Business Case'!$B$8*(('Business Case'!E11*$C1009*'Business Case'!E12*$B1009)-('Business Case'!D11*$C1009*'Business Case'!D12*$B1009))-'Business Case'!E15*$F1009</f>
        <v>686618116.688014</v>
      </c>
      <c r="L1009" s="39" t="n">
        <f aca="false">(('Business Case'!F11*$C1009*'Business Case'!F12*$B1009)-'Business Case'!F11*$C1009*'Business Case'!F13*$D1009-'Business Case'!F14*$E1009)-MAX(0,(('Business Case'!F11*$C1009*'Business Case'!F12*$B1009)-'Business Case'!F11*$C1009*'Business Case'!F13*$D1009-'Business Case'!F14*$E1009))*'Business Case'!$B$7-'Business Case'!$B$8*(('Business Case'!F11*$C1009*'Business Case'!F12*$B1009)-('Business Case'!E11*$C1009*'Business Case'!E12*$B1009))-'Business Case'!F15*$F1009</f>
        <v>821782457.962321</v>
      </c>
      <c r="M1009" s="39" t="n">
        <f aca="false">(('Business Case'!G11*$C1009*'Business Case'!G12*$B1009)-'Business Case'!G11*$C1009*'Business Case'!G13*$D1009-'Business Case'!G14*$E1009)-MAX(0,(('Business Case'!G11*$C1009*'Business Case'!G12*$B1009)-'Business Case'!G11*$C1009*'Business Case'!G13*$D1009-'Business Case'!G14*$E1009))*'Business Case'!$B$7-'Business Case'!$B$8*(('Business Case'!G11*$C1009*'Business Case'!G12*$B1009)-('Business Case'!F11*$C1009*'Business Case'!F12*$B1009))-'Business Case'!G15*$F1009+'Business Case'!$B$8*('Business Case'!G11*$C1009*'Business Case'!G12*$B1009)</f>
        <v>1000294056.36221</v>
      </c>
      <c r="N1009" s="39" t="n">
        <f aca="false">IF(COUNT('Business Case'!B11:G11)=0,"",H1009+NPV(G1009,I1009:M1009))</f>
        <v>-30809981.844573</v>
      </c>
      <c r="P1009" s="40" t="n">
        <f aca="true">RAND()</f>
        <v>0.97397061876586</v>
      </c>
      <c r="Q1009" s="40" t="n">
        <f aca="true">RAND()</f>
        <v>0.181864097338358</v>
      </c>
      <c r="R1009" s="40" t="n">
        <f aca="true">RAND()</f>
        <v>0.207673732565597</v>
      </c>
      <c r="S1009" s="40" t="n">
        <f aca="true">RAND()</f>
        <v>0.0687740613707512</v>
      </c>
      <c r="T1009" s="40" t="n">
        <f aca="true">RAND()</f>
        <v>0.314986492979109</v>
      </c>
      <c r="U1009" s="40" t="n">
        <f aca="true">RAND()</f>
        <v>0.225493047705106</v>
      </c>
    </row>
    <row r="1010" customFormat="false" ht="15" hidden="false" customHeight="false" outlineLevel="0" collapsed="false">
      <c r="A1010" s="36" t="n">
        <v>930</v>
      </c>
      <c r="B1010" s="37" t="n">
        <f aca="false">1+IF($G$6=$E$6,$F$6,IF(P1010&lt;($F$6-$E$6)/($G$6-$E$6),$E$6+SQRT(P1010*($G$6-$E$6)*($F$6-$E$6)),$G$6-SQRT((1-P1010)*($G$6-$E$6)*($G$6-$F$6))))</f>
        <v>0.994811566978776</v>
      </c>
      <c r="C1010" s="37" t="n">
        <f aca="false">1+IF($G$7=$E$7,$F$7,IF(Q1010&lt;($F$7-$E$7)/($G$7-$E$7),$E$7+SQRT(Q1010*($G$7-$E$7)*($F$7-$E$7)),$G$7-SQRT((1-Q1010)*($G$7-$E$7)*($G$7-$F$7))))</f>
        <v>1.07882419445217</v>
      </c>
      <c r="D1010" s="37" t="n">
        <f aca="false">1+IF($G$8=$E$8,$F$8,IF(R1010&lt;($F$8-$E$8)/($G$8-$E$8),$E$8+SQRT(R1010*($G$8-$E$8)*($F$8-$E$8)),$G$8-SQRT((1-R1010)*($G$8-$E$8)*($G$8-$F$8))))</f>
        <v>1.01293451872142</v>
      </c>
      <c r="E1010" s="37" t="n">
        <f aca="false">1+IF($G$9=$E$9,$F$9,IF(S1010&lt;($F$9-$E$9)/($G$9-$E$9),$E$9+SQRT(S1010*($G$9-$E$9)*($F$9-$E$9)),$G$9-SQRT((1-S1010)*($G$9-$E$9)*($G$9-$F$9))))</f>
        <v>0.968921512760207</v>
      </c>
      <c r="F1010" s="37" t="n">
        <f aca="false">1+IF($G$10=$E$10,$F$10,IF(T1010&lt;($F$10-$E$10)/($G$10-$E$10),$E$10+SQRT(T1010*($G$10-$E$10)*($F$10-$E$10)),$G$10-SQRT((1-T1010)*($G$10-$E$10)*($G$10-$F$10))))</f>
        <v>1.08503649358559</v>
      </c>
      <c r="G1010" s="38" t="n">
        <f aca="false">IF($G$11=$E$11,$F$11,IF(U1010&lt;($F$11-$E$11)/($G$11-$E$11),$E$11+SQRT(U1010*($G$11-$E$11)*($F$11-$E$11)),$G$11-SQRT((1-U1010)*($G$11-$E$11)*($G$11-$F$11))))</f>
        <v>0.107183081904467</v>
      </c>
      <c r="H1010" s="39" t="n">
        <f aca="false">(('Business Case'!B11*$C1010*'Business Case'!B12*$B1010)-'Business Case'!B11*$C1010*'Business Case'!B13*$D1010-'Business Case'!B14*$E1010)-MAX(0,(('Business Case'!B11*$C1010*'Business Case'!B12*$B1010)-'Business Case'!B11*$C1010*'Business Case'!B13*$D1010-'Business Case'!B14*$E1010))*'Business Case'!$B$7-'Business Case'!$B$8*('Business Case'!B11*$C1010*'Business Case'!B12*$B1010)-'Business Case'!B15*$F1010</f>
        <v>-2170072987.17118</v>
      </c>
      <c r="I1010" s="39" t="n">
        <f aca="false">(('Business Case'!C11*$C1010*'Business Case'!C12*$B1010)-'Business Case'!C11*$C1010*'Business Case'!C13*$D1010-'Business Case'!C14*$E1010)-MAX(0,(('Business Case'!C11*$C1010*'Business Case'!C12*$B1010)-'Business Case'!C11*$C1010*'Business Case'!C13*$D1010-'Business Case'!C14*$E1010))*'Business Case'!$B$7-'Business Case'!$B$8*(('Business Case'!C11*$C1010*'Business Case'!C12*$B1010)-('Business Case'!B11*$C1010*'Business Case'!B12*$B1010))-'Business Case'!C15*$F1010</f>
        <v>17714596.0309851</v>
      </c>
      <c r="J1010" s="39" t="n">
        <f aca="false">(('Business Case'!D11*$C1010*'Business Case'!D12*$B1010)-'Business Case'!D11*$C1010*'Business Case'!D13*$D1010-'Business Case'!D14*$E1010)-MAX(0,(('Business Case'!D11*$C1010*'Business Case'!D12*$B1010)-'Business Case'!D11*$C1010*'Business Case'!D13*$D1010-'Business Case'!D14*$E1010))*'Business Case'!$B$7-'Business Case'!$B$8*(('Business Case'!D11*$C1010*'Business Case'!D12*$B1010)-('Business Case'!C11*$C1010*'Business Case'!C12*$B1010))-'Business Case'!D15*$F1010</f>
        <v>337349557.192684</v>
      </c>
      <c r="K1010" s="39" t="n">
        <f aca="false">(('Business Case'!E11*$C1010*'Business Case'!E12*$B1010)-'Business Case'!E11*$C1010*'Business Case'!E13*$D1010-'Business Case'!E14*$E1010)-MAX(0,(('Business Case'!E11*$C1010*'Business Case'!E12*$B1010)-'Business Case'!E11*$C1010*'Business Case'!E13*$D1010-'Business Case'!E14*$E1010))*'Business Case'!$B$7-'Business Case'!$B$8*(('Business Case'!E11*$C1010*'Business Case'!E12*$B1010)-('Business Case'!D11*$C1010*'Business Case'!D12*$B1010))-'Business Case'!E15*$F1010</f>
        <v>711236343.033662</v>
      </c>
      <c r="L1010" s="39" t="n">
        <f aca="false">(('Business Case'!F11*$C1010*'Business Case'!F12*$B1010)-'Business Case'!F11*$C1010*'Business Case'!F13*$D1010-'Business Case'!F14*$E1010)-MAX(0,(('Business Case'!F11*$C1010*'Business Case'!F12*$B1010)-'Business Case'!F11*$C1010*'Business Case'!F13*$D1010-'Business Case'!F14*$E1010))*'Business Case'!$B$7-'Business Case'!$B$8*(('Business Case'!F11*$C1010*'Business Case'!F12*$B1010)-('Business Case'!E11*$C1010*'Business Case'!E12*$B1010))-'Business Case'!F15*$F1010</f>
        <v>854872047.859331</v>
      </c>
      <c r="M1010" s="39" t="n">
        <f aca="false">(('Business Case'!G11*$C1010*'Business Case'!G12*$B1010)-'Business Case'!G11*$C1010*'Business Case'!G13*$D1010-'Business Case'!G14*$E1010)-MAX(0,(('Business Case'!G11*$C1010*'Business Case'!G12*$B1010)-'Business Case'!G11*$C1010*'Business Case'!G13*$D1010-'Business Case'!G14*$E1010))*'Business Case'!$B$7-'Business Case'!$B$8*(('Business Case'!G11*$C1010*'Business Case'!G12*$B1010)-('Business Case'!F11*$C1010*'Business Case'!F12*$B1010))-'Business Case'!G15*$F1010+'Business Case'!$B$8*('Business Case'!G11*$C1010*'Business Case'!G12*$B1010)</f>
        <v>1058870995.60406</v>
      </c>
      <c r="N1010" s="39" t="n">
        <f aca="false">IF(COUNT('Business Case'!B11:G11)=0,"",H1010+NPV(G1010,I1010:M1010))</f>
        <v>-149541981.095709</v>
      </c>
      <c r="P1010" s="40" t="n">
        <f aca="true">RAND()</f>
        <v>0.582996932689566</v>
      </c>
      <c r="Q1010" s="40" t="n">
        <f aca="true">RAND()</f>
        <v>0.903504851516524</v>
      </c>
      <c r="R1010" s="40" t="n">
        <f aca="true">RAND()</f>
        <v>0.567521271237714</v>
      </c>
      <c r="S1010" s="40" t="n">
        <f aca="true">RAND()</f>
        <v>0.0477364860179593</v>
      </c>
      <c r="T1010" s="40" t="n">
        <f aca="true">RAND()</f>
        <v>0.735667843858066</v>
      </c>
      <c r="U1010" s="40" t="n">
        <f aca="true">RAND()</f>
        <v>0.726211017554011</v>
      </c>
    </row>
    <row r="1011" customFormat="false" ht="15" hidden="false" customHeight="false" outlineLevel="0" collapsed="false">
      <c r="A1011" s="36" t="n">
        <v>931</v>
      </c>
      <c r="B1011" s="37" t="n">
        <f aca="false">1+IF($G$6=$E$6,$F$6,IF(P1011&lt;($F$6-$E$6)/($G$6-$E$6),$E$6+SQRT(P1011*($G$6-$E$6)*($F$6-$E$6)),$G$6-SQRT((1-P1011)*($G$6-$E$6)*($G$6-$F$6))))</f>
        <v>0.991757516585368</v>
      </c>
      <c r="C1011" s="37" t="n">
        <f aca="false">1+IF($G$7=$E$7,$F$7,IF(Q1011&lt;($F$7-$E$7)/($G$7-$E$7),$E$7+SQRT(Q1011*($G$7-$E$7)*($F$7-$E$7)),$G$7-SQRT((1-Q1011)*($G$7-$E$7)*($G$7-$F$7))))</f>
        <v>0.944991978680421</v>
      </c>
      <c r="D1011" s="37" t="n">
        <f aca="false">1+IF($G$8=$E$8,$F$8,IF(R1011&lt;($F$8-$E$8)/($G$8-$E$8),$E$8+SQRT(R1011*($G$8-$E$8)*($F$8-$E$8)),$G$8-SQRT((1-R1011)*($G$8-$E$8)*($G$8-$F$8))))</f>
        <v>1.06160034152516</v>
      </c>
      <c r="E1011" s="37" t="n">
        <f aca="false">1+IF($G$9=$E$9,$F$9,IF(S1011&lt;($F$9-$E$9)/($G$9-$E$9),$E$9+SQRT(S1011*($G$9-$E$9)*($F$9-$E$9)),$G$9-SQRT((1-S1011)*($G$9-$E$9)*($G$9-$F$9))))</f>
        <v>0.993714915428669</v>
      </c>
      <c r="F1011" s="37" t="n">
        <f aca="false">1+IF($G$10=$E$10,$F$10,IF(T1011&lt;($F$10-$E$10)/($G$10-$E$10),$E$10+SQRT(T1011*($G$10-$E$10)*($F$10-$E$10)),$G$10-SQRT((1-T1011)*($G$10-$E$10)*($G$10-$F$10))))</f>
        <v>0.987070394866163</v>
      </c>
      <c r="G1011" s="38" t="n">
        <f aca="false">IF($G$11=$E$11,$F$11,IF(U1011&lt;($F$11-$E$11)/($G$11-$E$11),$E$11+SQRT(U1011*($G$11-$E$11)*($F$11-$E$11)),$G$11-SQRT((1-U1011)*($G$11-$E$11)*($G$11-$F$11))))</f>
        <v>0.10250735010049</v>
      </c>
      <c r="H1011" s="39" t="n">
        <f aca="false">(('Business Case'!B11*$C1011*'Business Case'!B12*$B1011)-'Business Case'!B11*$C1011*'Business Case'!B13*$D1011-'Business Case'!B14*$E1011)-MAX(0,(('Business Case'!B11*$C1011*'Business Case'!B12*$B1011)-'Business Case'!B11*$C1011*'Business Case'!B13*$D1011-'Business Case'!B14*$E1011))*'Business Case'!$B$7-'Business Case'!$B$8*('Business Case'!B11*$C1011*'Business Case'!B12*$B1011)-'Business Case'!B15*$F1011</f>
        <v>-1974140789.73233</v>
      </c>
      <c r="I1011" s="39" t="n">
        <f aca="false">(('Business Case'!C11*$C1011*'Business Case'!C12*$B1011)-'Business Case'!C11*$C1011*'Business Case'!C13*$D1011-'Business Case'!C14*$E1011)-MAX(0,(('Business Case'!C11*$C1011*'Business Case'!C12*$B1011)-'Business Case'!C11*$C1011*'Business Case'!C13*$D1011-'Business Case'!C14*$E1011))*'Business Case'!$B$7-'Business Case'!$B$8*(('Business Case'!C11*$C1011*'Business Case'!C12*$B1011)-('Business Case'!B11*$C1011*'Business Case'!B12*$B1011))-'Business Case'!C15*$F1011</f>
        <v>-34521339.681795</v>
      </c>
      <c r="J1011" s="39" t="n">
        <f aca="false">(('Business Case'!D11*$C1011*'Business Case'!D12*$B1011)-'Business Case'!D11*$C1011*'Business Case'!D13*$D1011-'Business Case'!D14*$E1011)-MAX(0,(('Business Case'!D11*$C1011*'Business Case'!D12*$B1011)-'Business Case'!D11*$C1011*'Business Case'!D13*$D1011-'Business Case'!D14*$E1011))*'Business Case'!$B$7-'Business Case'!$B$8*(('Business Case'!D11*$C1011*'Business Case'!D12*$B1011)-('Business Case'!C11*$C1011*'Business Case'!C12*$B1011))-'Business Case'!D15*$F1011</f>
        <v>219555219.327706</v>
      </c>
      <c r="K1011" s="39" t="n">
        <f aca="false">(('Business Case'!E11*$C1011*'Business Case'!E12*$B1011)-'Business Case'!E11*$C1011*'Business Case'!E13*$D1011-'Business Case'!E14*$E1011)-MAX(0,(('Business Case'!E11*$C1011*'Business Case'!E12*$B1011)-'Business Case'!E11*$C1011*'Business Case'!E13*$D1011-'Business Case'!E14*$E1011))*'Business Case'!$B$7-'Business Case'!$B$8*(('Business Case'!E11*$C1011*'Business Case'!E12*$B1011)-('Business Case'!D11*$C1011*'Business Case'!D12*$B1011))-'Business Case'!E15*$F1011</f>
        <v>522985298.080515</v>
      </c>
      <c r="L1011" s="39" t="n">
        <f aca="false">(('Business Case'!F11*$C1011*'Business Case'!F12*$B1011)-'Business Case'!F11*$C1011*'Business Case'!F13*$D1011-'Business Case'!F14*$E1011)-MAX(0,(('Business Case'!F11*$C1011*'Business Case'!F12*$B1011)-'Business Case'!F11*$C1011*'Business Case'!F13*$D1011-'Business Case'!F14*$E1011))*'Business Case'!$B$7-'Business Case'!$B$8*(('Business Case'!F11*$C1011*'Business Case'!F12*$B1011)-('Business Case'!E11*$C1011*'Business Case'!E12*$B1011))-'Business Case'!F15*$F1011</f>
        <v>640067216.57083</v>
      </c>
      <c r="M1011" s="39" t="n">
        <f aca="false">(('Business Case'!G11*$C1011*'Business Case'!G12*$B1011)-'Business Case'!G11*$C1011*'Business Case'!G13*$D1011-'Business Case'!G14*$E1011)-MAX(0,(('Business Case'!G11*$C1011*'Business Case'!G12*$B1011)-'Business Case'!G11*$C1011*'Business Case'!G13*$D1011-'Business Case'!G14*$E1011))*'Business Case'!$B$7-'Business Case'!$B$8*(('Business Case'!G11*$C1011*'Business Case'!G12*$B1011)-('Business Case'!F11*$C1011*'Business Case'!F12*$B1011))-'Business Case'!G15*$F1011+'Business Case'!$B$8*('Business Case'!G11*$C1011*'Business Case'!G12*$B1011)</f>
        <v>818210743.416813</v>
      </c>
      <c r="N1011" s="39" t="n">
        <f aca="false">IF(COUNT('Business Case'!B11:G11)=0,"",H1011+NPV(G1011,I1011:M1011))</f>
        <v>-499069553.415166</v>
      </c>
      <c r="P1011" s="40" t="n">
        <f aca="true">RAND()</f>
        <v>0.536368873593677</v>
      </c>
      <c r="Q1011" s="40" t="n">
        <f aca="true">RAND()</f>
        <v>0.300323912595195</v>
      </c>
      <c r="R1011" s="40" t="n">
        <f aca="true">RAND()</f>
        <v>0.967447362308565</v>
      </c>
      <c r="S1011" s="40" t="n">
        <f aca="true">RAND()</f>
        <v>0.254799177458096</v>
      </c>
      <c r="T1011" s="40" t="n">
        <f aca="true">RAND()</f>
        <v>0.109937134042658</v>
      </c>
      <c r="U1011" s="40" t="n">
        <f aca="true">RAND()</f>
        <v>0.490011999155279</v>
      </c>
    </row>
    <row r="1012" customFormat="false" ht="15" hidden="false" customHeight="false" outlineLevel="0" collapsed="false">
      <c r="A1012" s="36" t="n">
        <v>932</v>
      </c>
      <c r="B1012" s="37" t="n">
        <f aca="false">1+IF($G$6=$E$6,$F$6,IF(P1012&lt;($F$6-$E$6)/($G$6-$E$6),$E$6+SQRT(P1012*($G$6-$E$6)*($F$6-$E$6)),$G$6-SQRT((1-P1012)*($G$6-$E$6)*($G$6-$F$6))))</f>
        <v>0.964634190333673</v>
      </c>
      <c r="C1012" s="37" t="n">
        <f aca="false">1+IF($G$7=$E$7,$F$7,IF(Q1012&lt;($F$7-$E$7)/($G$7-$E$7),$E$7+SQRT(Q1012*($G$7-$E$7)*($F$7-$E$7)),$G$7-SQRT((1-Q1012)*($G$7-$E$7)*($G$7-$F$7))))</f>
        <v>1.0347032821744</v>
      </c>
      <c r="D1012" s="37" t="n">
        <f aca="false">1+IF($G$8=$E$8,$F$8,IF(R1012&lt;($F$8-$E$8)/($G$8-$E$8),$E$8+SQRT(R1012*($G$8-$E$8)*($F$8-$E$8)),$G$8-SQRT((1-R1012)*($G$8-$E$8)*($G$8-$F$8))))</f>
        <v>0.992279275964798</v>
      </c>
      <c r="E1012" s="37" t="n">
        <f aca="false">1+IF($G$9=$E$9,$F$9,IF(S1012&lt;($F$9-$E$9)/($G$9-$E$9),$E$9+SQRT(S1012*($G$9-$E$9)*($F$9-$E$9)),$G$9-SQRT((1-S1012)*($G$9-$E$9)*($G$9-$F$9))))</f>
        <v>1.02278678080865</v>
      </c>
      <c r="F1012" s="37" t="n">
        <f aca="false">1+IF($G$10=$E$10,$F$10,IF(T1012&lt;($F$10-$E$10)/($G$10-$E$10),$E$10+SQRT(T1012*($G$10-$E$10)*($F$10-$E$10)),$G$10-SQRT((1-T1012)*($G$10-$E$10)*($G$10-$F$10))))</f>
        <v>0.970352494726504</v>
      </c>
      <c r="G1012" s="38" t="n">
        <f aca="false">IF($G$11=$E$11,$F$11,IF(U1012&lt;($F$11-$E$11)/($G$11-$E$11),$E$11+SQRT(U1012*($G$11-$E$11)*($F$11-$E$11)),$G$11-SQRT((1-U1012)*($G$11-$E$11)*($G$11-$F$11))))</f>
        <v>0.107195050061931</v>
      </c>
      <c r="H1012" s="39" t="n">
        <f aca="false">(('Business Case'!B11*$C1012*'Business Case'!B12*$B1012)-'Business Case'!B11*$C1012*'Business Case'!B13*$D1012-'Business Case'!B14*$E1012)-MAX(0,(('Business Case'!B11*$C1012*'Business Case'!B12*$B1012)-'Business Case'!B11*$C1012*'Business Case'!B13*$D1012-'Business Case'!B14*$E1012))*'Business Case'!$B$7-'Business Case'!$B$8*('Business Case'!B11*$C1012*'Business Case'!B12*$B1012)-'Business Case'!B15*$F1012</f>
        <v>-1940704989.45301</v>
      </c>
      <c r="I1012" s="39" t="n">
        <f aca="false">(('Business Case'!C11*$C1012*'Business Case'!C12*$B1012)-'Business Case'!C11*$C1012*'Business Case'!C13*$D1012-'Business Case'!C14*$E1012)-MAX(0,(('Business Case'!C11*$C1012*'Business Case'!C12*$B1012)-'Business Case'!C11*$C1012*'Business Case'!C13*$D1012-'Business Case'!C14*$E1012))*'Business Case'!$B$7-'Business Case'!$B$8*(('Business Case'!C11*$C1012*'Business Case'!C12*$B1012)-('Business Case'!B11*$C1012*'Business Case'!B12*$B1012))-'Business Case'!C15*$F1012</f>
        <v>-2289223.40213425</v>
      </c>
      <c r="J1012" s="39" t="n">
        <f aca="false">(('Business Case'!D11*$C1012*'Business Case'!D12*$B1012)-'Business Case'!D11*$C1012*'Business Case'!D13*$D1012-'Business Case'!D14*$E1012)-MAX(0,(('Business Case'!D11*$C1012*'Business Case'!D12*$B1012)-'Business Case'!D11*$C1012*'Business Case'!D13*$D1012-'Business Case'!D14*$E1012))*'Business Case'!$B$7-'Business Case'!$B$8*(('Business Case'!D11*$C1012*'Business Case'!D12*$B1012)-('Business Case'!C11*$C1012*'Business Case'!C12*$B1012))-'Business Case'!D15*$F1012</f>
        <v>289639113.740784</v>
      </c>
      <c r="K1012" s="39" t="n">
        <f aca="false">(('Business Case'!E11*$C1012*'Business Case'!E12*$B1012)-'Business Case'!E11*$C1012*'Business Case'!E13*$D1012-'Business Case'!E14*$E1012)-MAX(0,(('Business Case'!E11*$C1012*'Business Case'!E12*$B1012)-'Business Case'!E11*$C1012*'Business Case'!E13*$D1012-'Business Case'!E14*$E1012))*'Business Case'!$B$7-'Business Case'!$B$8*(('Business Case'!E11*$C1012*'Business Case'!E12*$B1012)-('Business Case'!D11*$C1012*'Business Case'!D12*$B1012))-'Business Case'!E15*$F1012</f>
        <v>630085075.620028</v>
      </c>
      <c r="L1012" s="39" t="n">
        <f aca="false">(('Business Case'!F11*$C1012*'Business Case'!F12*$B1012)-'Business Case'!F11*$C1012*'Business Case'!F13*$D1012-'Business Case'!F14*$E1012)-MAX(0,(('Business Case'!F11*$C1012*'Business Case'!F12*$B1012)-'Business Case'!F11*$C1012*'Business Case'!F13*$D1012-'Business Case'!F14*$E1012))*'Business Case'!$B$7-'Business Case'!$B$8*(('Business Case'!F11*$C1012*'Business Case'!F12*$B1012)-('Business Case'!E11*$C1012*'Business Case'!E12*$B1012))-'Business Case'!F15*$F1012</f>
        <v>761889208.561944</v>
      </c>
      <c r="M1012" s="39" t="n">
        <f aca="false">(('Business Case'!G11*$C1012*'Business Case'!G12*$B1012)-'Business Case'!G11*$C1012*'Business Case'!G13*$D1012-'Business Case'!G14*$E1012)-MAX(0,(('Business Case'!G11*$C1012*'Business Case'!G12*$B1012)-'Business Case'!G11*$C1012*'Business Case'!G13*$D1012-'Business Case'!G14*$E1012))*'Business Case'!$B$7-'Business Case'!$B$8*(('Business Case'!G11*$C1012*'Business Case'!G12*$B1012)-('Business Case'!F11*$C1012*'Business Case'!F12*$B1012))-'Business Case'!G15*$F1012+'Business Case'!$B$8*('Business Case'!G11*$C1012*'Business Case'!G12*$B1012)</f>
        <v>951609988.313792</v>
      </c>
      <c r="N1012" s="39" t="n">
        <f aca="false">IF(COUNT('Business Case'!B11:G11)=0,"",H1012+NPV(G1012,I1012:M1012))</f>
        <v>-163370052.526535</v>
      </c>
      <c r="P1012" s="40" t="n">
        <f aca="true">RAND()</f>
        <v>0.207521973619015</v>
      </c>
      <c r="Q1012" s="40" t="n">
        <f aca="true">RAND()</f>
        <v>0.74679365445038</v>
      </c>
      <c r="R1012" s="40" t="n">
        <f aca="true">RAND()</f>
        <v>0.275005719401159</v>
      </c>
      <c r="S1012" s="40" t="n">
        <f aca="true">RAND()</f>
        <v>0.602541252140529</v>
      </c>
      <c r="T1012" s="40" t="n">
        <f aca="true">RAND()</f>
        <v>0.0331379233273886</v>
      </c>
      <c r="U1012" s="40" t="n">
        <f aca="true">RAND()</f>
        <v>0.726722095139231</v>
      </c>
    </row>
    <row r="1013" customFormat="false" ht="15" hidden="false" customHeight="false" outlineLevel="0" collapsed="false">
      <c r="A1013" s="36" t="n">
        <v>933</v>
      </c>
      <c r="B1013" s="37" t="n">
        <f aca="false">1+IF($G$6=$E$6,$F$6,IF(P1013&lt;($F$6-$E$6)/($G$6-$E$6),$E$6+SQRT(P1013*($G$6-$E$6)*($F$6-$E$6)),$G$6-SQRT((1-P1013)*($G$6-$E$6)*($G$6-$F$6))))</f>
        <v>0.981078267595474</v>
      </c>
      <c r="C1013" s="37" t="n">
        <f aca="false">1+IF($G$7=$E$7,$F$7,IF(Q1013&lt;($F$7-$E$7)/($G$7-$E$7),$E$7+SQRT(Q1013*($G$7-$E$7)*($F$7-$E$7)),$G$7-SQRT((1-Q1013)*($G$7-$E$7)*($G$7-$F$7))))</f>
        <v>1.04969639042958</v>
      </c>
      <c r="D1013" s="37" t="n">
        <f aca="false">1+IF($G$8=$E$8,$F$8,IF(R1013&lt;($F$8-$E$8)/($G$8-$E$8),$E$8+SQRT(R1013*($G$8-$E$8)*($F$8-$E$8)),$G$8-SQRT((1-R1013)*($G$8-$E$8)*($G$8-$F$8))))</f>
        <v>0.997383151169368</v>
      </c>
      <c r="E1013" s="37" t="n">
        <f aca="false">1+IF($G$9=$E$9,$F$9,IF(S1013&lt;($F$9-$E$9)/($G$9-$E$9),$E$9+SQRT(S1013*($G$9-$E$9)*($F$9-$E$9)),$G$9-SQRT((1-S1013)*($G$9-$E$9)*($G$9-$F$9))))</f>
        <v>1.04799872943902</v>
      </c>
      <c r="F1013" s="37" t="n">
        <f aca="false">1+IF($G$10=$E$10,$F$10,IF(T1013&lt;($F$10-$E$10)/($G$10-$E$10),$E$10+SQRT(T1013*($G$10-$E$10)*($F$10-$E$10)),$G$10-SQRT((1-T1013)*($G$10-$E$10)*($G$10-$F$10))))</f>
        <v>0.977387337009931</v>
      </c>
      <c r="G1013" s="38" t="n">
        <f aca="false">IF($G$11=$E$11,$F$11,IF(U1013&lt;($F$11-$E$11)/($G$11-$E$11),$E$11+SQRT(U1013*($G$11-$E$11)*($F$11-$E$11)),$G$11-SQRT((1-U1013)*($G$11-$E$11)*($G$11-$F$11))))</f>
        <v>0.107739762759534</v>
      </c>
      <c r="H1013" s="39" t="n">
        <f aca="false">(('Business Case'!B11*$C1013*'Business Case'!B12*$B1013)-'Business Case'!B11*$C1013*'Business Case'!B13*$D1013-'Business Case'!B14*$E1013)-MAX(0,(('Business Case'!B11*$C1013*'Business Case'!B12*$B1013)-'Business Case'!B11*$C1013*'Business Case'!B13*$D1013-'Business Case'!B14*$E1013))*'Business Case'!$B$7-'Business Case'!$B$8*('Business Case'!B11*$C1013*'Business Case'!B12*$B1013)-'Business Case'!B15*$F1013</f>
        <v>-1954774674.01986</v>
      </c>
      <c r="I1013" s="39" t="n">
        <f aca="false">(('Business Case'!C11*$C1013*'Business Case'!C12*$B1013)-'Business Case'!C11*$C1013*'Business Case'!C13*$D1013-'Business Case'!C14*$E1013)-MAX(0,(('Business Case'!C11*$C1013*'Business Case'!C12*$B1013)-'Business Case'!C11*$C1013*'Business Case'!C13*$D1013-'Business Case'!C14*$E1013))*'Business Case'!$B$7-'Business Case'!$B$8*(('Business Case'!C11*$C1013*'Business Case'!C12*$B1013)-('Business Case'!B11*$C1013*'Business Case'!B12*$B1013))-'Business Case'!C15*$F1013</f>
        <v>7403304.28457195</v>
      </c>
      <c r="J1013" s="39" t="n">
        <f aca="false">(('Business Case'!D11*$C1013*'Business Case'!D12*$B1013)-'Business Case'!D11*$C1013*'Business Case'!D13*$D1013-'Business Case'!D14*$E1013)-MAX(0,(('Business Case'!D11*$C1013*'Business Case'!D12*$B1013)-'Business Case'!D11*$C1013*'Business Case'!D13*$D1013-'Business Case'!D14*$E1013))*'Business Case'!$B$7-'Business Case'!$B$8*(('Business Case'!D11*$C1013*'Business Case'!D12*$B1013)-('Business Case'!C11*$C1013*'Business Case'!C12*$B1013))-'Business Case'!D15*$F1013</f>
        <v>314957372.549411</v>
      </c>
      <c r="K1013" s="39" t="n">
        <f aca="false">(('Business Case'!E11*$C1013*'Business Case'!E12*$B1013)-'Business Case'!E11*$C1013*'Business Case'!E13*$D1013-'Business Case'!E14*$E1013)-MAX(0,(('Business Case'!E11*$C1013*'Business Case'!E12*$B1013)-'Business Case'!E11*$C1013*'Business Case'!E13*$D1013-'Business Case'!E14*$E1013))*'Business Case'!$B$7-'Business Case'!$B$8*(('Business Case'!E11*$C1013*'Business Case'!E12*$B1013)-('Business Case'!D11*$C1013*'Business Case'!D12*$B1013))-'Business Case'!E15*$F1013</f>
        <v>671380807.664747</v>
      </c>
      <c r="L1013" s="39" t="n">
        <f aca="false">(('Business Case'!F11*$C1013*'Business Case'!F12*$B1013)-'Business Case'!F11*$C1013*'Business Case'!F13*$D1013-'Business Case'!F14*$E1013)-MAX(0,(('Business Case'!F11*$C1013*'Business Case'!F12*$B1013)-'Business Case'!F11*$C1013*'Business Case'!F13*$D1013-'Business Case'!F14*$E1013))*'Business Case'!$B$7-'Business Case'!$B$8*(('Business Case'!F11*$C1013*'Business Case'!F12*$B1013)-('Business Case'!E11*$C1013*'Business Case'!E12*$B1013))-'Business Case'!F15*$F1013</f>
        <v>809489904.38839</v>
      </c>
      <c r="M1013" s="39" t="n">
        <f aca="false">(('Business Case'!G11*$C1013*'Business Case'!G12*$B1013)-'Business Case'!G11*$C1013*'Business Case'!G13*$D1013-'Business Case'!G14*$E1013)-MAX(0,(('Business Case'!G11*$C1013*'Business Case'!G12*$B1013)-'Business Case'!G11*$C1013*'Business Case'!G13*$D1013-'Business Case'!G14*$E1013))*'Business Case'!$B$7-'Business Case'!$B$8*(('Business Case'!G11*$C1013*'Business Case'!G12*$B1013)-('Business Case'!F11*$C1013*'Business Case'!F12*$B1013))-'Business Case'!G15*$F1013+'Business Case'!$B$8*('Business Case'!G11*$C1013*'Business Case'!G12*$B1013)</f>
        <v>1005240811.21622</v>
      </c>
      <c r="N1013" s="39" t="n">
        <f aca="false">IF(COUNT('Business Case'!B11:G11)=0,"",H1013+NPV(G1013,I1013:M1013))</f>
        <v>-57227782.1011031</v>
      </c>
      <c r="P1013" s="40" t="n">
        <f aca="true">RAND()</f>
        <v>0.388599455465029</v>
      </c>
      <c r="Q1013" s="40" t="n">
        <f aca="true">RAND()</f>
        <v>0.808365445850394</v>
      </c>
      <c r="R1013" s="40" t="n">
        <f aca="true">RAND()</f>
        <v>0.345409694575252</v>
      </c>
      <c r="S1013" s="40" t="n">
        <f aca="true">RAND()</f>
        <v>0.819724524002901</v>
      </c>
      <c r="T1013" s="40" t="n">
        <f aca="true">RAND()</f>
        <v>0.0600052982796424</v>
      </c>
      <c r="U1013" s="40" t="n">
        <f aca="true">RAND()</f>
        <v>0.749477638012495</v>
      </c>
    </row>
    <row r="1014" customFormat="false" ht="15" hidden="false" customHeight="false" outlineLevel="0" collapsed="false">
      <c r="A1014" s="36" t="n">
        <v>934</v>
      </c>
      <c r="B1014" s="37" t="n">
        <f aca="false">1+IF($G$6=$E$6,$F$6,IF(P1014&lt;($F$6-$E$6)/($G$6-$E$6),$E$6+SQRT(P1014*($G$6-$E$6)*($F$6-$E$6)),$G$6-SQRT((1-P1014)*($G$6-$E$6)*($G$6-$F$6))))</f>
        <v>0.967276341162104</v>
      </c>
      <c r="C1014" s="37" t="n">
        <f aca="false">1+IF($G$7=$E$7,$F$7,IF(Q1014&lt;($F$7-$E$7)/($G$7-$E$7),$E$7+SQRT(Q1014*($G$7-$E$7)*($F$7-$E$7)),$G$7-SQRT((1-Q1014)*($G$7-$E$7)*($G$7-$F$7))))</f>
        <v>1.07142924019995</v>
      </c>
      <c r="D1014" s="37" t="n">
        <f aca="false">1+IF($G$8=$E$8,$F$8,IF(R1014&lt;($F$8-$E$8)/($G$8-$E$8),$E$8+SQRT(R1014*($G$8-$E$8)*($F$8-$E$8)),$G$8-SQRT((1-R1014)*($G$8-$E$8)*($G$8-$F$8))))</f>
        <v>0.990147917726178</v>
      </c>
      <c r="E1014" s="37" t="n">
        <f aca="false">1+IF($G$9=$E$9,$F$9,IF(S1014&lt;($F$9-$E$9)/($G$9-$E$9),$E$9+SQRT(S1014*($G$9-$E$9)*($F$9-$E$9)),$G$9-SQRT((1-S1014)*($G$9-$E$9)*($G$9-$F$9))))</f>
        <v>1.00425925715357</v>
      </c>
      <c r="F1014" s="37" t="n">
        <f aca="false">1+IF($G$10=$E$10,$F$10,IF(T1014&lt;($F$10-$E$10)/($G$10-$E$10),$E$10+SQRT(T1014*($G$10-$E$10)*($F$10-$E$10)),$G$10-SQRT((1-T1014)*($G$10-$E$10)*($G$10-$F$10))))</f>
        <v>0.990190561180919</v>
      </c>
      <c r="G1014" s="38" t="n">
        <f aca="false">IF($G$11=$E$11,$F$11,IF(U1014&lt;($F$11-$E$11)/($G$11-$E$11),$E$11+SQRT(U1014*($G$11-$E$11)*($F$11-$E$11)),$G$11-SQRT((1-U1014)*($G$11-$E$11)*($G$11-$F$11))))</f>
        <v>0.100150152811747</v>
      </c>
      <c r="H1014" s="39" t="n">
        <f aca="false">(('Business Case'!B11*$C1014*'Business Case'!B12*$B1014)-'Business Case'!B11*$C1014*'Business Case'!B13*$D1014-'Business Case'!B14*$E1014)-MAX(0,(('Business Case'!B11*$C1014*'Business Case'!B12*$B1014)-'Business Case'!B11*$C1014*'Business Case'!B13*$D1014-'Business Case'!B14*$E1014))*'Business Case'!$B$7-'Business Case'!$B$8*('Business Case'!B11*$C1014*'Business Case'!B12*$B1014)-'Business Case'!B15*$F1014</f>
        <v>-1980381122.36184</v>
      </c>
      <c r="I1014" s="39" t="n">
        <f aca="false">(('Business Case'!C11*$C1014*'Business Case'!C12*$B1014)-'Business Case'!C11*$C1014*'Business Case'!C13*$D1014-'Business Case'!C14*$E1014)-MAX(0,(('Business Case'!C11*$C1014*'Business Case'!C12*$B1014)-'Business Case'!C11*$C1014*'Business Case'!C13*$D1014-'Business Case'!C14*$E1014))*'Business Case'!$B$7-'Business Case'!$B$8*(('Business Case'!C11*$C1014*'Business Case'!C12*$B1014)-('Business Case'!B11*$C1014*'Business Case'!B12*$B1014))-'Business Case'!C15*$F1014</f>
        <v>10227763.1353234</v>
      </c>
      <c r="J1014" s="39" t="n">
        <f aca="false">(('Business Case'!D11*$C1014*'Business Case'!D12*$B1014)-'Business Case'!D11*$C1014*'Business Case'!D13*$D1014-'Business Case'!D14*$E1014)-MAX(0,(('Business Case'!D11*$C1014*'Business Case'!D12*$B1014)-'Business Case'!D11*$C1014*'Business Case'!D13*$D1014-'Business Case'!D14*$E1014))*'Business Case'!$B$7-'Business Case'!$B$8*(('Business Case'!D11*$C1014*'Business Case'!D12*$B1014)-('Business Case'!C11*$C1014*'Business Case'!C12*$B1014))-'Business Case'!D15*$F1014</f>
        <v>316005573.925417</v>
      </c>
      <c r="K1014" s="39" t="n">
        <f aca="false">(('Business Case'!E11*$C1014*'Business Case'!E12*$B1014)-'Business Case'!E11*$C1014*'Business Case'!E13*$D1014-'Business Case'!E14*$E1014)-MAX(0,(('Business Case'!E11*$C1014*'Business Case'!E12*$B1014)-'Business Case'!E11*$C1014*'Business Case'!E13*$D1014-'Business Case'!E14*$E1014))*'Business Case'!$B$7-'Business Case'!$B$8*(('Business Case'!E11*$C1014*'Business Case'!E12*$B1014)-('Business Case'!D11*$C1014*'Business Case'!D12*$B1014))-'Business Case'!E15*$F1014</f>
        <v>671292912.774557</v>
      </c>
      <c r="L1014" s="39" t="n">
        <f aca="false">(('Business Case'!F11*$C1014*'Business Case'!F12*$B1014)-'Business Case'!F11*$C1014*'Business Case'!F13*$D1014-'Business Case'!F14*$E1014)-MAX(0,(('Business Case'!F11*$C1014*'Business Case'!F12*$B1014)-'Business Case'!F11*$C1014*'Business Case'!F13*$D1014-'Business Case'!F14*$E1014))*'Business Case'!$B$7-'Business Case'!$B$8*(('Business Case'!F11*$C1014*'Business Case'!F12*$B1014)-('Business Case'!E11*$C1014*'Business Case'!E12*$B1014))-'Business Case'!F15*$F1014</f>
        <v>809035733.150882</v>
      </c>
      <c r="M1014" s="39" t="n">
        <f aca="false">(('Business Case'!G11*$C1014*'Business Case'!G12*$B1014)-'Business Case'!G11*$C1014*'Business Case'!G13*$D1014-'Business Case'!G14*$E1014)-MAX(0,(('Business Case'!G11*$C1014*'Business Case'!G12*$B1014)-'Business Case'!G11*$C1014*'Business Case'!G13*$D1014-'Business Case'!G14*$E1014))*'Business Case'!$B$7-'Business Case'!$B$8*(('Business Case'!G11*$C1014*'Business Case'!G12*$B1014)-('Business Case'!F11*$C1014*'Business Case'!F12*$B1014))-'Business Case'!G15*$F1014+'Business Case'!$B$8*('Business Case'!G11*$C1014*'Business Case'!G12*$B1014)</f>
        <v>1006028592.1055</v>
      </c>
      <c r="N1014" s="39" t="n">
        <f aca="false">IF(COUNT('Business Case'!B11:G11)=0,"",H1014+NPV(G1014,I1014:M1014))</f>
        <v>-29329139.7035437</v>
      </c>
      <c r="P1014" s="40" t="n">
        <f aca="true">RAND()</f>
        <v>0.232817961841208</v>
      </c>
      <c r="Q1014" s="40" t="n">
        <f aca="true">RAND()</f>
        <v>0.882412108656059</v>
      </c>
      <c r="R1014" s="40" t="n">
        <f aca="true">RAND()</f>
        <v>0.247977738115067</v>
      </c>
      <c r="S1014" s="40" t="n">
        <f aca="true">RAND()</f>
        <v>0.388914010614302</v>
      </c>
      <c r="T1014" s="40" t="n">
        <f aca="true">RAND()</f>
        <v>0.129222496642973</v>
      </c>
      <c r="U1014" s="40" t="n">
        <f aca="true">RAND()</f>
        <v>0.343305944338339</v>
      </c>
    </row>
    <row r="1015" customFormat="false" ht="15" hidden="false" customHeight="false" outlineLevel="0" collapsed="false">
      <c r="A1015" s="36" t="n">
        <v>935</v>
      </c>
      <c r="B1015" s="37" t="n">
        <f aca="false">1+IF($G$6=$E$6,$F$6,IF(P1015&lt;($F$6-$E$6)/($G$6-$E$6),$E$6+SQRT(P1015*($G$6-$E$6)*($F$6-$E$6)),$G$6-SQRT((1-P1015)*($G$6-$E$6)*($G$6-$F$6))))</f>
        <v>0.986602298883939</v>
      </c>
      <c r="C1015" s="37" t="n">
        <f aca="false">1+IF($G$7=$E$7,$F$7,IF(Q1015&lt;($F$7-$E$7)/($G$7-$E$7),$E$7+SQRT(Q1015*($G$7-$E$7)*($F$7-$E$7)),$G$7-SQRT((1-Q1015)*($G$7-$E$7)*($G$7-$F$7))))</f>
        <v>0.939346956676888</v>
      </c>
      <c r="D1015" s="37" t="n">
        <f aca="false">1+IF($G$8=$E$8,$F$8,IF(R1015&lt;($F$8-$E$8)/($G$8-$E$8),$E$8+SQRT(R1015*($G$8-$E$8)*($F$8-$E$8)),$G$8-SQRT((1-R1015)*($G$8-$E$8)*($G$8-$F$8))))</f>
        <v>1.00892172427082</v>
      </c>
      <c r="E1015" s="37" t="n">
        <f aca="false">1+IF($G$9=$E$9,$F$9,IF(S1015&lt;($F$9-$E$9)/($G$9-$E$9),$E$9+SQRT(S1015*($G$9-$E$9)*($F$9-$E$9)),$G$9-SQRT((1-S1015)*($G$9-$E$9)*($G$9-$F$9))))</f>
        <v>0.969199311327469</v>
      </c>
      <c r="F1015" s="37" t="n">
        <f aca="false">1+IF($G$10=$E$10,$F$10,IF(T1015&lt;($F$10-$E$10)/($G$10-$E$10),$E$10+SQRT(T1015*($G$10-$E$10)*($F$10-$E$10)),$G$10-SQRT((1-T1015)*($G$10-$E$10)*($G$10-$F$10))))</f>
        <v>1.13570172603613</v>
      </c>
      <c r="G1015" s="38" t="n">
        <f aca="false">IF($G$11=$E$11,$F$11,IF(U1015&lt;($F$11-$E$11)/($G$11-$E$11),$E$11+SQRT(U1015*($G$11-$E$11)*($F$11-$E$11)),$G$11-SQRT((1-U1015)*($G$11-$E$11)*($G$11-$F$11))))</f>
        <v>0.104644531485943</v>
      </c>
      <c r="H1015" s="39" t="n">
        <f aca="false">(('Business Case'!B11*$C1015*'Business Case'!B12*$B1015)-'Business Case'!B11*$C1015*'Business Case'!B13*$D1015-'Business Case'!B14*$E1015)-MAX(0,(('Business Case'!B11*$C1015*'Business Case'!B12*$B1015)-'Business Case'!B11*$C1015*'Business Case'!B13*$D1015-'Business Case'!B14*$E1015))*'Business Case'!$B$7-'Business Case'!$B$8*('Business Case'!B11*$C1015*'Business Case'!B12*$B1015)-'Business Case'!B15*$F1015</f>
        <v>-2271403452.07227</v>
      </c>
      <c r="I1015" s="39" t="n">
        <f aca="false">(('Business Case'!C11*$C1015*'Business Case'!C12*$B1015)-'Business Case'!C11*$C1015*'Business Case'!C13*$D1015-'Business Case'!C14*$E1015)-MAX(0,(('Business Case'!C11*$C1015*'Business Case'!C12*$B1015)-'Business Case'!C11*$C1015*'Business Case'!C13*$D1015-'Business Case'!C14*$E1015))*'Business Case'!$B$7-'Business Case'!$B$8*(('Business Case'!C11*$C1015*'Business Case'!C12*$B1015)-('Business Case'!B11*$C1015*'Business Case'!B12*$B1015))-'Business Case'!C15*$F1015</f>
        <v>-25509642.0235797</v>
      </c>
      <c r="J1015" s="39" t="n">
        <f aca="false">(('Business Case'!D11*$C1015*'Business Case'!D12*$B1015)-'Business Case'!D11*$C1015*'Business Case'!D13*$D1015-'Business Case'!D14*$E1015)-MAX(0,(('Business Case'!D11*$C1015*'Business Case'!D12*$B1015)-'Business Case'!D11*$C1015*'Business Case'!D13*$D1015-'Business Case'!D14*$E1015))*'Business Case'!$B$7-'Business Case'!$B$8*(('Business Case'!D11*$C1015*'Business Case'!D12*$B1015)-('Business Case'!C11*$C1015*'Business Case'!C12*$B1015))-'Business Case'!D15*$F1015</f>
        <v>248414365.807682</v>
      </c>
      <c r="K1015" s="39" t="n">
        <f aca="false">(('Business Case'!E11*$C1015*'Business Case'!E12*$B1015)-'Business Case'!E11*$C1015*'Business Case'!E13*$D1015-'Business Case'!E14*$E1015)-MAX(0,(('Business Case'!E11*$C1015*'Business Case'!E12*$B1015)-'Business Case'!E11*$C1015*'Business Case'!E13*$D1015-'Business Case'!E14*$E1015))*'Business Case'!$B$7-'Business Case'!$B$8*(('Business Case'!E11*$C1015*'Business Case'!E12*$B1015)-('Business Case'!D11*$C1015*'Business Case'!D12*$B1015))-'Business Case'!E15*$F1015</f>
        <v>579123459.94075</v>
      </c>
      <c r="L1015" s="39" t="n">
        <f aca="false">(('Business Case'!F11*$C1015*'Business Case'!F12*$B1015)-'Business Case'!F11*$C1015*'Business Case'!F13*$D1015-'Business Case'!F14*$E1015)-MAX(0,(('Business Case'!F11*$C1015*'Business Case'!F12*$B1015)-'Business Case'!F11*$C1015*'Business Case'!F13*$D1015-'Business Case'!F14*$E1015))*'Business Case'!$B$7-'Business Case'!$B$8*(('Business Case'!F11*$C1015*'Business Case'!F12*$B1015)-('Business Case'!E11*$C1015*'Business Case'!E12*$B1015))-'Business Case'!F15*$F1015</f>
        <v>702460352.671478</v>
      </c>
      <c r="M1015" s="39" t="n">
        <f aca="false">(('Business Case'!G11*$C1015*'Business Case'!G12*$B1015)-'Business Case'!G11*$C1015*'Business Case'!G13*$D1015-'Business Case'!G14*$E1015)-MAX(0,(('Business Case'!G11*$C1015*'Business Case'!G12*$B1015)-'Business Case'!G11*$C1015*'Business Case'!G13*$D1015-'Business Case'!G14*$E1015))*'Business Case'!$B$7-'Business Case'!$B$8*(('Business Case'!G11*$C1015*'Business Case'!G12*$B1015)-('Business Case'!F11*$C1015*'Business Case'!F12*$B1015))-'Business Case'!G15*$F1015+'Business Case'!$B$8*('Business Case'!G11*$C1015*'Business Case'!G12*$B1015)</f>
        <v>878619248.33317</v>
      </c>
      <c r="N1015" s="39" t="n">
        <f aca="false">IF(COUNT('Business Case'!B11:G11)=0,"",H1015+NPV(G1015,I1015:M1015))</f>
        <v>-655327487.781774</v>
      </c>
      <c r="P1015" s="40" t="n">
        <f aca="true">RAND()</f>
        <v>0.462069397565159</v>
      </c>
      <c r="Q1015" s="40" t="n">
        <f aca="true">RAND()</f>
        <v>0.277393919073005</v>
      </c>
      <c r="R1015" s="40" t="n">
        <f aca="true">RAND()</f>
        <v>0.514219107631475</v>
      </c>
      <c r="S1015" s="40" t="n">
        <f aca="true">RAND()</f>
        <v>0.0491484740598794</v>
      </c>
      <c r="T1015" s="40" t="n">
        <f aca="true">RAND()</f>
        <v>0.917314639305355</v>
      </c>
      <c r="U1015" s="40" t="n">
        <f aca="true">RAND()</f>
        <v>0.607015977856351</v>
      </c>
    </row>
    <row r="1016" customFormat="false" ht="15" hidden="false" customHeight="false" outlineLevel="0" collapsed="false">
      <c r="A1016" s="36" t="n">
        <v>936</v>
      </c>
      <c r="B1016" s="37" t="n">
        <f aca="false">1+IF($G$6=$E$6,$F$6,IF(P1016&lt;($F$6-$E$6)/($G$6-$E$6),$E$6+SQRT(P1016*($G$6-$E$6)*($F$6-$E$6)),$G$6-SQRT((1-P1016)*($G$6-$E$6)*($G$6-$F$6))))</f>
        <v>0.973901213538166</v>
      </c>
      <c r="C1016" s="37" t="n">
        <f aca="false">1+IF($G$7=$E$7,$F$7,IF(Q1016&lt;($F$7-$E$7)/($G$7-$E$7),$E$7+SQRT(Q1016*($G$7-$E$7)*($F$7-$E$7)),$G$7-SQRT((1-Q1016)*($G$7-$E$7)*($G$7-$F$7))))</f>
        <v>1.06653236161157</v>
      </c>
      <c r="D1016" s="37" t="n">
        <f aca="false">1+IF($G$8=$E$8,$F$8,IF(R1016&lt;($F$8-$E$8)/($G$8-$E$8),$E$8+SQRT(R1016*($G$8-$E$8)*($F$8-$E$8)),$G$8-SQRT((1-R1016)*($G$8-$E$8)*($G$8-$F$8))))</f>
        <v>1.02097401770125</v>
      </c>
      <c r="E1016" s="37" t="n">
        <f aca="false">1+IF($G$9=$E$9,$F$9,IF(S1016&lt;($F$9-$E$9)/($G$9-$E$9),$E$9+SQRT(S1016*($G$9-$E$9)*($F$9-$E$9)),$G$9-SQRT((1-S1016)*($G$9-$E$9)*($G$9-$F$9))))</f>
        <v>1.01622210714207</v>
      </c>
      <c r="F1016" s="37" t="n">
        <f aca="false">1+IF($G$10=$E$10,$F$10,IF(T1016&lt;($F$10-$E$10)/($G$10-$E$10),$E$10+SQRT(T1016*($G$10-$E$10)*($F$10-$E$10)),$G$10-SQRT((1-T1016)*($G$10-$E$10)*($G$10-$F$10))))</f>
        <v>1.12638220626969</v>
      </c>
      <c r="G1016" s="38" t="n">
        <f aca="false">IF($G$11=$E$11,$F$11,IF(U1016&lt;($F$11-$E$11)/($G$11-$E$11),$E$11+SQRT(U1016*($G$11-$E$11)*($F$11-$E$11)),$G$11-SQRT((1-U1016)*($G$11-$E$11)*($G$11-$F$11))))</f>
        <v>0.101852917716977</v>
      </c>
      <c r="H1016" s="39" t="n">
        <f aca="false">(('Business Case'!B11*$C1016*'Business Case'!B12*$B1016)-'Business Case'!B11*$C1016*'Business Case'!B13*$D1016-'Business Case'!B14*$E1016)-MAX(0,(('Business Case'!B11*$C1016*'Business Case'!B12*$B1016)-'Business Case'!B11*$C1016*'Business Case'!B13*$D1016-'Business Case'!B14*$E1016))*'Business Case'!$B$7-'Business Case'!$B$8*('Business Case'!B11*$C1016*'Business Case'!B12*$B1016)-'Business Case'!B15*$F1016</f>
        <v>-2252764412.53938</v>
      </c>
      <c r="I1016" s="39" t="n">
        <f aca="false">(('Business Case'!C11*$C1016*'Business Case'!C12*$B1016)-'Business Case'!C11*$C1016*'Business Case'!C13*$D1016-'Business Case'!C14*$E1016)-MAX(0,(('Business Case'!C11*$C1016*'Business Case'!C12*$B1016)-'Business Case'!C11*$C1016*'Business Case'!C13*$D1016-'Business Case'!C14*$E1016))*'Business Case'!$B$7-'Business Case'!$B$8*(('Business Case'!C11*$C1016*'Business Case'!C12*$B1016)-('Business Case'!B11*$C1016*'Business Case'!B12*$B1016))-'Business Case'!C15*$F1016</f>
        <v>-17653928.7794448</v>
      </c>
      <c r="J1016" s="39" t="n">
        <f aca="false">(('Business Case'!D11*$C1016*'Business Case'!D12*$B1016)-'Business Case'!D11*$C1016*'Business Case'!D13*$D1016-'Business Case'!D14*$E1016)-MAX(0,(('Business Case'!D11*$C1016*'Business Case'!D12*$B1016)-'Business Case'!D11*$C1016*'Business Case'!D13*$D1016-'Business Case'!D14*$E1016))*'Business Case'!$B$7-'Business Case'!$B$8*(('Business Case'!D11*$C1016*'Business Case'!D12*$B1016)-('Business Case'!C11*$C1016*'Business Case'!C12*$B1016))-'Business Case'!D15*$F1016</f>
        <v>275683207.542946</v>
      </c>
      <c r="K1016" s="39" t="n">
        <f aca="false">(('Business Case'!E11*$C1016*'Business Case'!E12*$B1016)-'Business Case'!E11*$C1016*'Business Case'!E13*$D1016-'Business Case'!E14*$E1016)-MAX(0,(('Business Case'!E11*$C1016*'Business Case'!E12*$B1016)-'Business Case'!E11*$C1016*'Business Case'!E13*$D1016-'Business Case'!E14*$E1016))*'Business Case'!$B$7-'Business Case'!$B$8*(('Business Case'!E11*$C1016*'Business Case'!E12*$B1016)-('Business Case'!D11*$C1016*'Business Case'!D12*$B1016))-'Business Case'!E15*$F1016</f>
        <v>625339454.178821</v>
      </c>
      <c r="L1016" s="39" t="n">
        <f aca="false">(('Business Case'!F11*$C1016*'Business Case'!F12*$B1016)-'Business Case'!F11*$C1016*'Business Case'!F13*$D1016-'Business Case'!F14*$E1016)-MAX(0,(('Business Case'!F11*$C1016*'Business Case'!F12*$B1016)-'Business Case'!F11*$C1016*'Business Case'!F13*$D1016-'Business Case'!F14*$E1016))*'Business Case'!$B$7-'Business Case'!$B$8*(('Business Case'!F11*$C1016*'Business Case'!F12*$B1016)-('Business Case'!E11*$C1016*'Business Case'!E12*$B1016))-'Business Case'!F15*$F1016</f>
        <v>759015873.512461</v>
      </c>
      <c r="M1016" s="39" t="n">
        <f aca="false">(('Business Case'!G11*$C1016*'Business Case'!G12*$B1016)-'Business Case'!G11*$C1016*'Business Case'!G13*$D1016-'Business Case'!G14*$E1016)-MAX(0,(('Business Case'!G11*$C1016*'Business Case'!G12*$B1016)-'Business Case'!G11*$C1016*'Business Case'!G13*$D1016-'Business Case'!G14*$E1016))*'Business Case'!$B$7-'Business Case'!$B$8*(('Business Case'!G11*$C1016*'Business Case'!G12*$B1016)-('Business Case'!F11*$C1016*'Business Case'!F12*$B1016))-'Business Case'!G15*$F1016+'Business Case'!$B$8*('Business Case'!G11*$C1016*'Business Case'!G12*$B1016)</f>
        <v>956451429.923095</v>
      </c>
      <c r="N1016" s="39" t="n">
        <f aca="false">IF(COUNT('Business Case'!B11:G11)=0,"",H1016+NPV(G1016,I1016:M1016))</f>
        <v>-470410125.244133</v>
      </c>
      <c r="P1016" s="40" t="n">
        <f aca="true">RAND()</f>
        <v>0.302639668842388</v>
      </c>
      <c r="Q1016" s="40" t="n">
        <f aca="true">RAND()</f>
        <v>0.867298158892533</v>
      </c>
      <c r="R1016" s="40" t="n">
        <f aca="true">RAND()</f>
        <v>0.664993597468035</v>
      </c>
      <c r="S1016" s="40" t="n">
        <f aca="true">RAND()</f>
        <v>0.532084311219057</v>
      </c>
      <c r="T1016" s="40" t="n">
        <f aca="true">RAND()</f>
        <v>0.891608408925624</v>
      </c>
      <c r="U1016" s="40" t="n">
        <f aca="true">RAND()</f>
        <v>0.451139007688628</v>
      </c>
    </row>
    <row r="1017" customFormat="false" ht="15" hidden="false" customHeight="false" outlineLevel="0" collapsed="false">
      <c r="A1017" s="36" t="n">
        <v>937</v>
      </c>
      <c r="B1017" s="37" t="n">
        <f aca="false">1+IF($G$6=$E$6,$F$6,IF(P1017&lt;($F$6-$E$6)/($G$6-$E$6),$E$6+SQRT(P1017*($G$6-$E$6)*($F$6-$E$6)),$G$6-SQRT((1-P1017)*($G$6-$E$6)*($G$6-$F$6))))</f>
        <v>0.973861177040737</v>
      </c>
      <c r="C1017" s="37" t="n">
        <f aca="false">1+IF($G$7=$E$7,$F$7,IF(Q1017&lt;($F$7-$E$7)/($G$7-$E$7),$E$7+SQRT(Q1017*($G$7-$E$7)*($F$7-$E$7)),$G$7-SQRT((1-Q1017)*($G$7-$E$7)*($G$7-$F$7))))</f>
        <v>1.02977045027937</v>
      </c>
      <c r="D1017" s="37" t="n">
        <f aca="false">1+IF($G$8=$E$8,$F$8,IF(R1017&lt;($F$8-$E$8)/($G$8-$E$8),$E$8+SQRT(R1017*($G$8-$E$8)*($F$8-$E$8)),$G$8-SQRT((1-R1017)*($G$8-$E$8)*($G$8-$F$8))))</f>
        <v>1.04987799862996</v>
      </c>
      <c r="E1017" s="37" t="n">
        <f aca="false">1+IF($G$9=$E$9,$F$9,IF(S1017&lt;($F$9-$E$9)/($G$9-$E$9),$E$9+SQRT(S1017*($G$9-$E$9)*($F$9-$E$9)),$G$9-SQRT((1-S1017)*($G$9-$E$9)*($G$9-$F$9))))</f>
        <v>1.02979845112445</v>
      </c>
      <c r="F1017" s="37" t="n">
        <f aca="false">1+IF($G$10=$E$10,$F$10,IF(T1017&lt;($F$10-$E$10)/($G$10-$E$10),$E$10+SQRT(T1017*($G$10-$E$10)*($F$10-$E$10)),$G$10-SQRT((1-T1017)*($G$10-$E$10)*($G$10-$F$10))))</f>
        <v>0.985639476839454</v>
      </c>
      <c r="G1017" s="38" t="n">
        <f aca="false">IF($G$11=$E$11,$F$11,IF(U1017&lt;($F$11-$E$11)/($G$11-$E$11),$E$11+SQRT(U1017*($G$11-$E$11)*($F$11-$E$11)),$G$11-SQRT((1-U1017)*($G$11-$E$11)*($G$11-$F$11))))</f>
        <v>0.0993826986847938</v>
      </c>
      <c r="H1017" s="39" t="n">
        <f aca="false">(('Business Case'!B11*$C1017*'Business Case'!B12*$B1017)-'Business Case'!B11*$C1017*'Business Case'!B13*$D1017-'Business Case'!B14*$E1017)-MAX(0,(('Business Case'!B11*$C1017*'Business Case'!B12*$B1017)-'Business Case'!B11*$C1017*'Business Case'!B13*$D1017-'Business Case'!B14*$E1017))*'Business Case'!$B$7-'Business Case'!$B$8*('Business Case'!B11*$C1017*'Business Case'!B12*$B1017)-'Business Case'!B15*$F1017</f>
        <v>-1971278953.67891</v>
      </c>
      <c r="I1017" s="39" t="n">
        <f aca="false">(('Business Case'!C11*$C1017*'Business Case'!C12*$B1017)-'Business Case'!C11*$C1017*'Business Case'!C13*$D1017-'Business Case'!C14*$E1017)-MAX(0,(('Business Case'!C11*$C1017*'Business Case'!C12*$B1017)-'Business Case'!C11*$C1017*'Business Case'!C13*$D1017-'Business Case'!C14*$E1017))*'Business Case'!$B$7-'Business Case'!$B$8*(('Business Case'!C11*$C1017*'Business Case'!C12*$B1017)-('Business Case'!B11*$C1017*'Business Case'!B12*$B1017))-'Business Case'!C15*$F1017</f>
        <v>-29033798.5691923</v>
      </c>
      <c r="J1017" s="39" t="n">
        <f aca="false">(('Business Case'!D11*$C1017*'Business Case'!D12*$B1017)-'Business Case'!D11*$C1017*'Business Case'!D13*$D1017-'Business Case'!D14*$E1017)-MAX(0,(('Business Case'!D11*$C1017*'Business Case'!D12*$B1017)-'Business Case'!D11*$C1017*'Business Case'!D13*$D1017-'Business Case'!D14*$E1017))*'Business Case'!$B$7-'Business Case'!$B$8*(('Business Case'!D11*$C1017*'Business Case'!D12*$B1017)-('Business Case'!C11*$C1017*'Business Case'!C12*$B1017))-'Business Case'!D15*$F1017</f>
        <v>238921613.806534</v>
      </c>
      <c r="K1017" s="39" t="n">
        <f aca="false">(('Business Case'!E11*$C1017*'Business Case'!E12*$B1017)-'Business Case'!E11*$C1017*'Business Case'!E13*$D1017-'Business Case'!E14*$E1017)-MAX(0,(('Business Case'!E11*$C1017*'Business Case'!E12*$B1017)-'Business Case'!E11*$C1017*'Business Case'!E13*$D1017-'Business Case'!E14*$E1017))*'Business Case'!$B$7-'Business Case'!$B$8*(('Business Case'!E11*$C1017*'Business Case'!E12*$B1017)-('Business Case'!D11*$C1017*'Business Case'!D12*$B1017))-'Business Case'!E15*$F1017</f>
        <v>556159000.024233</v>
      </c>
      <c r="L1017" s="39" t="n">
        <f aca="false">(('Business Case'!F11*$C1017*'Business Case'!F12*$B1017)-'Business Case'!F11*$C1017*'Business Case'!F13*$D1017-'Business Case'!F14*$E1017)-MAX(0,(('Business Case'!F11*$C1017*'Business Case'!F12*$B1017)-'Business Case'!F11*$C1017*'Business Case'!F13*$D1017-'Business Case'!F14*$E1017))*'Business Case'!$B$7-'Business Case'!$B$8*(('Business Case'!F11*$C1017*'Business Case'!F12*$B1017)-('Business Case'!E11*$C1017*'Business Case'!E12*$B1017))-'Business Case'!F15*$F1017</f>
        <v>680136086.490192</v>
      </c>
      <c r="M1017" s="39" t="n">
        <f aca="false">(('Business Case'!G11*$C1017*'Business Case'!G12*$B1017)-'Business Case'!G11*$C1017*'Business Case'!G13*$D1017-'Business Case'!G14*$E1017)-MAX(0,(('Business Case'!G11*$C1017*'Business Case'!G12*$B1017)-'Business Case'!G11*$C1017*'Business Case'!G13*$D1017-'Business Case'!G14*$E1017))*'Business Case'!$B$7-'Business Case'!$B$8*(('Business Case'!G11*$C1017*'Business Case'!G12*$B1017)-('Business Case'!F11*$C1017*'Business Case'!F12*$B1017))-'Business Case'!G15*$F1017+'Business Case'!$B$8*('Business Case'!G11*$C1017*'Business Case'!G12*$B1017)</f>
        <v>870758472.697475</v>
      </c>
      <c r="N1017" s="39" t="n">
        <f aca="false">IF(COUNT('Business Case'!B11:G11)=0,"",H1017+NPV(G1017,I1017:M1017))</f>
        <v>-373677225.118453</v>
      </c>
      <c r="P1017" s="40" t="n">
        <f aca="true">RAND()</f>
        <v>0.302190249188914</v>
      </c>
      <c r="Q1017" s="40" t="n">
        <f aca="true">RAND()</f>
        <v>0.724663911885226</v>
      </c>
      <c r="R1017" s="40" t="n">
        <f aca="true">RAND()</f>
        <v>0.912756253217638</v>
      </c>
      <c r="S1017" s="40" t="n">
        <f aca="true">RAND()</f>
        <v>0.671449502364877</v>
      </c>
      <c r="T1017" s="40" t="n">
        <f aca="true">RAND()</f>
        <v>0.101613784751196</v>
      </c>
      <c r="U1017" s="40" t="n">
        <f aca="true">RAND()</f>
        <v>0.29345011536544</v>
      </c>
    </row>
    <row r="1018" customFormat="false" ht="15" hidden="false" customHeight="false" outlineLevel="0" collapsed="false">
      <c r="A1018" s="36" t="n">
        <v>938</v>
      </c>
      <c r="B1018" s="37" t="n">
        <f aca="false">1+IF($G$6=$E$6,$F$6,IF(P1018&lt;($F$6-$E$6)/($G$6-$E$6),$E$6+SQRT(P1018*($G$6-$E$6)*($F$6-$E$6)),$G$6-SQRT((1-P1018)*($G$6-$E$6)*($G$6-$F$6))))</f>
        <v>0.956887452271108</v>
      </c>
      <c r="C1018" s="37" t="n">
        <f aca="false">1+IF($G$7=$E$7,$F$7,IF(Q1018&lt;($F$7-$E$7)/($G$7-$E$7),$E$7+SQRT(Q1018*($G$7-$E$7)*($F$7-$E$7)),$G$7-SQRT((1-Q1018)*($G$7-$E$7)*($G$7-$F$7))))</f>
        <v>0.958592917009702</v>
      </c>
      <c r="D1018" s="37" t="n">
        <f aca="false">1+IF($G$8=$E$8,$F$8,IF(R1018&lt;($F$8-$E$8)/($G$8-$E$8),$E$8+SQRT(R1018*($G$8-$E$8)*($F$8-$E$8)),$G$8-SQRT((1-R1018)*($G$8-$E$8)*($G$8-$F$8))))</f>
        <v>0.982232339070402</v>
      </c>
      <c r="E1018" s="37" t="n">
        <f aca="false">1+IF($G$9=$E$9,$F$9,IF(S1018&lt;($F$9-$E$9)/($G$9-$E$9),$E$9+SQRT(S1018*($G$9-$E$9)*($F$9-$E$9)),$G$9-SQRT((1-S1018)*($G$9-$E$9)*($G$9-$F$9))))</f>
        <v>1.04047822447764</v>
      </c>
      <c r="F1018" s="37" t="n">
        <f aca="false">1+IF($G$10=$E$10,$F$10,IF(T1018&lt;($F$10-$E$10)/($G$10-$E$10),$E$10+SQRT(T1018*($G$10-$E$10)*($F$10-$E$10)),$G$10-SQRT((1-T1018)*($G$10-$E$10)*($G$10-$F$10))))</f>
        <v>1.00772745158741</v>
      </c>
      <c r="G1018" s="38" t="n">
        <f aca="false">IF($G$11=$E$11,$F$11,IF(U1018&lt;($F$11-$E$11)/($G$11-$E$11),$E$11+SQRT(U1018*($G$11-$E$11)*($F$11-$E$11)),$G$11-SQRT((1-U1018)*($G$11-$E$11)*($G$11-$F$11))))</f>
        <v>0.104173317239012</v>
      </c>
      <c r="H1018" s="39" t="n">
        <f aca="false">(('Business Case'!B11*$C1018*'Business Case'!B12*$B1018)-'Business Case'!B11*$C1018*'Business Case'!B13*$D1018-'Business Case'!B14*$E1018)-MAX(0,(('Business Case'!B11*$C1018*'Business Case'!B12*$B1018)-'Business Case'!B11*$C1018*'Business Case'!B13*$D1018-'Business Case'!B14*$E1018))*'Business Case'!$B$7-'Business Case'!$B$8*('Business Case'!B11*$C1018*'Business Case'!B12*$B1018)-'Business Case'!B15*$F1018</f>
        <v>-2015454903.17482</v>
      </c>
      <c r="I1018" s="39" t="n">
        <f aca="false">(('Business Case'!C11*$C1018*'Business Case'!C12*$B1018)-'Business Case'!C11*$C1018*'Business Case'!C13*$D1018-'Business Case'!C14*$E1018)-MAX(0,(('Business Case'!C11*$C1018*'Business Case'!C12*$B1018)-'Business Case'!C11*$C1018*'Business Case'!C13*$D1018-'Business Case'!C14*$E1018))*'Business Case'!$B$7-'Business Case'!$B$8*(('Business Case'!C11*$C1018*'Business Case'!C12*$B1018)-('Business Case'!B11*$C1018*'Business Case'!B12*$B1018))-'Business Case'!C15*$F1018</f>
        <v>-26977166.6289753</v>
      </c>
      <c r="J1018" s="39" t="n">
        <f aca="false">(('Business Case'!D11*$C1018*'Business Case'!D12*$B1018)-'Business Case'!D11*$C1018*'Business Case'!D13*$D1018-'Business Case'!D14*$E1018)-MAX(0,(('Business Case'!D11*$C1018*'Business Case'!D12*$B1018)-'Business Case'!D11*$C1018*'Business Case'!D13*$D1018-'Business Case'!D14*$E1018))*'Business Case'!$B$7-'Business Case'!$B$8*(('Business Case'!D11*$C1018*'Business Case'!D12*$B1018)-('Business Case'!C11*$C1018*'Business Case'!C12*$B1018))-'Business Case'!D15*$F1018</f>
        <v>242325460.710423</v>
      </c>
      <c r="K1018" s="39" t="n">
        <f aca="false">(('Business Case'!E11*$C1018*'Business Case'!E12*$B1018)-'Business Case'!E11*$C1018*'Business Case'!E13*$D1018-'Business Case'!E14*$E1018)-MAX(0,(('Business Case'!E11*$C1018*'Business Case'!E12*$B1018)-'Business Case'!E11*$C1018*'Business Case'!E13*$D1018-'Business Case'!E14*$E1018))*'Business Case'!$B$7-'Business Case'!$B$8*(('Business Case'!E11*$C1018*'Business Case'!E12*$B1018)-('Business Case'!D11*$C1018*'Business Case'!D12*$B1018))-'Business Case'!E15*$F1018</f>
        <v>562014460.629192</v>
      </c>
      <c r="L1018" s="39" t="n">
        <f aca="false">(('Business Case'!F11*$C1018*'Business Case'!F12*$B1018)-'Business Case'!F11*$C1018*'Business Case'!F13*$D1018-'Business Case'!F14*$E1018)-MAX(0,(('Business Case'!F11*$C1018*'Business Case'!F12*$B1018)-'Business Case'!F11*$C1018*'Business Case'!F13*$D1018-'Business Case'!F14*$E1018))*'Business Case'!$B$7-'Business Case'!$B$8*(('Business Case'!F11*$C1018*'Business Case'!F12*$B1018)-('Business Case'!E11*$C1018*'Business Case'!E12*$B1018))-'Business Case'!F15*$F1018</f>
        <v>683482699.934933</v>
      </c>
      <c r="M1018" s="39" t="n">
        <f aca="false">(('Business Case'!G11*$C1018*'Business Case'!G12*$B1018)-'Business Case'!G11*$C1018*'Business Case'!G13*$D1018-'Business Case'!G14*$E1018)-MAX(0,(('Business Case'!G11*$C1018*'Business Case'!G12*$B1018)-'Business Case'!G11*$C1018*'Business Case'!G13*$D1018-'Business Case'!G14*$E1018))*'Business Case'!$B$7-'Business Case'!$B$8*(('Business Case'!G11*$C1018*'Business Case'!G12*$B1018)-('Business Case'!F11*$C1018*'Business Case'!F12*$B1018))-'Business Case'!G15*$F1018+'Business Case'!$B$8*('Business Case'!G11*$C1018*'Business Case'!G12*$B1018)</f>
        <v>857836532.660946</v>
      </c>
      <c r="N1018" s="39" t="n">
        <f aca="false">IF(COUNT('Business Case'!B11:G11)=0,"",H1018+NPV(G1018,I1018:M1018))</f>
        <v>-441179903.397139</v>
      </c>
      <c r="P1018" s="40" t="n">
        <f aca="true">RAND()</f>
        <v>0.141737930734718</v>
      </c>
      <c r="Q1018" s="40" t="n">
        <f aca="true">RAND()</f>
        <v>0.359310190366373</v>
      </c>
      <c r="R1018" s="40" t="n">
        <f aca="true">RAND()</f>
        <v>0.159834412607599</v>
      </c>
      <c r="S1018" s="40" t="n">
        <f aca="true">RAND()</f>
        <v>0.763810549244373</v>
      </c>
      <c r="T1018" s="40" t="n">
        <f aca="true">RAND()</f>
        <v>0.260625342538551</v>
      </c>
      <c r="U1018" s="40" t="n">
        <f aca="true">RAND()</f>
        <v>0.582526854638401</v>
      </c>
    </row>
    <row r="1019" customFormat="false" ht="15" hidden="false" customHeight="false" outlineLevel="0" collapsed="false">
      <c r="A1019" s="36" t="n">
        <v>939</v>
      </c>
      <c r="B1019" s="37" t="n">
        <f aca="false">1+IF($G$6=$E$6,$F$6,IF(P1019&lt;($F$6-$E$6)/($G$6-$E$6),$E$6+SQRT(P1019*($G$6-$E$6)*($F$6-$E$6)),$G$6-SQRT((1-P1019)*($G$6-$E$6)*($G$6-$F$6))))</f>
        <v>0.976104699765683</v>
      </c>
      <c r="C1019" s="37" t="n">
        <f aca="false">1+IF($G$7=$E$7,$F$7,IF(Q1019&lt;($F$7-$E$7)/($G$7-$E$7),$E$7+SQRT(Q1019*($G$7-$E$7)*($F$7-$E$7)),$G$7-SQRT((1-Q1019)*($G$7-$E$7)*($G$7-$F$7))))</f>
        <v>0.909624807941451</v>
      </c>
      <c r="D1019" s="37" t="n">
        <f aca="false">1+IF($G$8=$E$8,$F$8,IF(R1019&lt;($F$8-$E$8)/($G$8-$E$8),$E$8+SQRT(R1019*($G$8-$E$8)*($F$8-$E$8)),$G$8-SQRT((1-R1019)*($G$8-$E$8)*($G$8-$F$8))))</f>
        <v>0.992105142396269</v>
      </c>
      <c r="E1019" s="37" t="n">
        <f aca="false">1+IF($G$9=$E$9,$F$9,IF(S1019&lt;($F$9-$E$9)/($G$9-$E$9),$E$9+SQRT(S1019*($G$9-$E$9)*($F$9-$E$9)),$G$9-SQRT((1-S1019)*($G$9-$E$9)*($G$9-$F$9))))</f>
        <v>0.981648873937738</v>
      </c>
      <c r="F1019" s="37" t="n">
        <f aca="false">1+IF($G$10=$E$10,$F$10,IF(T1019&lt;($F$10-$E$10)/($G$10-$E$10),$E$10+SQRT(T1019*($G$10-$E$10)*($F$10-$E$10)),$G$10-SQRT((1-T1019)*($G$10-$E$10)*($G$10-$F$10))))</f>
        <v>1.03094183703893</v>
      </c>
      <c r="G1019" s="38" t="n">
        <f aca="false">IF($G$11=$E$11,$F$11,IF(U1019&lt;($F$11-$E$11)/($G$11-$E$11),$E$11+SQRT(U1019*($G$11-$E$11)*($F$11-$E$11)),$G$11-SQRT((1-U1019)*($G$11-$E$11)*($G$11-$F$11))))</f>
        <v>0.0993737903369476</v>
      </c>
      <c r="H1019" s="39" t="n">
        <f aca="false">(('Business Case'!B11*$C1019*'Business Case'!B12*$B1019)-'Business Case'!B11*$C1019*'Business Case'!B13*$D1019-'Business Case'!B14*$E1019)-MAX(0,(('Business Case'!B11*$C1019*'Business Case'!B12*$B1019)-'Business Case'!B11*$C1019*'Business Case'!B13*$D1019-'Business Case'!B14*$E1019))*'Business Case'!$B$7-'Business Case'!$B$8*('Business Case'!B11*$C1019*'Business Case'!B12*$B1019)-'Business Case'!B15*$F1019</f>
        <v>-2061883674.07785</v>
      </c>
      <c r="I1019" s="39" t="n">
        <f aca="false">(('Business Case'!C11*$C1019*'Business Case'!C12*$B1019)-'Business Case'!C11*$C1019*'Business Case'!C13*$D1019-'Business Case'!C14*$E1019)-MAX(0,(('Business Case'!C11*$C1019*'Business Case'!C12*$B1019)-'Business Case'!C11*$C1019*'Business Case'!C13*$D1019-'Business Case'!C14*$E1019))*'Business Case'!$B$7-'Business Case'!$B$8*(('Business Case'!C11*$C1019*'Business Case'!C12*$B1019)-('Business Case'!B11*$C1019*'Business Case'!B12*$B1019))-'Business Case'!C15*$F1019</f>
        <v>-23446612.6502757</v>
      </c>
      <c r="J1019" s="39" t="n">
        <f aca="false">(('Business Case'!D11*$C1019*'Business Case'!D12*$B1019)-'Business Case'!D11*$C1019*'Business Case'!D13*$D1019-'Business Case'!D14*$E1019)-MAX(0,(('Business Case'!D11*$C1019*'Business Case'!D12*$B1019)-'Business Case'!D11*$C1019*'Business Case'!D13*$D1019-'Business Case'!D14*$E1019))*'Business Case'!$B$7-'Business Case'!$B$8*(('Business Case'!D11*$C1019*'Business Case'!D12*$B1019)-('Business Case'!C11*$C1019*'Business Case'!C12*$B1019))-'Business Case'!D15*$F1019</f>
        <v>241819596.632144</v>
      </c>
      <c r="K1019" s="39" t="n">
        <f aca="false">(('Business Case'!E11*$C1019*'Business Case'!E12*$B1019)-'Business Case'!E11*$C1019*'Business Case'!E13*$D1019-'Business Case'!E14*$E1019)-MAX(0,(('Business Case'!E11*$C1019*'Business Case'!E12*$B1019)-'Business Case'!E11*$C1019*'Business Case'!E13*$D1019-'Business Case'!E14*$E1019))*'Business Case'!$B$7-'Business Case'!$B$8*(('Business Case'!E11*$C1019*'Business Case'!E12*$B1019)-('Business Case'!D11*$C1019*'Business Case'!D12*$B1019))-'Business Case'!E15*$F1019</f>
        <v>558632897.766511</v>
      </c>
      <c r="L1019" s="39" t="n">
        <f aca="false">(('Business Case'!F11*$C1019*'Business Case'!F12*$B1019)-'Business Case'!F11*$C1019*'Business Case'!F13*$D1019-'Business Case'!F14*$E1019)-MAX(0,(('Business Case'!F11*$C1019*'Business Case'!F12*$B1019)-'Business Case'!F11*$C1019*'Business Case'!F13*$D1019-'Business Case'!F14*$E1019))*'Business Case'!$B$7-'Business Case'!$B$8*(('Business Case'!F11*$C1019*'Business Case'!F12*$B1019)-('Business Case'!E11*$C1019*'Business Case'!E12*$B1019))-'Business Case'!F15*$F1019</f>
        <v>677740413.097222</v>
      </c>
      <c r="M1019" s="39" t="n">
        <f aca="false">(('Business Case'!G11*$C1019*'Business Case'!G12*$B1019)-'Business Case'!G11*$C1019*'Business Case'!G13*$D1019-'Business Case'!G14*$E1019)-MAX(0,(('Business Case'!G11*$C1019*'Business Case'!G12*$B1019)-'Business Case'!G11*$C1019*'Business Case'!G13*$D1019-'Business Case'!G14*$E1019))*'Business Case'!$B$7-'Business Case'!$B$8*(('Business Case'!G11*$C1019*'Business Case'!G12*$B1019)-('Business Case'!F11*$C1019*'Business Case'!F12*$B1019))-'Business Case'!G15*$F1019+'Business Case'!$B$8*('Business Case'!G11*$C1019*'Business Case'!G12*$B1019)</f>
        <v>846510363.731697</v>
      </c>
      <c r="N1019" s="39" t="n">
        <f aca="false">IF(COUNT('Business Case'!B11:G11)=0,"",H1019+NPV(G1019,I1019:M1019))</f>
        <v>-471629064.749914</v>
      </c>
      <c r="P1019" s="40" t="n">
        <f aca="true">RAND()</f>
        <v>0.327889305812226</v>
      </c>
      <c r="Q1019" s="40" t="n">
        <f aca="true">RAND()</f>
        <v>0.171679978802858</v>
      </c>
      <c r="R1019" s="40" t="n">
        <f aca="true">RAND()</f>
        <v>0.272745079416932</v>
      </c>
      <c r="S1019" s="40" t="n">
        <f aca="true">RAND()</f>
        <v>0.133553496203575</v>
      </c>
      <c r="T1019" s="40" t="n">
        <f aca="true">RAND()</f>
        <v>0.428386750724546</v>
      </c>
      <c r="U1019" s="40" t="n">
        <f aca="true">RAND()</f>
        <v>0.292893150936841</v>
      </c>
    </row>
    <row r="1020" customFormat="false" ht="15" hidden="false" customHeight="false" outlineLevel="0" collapsed="false">
      <c r="A1020" s="36" t="n">
        <v>940</v>
      </c>
      <c r="B1020" s="37" t="n">
        <f aca="false">1+IF($G$6=$E$6,$F$6,IF(P1020&lt;($F$6-$E$6)/($G$6-$E$6),$E$6+SQRT(P1020*($G$6-$E$6)*($F$6-$E$6)),$G$6-SQRT((1-P1020)*($G$6-$E$6)*($G$6-$F$6))))</f>
        <v>1.00529234810049</v>
      </c>
      <c r="C1020" s="37" t="n">
        <f aca="false">1+IF($G$7=$E$7,$F$7,IF(Q1020&lt;($F$7-$E$7)/($G$7-$E$7),$E$7+SQRT(Q1020*($G$7-$E$7)*($F$7-$E$7)),$G$7-SQRT((1-Q1020)*($G$7-$E$7)*($G$7-$F$7))))</f>
        <v>1.11506999639896</v>
      </c>
      <c r="D1020" s="37" t="n">
        <f aca="false">1+IF($G$8=$E$8,$F$8,IF(R1020&lt;($F$8-$E$8)/($G$8-$E$8),$E$8+SQRT(R1020*($G$8-$E$8)*($F$8-$E$8)),$G$8-SQRT((1-R1020)*($G$8-$E$8)*($G$8-$F$8))))</f>
        <v>1.01621700695182</v>
      </c>
      <c r="E1020" s="37" t="n">
        <f aca="false">1+IF($G$9=$E$9,$F$9,IF(S1020&lt;($F$9-$E$9)/($G$9-$E$9),$E$9+SQRT(S1020*($G$9-$E$9)*($F$9-$E$9)),$G$9-SQRT((1-S1020)*($G$9-$E$9)*($G$9-$F$9))))</f>
        <v>0.99127379175832</v>
      </c>
      <c r="F1020" s="37" t="n">
        <f aca="false">1+IF($G$10=$E$10,$F$10,IF(T1020&lt;($F$10-$E$10)/($G$10-$E$10),$E$10+SQRT(T1020*($G$10-$E$10)*($F$10-$E$10)),$G$10-SQRT((1-T1020)*($G$10-$E$10)*($G$10-$F$10))))</f>
        <v>1.04376478141663</v>
      </c>
      <c r="G1020" s="38" t="n">
        <f aca="false">IF($G$11=$E$11,$F$11,IF(U1020&lt;($F$11-$E$11)/($G$11-$E$11),$E$11+SQRT(U1020*($G$11-$E$11)*($F$11-$E$11)),$G$11-SQRT((1-U1020)*($G$11-$E$11)*($G$11-$F$11))))</f>
        <v>0.100504163974209</v>
      </c>
      <c r="H1020" s="39" t="n">
        <f aca="false">(('Business Case'!B11*$C1020*'Business Case'!B12*$B1020)-'Business Case'!B11*$C1020*'Business Case'!B13*$D1020-'Business Case'!B14*$E1020)-MAX(0,(('Business Case'!B11*$C1020*'Business Case'!B12*$B1020)-'Business Case'!B11*$C1020*'Business Case'!B13*$D1020-'Business Case'!B14*$E1020))*'Business Case'!$B$7-'Business Case'!$B$8*('Business Case'!B11*$C1020*'Business Case'!B12*$B1020)-'Business Case'!B15*$F1020</f>
        <v>-2087529562.83326</v>
      </c>
      <c r="I1020" s="39" t="n">
        <f aca="false">(('Business Case'!C11*$C1020*'Business Case'!C12*$B1020)-'Business Case'!C11*$C1020*'Business Case'!C13*$D1020-'Business Case'!C14*$E1020)-MAX(0,(('Business Case'!C11*$C1020*'Business Case'!C12*$B1020)-'Business Case'!C11*$C1020*'Business Case'!C13*$D1020-'Business Case'!C14*$E1020))*'Business Case'!$B$7-'Business Case'!$B$8*(('Business Case'!C11*$C1020*'Business Case'!C12*$B1020)-('Business Case'!B11*$C1020*'Business Case'!B12*$B1020))-'Business Case'!C15*$F1020</f>
        <v>34625735.9218409</v>
      </c>
      <c r="J1020" s="39" t="n">
        <f aca="false">(('Business Case'!D11*$C1020*'Business Case'!D12*$B1020)-'Business Case'!D11*$C1020*'Business Case'!D13*$D1020-'Business Case'!D14*$E1020)-MAX(0,(('Business Case'!D11*$C1020*'Business Case'!D12*$B1020)-'Business Case'!D11*$C1020*'Business Case'!D13*$D1020-'Business Case'!D14*$E1020))*'Business Case'!$B$7-'Business Case'!$B$8*(('Business Case'!D11*$C1020*'Business Case'!D12*$B1020)-('Business Case'!C11*$C1020*'Business Case'!C12*$B1020))-'Business Case'!D15*$F1020</f>
        <v>372698237.17855</v>
      </c>
      <c r="K1020" s="39" t="n">
        <f aca="false">(('Business Case'!E11*$C1020*'Business Case'!E12*$B1020)-'Business Case'!E11*$C1020*'Business Case'!E13*$D1020-'Business Case'!E14*$E1020)-MAX(0,(('Business Case'!E11*$C1020*'Business Case'!E12*$B1020)-'Business Case'!E11*$C1020*'Business Case'!E13*$D1020-'Business Case'!E14*$E1020))*'Business Case'!$B$7-'Business Case'!$B$8*(('Business Case'!E11*$C1020*'Business Case'!E12*$B1020)-('Business Case'!D11*$C1020*'Business Case'!D12*$B1020))-'Business Case'!E15*$F1020</f>
        <v>762958977.506091</v>
      </c>
      <c r="L1020" s="39" t="n">
        <f aca="false">(('Business Case'!F11*$C1020*'Business Case'!F12*$B1020)-'Business Case'!F11*$C1020*'Business Case'!F13*$D1020-'Business Case'!F14*$E1020)-MAX(0,(('Business Case'!F11*$C1020*'Business Case'!F12*$B1020)-'Business Case'!F11*$C1020*'Business Case'!F13*$D1020-'Business Case'!F14*$E1020))*'Business Case'!$B$7-'Business Case'!$B$8*(('Business Case'!F11*$C1020*'Business Case'!F12*$B1020)-('Business Case'!E11*$C1020*'Business Case'!E12*$B1020))-'Business Case'!F15*$F1020</f>
        <v>914390580.595109</v>
      </c>
      <c r="M1020" s="39" t="n">
        <f aca="false">(('Business Case'!G11*$C1020*'Business Case'!G12*$B1020)-'Business Case'!G11*$C1020*'Business Case'!G13*$D1020-'Business Case'!G14*$E1020)-MAX(0,(('Business Case'!G11*$C1020*'Business Case'!G12*$B1020)-'Business Case'!G11*$C1020*'Business Case'!G13*$D1020-'Business Case'!G14*$E1020))*'Business Case'!$B$7-'Business Case'!$B$8*(('Business Case'!G11*$C1020*'Business Case'!G12*$B1020)-('Business Case'!F11*$C1020*'Business Case'!F12*$B1020))-'Business Case'!G15*$F1020+'Business Case'!$B$8*('Business Case'!G11*$C1020*'Business Case'!G12*$B1020)</f>
        <v>1127464811.94741</v>
      </c>
      <c r="N1020" s="39" t="n">
        <f aca="false">IF(COUNT('Business Case'!B11:G11)=0,"",H1020+NPV(G1020,I1020:M1020))</f>
        <v>145964025.978614</v>
      </c>
      <c r="P1020" s="40" t="n">
        <f aca="true">RAND()</f>
        <v>0.749037270754647</v>
      </c>
      <c r="Q1020" s="40" t="n">
        <f aca="true">RAND()</f>
        <v>0.976759901874885</v>
      </c>
      <c r="R1020" s="40" t="n">
        <f aca="true">RAND()</f>
        <v>0.608820172866927</v>
      </c>
      <c r="S1020" s="40" t="n">
        <f aca="true">RAND()</f>
        <v>0.227136784814551</v>
      </c>
      <c r="T1020" s="40" t="n">
        <f aca="true">RAND()</f>
        <v>0.511811129484144</v>
      </c>
      <c r="U1020" s="40" t="n">
        <f aca="true">RAND()</f>
        <v>0.366520629425785</v>
      </c>
    </row>
    <row r="1021" customFormat="false" ht="15" hidden="false" customHeight="false" outlineLevel="0" collapsed="false">
      <c r="A1021" s="36" t="n">
        <v>941</v>
      </c>
      <c r="B1021" s="37" t="n">
        <f aca="false">1+IF($G$6=$E$6,$F$6,IF(P1021&lt;($F$6-$E$6)/($G$6-$E$6),$E$6+SQRT(P1021*($G$6-$E$6)*($F$6-$E$6)),$G$6-SQRT((1-P1021)*($G$6-$E$6)*($G$6-$F$6))))</f>
        <v>0.959743368297396</v>
      </c>
      <c r="C1021" s="37" t="n">
        <f aca="false">1+IF($G$7=$E$7,$F$7,IF(Q1021&lt;($F$7-$E$7)/($G$7-$E$7),$E$7+SQRT(Q1021*($G$7-$E$7)*($F$7-$E$7)),$G$7-SQRT((1-Q1021)*($G$7-$E$7)*($G$7-$F$7))))</f>
        <v>1.02182653478367</v>
      </c>
      <c r="D1021" s="37" t="n">
        <f aca="false">1+IF($G$8=$E$8,$F$8,IF(R1021&lt;($F$8-$E$8)/($G$8-$E$8),$E$8+SQRT(R1021*($G$8-$E$8)*($F$8-$E$8)),$G$8-SQRT((1-R1021)*($G$8-$E$8)*($G$8-$F$8))))</f>
        <v>1.01408691910588</v>
      </c>
      <c r="E1021" s="37" t="n">
        <f aca="false">1+IF($G$9=$E$9,$F$9,IF(S1021&lt;($F$9-$E$9)/($G$9-$E$9),$E$9+SQRT(S1021*($G$9-$E$9)*($F$9-$E$9)),$G$9-SQRT((1-S1021)*($G$9-$E$9)*($G$9-$F$9))))</f>
        <v>0.99675188171161</v>
      </c>
      <c r="F1021" s="37" t="n">
        <f aca="false">1+IF($G$10=$E$10,$F$10,IF(T1021&lt;($F$10-$E$10)/($G$10-$E$10),$E$10+SQRT(T1021*($G$10-$E$10)*($F$10-$E$10)),$G$10-SQRT((1-T1021)*($G$10-$E$10)*($G$10-$F$10))))</f>
        <v>0.994005099179319</v>
      </c>
      <c r="G1021" s="38" t="n">
        <f aca="false">IF($G$11=$E$11,$F$11,IF(U1021&lt;($F$11-$E$11)/($G$11-$E$11),$E$11+SQRT(U1021*($G$11-$E$11)*($F$11-$E$11)),$G$11-SQRT((1-U1021)*($G$11-$E$11)*($G$11-$F$11))))</f>
        <v>0.10107779576591</v>
      </c>
      <c r="H1021" s="39" t="n">
        <f aca="false">(('Business Case'!B11*$C1021*'Business Case'!B12*$B1021)-'Business Case'!B11*$C1021*'Business Case'!B13*$D1021-'Business Case'!B14*$E1021)-MAX(0,(('Business Case'!B11*$C1021*'Business Case'!B12*$B1021)-'Business Case'!B11*$C1021*'Business Case'!B13*$D1021-'Business Case'!B14*$E1021))*'Business Case'!$B$7-'Business Case'!$B$8*('Business Case'!B11*$C1021*'Business Case'!B12*$B1021)-'Business Case'!B15*$F1021</f>
        <v>-1988010198.35864</v>
      </c>
      <c r="I1021" s="39" t="n">
        <f aca="false">(('Business Case'!C11*$C1021*'Business Case'!C12*$B1021)-'Business Case'!C11*$C1021*'Business Case'!C13*$D1021-'Business Case'!C14*$E1021)-MAX(0,(('Business Case'!C11*$C1021*'Business Case'!C12*$B1021)-'Business Case'!C11*$C1021*'Business Case'!C13*$D1021-'Business Case'!C14*$E1021))*'Business Case'!$B$7-'Business Case'!$B$8*(('Business Case'!C11*$C1021*'Business Case'!C12*$B1021)-('Business Case'!B11*$C1021*'Business Case'!B12*$B1021))-'Business Case'!C15*$F1021</f>
        <v>-19183140.4687528</v>
      </c>
      <c r="J1021" s="39" t="n">
        <f aca="false">(('Business Case'!D11*$C1021*'Business Case'!D12*$B1021)-'Business Case'!D11*$C1021*'Business Case'!D13*$D1021-'Business Case'!D14*$E1021)-MAX(0,(('Business Case'!D11*$C1021*'Business Case'!D12*$B1021)-'Business Case'!D11*$C1021*'Business Case'!D13*$D1021-'Business Case'!D14*$E1021))*'Business Case'!$B$7-'Business Case'!$B$8*(('Business Case'!D11*$C1021*'Business Case'!D12*$B1021)-('Business Case'!C11*$C1021*'Business Case'!C12*$B1021))-'Business Case'!D15*$F1021</f>
        <v>253611380.457432</v>
      </c>
      <c r="K1021" s="39" t="n">
        <f aca="false">(('Business Case'!E11*$C1021*'Business Case'!E12*$B1021)-'Business Case'!E11*$C1021*'Business Case'!E13*$D1021-'Business Case'!E14*$E1021)-MAX(0,(('Business Case'!E11*$C1021*'Business Case'!E12*$B1021)-'Business Case'!E11*$C1021*'Business Case'!E13*$D1021-'Business Case'!E14*$E1021))*'Business Case'!$B$7-'Business Case'!$B$8*(('Business Case'!E11*$C1021*'Business Case'!E12*$B1021)-('Business Case'!D11*$C1021*'Business Case'!D12*$B1021))-'Business Case'!E15*$F1021</f>
        <v>576106156.342584</v>
      </c>
      <c r="L1021" s="39" t="n">
        <f aca="false">(('Business Case'!F11*$C1021*'Business Case'!F12*$B1021)-'Business Case'!F11*$C1021*'Business Case'!F13*$D1021-'Business Case'!F14*$E1021)-MAX(0,(('Business Case'!F11*$C1021*'Business Case'!F12*$B1021)-'Business Case'!F11*$C1021*'Business Case'!F13*$D1021-'Business Case'!F14*$E1021))*'Business Case'!$B$7-'Business Case'!$B$8*(('Business Case'!F11*$C1021*'Business Case'!F12*$B1021)-('Business Case'!E11*$C1021*'Business Case'!E12*$B1021))-'Business Case'!F15*$F1021</f>
        <v>700930352.583056</v>
      </c>
      <c r="M1021" s="39" t="n">
        <f aca="false">(('Business Case'!G11*$C1021*'Business Case'!G12*$B1021)-'Business Case'!G11*$C1021*'Business Case'!G13*$D1021-'Business Case'!G14*$E1021)-MAX(0,(('Business Case'!G11*$C1021*'Business Case'!G12*$B1021)-'Business Case'!G11*$C1021*'Business Case'!G13*$D1021-'Business Case'!G14*$E1021))*'Business Case'!$B$7-'Business Case'!$B$8*(('Business Case'!G11*$C1021*'Business Case'!G12*$B1021)-('Business Case'!F11*$C1021*'Business Case'!F12*$B1021))-'Business Case'!G15*$F1021+'Business Case'!$B$8*('Business Case'!G11*$C1021*'Business Case'!G12*$B1021)</f>
        <v>887340143.540978</v>
      </c>
      <c r="N1021" s="39" t="n">
        <f aca="false">IF(COUNT('Business Case'!B11:G11)=0,"",H1021+NPV(G1021,I1021:M1021))</f>
        <v>-339528797.497433</v>
      </c>
      <c r="P1021" s="40" t="n">
        <f aca="true">RAND()</f>
        <v>0.164534929544007</v>
      </c>
      <c r="Q1021" s="40" t="n">
        <f aca="true">RAND()</f>
        <v>0.687077386941665</v>
      </c>
      <c r="R1021" s="40" t="n">
        <f aca="true">RAND()</f>
        <v>0.582256323754314</v>
      </c>
      <c r="S1021" s="40" t="n">
        <f aca="true">RAND()</f>
        <v>0.291431792476846</v>
      </c>
      <c r="T1021" s="40" t="n">
        <f aca="true">RAND()</f>
        <v>0.154915900302536</v>
      </c>
      <c r="U1021" s="40" t="n">
        <f aca="true">RAND()</f>
        <v>0.403250311538993</v>
      </c>
    </row>
    <row r="1022" customFormat="false" ht="15" hidden="false" customHeight="false" outlineLevel="0" collapsed="false">
      <c r="A1022" s="36" t="n">
        <v>942</v>
      </c>
      <c r="B1022" s="37" t="n">
        <f aca="false">1+IF($G$6=$E$6,$F$6,IF(P1022&lt;($F$6-$E$6)/($G$6-$E$6),$E$6+SQRT(P1022*($G$6-$E$6)*($F$6-$E$6)),$G$6-SQRT((1-P1022)*($G$6-$E$6)*($G$6-$F$6))))</f>
        <v>0.97276501994166</v>
      </c>
      <c r="C1022" s="37" t="n">
        <f aca="false">1+IF($G$7=$E$7,$F$7,IF(Q1022&lt;($F$7-$E$7)/($G$7-$E$7),$E$7+SQRT(Q1022*($G$7-$E$7)*($F$7-$E$7)),$G$7-SQRT((1-Q1022)*($G$7-$E$7)*($G$7-$F$7))))</f>
        <v>0.977595222369595</v>
      </c>
      <c r="D1022" s="37" t="n">
        <f aca="false">1+IF($G$8=$E$8,$F$8,IF(R1022&lt;($F$8-$E$8)/($G$8-$E$8),$E$8+SQRT(R1022*($G$8-$E$8)*($F$8-$E$8)),$G$8-SQRT((1-R1022)*($G$8-$E$8)*($G$8-$F$8))))</f>
        <v>1.04740395686788</v>
      </c>
      <c r="E1022" s="37" t="n">
        <f aca="false">1+IF($G$9=$E$9,$F$9,IF(S1022&lt;($F$9-$E$9)/($G$9-$E$9),$E$9+SQRT(S1022*($G$9-$E$9)*($F$9-$E$9)),$G$9-SQRT((1-S1022)*($G$9-$E$9)*($G$9-$F$9))))</f>
        <v>0.988766863285631</v>
      </c>
      <c r="F1022" s="37" t="n">
        <f aca="false">1+IF($G$10=$E$10,$F$10,IF(T1022&lt;($F$10-$E$10)/($G$10-$E$10),$E$10+SQRT(T1022*($G$10-$E$10)*($F$10-$E$10)),$G$10-SQRT((1-T1022)*($G$10-$E$10)*($G$10-$F$10))))</f>
        <v>0.966653336906986</v>
      </c>
      <c r="G1022" s="38" t="n">
        <f aca="false">IF($G$11=$E$11,$F$11,IF(U1022&lt;($F$11-$E$11)/($G$11-$E$11),$E$11+SQRT(U1022*($G$11-$E$11)*($F$11-$E$11)),$G$11-SQRT((1-U1022)*($G$11-$E$11)*($G$11-$F$11))))</f>
        <v>0.10788839974875</v>
      </c>
      <c r="H1022" s="39" t="n">
        <f aca="false">(('Business Case'!B11*$C1022*'Business Case'!B12*$B1022)-'Business Case'!B11*$C1022*'Business Case'!B13*$D1022-'Business Case'!B14*$E1022)-MAX(0,(('Business Case'!B11*$C1022*'Business Case'!B12*$B1022)-'Business Case'!B11*$C1022*'Business Case'!B13*$D1022-'Business Case'!B14*$E1022))*'Business Case'!$B$7-'Business Case'!$B$8*('Business Case'!B11*$C1022*'Business Case'!B12*$B1022)-'Business Case'!B15*$F1022</f>
        <v>-1933306673.81397</v>
      </c>
      <c r="I1022" s="39" t="n">
        <f aca="false">(('Business Case'!C11*$C1022*'Business Case'!C12*$B1022)-'Business Case'!C11*$C1022*'Business Case'!C13*$D1022-'Business Case'!C14*$E1022)-MAX(0,(('Business Case'!C11*$C1022*'Business Case'!C12*$B1022)-'Business Case'!C11*$C1022*'Business Case'!C13*$D1022-'Business Case'!C14*$E1022))*'Business Case'!$B$7-'Business Case'!$B$8*(('Business Case'!C11*$C1022*'Business Case'!C12*$B1022)-('Business Case'!B11*$C1022*'Business Case'!B12*$B1022))-'Business Case'!C15*$F1022</f>
        <v>-31826914.4533225</v>
      </c>
      <c r="J1022" s="39" t="n">
        <f aca="false">(('Business Case'!D11*$C1022*'Business Case'!D12*$B1022)-'Business Case'!D11*$C1022*'Business Case'!D13*$D1022-'Business Case'!D14*$E1022)-MAX(0,(('Business Case'!D11*$C1022*'Business Case'!D12*$B1022)-'Business Case'!D11*$C1022*'Business Case'!D13*$D1022-'Business Case'!D14*$E1022))*'Business Case'!$B$7-'Business Case'!$B$8*(('Business Case'!D11*$C1022*'Business Case'!D12*$B1022)-('Business Case'!C11*$C1022*'Business Case'!C12*$B1022))-'Business Case'!D15*$F1022</f>
        <v>222912460.144641</v>
      </c>
      <c r="K1022" s="39" t="n">
        <f aca="false">(('Business Case'!E11*$C1022*'Business Case'!E12*$B1022)-'Business Case'!E11*$C1022*'Business Case'!E13*$D1022-'Business Case'!E14*$E1022)-MAX(0,(('Business Case'!E11*$C1022*'Business Case'!E12*$B1022)-'Business Case'!E11*$C1022*'Business Case'!E13*$D1022-'Business Case'!E14*$E1022))*'Business Case'!$B$7-'Business Case'!$B$8*(('Business Case'!E11*$C1022*'Business Case'!E12*$B1022)-('Business Case'!D11*$C1022*'Business Case'!D12*$B1022))-'Business Case'!E15*$F1022</f>
        <v>525984501.587954</v>
      </c>
      <c r="L1022" s="39" t="n">
        <f aca="false">(('Business Case'!F11*$C1022*'Business Case'!F12*$B1022)-'Business Case'!F11*$C1022*'Business Case'!F13*$D1022-'Business Case'!F14*$E1022)-MAX(0,(('Business Case'!F11*$C1022*'Business Case'!F12*$B1022)-'Business Case'!F11*$C1022*'Business Case'!F13*$D1022-'Business Case'!F14*$E1022))*'Business Case'!$B$7-'Business Case'!$B$8*(('Business Case'!F11*$C1022*'Business Case'!F12*$B1022)-('Business Case'!E11*$C1022*'Business Case'!E12*$B1022))-'Business Case'!F15*$F1022</f>
        <v>643763164.721522</v>
      </c>
      <c r="M1022" s="39" t="n">
        <f aca="false">(('Business Case'!G11*$C1022*'Business Case'!G12*$B1022)-'Business Case'!G11*$C1022*'Business Case'!G13*$D1022-'Business Case'!G14*$E1022)-MAX(0,(('Business Case'!G11*$C1022*'Business Case'!G12*$B1022)-'Business Case'!G11*$C1022*'Business Case'!G13*$D1022-'Business Case'!G14*$E1022))*'Business Case'!$B$7-'Business Case'!$B$8*(('Business Case'!G11*$C1022*'Business Case'!G12*$B1022)-('Business Case'!F11*$C1022*'Business Case'!F12*$B1022))-'Business Case'!G15*$F1022+'Business Case'!$B$8*('Business Case'!G11*$C1022*'Business Case'!G12*$B1022)</f>
        <v>824523625.193215</v>
      </c>
      <c r="N1022" s="39" t="n">
        <f aca="false">IF(COUNT('Business Case'!B11:G11)=0,"",H1022+NPV(G1022,I1022:M1022))</f>
        <v>-472319978.962538</v>
      </c>
      <c r="P1022" s="40" t="n">
        <f aca="true">RAND()</f>
        <v>0.290015346817061</v>
      </c>
      <c r="Q1022" s="40" t="n">
        <f aca="true">RAND()</f>
        <v>0.45057232869294</v>
      </c>
      <c r="R1022" s="40" t="n">
        <f aca="true">RAND()</f>
        <v>0.897836343473916</v>
      </c>
      <c r="S1022" s="40" t="n">
        <f aca="true">RAND()</f>
        <v>0.200382625200907</v>
      </c>
      <c r="T1022" s="40" t="n">
        <f aca="true">RAND()</f>
        <v>0.0221866904110077</v>
      </c>
      <c r="U1022" s="40" t="n">
        <f aca="true">RAND()</f>
        <v>0.755515232256533</v>
      </c>
    </row>
    <row r="1023" customFormat="false" ht="15" hidden="false" customHeight="false" outlineLevel="0" collapsed="false">
      <c r="A1023" s="36" t="n">
        <v>943</v>
      </c>
      <c r="B1023" s="37" t="n">
        <f aca="false">1+IF($G$6=$E$6,$F$6,IF(P1023&lt;($F$6-$E$6)/($G$6-$E$6),$E$6+SQRT(P1023*($G$6-$E$6)*($F$6-$E$6)),$G$6-SQRT((1-P1023)*($G$6-$E$6)*($G$6-$F$6))))</f>
        <v>0.988218701328327</v>
      </c>
      <c r="C1023" s="37" t="n">
        <f aca="false">1+IF($G$7=$E$7,$F$7,IF(Q1023&lt;($F$7-$E$7)/($G$7-$E$7),$E$7+SQRT(Q1023*($G$7-$E$7)*($F$7-$E$7)),$G$7-SQRT((1-Q1023)*($G$7-$E$7)*($G$7-$F$7))))</f>
        <v>0.947874281058765</v>
      </c>
      <c r="D1023" s="37" t="n">
        <f aca="false">1+IF($G$8=$E$8,$F$8,IF(R1023&lt;($F$8-$E$8)/($G$8-$E$8),$E$8+SQRT(R1023*($G$8-$E$8)*($F$8-$E$8)),$G$8-SQRT((1-R1023)*($G$8-$E$8)*($G$8-$F$8))))</f>
        <v>0.985416330995969</v>
      </c>
      <c r="E1023" s="37" t="n">
        <f aca="false">1+IF($G$9=$E$9,$F$9,IF(S1023&lt;($F$9-$E$9)/($G$9-$E$9),$E$9+SQRT(S1023*($G$9-$E$9)*($F$9-$E$9)),$G$9-SQRT((1-S1023)*($G$9-$E$9)*($G$9-$F$9))))</f>
        <v>1.04282463103192</v>
      </c>
      <c r="F1023" s="37" t="n">
        <f aca="false">1+IF($G$10=$E$10,$F$10,IF(T1023&lt;($F$10-$E$10)/($G$10-$E$10),$E$10+SQRT(T1023*($G$10-$E$10)*($F$10-$E$10)),$G$10-SQRT((1-T1023)*($G$10-$E$10)*($G$10-$F$10))))</f>
        <v>0.995681408914957</v>
      </c>
      <c r="G1023" s="38" t="n">
        <f aca="false">IF($G$11=$E$11,$F$11,IF(U1023&lt;($F$11-$E$11)/($G$11-$E$11),$E$11+SQRT(U1023*($G$11-$E$11)*($F$11-$E$11)),$G$11-SQRT((1-U1023)*($G$11-$E$11)*($G$11-$F$11))))</f>
        <v>0.101365668553865</v>
      </c>
      <c r="H1023" s="39" t="n">
        <f aca="false">(('Business Case'!B11*$C1023*'Business Case'!B12*$B1023)-'Business Case'!B11*$C1023*'Business Case'!B13*$D1023-'Business Case'!B14*$E1023)-MAX(0,(('Business Case'!B11*$C1023*'Business Case'!B12*$B1023)-'Business Case'!B11*$C1023*'Business Case'!B13*$D1023-'Business Case'!B14*$E1023))*'Business Case'!$B$7-'Business Case'!$B$8*('Business Case'!B11*$C1023*'Business Case'!B12*$B1023)-'Business Case'!B15*$F1023</f>
        <v>-1991362817.82991</v>
      </c>
      <c r="I1023" s="39" t="n">
        <f aca="false">(('Business Case'!C11*$C1023*'Business Case'!C12*$B1023)-'Business Case'!C11*$C1023*'Business Case'!C13*$D1023-'Business Case'!C14*$E1023)-MAX(0,(('Business Case'!C11*$C1023*'Business Case'!C12*$B1023)-'Business Case'!C11*$C1023*'Business Case'!C13*$D1023-'Business Case'!C14*$E1023))*'Business Case'!$B$7-'Business Case'!$B$8*(('Business Case'!C11*$C1023*'Business Case'!C12*$B1023)-('Business Case'!B11*$C1023*'Business Case'!B12*$B1023))-'Business Case'!C15*$F1023</f>
        <v>-7345432.1783621</v>
      </c>
      <c r="J1023" s="39" t="n">
        <f aca="false">(('Business Case'!D11*$C1023*'Business Case'!D12*$B1023)-'Business Case'!D11*$C1023*'Business Case'!D13*$D1023-'Business Case'!D14*$E1023)-MAX(0,(('Business Case'!D11*$C1023*'Business Case'!D12*$B1023)-'Business Case'!D11*$C1023*'Business Case'!D13*$D1023-'Business Case'!D14*$E1023))*'Business Case'!$B$7-'Business Case'!$B$8*(('Business Case'!D11*$C1023*'Business Case'!D12*$B1023)-('Business Case'!C11*$C1023*'Business Case'!C12*$B1023))-'Business Case'!D15*$F1023</f>
        <v>281725834.667564</v>
      </c>
      <c r="K1023" s="39" t="n">
        <f aca="false">(('Business Case'!E11*$C1023*'Business Case'!E12*$B1023)-'Business Case'!E11*$C1023*'Business Case'!E13*$D1023-'Business Case'!E14*$E1023)-MAX(0,(('Business Case'!E11*$C1023*'Business Case'!E12*$B1023)-'Business Case'!E11*$C1023*'Business Case'!E13*$D1023-'Business Case'!E14*$E1023))*'Business Case'!$B$7-'Business Case'!$B$8*(('Business Case'!E11*$C1023*'Business Case'!E12*$B1023)-('Business Case'!D11*$C1023*'Business Case'!D12*$B1023))-'Business Case'!E15*$F1023</f>
        <v>620581171.959238</v>
      </c>
      <c r="L1023" s="39" t="n">
        <f aca="false">(('Business Case'!F11*$C1023*'Business Case'!F12*$B1023)-'Business Case'!F11*$C1023*'Business Case'!F13*$D1023-'Business Case'!F14*$E1023)-MAX(0,(('Business Case'!F11*$C1023*'Business Case'!F12*$B1023)-'Business Case'!F11*$C1023*'Business Case'!F13*$D1023-'Business Case'!F14*$E1023))*'Business Case'!$B$7-'Business Case'!$B$8*(('Business Case'!F11*$C1023*'Business Case'!F12*$B1023)-('Business Case'!E11*$C1023*'Business Case'!E12*$B1023))-'Business Case'!F15*$F1023</f>
        <v>749310857.974582</v>
      </c>
      <c r="M1023" s="39" t="n">
        <f aca="false">(('Business Case'!G11*$C1023*'Business Case'!G12*$B1023)-'Business Case'!G11*$C1023*'Business Case'!G13*$D1023-'Business Case'!G14*$E1023)-MAX(0,(('Business Case'!G11*$C1023*'Business Case'!G12*$B1023)-'Business Case'!G11*$C1023*'Business Case'!G13*$D1023-'Business Case'!G14*$E1023))*'Business Case'!$B$7-'Business Case'!$B$8*(('Business Case'!G11*$C1023*'Business Case'!G12*$B1023)-('Business Case'!F11*$C1023*'Business Case'!F12*$B1023))-'Business Case'!G15*$F1023+'Business Case'!$B$8*('Business Case'!G11*$C1023*'Business Case'!G12*$B1023)</f>
        <v>927360141.841445</v>
      </c>
      <c r="N1023" s="39" t="n">
        <f aca="false">IF(COUNT('Business Case'!B11:G11)=0,"",H1023+NPV(G1023,I1023:M1023))</f>
        <v>-219746233.141093</v>
      </c>
      <c r="P1023" s="40" t="n">
        <f aca="true">RAND()</f>
        <v>0.484769917804523</v>
      </c>
      <c r="Q1023" s="40" t="n">
        <f aca="true">RAND()</f>
        <v>0.312382899980665</v>
      </c>
      <c r="R1023" s="40" t="n">
        <f aca="true">RAND()</f>
        <v>0.192971769417851</v>
      </c>
      <c r="S1023" s="40" t="n">
        <f aca="true">RAND()</f>
        <v>0.782065145557594</v>
      </c>
      <c r="T1023" s="40" t="n">
        <f aca="true">RAND()</f>
        <v>0.166943289636441</v>
      </c>
      <c r="U1023" s="40" t="n">
        <f aca="true">RAND()</f>
        <v>0.421269485925967</v>
      </c>
    </row>
    <row r="1024" customFormat="false" ht="15" hidden="false" customHeight="false" outlineLevel="0" collapsed="false">
      <c r="A1024" s="36" t="n">
        <v>944</v>
      </c>
      <c r="B1024" s="37" t="n">
        <f aca="false">1+IF($G$6=$E$6,$F$6,IF(P1024&lt;($F$6-$E$6)/($G$6-$E$6),$E$6+SQRT(P1024*($G$6-$E$6)*($F$6-$E$6)),$G$6-SQRT((1-P1024)*($G$6-$E$6)*($G$6-$F$6))))</f>
        <v>0.980515807602819</v>
      </c>
      <c r="C1024" s="37" t="n">
        <f aca="false">1+IF($G$7=$E$7,$F$7,IF(Q1024&lt;($F$7-$E$7)/($G$7-$E$7),$E$7+SQRT(Q1024*($G$7-$E$7)*($F$7-$E$7)),$G$7-SQRT((1-Q1024)*($G$7-$E$7)*($G$7-$F$7))))</f>
        <v>0.954693942527067</v>
      </c>
      <c r="D1024" s="37" t="n">
        <f aca="false">1+IF($G$8=$E$8,$F$8,IF(R1024&lt;($F$8-$E$8)/($G$8-$E$8),$E$8+SQRT(R1024*($G$8-$E$8)*($F$8-$E$8)),$G$8-SQRT((1-R1024)*($G$8-$E$8)*($G$8-$F$8))))</f>
        <v>1.04595532338718</v>
      </c>
      <c r="E1024" s="37" t="n">
        <f aca="false">1+IF($G$9=$E$9,$F$9,IF(S1024&lt;($F$9-$E$9)/($G$9-$E$9),$E$9+SQRT(S1024*($G$9-$E$9)*($F$9-$E$9)),$G$9-SQRT((1-S1024)*($G$9-$E$9)*($G$9-$F$9))))</f>
        <v>1.05843605651726</v>
      </c>
      <c r="F1024" s="37" t="n">
        <f aca="false">1+IF($G$10=$E$10,$F$10,IF(T1024&lt;($F$10-$E$10)/($G$10-$E$10),$E$10+SQRT(T1024*($G$10-$E$10)*($F$10-$E$10)),$G$10-SQRT((1-T1024)*($G$10-$E$10)*($G$10-$F$10))))</f>
        <v>0.970009599633967</v>
      </c>
      <c r="G1024" s="38" t="n">
        <f aca="false">IF($G$11=$E$11,$F$11,IF(U1024&lt;($F$11-$E$11)/($G$11-$E$11),$E$11+SQRT(U1024*($G$11-$E$11)*($F$11-$E$11)),$G$11-SQRT((1-U1024)*($G$11-$E$11)*($G$11-$F$11))))</f>
        <v>0.104997533490115</v>
      </c>
      <c r="H1024" s="39" t="n">
        <f aca="false">(('Business Case'!B11*$C1024*'Business Case'!B12*$B1024)-'Business Case'!B11*$C1024*'Business Case'!B13*$D1024-'Business Case'!B14*$E1024)-MAX(0,(('Business Case'!B11*$C1024*'Business Case'!B12*$B1024)-'Business Case'!B11*$C1024*'Business Case'!B13*$D1024-'Business Case'!B14*$E1024))*'Business Case'!$B$7-'Business Case'!$B$8*('Business Case'!B11*$C1024*'Business Case'!B12*$B1024)-'Business Case'!B15*$F1024</f>
        <v>-1940019199.26793</v>
      </c>
      <c r="I1024" s="39" t="n">
        <f aca="false">(('Business Case'!C11*$C1024*'Business Case'!C12*$B1024)-'Business Case'!C11*$C1024*'Business Case'!C13*$D1024-'Business Case'!C14*$E1024)-MAX(0,(('Business Case'!C11*$C1024*'Business Case'!C12*$B1024)-'Business Case'!C11*$C1024*'Business Case'!C13*$D1024-'Business Case'!C14*$E1024))*'Business Case'!$B$7-'Business Case'!$B$8*(('Business Case'!C11*$C1024*'Business Case'!C12*$B1024)-('Business Case'!B11*$C1024*'Business Case'!B12*$B1024))-'Business Case'!C15*$F1024</f>
        <v>-40496971.5072654</v>
      </c>
      <c r="J1024" s="39" t="n">
        <f aca="false">(('Business Case'!D11*$C1024*'Business Case'!D12*$B1024)-'Business Case'!D11*$C1024*'Business Case'!D13*$D1024-'Business Case'!D14*$E1024)-MAX(0,(('Business Case'!D11*$C1024*'Business Case'!D12*$B1024)-'Business Case'!D11*$C1024*'Business Case'!D13*$D1024-'Business Case'!D14*$E1024))*'Business Case'!$B$7-'Business Case'!$B$8*(('Business Case'!D11*$C1024*'Business Case'!D12*$B1024)-('Business Case'!C11*$C1024*'Business Case'!C12*$B1024))-'Business Case'!D15*$F1024</f>
        <v>215043659.492953</v>
      </c>
      <c r="K1024" s="39" t="n">
        <f aca="false">(('Business Case'!E11*$C1024*'Business Case'!E12*$B1024)-'Business Case'!E11*$C1024*'Business Case'!E13*$D1024-'Business Case'!E14*$E1024)-MAX(0,(('Business Case'!E11*$C1024*'Business Case'!E12*$B1024)-'Business Case'!E11*$C1024*'Business Case'!E13*$D1024-'Business Case'!E14*$E1024))*'Business Case'!$B$7-'Business Case'!$B$8*(('Business Case'!E11*$C1024*'Business Case'!E12*$B1024)-('Business Case'!D11*$C1024*'Business Case'!D12*$B1024))-'Business Case'!E15*$F1024</f>
        <v>519084770.47487</v>
      </c>
      <c r="L1024" s="39" t="n">
        <f aca="false">(('Business Case'!F11*$C1024*'Business Case'!F12*$B1024)-'Business Case'!F11*$C1024*'Business Case'!F13*$D1024-'Business Case'!F14*$E1024)-MAX(0,(('Business Case'!F11*$C1024*'Business Case'!F12*$B1024)-'Business Case'!F11*$C1024*'Business Case'!F13*$D1024-'Business Case'!F14*$E1024))*'Business Case'!$B$7-'Business Case'!$B$8*(('Business Case'!F11*$C1024*'Business Case'!F12*$B1024)-('Business Case'!E11*$C1024*'Business Case'!E12*$B1024))-'Business Case'!F15*$F1024</f>
        <v>636616337.679831</v>
      </c>
      <c r="M1024" s="39" t="n">
        <f aca="false">(('Business Case'!G11*$C1024*'Business Case'!G12*$B1024)-'Business Case'!G11*$C1024*'Business Case'!G13*$D1024-'Business Case'!G14*$E1024)-MAX(0,(('Business Case'!G11*$C1024*'Business Case'!G12*$B1024)-'Business Case'!G11*$C1024*'Business Case'!G13*$D1024-'Business Case'!G14*$E1024))*'Business Case'!$B$7-'Business Case'!$B$8*(('Business Case'!G11*$C1024*'Business Case'!G12*$B1024)-('Business Case'!F11*$C1024*'Business Case'!F12*$B1024))-'Business Case'!G15*$F1024+'Business Case'!$B$8*('Business Case'!G11*$C1024*'Business Case'!G12*$B1024)</f>
        <v>814548800.473381</v>
      </c>
      <c r="N1024" s="39" t="n">
        <f aca="false">IF(COUNT('Business Case'!B11:G11)=0,"",H1024+NPV(G1024,I1024:M1024))</f>
        <v>-494380369.076265</v>
      </c>
      <c r="P1024" s="40" t="n">
        <f aca="true">RAND()</f>
        <v>0.381475309356398</v>
      </c>
      <c r="Q1024" s="40" t="n">
        <f aca="true">RAND()</f>
        <v>0.341860226493823</v>
      </c>
      <c r="R1024" s="40" t="n">
        <f aca="true">RAND()</f>
        <v>0.888553845608478</v>
      </c>
      <c r="S1024" s="40" t="n">
        <f aca="true">RAND()</f>
        <v>0.884829240144265</v>
      </c>
      <c r="T1024" s="40" t="n">
        <f aca="true">RAND()</f>
        <v>0.0320307262009329</v>
      </c>
      <c r="U1024" s="40" t="n">
        <f aca="true">RAND()</f>
        <v>0.62487666436631</v>
      </c>
    </row>
    <row r="1025" customFormat="false" ht="15" hidden="false" customHeight="false" outlineLevel="0" collapsed="false">
      <c r="A1025" s="36" t="n">
        <v>945</v>
      </c>
      <c r="B1025" s="37" t="n">
        <f aca="false">1+IF($G$6=$E$6,$F$6,IF(P1025&lt;($F$6-$E$6)/($G$6-$E$6),$E$6+SQRT(P1025*($G$6-$E$6)*($F$6-$E$6)),$G$6-SQRT((1-P1025)*($G$6-$E$6)*($G$6-$F$6))))</f>
        <v>0.947061132714074</v>
      </c>
      <c r="C1025" s="37" t="n">
        <f aca="false">1+IF($G$7=$E$7,$F$7,IF(Q1025&lt;($F$7-$E$7)/($G$7-$E$7),$E$7+SQRT(Q1025*($G$7-$E$7)*($F$7-$E$7)),$G$7-SQRT((1-Q1025)*($G$7-$E$7)*($G$7-$F$7))))</f>
        <v>0.955202022615594</v>
      </c>
      <c r="D1025" s="37" t="n">
        <f aca="false">1+IF($G$8=$E$8,$F$8,IF(R1025&lt;($F$8-$E$8)/($G$8-$E$8),$E$8+SQRT(R1025*($G$8-$E$8)*($F$8-$E$8)),$G$8-SQRT((1-R1025)*($G$8-$E$8)*($G$8-$F$8))))</f>
        <v>0.981164124639456</v>
      </c>
      <c r="E1025" s="37" t="n">
        <f aca="false">1+IF($G$9=$E$9,$F$9,IF(S1025&lt;($F$9-$E$9)/($G$9-$E$9),$E$9+SQRT(S1025*($G$9-$E$9)*($F$9-$E$9)),$G$9-SQRT((1-S1025)*($G$9-$E$9)*($G$9-$F$9))))</f>
        <v>1.06182149188946</v>
      </c>
      <c r="F1025" s="37" t="n">
        <f aca="false">1+IF($G$10=$E$10,$F$10,IF(T1025&lt;($F$10-$E$10)/($G$10-$E$10),$E$10+SQRT(T1025*($G$10-$E$10)*($F$10-$E$10)),$G$10-SQRT((1-T1025)*($G$10-$E$10)*($G$10-$F$10))))</f>
        <v>1.09781329579331</v>
      </c>
      <c r="G1025" s="38" t="n">
        <f aca="false">IF($G$11=$E$11,$F$11,IF(U1025&lt;($F$11-$E$11)/($G$11-$E$11),$E$11+SQRT(U1025*($G$11-$E$11)*($F$11-$E$11)),$G$11-SQRT((1-U1025)*($G$11-$E$11)*($G$11-$F$11))))</f>
        <v>0.0963107550729472</v>
      </c>
      <c r="H1025" s="39" t="n">
        <f aca="false">(('Business Case'!B11*$C1025*'Business Case'!B12*$B1025)-'Business Case'!B11*$C1025*'Business Case'!B13*$D1025-'Business Case'!B14*$E1025)-MAX(0,(('Business Case'!B11*$C1025*'Business Case'!B12*$B1025)-'Business Case'!B11*$C1025*'Business Case'!B13*$D1025-'Business Case'!B14*$E1025))*'Business Case'!$B$7-'Business Case'!$B$8*('Business Case'!B11*$C1025*'Business Case'!B12*$B1025)-'Business Case'!B15*$F1025</f>
        <v>-2195626591.58662</v>
      </c>
      <c r="I1025" s="39" t="n">
        <f aca="false">(('Business Case'!C11*$C1025*'Business Case'!C12*$B1025)-'Business Case'!C11*$C1025*'Business Case'!C13*$D1025-'Business Case'!C14*$E1025)-MAX(0,(('Business Case'!C11*$C1025*'Business Case'!C12*$B1025)-'Business Case'!C11*$C1025*'Business Case'!C13*$D1025-'Business Case'!C14*$E1025))*'Business Case'!$B$7-'Business Case'!$B$8*(('Business Case'!C11*$C1025*'Business Case'!C12*$B1025)-('Business Case'!B11*$C1025*'Business Case'!B12*$B1025))-'Business Case'!C15*$F1025</f>
        <v>-46484169.1466319</v>
      </c>
      <c r="J1025" s="39" t="n">
        <f aca="false">(('Business Case'!D11*$C1025*'Business Case'!D12*$B1025)-'Business Case'!D11*$C1025*'Business Case'!D13*$D1025-'Business Case'!D14*$E1025)-MAX(0,(('Business Case'!D11*$C1025*'Business Case'!D12*$B1025)-'Business Case'!D11*$C1025*'Business Case'!D13*$D1025-'Business Case'!D14*$E1025))*'Business Case'!$B$7-'Business Case'!$B$8*(('Business Case'!D11*$C1025*'Business Case'!D12*$B1025)-('Business Case'!C11*$C1025*'Business Case'!C12*$B1025))-'Business Case'!D15*$F1025</f>
        <v>214700270.7737</v>
      </c>
      <c r="K1025" s="39" t="n">
        <f aca="false">(('Business Case'!E11*$C1025*'Business Case'!E12*$B1025)-'Business Case'!E11*$C1025*'Business Case'!E13*$D1025-'Business Case'!E14*$E1025)-MAX(0,(('Business Case'!E11*$C1025*'Business Case'!E12*$B1025)-'Business Case'!E11*$C1025*'Business Case'!E13*$D1025-'Business Case'!E14*$E1025))*'Business Case'!$B$7-'Business Case'!$B$8*(('Business Case'!E11*$C1025*'Business Case'!E12*$B1025)-('Business Case'!D11*$C1025*'Business Case'!D12*$B1025))-'Business Case'!E15*$F1025</f>
        <v>530775375.483697</v>
      </c>
      <c r="L1025" s="39" t="n">
        <f aca="false">(('Business Case'!F11*$C1025*'Business Case'!F12*$B1025)-'Business Case'!F11*$C1025*'Business Case'!F13*$D1025-'Business Case'!F14*$E1025)-MAX(0,(('Business Case'!F11*$C1025*'Business Case'!F12*$B1025)-'Business Case'!F11*$C1025*'Business Case'!F13*$D1025-'Business Case'!F14*$E1025))*'Business Case'!$B$7-'Business Case'!$B$8*(('Business Case'!F11*$C1025*'Business Case'!F12*$B1025)-('Business Case'!E11*$C1025*'Business Case'!E12*$B1025))-'Business Case'!F15*$F1025</f>
        <v>649101031.017775</v>
      </c>
      <c r="M1025" s="39" t="n">
        <f aca="false">(('Business Case'!G11*$C1025*'Business Case'!G12*$B1025)-'Business Case'!G11*$C1025*'Business Case'!G13*$D1025-'Business Case'!G14*$E1025)-MAX(0,(('Business Case'!G11*$C1025*'Business Case'!G12*$B1025)-'Business Case'!G11*$C1025*'Business Case'!G13*$D1025-'Business Case'!G14*$E1025))*'Business Case'!$B$7-'Business Case'!$B$8*(('Business Case'!G11*$C1025*'Business Case'!G12*$B1025)-('Business Case'!F11*$C1025*'Business Case'!F12*$B1025))-'Business Case'!G15*$F1025+'Business Case'!$B$8*('Business Case'!G11*$C1025*'Business Case'!G12*$B1025)</f>
        <v>821053996.601265</v>
      </c>
      <c r="N1025" s="39" t="n">
        <f aca="false">IF(COUNT('Business Case'!B11:G11)=0,"",H1025+NPV(G1025,I1025:M1025))</f>
        <v>-688785472.578675</v>
      </c>
      <c r="P1025" s="40" t="n">
        <f aca="true">RAND()</f>
        <v>0.0762817608092428</v>
      </c>
      <c r="Q1025" s="40" t="n">
        <f aca="true">RAND()</f>
        <v>0.344109540342447</v>
      </c>
      <c r="R1025" s="40" t="n">
        <f aca="true">RAND()</f>
        <v>0.149415794545158</v>
      </c>
      <c r="S1025" s="40" t="n">
        <f aca="true">RAND()</f>
        <v>0.902826767896874</v>
      </c>
      <c r="T1025" s="40" t="n">
        <f aca="true">RAND()</f>
        <v>0.791157549667494</v>
      </c>
      <c r="U1025" s="40" t="n">
        <f aca="true">RAND()</f>
        <v>0.132752098635761</v>
      </c>
    </row>
    <row r="1026" customFormat="false" ht="15" hidden="false" customHeight="false" outlineLevel="0" collapsed="false">
      <c r="A1026" s="36" t="n">
        <v>946</v>
      </c>
      <c r="B1026" s="37" t="n">
        <f aca="false">1+IF($G$6=$E$6,$F$6,IF(P1026&lt;($F$6-$E$6)/($G$6-$E$6),$E$6+SQRT(P1026*($G$6-$E$6)*($F$6-$E$6)),$G$6-SQRT((1-P1026)*($G$6-$E$6)*($G$6-$F$6))))</f>
        <v>1.00744733308</v>
      </c>
      <c r="C1026" s="37" t="n">
        <f aca="false">1+IF($G$7=$E$7,$F$7,IF(Q1026&lt;($F$7-$E$7)/($G$7-$E$7),$E$7+SQRT(Q1026*($G$7-$E$7)*($F$7-$E$7)),$G$7-SQRT((1-Q1026)*($G$7-$E$7)*($G$7-$F$7))))</f>
        <v>0.903988670045018</v>
      </c>
      <c r="D1026" s="37" t="n">
        <f aca="false">1+IF($G$8=$E$8,$F$8,IF(R1026&lt;($F$8-$E$8)/($G$8-$E$8),$E$8+SQRT(R1026*($G$8-$E$8)*($F$8-$E$8)),$G$8-SQRT((1-R1026)*($G$8-$E$8)*($G$8-$F$8))))</f>
        <v>1.0363735522637</v>
      </c>
      <c r="E1026" s="37" t="n">
        <f aca="false">1+IF($G$9=$E$9,$F$9,IF(S1026&lt;($F$9-$E$9)/($G$9-$E$9),$E$9+SQRT(S1026*($G$9-$E$9)*($F$9-$E$9)),$G$9-SQRT((1-S1026)*($G$9-$E$9)*($G$9-$F$9))))</f>
        <v>1.05721500399427</v>
      </c>
      <c r="F1026" s="37" t="n">
        <f aca="false">1+IF($G$10=$E$10,$F$10,IF(T1026&lt;($F$10-$E$10)/($G$10-$E$10),$E$10+SQRT(T1026*($G$10-$E$10)*($F$10-$E$10)),$G$10-SQRT((1-T1026)*($G$10-$E$10)*($G$10-$F$10))))</f>
        <v>1.00035796125867</v>
      </c>
      <c r="G1026" s="38" t="n">
        <f aca="false">IF($G$11=$E$11,$F$11,IF(U1026&lt;($F$11-$E$11)/($G$11-$E$11),$E$11+SQRT(U1026*($G$11-$E$11)*($F$11-$E$11)),$G$11-SQRT((1-U1026)*($G$11-$E$11)*($G$11-$F$11))))</f>
        <v>0.0986467916775859</v>
      </c>
      <c r="H1026" s="39" t="n">
        <f aca="false">(('Business Case'!B11*$C1026*'Business Case'!B12*$B1026)-'Business Case'!B11*$C1026*'Business Case'!B13*$D1026-'Business Case'!B14*$E1026)-MAX(0,(('Business Case'!B11*$C1026*'Business Case'!B12*$B1026)-'Business Case'!B11*$C1026*'Business Case'!B13*$D1026-'Business Case'!B14*$E1026))*'Business Case'!$B$7-'Business Case'!$B$8*('Business Case'!B11*$C1026*'Business Case'!B12*$B1026)-'Business Case'!B15*$F1026</f>
        <v>-2000715922.51735</v>
      </c>
      <c r="I1026" s="39" t="n">
        <f aca="false">(('Business Case'!C11*$C1026*'Business Case'!C12*$B1026)-'Business Case'!C11*$C1026*'Business Case'!C13*$D1026-'Business Case'!C14*$E1026)-MAX(0,(('Business Case'!C11*$C1026*'Business Case'!C12*$B1026)-'Business Case'!C11*$C1026*'Business Case'!C13*$D1026-'Business Case'!C14*$E1026))*'Business Case'!$B$7-'Business Case'!$B$8*(('Business Case'!C11*$C1026*'Business Case'!C12*$B1026)-('Business Case'!B11*$C1026*'Business Case'!B12*$B1026))-'Business Case'!C15*$F1026</f>
        <v>-31239959.1626337</v>
      </c>
      <c r="J1026" s="39" t="n">
        <f aca="false">(('Business Case'!D11*$C1026*'Business Case'!D12*$B1026)-'Business Case'!D11*$C1026*'Business Case'!D13*$D1026-'Business Case'!D14*$E1026)-MAX(0,(('Business Case'!D11*$C1026*'Business Case'!D12*$B1026)-'Business Case'!D11*$C1026*'Business Case'!D13*$D1026-'Business Case'!D14*$E1026))*'Business Case'!$B$7-'Business Case'!$B$8*(('Business Case'!D11*$C1026*'Business Case'!D12*$B1026)-('Business Case'!C11*$C1026*'Business Case'!C12*$B1026))-'Business Case'!D15*$F1026</f>
        <v>235103626.700735</v>
      </c>
      <c r="K1026" s="39" t="n">
        <f aca="false">(('Business Case'!E11*$C1026*'Business Case'!E12*$B1026)-'Business Case'!E11*$C1026*'Business Case'!E13*$D1026-'Business Case'!E14*$E1026)-MAX(0,(('Business Case'!E11*$C1026*'Business Case'!E12*$B1026)-'Business Case'!E11*$C1026*'Business Case'!E13*$D1026-'Business Case'!E14*$E1026))*'Business Case'!$B$7-'Business Case'!$B$8*(('Business Case'!E11*$C1026*'Business Case'!E12*$B1026)-('Business Case'!D11*$C1026*'Business Case'!D12*$B1026))-'Business Case'!E15*$F1026</f>
        <v>551465110.627036</v>
      </c>
      <c r="L1026" s="39" t="n">
        <f aca="false">(('Business Case'!F11*$C1026*'Business Case'!F12*$B1026)-'Business Case'!F11*$C1026*'Business Case'!F13*$D1026-'Business Case'!F14*$E1026)-MAX(0,(('Business Case'!F11*$C1026*'Business Case'!F12*$B1026)-'Business Case'!F11*$C1026*'Business Case'!F13*$D1026-'Business Case'!F14*$E1026))*'Business Case'!$B$7-'Business Case'!$B$8*(('Business Case'!F11*$C1026*'Business Case'!F12*$B1026)-('Business Case'!E11*$C1026*'Business Case'!E12*$B1026))-'Business Case'!F15*$F1026</f>
        <v>671720822.802926</v>
      </c>
      <c r="M1026" s="39" t="n">
        <f aca="false">(('Business Case'!G11*$C1026*'Business Case'!G12*$B1026)-'Business Case'!G11*$C1026*'Business Case'!G13*$D1026-'Business Case'!G14*$E1026)-MAX(0,(('Business Case'!G11*$C1026*'Business Case'!G12*$B1026)-'Business Case'!G11*$C1026*'Business Case'!G13*$D1026-'Business Case'!G14*$E1026))*'Business Case'!$B$7-'Business Case'!$B$8*(('Business Case'!G11*$C1026*'Business Case'!G12*$B1026)-('Business Case'!F11*$C1026*'Business Case'!F12*$B1026))-'Business Case'!G15*$F1026+'Business Case'!$B$8*('Business Case'!G11*$C1026*'Business Case'!G12*$B1026)</f>
        <v>844830665.687471</v>
      </c>
      <c r="N1026" s="39" t="n">
        <f aca="false">IF(COUNT('Business Case'!B11:G11)=0,"",H1026+NPV(G1026,I1026:M1026))</f>
        <v>-429643774.700844</v>
      </c>
      <c r="P1026" s="40" t="n">
        <f aca="true">RAND()</f>
        <v>0.779234140915721</v>
      </c>
      <c r="Q1026" s="40" t="n">
        <f aca="true">RAND()</f>
        <v>0.154480621396165</v>
      </c>
      <c r="R1026" s="40" t="n">
        <f aca="true">RAND()</f>
        <v>0.816993563260791</v>
      </c>
      <c r="S1026" s="40" t="n">
        <f aca="true">RAND()</f>
        <v>0.877962941119338</v>
      </c>
      <c r="T1026" s="40" t="n">
        <f aca="true">RAND()</f>
        <v>0.202861127344135</v>
      </c>
      <c r="U1026" s="40" t="n">
        <f aca="true">RAND()</f>
        <v>0.249223354385229</v>
      </c>
    </row>
    <row r="1027" customFormat="false" ht="15" hidden="false" customHeight="false" outlineLevel="0" collapsed="false">
      <c r="A1027" s="36" t="n">
        <v>947</v>
      </c>
      <c r="B1027" s="37" t="n">
        <f aca="false">1+IF($G$6=$E$6,$F$6,IF(P1027&lt;($F$6-$E$6)/($G$6-$E$6),$E$6+SQRT(P1027*($G$6-$E$6)*($F$6-$E$6)),$G$6-SQRT((1-P1027)*($G$6-$E$6)*($G$6-$F$6))))</f>
        <v>0.960519568080705</v>
      </c>
      <c r="C1027" s="37" t="n">
        <f aca="false">1+IF($G$7=$E$7,$F$7,IF(Q1027&lt;($F$7-$E$7)/($G$7-$E$7),$E$7+SQRT(Q1027*($G$7-$E$7)*($F$7-$E$7)),$G$7-SQRT((1-Q1027)*($G$7-$E$7)*($G$7-$F$7))))</f>
        <v>0.896756811152786</v>
      </c>
      <c r="D1027" s="37" t="n">
        <f aca="false">1+IF($G$8=$E$8,$F$8,IF(R1027&lt;($F$8-$E$8)/($G$8-$E$8),$E$8+SQRT(R1027*($G$8-$E$8)*($F$8-$E$8)),$G$8-SQRT((1-R1027)*($G$8-$E$8)*($G$8-$F$8))))</f>
        <v>0.965122450738312</v>
      </c>
      <c r="E1027" s="37" t="n">
        <f aca="false">1+IF($G$9=$E$9,$F$9,IF(S1027&lt;($F$9-$E$9)/($G$9-$E$9),$E$9+SQRT(S1027*($G$9-$E$9)*($F$9-$E$9)),$G$9-SQRT((1-S1027)*($G$9-$E$9)*($G$9-$F$9))))</f>
        <v>0.992420636588548</v>
      </c>
      <c r="F1027" s="37" t="n">
        <f aca="false">1+IF($G$10=$E$10,$F$10,IF(T1027&lt;($F$10-$E$10)/($G$10-$E$10),$E$10+SQRT(T1027*($G$10-$E$10)*($F$10-$E$10)),$G$10-SQRT((1-T1027)*($G$10-$E$10)*($G$10-$F$10))))</f>
        <v>1.05503755110408</v>
      </c>
      <c r="G1027" s="38" t="n">
        <f aca="false">IF($G$11=$E$11,$F$11,IF(U1027&lt;($F$11-$E$11)/($G$11-$E$11),$E$11+SQRT(U1027*($G$11-$E$11)*($F$11-$E$11)),$G$11-SQRT((1-U1027)*($G$11-$E$11)*($G$11-$F$11))))</f>
        <v>0.112652856251021</v>
      </c>
      <c r="H1027" s="39" t="n">
        <f aca="false">(('Business Case'!B11*$C1027*'Business Case'!B12*$B1027)-'Business Case'!B11*$C1027*'Business Case'!B13*$D1027-'Business Case'!B14*$E1027)-MAX(0,(('Business Case'!B11*$C1027*'Business Case'!B12*$B1027)-'Business Case'!B11*$C1027*'Business Case'!B13*$D1027-'Business Case'!B14*$E1027))*'Business Case'!$B$7-'Business Case'!$B$8*('Business Case'!B11*$C1027*'Business Case'!B12*$B1027)-'Business Case'!B15*$F1027</f>
        <v>-2110075102.20817</v>
      </c>
      <c r="I1027" s="39" t="n">
        <f aca="false">(('Business Case'!C11*$C1027*'Business Case'!C12*$B1027)-'Business Case'!C11*$C1027*'Business Case'!C13*$D1027-'Business Case'!C14*$E1027)-MAX(0,(('Business Case'!C11*$C1027*'Business Case'!C12*$B1027)-'Business Case'!C11*$C1027*'Business Case'!C13*$D1027-'Business Case'!C14*$E1027))*'Business Case'!$B$7-'Business Case'!$B$8*(('Business Case'!C11*$C1027*'Business Case'!C12*$B1027)-('Business Case'!B11*$C1027*'Business Case'!B12*$B1027))-'Business Case'!C15*$F1027</f>
        <v>-28825384.0794114</v>
      </c>
      <c r="J1027" s="39" t="n">
        <f aca="false">(('Business Case'!D11*$C1027*'Business Case'!D12*$B1027)-'Business Case'!D11*$C1027*'Business Case'!D13*$D1027-'Business Case'!D14*$E1027)-MAX(0,(('Business Case'!D11*$C1027*'Business Case'!D12*$B1027)-'Business Case'!D11*$C1027*'Business Case'!D13*$D1027-'Business Case'!D14*$E1027))*'Business Case'!$B$7-'Business Case'!$B$8*(('Business Case'!D11*$C1027*'Business Case'!D12*$B1027)-('Business Case'!C11*$C1027*'Business Case'!C12*$B1027))-'Business Case'!D15*$F1027</f>
        <v>233627713.256028</v>
      </c>
      <c r="K1027" s="39" t="n">
        <f aca="false">(('Business Case'!E11*$C1027*'Business Case'!E12*$B1027)-'Business Case'!E11*$C1027*'Business Case'!E13*$D1027-'Business Case'!E14*$E1027)-MAX(0,(('Business Case'!E11*$C1027*'Business Case'!E12*$B1027)-'Business Case'!E11*$C1027*'Business Case'!E13*$D1027-'Business Case'!E14*$E1027))*'Business Case'!$B$7-'Business Case'!$B$8*(('Business Case'!E11*$C1027*'Business Case'!E12*$B1027)-('Business Case'!D11*$C1027*'Business Case'!D12*$B1027))-'Business Case'!E15*$F1027</f>
        <v>548832688.146672</v>
      </c>
      <c r="L1027" s="39" t="n">
        <f aca="false">(('Business Case'!F11*$C1027*'Business Case'!F12*$B1027)-'Business Case'!F11*$C1027*'Business Case'!F13*$D1027-'Business Case'!F14*$E1027)-MAX(0,(('Business Case'!F11*$C1027*'Business Case'!F12*$B1027)-'Business Case'!F11*$C1027*'Business Case'!F13*$D1027-'Business Case'!F14*$E1027))*'Business Case'!$B$7-'Business Case'!$B$8*(('Business Case'!F11*$C1027*'Business Case'!F12*$B1027)-('Business Case'!E11*$C1027*'Business Case'!E12*$B1027))-'Business Case'!F15*$F1027</f>
        <v>666085395.112853</v>
      </c>
      <c r="M1027" s="39" t="n">
        <f aca="false">(('Business Case'!G11*$C1027*'Business Case'!G12*$B1027)-'Business Case'!G11*$C1027*'Business Case'!G13*$D1027-'Business Case'!G14*$E1027)-MAX(0,(('Business Case'!G11*$C1027*'Business Case'!G12*$B1027)-'Business Case'!G11*$C1027*'Business Case'!G13*$D1027-'Business Case'!G14*$E1027))*'Business Case'!$B$7-'Business Case'!$B$8*(('Business Case'!G11*$C1027*'Business Case'!G12*$B1027)-('Business Case'!F11*$C1027*'Business Case'!F12*$B1027))-'Business Case'!G15*$F1027+'Business Case'!$B$8*('Business Case'!G11*$C1027*'Business Case'!G12*$B1027)</f>
        <v>829811271.645209</v>
      </c>
      <c r="N1027" s="39" t="n">
        <f aca="false">IF(COUNT('Business Case'!B11:G11)=0,"",H1027+NPV(G1027,I1027:M1027))</f>
        <v>-627618190.965126</v>
      </c>
      <c r="P1027" s="40" t="n">
        <f aca="true">RAND()</f>
        <v>0.171024520567386</v>
      </c>
      <c r="Q1027" s="40" t="n">
        <f aca="true">RAND()</f>
        <v>0.133741150063654</v>
      </c>
      <c r="R1027" s="40" t="n">
        <f aca="true">RAND()</f>
        <v>0.0351828486665661</v>
      </c>
      <c r="S1027" s="40" t="n">
        <f aca="true">RAND()</f>
        <v>0.239934721143686</v>
      </c>
      <c r="T1027" s="40" t="n">
        <f aca="true">RAND()</f>
        <v>0.579717768201971</v>
      </c>
      <c r="U1027" s="40" t="n">
        <f aca="true">RAND()</f>
        <v>0.910032464553075</v>
      </c>
    </row>
    <row r="1028" customFormat="false" ht="15" hidden="false" customHeight="false" outlineLevel="0" collapsed="false">
      <c r="A1028" s="36" t="n">
        <v>948</v>
      </c>
      <c r="B1028" s="37" t="n">
        <f aca="false">1+IF($G$6=$E$6,$F$6,IF(P1028&lt;($F$6-$E$6)/($G$6-$E$6),$E$6+SQRT(P1028*($G$6-$E$6)*($F$6-$E$6)),$G$6-SQRT((1-P1028)*($G$6-$E$6)*($G$6-$F$6))))</f>
        <v>1.01729432046858</v>
      </c>
      <c r="C1028" s="37" t="n">
        <f aca="false">1+IF($G$7=$E$7,$F$7,IF(Q1028&lt;($F$7-$E$7)/($G$7-$E$7),$E$7+SQRT(Q1028*($G$7-$E$7)*($F$7-$E$7)),$G$7-SQRT((1-Q1028)*($G$7-$E$7)*($G$7-$F$7))))</f>
        <v>0.951130193888586</v>
      </c>
      <c r="D1028" s="37" t="n">
        <f aca="false">1+IF($G$8=$E$8,$F$8,IF(R1028&lt;($F$8-$E$8)/($G$8-$E$8),$E$8+SQRT(R1028*($G$8-$E$8)*($F$8-$E$8)),$G$8-SQRT((1-R1028)*($G$8-$E$8)*($G$8-$F$8))))</f>
        <v>0.997047430910666</v>
      </c>
      <c r="E1028" s="37" t="n">
        <f aca="false">1+IF($G$9=$E$9,$F$9,IF(S1028&lt;($F$9-$E$9)/($G$9-$E$9),$E$9+SQRT(S1028*($G$9-$E$9)*($F$9-$E$9)),$G$9-SQRT((1-S1028)*($G$9-$E$9)*($G$9-$F$9))))</f>
        <v>0.982418192735652</v>
      </c>
      <c r="F1028" s="37" t="n">
        <f aca="false">1+IF($G$10=$E$10,$F$10,IF(T1028&lt;($F$10-$E$10)/($G$10-$E$10),$E$10+SQRT(T1028*($G$10-$E$10)*($F$10-$E$10)),$G$10-SQRT((1-T1028)*($G$10-$E$10)*($G$10-$F$10))))</f>
        <v>1.01559318215649</v>
      </c>
      <c r="G1028" s="38" t="n">
        <f aca="false">IF($G$11=$E$11,$F$11,IF(U1028&lt;($F$11-$E$11)/($G$11-$E$11),$E$11+SQRT(U1028*($G$11-$E$11)*($F$11-$E$11)),$G$11-SQRT((1-U1028)*($G$11-$E$11)*($G$11-$F$11))))</f>
        <v>0.109476950937722</v>
      </c>
      <c r="H1028" s="39" t="n">
        <f aca="false">(('Business Case'!B11*$C1028*'Business Case'!B12*$B1028)-'Business Case'!B11*$C1028*'Business Case'!B13*$D1028-'Business Case'!B14*$E1028)-MAX(0,(('Business Case'!B11*$C1028*'Business Case'!B12*$B1028)-'Business Case'!B11*$C1028*'Business Case'!B13*$D1028-'Business Case'!B14*$E1028))*'Business Case'!$B$7-'Business Case'!$B$8*('Business Case'!B11*$C1028*'Business Case'!B12*$B1028)-'Business Case'!B15*$F1028</f>
        <v>-2031186364.31298</v>
      </c>
      <c r="I1028" s="39" t="n">
        <f aca="false">(('Business Case'!C11*$C1028*'Business Case'!C12*$B1028)-'Business Case'!C11*$C1028*'Business Case'!C13*$D1028-'Business Case'!C14*$E1028)-MAX(0,(('Business Case'!C11*$C1028*'Business Case'!C12*$B1028)-'Business Case'!C11*$C1028*'Business Case'!C13*$D1028-'Business Case'!C14*$E1028))*'Business Case'!$B$7-'Business Case'!$B$8*(('Business Case'!C11*$C1028*'Business Case'!C12*$B1028)-('Business Case'!B11*$C1028*'Business Case'!B12*$B1028))-'Business Case'!C15*$F1028</f>
        <v>15633694.8584409</v>
      </c>
      <c r="J1028" s="39" t="n">
        <f aca="false">(('Business Case'!D11*$C1028*'Business Case'!D12*$B1028)-'Business Case'!D11*$C1028*'Business Case'!D13*$D1028-'Business Case'!D14*$E1028)-MAX(0,(('Business Case'!D11*$C1028*'Business Case'!D12*$B1028)-'Business Case'!D11*$C1028*'Business Case'!D13*$D1028-'Business Case'!D14*$E1028))*'Business Case'!$B$7-'Business Case'!$B$8*(('Business Case'!D11*$C1028*'Business Case'!D12*$B1028)-('Business Case'!C11*$C1028*'Business Case'!C12*$B1028))-'Business Case'!D15*$F1028</f>
        <v>322685888.146447</v>
      </c>
      <c r="K1028" s="39" t="n">
        <f aca="false">(('Business Case'!E11*$C1028*'Business Case'!E12*$B1028)-'Business Case'!E11*$C1028*'Business Case'!E13*$D1028-'Business Case'!E14*$E1028)-MAX(0,(('Business Case'!E11*$C1028*'Business Case'!E12*$B1028)-'Business Case'!E11*$C1028*'Business Case'!E13*$D1028-'Business Case'!E14*$E1028))*'Business Case'!$B$7-'Business Case'!$B$8*(('Business Case'!E11*$C1028*'Business Case'!E12*$B1028)-('Business Case'!D11*$C1028*'Business Case'!D12*$B1028))-'Business Case'!E15*$F1028</f>
        <v>680517740.542278</v>
      </c>
      <c r="L1028" s="39" t="n">
        <f aca="false">(('Business Case'!F11*$C1028*'Business Case'!F12*$B1028)-'Business Case'!F11*$C1028*'Business Case'!F13*$D1028-'Business Case'!F14*$E1028)-MAX(0,(('Business Case'!F11*$C1028*'Business Case'!F12*$B1028)-'Business Case'!F11*$C1028*'Business Case'!F13*$D1028-'Business Case'!F14*$E1028))*'Business Case'!$B$7-'Business Case'!$B$8*(('Business Case'!F11*$C1028*'Business Case'!F12*$B1028)-('Business Case'!E11*$C1028*'Business Case'!E12*$B1028))-'Business Case'!F15*$F1028</f>
        <v>816308013.776218</v>
      </c>
      <c r="M1028" s="39" t="n">
        <f aca="false">(('Business Case'!G11*$C1028*'Business Case'!G12*$B1028)-'Business Case'!G11*$C1028*'Business Case'!G13*$D1028-'Business Case'!G14*$E1028)-MAX(0,(('Business Case'!G11*$C1028*'Business Case'!G12*$B1028)-'Business Case'!G11*$C1028*'Business Case'!G13*$D1028-'Business Case'!G14*$E1028))*'Business Case'!$B$7-'Business Case'!$B$8*(('Business Case'!G11*$C1028*'Business Case'!G12*$B1028)-('Business Case'!F11*$C1028*'Business Case'!F12*$B1028))-'Business Case'!G15*$F1028+'Business Case'!$B$8*('Business Case'!G11*$C1028*'Business Case'!G12*$B1028)</f>
        <v>1000225495.53488</v>
      </c>
      <c r="N1028" s="39" t="n">
        <f aca="false">IF(COUNT('Business Case'!B11:G11)=0,"",H1028+NPV(G1028,I1028:M1028))</f>
        <v>-122928658.103838</v>
      </c>
      <c r="P1028" s="40" t="n">
        <f aca="true">RAND()</f>
        <v>0.89259419104512</v>
      </c>
      <c r="Q1028" s="40" t="n">
        <f aca="true">RAND()</f>
        <v>0.32629050721145</v>
      </c>
      <c r="R1028" s="40" t="n">
        <f aca="true">RAND()</f>
        <v>0.340532423891368</v>
      </c>
      <c r="S1028" s="40" t="n">
        <f aca="true">RAND()</f>
        <v>0.140125229366117</v>
      </c>
      <c r="T1028" s="40" t="n">
        <f aca="true">RAND()</f>
        <v>0.319882510656592</v>
      </c>
      <c r="U1028" s="40" t="n">
        <f aca="true">RAND()</f>
        <v>0.815442397388138</v>
      </c>
    </row>
    <row r="1029" customFormat="false" ht="15" hidden="false" customHeight="false" outlineLevel="0" collapsed="false">
      <c r="A1029" s="36" t="n">
        <v>949</v>
      </c>
      <c r="B1029" s="37" t="n">
        <f aca="false">1+IF($G$6=$E$6,$F$6,IF(P1029&lt;($F$6-$E$6)/($G$6-$E$6),$E$6+SQRT(P1029*($G$6-$E$6)*($F$6-$E$6)),$G$6-SQRT((1-P1029)*($G$6-$E$6)*($G$6-$F$6))))</f>
        <v>0.997238800440102</v>
      </c>
      <c r="C1029" s="37" t="n">
        <f aca="false">1+IF($G$7=$E$7,$F$7,IF(Q1029&lt;($F$7-$E$7)/($G$7-$E$7),$E$7+SQRT(Q1029*($G$7-$E$7)*($F$7-$E$7)),$G$7-SQRT((1-Q1029)*($G$7-$E$7)*($G$7-$F$7))))</f>
        <v>1.00188283135246</v>
      </c>
      <c r="D1029" s="37" t="n">
        <f aca="false">1+IF($G$8=$E$8,$F$8,IF(R1029&lt;($F$8-$E$8)/($G$8-$E$8),$E$8+SQRT(R1029*($G$8-$E$8)*($F$8-$E$8)),$G$8-SQRT((1-R1029)*($G$8-$E$8)*($G$8-$F$8))))</f>
        <v>1.00607531371475</v>
      </c>
      <c r="E1029" s="37" t="n">
        <f aca="false">1+IF($G$9=$E$9,$F$9,IF(S1029&lt;($F$9-$E$9)/($G$9-$E$9),$E$9+SQRT(S1029*($G$9-$E$9)*($F$9-$E$9)),$G$9-SQRT((1-S1029)*($G$9-$E$9)*($G$9-$F$9))))</f>
        <v>1.00571934291412</v>
      </c>
      <c r="F1029" s="37" t="n">
        <f aca="false">1+IF($G$10=$E$10,$F$10,IF(T1029&lt;($F$10-$E$10)/($G$10-$E$10),$E$10+SQRT(T1029*($G$10-$E$10)*($F$10-$E$10)),$G$10-SQRT((1-T1029)*($G$10-$E$10)*($G$10-$F$10))))</f>
        <v>1.15552336197404</v>
      </c>
      <c r="G1029" s="38" t="n">
        <f aca="false">IF($G$11=$E$11,$F$11,IF(U1029&lt;($F$11-$E$11)/($G$11-$E$11),$E$11+SQRT(U1029*($G$11-$E$11)*($F$11-$E$11)),$G$11-SQRT((1-U1029)*($G$11-$E$11)*($G$11-$F$11))))</f>
        <v>0.11543839826342</v>
      </c>
      <c r="H1029" s="39" t="n">
        <f aca="false">(('Business Case'!B11*$C1029*'Business Case'!B12*$B1029)-'Business Case'!B11*$C1029*'Business Case'!B13*$D1029-'Business Case'!B14*$E1029)-MAX(0,(('Business Case'!B11*$C1029*'Business Case'!B12*$B1029)-'Business Case'!B11*$C1029*'Business Case'!B13*$D1029-'Business Case'!B14*$E1029))*'Business Case'!$B$7-'Business Case'!$B$8*('Business Case'!B11*$C1029*'Business Case'!B12*$B1029)-'Business Case'!B15*$F1029</f>
        <v>-2311046723.94807</v>
      </c>
      <c r="I1029" s="39" t="n">
        <f aca="false">(('Business Case'!C11*$C1029*'Business Case'!C12*$B1029)-'Business Case'!C11*$C1029*'Business Case'!C13*$D1029-'Business Case'!C14*$E1029)-MAX(0,(('Business Case'!C11*$C1029*'Business Case'!C12*$B1029)-'Business Case'!C11*$C1029*'Business Case'!C13*$D1029-'Business Case'!C14*$E1029))*'Business Case'!$B$7-'Business Case'!$B$8*(('Business Case'!C11*$C1029*'Business Case'!C12*$B1029)-('Business Case'!B11*$C1029*'Business Case'!B12*$B1029))-'Business Case'!C15*$F1029</f>
        <v>-8011317.06689327</v>
      </c>
      <c r="J1029" s="39" t="n">
        <f aca="false">(('Business Case'!D11*$C1029*'Business Case'!D12*$B1029)-'Business Case'!D11*$C1029*'Business Case'!D13*$D1029-'Business Case'!D14*$E1029)-MAX(0,(('Business Case'!D11*$C1029*'Business Case'!D12*$B1029)-'Business Case'!D11*$C1029*'Business Case'!D13*$D1029-'Business Case'!D14*$E1029))*'Business Case'!$B$7-'Business Case'!$B$8*(('Business Case'!D11*$C1029*'Business Case'!D12*$B1029)-('Business Case'!C11*$C1029*'Business Case'!C12*$B1029))-'Business Case'!D15*$F1029</f>
        <v>294337188.50855</v>
      </c>
      <c r="K1029" s="39" t="n">
        <f aca="false">(('Business Case'!E11*$C1029*'Business Case'!E12*$B1029)-'Business Case'!E11*$C1029*'Business Case'!E13*$D1029-'Business Case'!E14*$E1029)-MAX(0,(('Business Case'!E11*$C1029*'Business Case'!E12*$B1029)-'Business Case'!E11*$C1029*'Business Case'!E13*$D1029-'Business Case'!E14*$E1029))*'Business Case'!$B$7-'Business Case'!$B$8*(('Business Case'!E11*$C1029*'Business Case'!E12*$B1029)-('Business Case'!D11*$C1029*'Business Case'!D12*$B1029))-'Business Case'!E15*$F1029</f>
        <v>654461862.182694</v>
      </c>
      <c r="L1029" s="39" t="n">
        <f aca="false">(('Business Case'!F11*$C1029*'Business Case'!F12*$B1029)-'Business Case'!F11*$C1029*'Business Case'!F13*$D1029-'Business Case'!F14*$E1029)-MAX(0,(('Business Case'!F11*$C1029*'Business Case'!F12*$B1029)-'Business Case'!F11*$C1029*'Business Case'!F13*$D1029-'Business Case'!F14*$E1029))*'Business Case'!$B$7-'Business Case'!$B$8*(('Business Case'!F11*$C1029*'Business Case'!F12*$B1029)-('Business Case'!E11*$C1029*'Business Case'!E12*$B1029))-'Business Case'!F15*$F1029</f>
        <v>789774161.296205</v>
      </c>
      <c r="M1029" s="39" t="n">
        <f aca="false">(('Business Case'!G11*$C1029*'Business Case'!G12*$B1029)-'Business Case'!G11*$C1029*'Business Case'!G13*$D1029-'Business Case'!G14*$E1029)-MAX(0,(('Business Case'!G11*$C1029*'Business Case'!G12*$B1029)-'Business Case'!G11*$C1029*'Business Case'!G13*$D1029-'Business Case'!G14*$E1029))*'Business Case'!$B$7-'Business Case'!$B$8*(('Business Case'!G11*$C1029*'Business Case'!G12*$B1029)-('Business Case'!F11*$C1029*'Business Case'!F12*$B1029))-'Business Case'!G15*$F1029+'Business Case'!$B$8*('Business Case'!G11*$C1029*'Business Case'!G12*$B1029)</f>
        <v>979686212.865537</v>
      </c>
      <c r="N1029" s="39" t="n">
        <f aca="false">IF(COUNT('Business Case'!B11:G11)=0,"",H1029+NPV(G1029,I1029:M1029))</f>
        <v>-532553470.68976</v>
      </c>
      <c r="P1029" s="40" t="n">
        <f aca="true">RAND()</f>
        <v>0.621440863898527</v>
      </c>
      <c r="Q1029" s="40" t="n">
        <f aca="true">RAND()</f>
        <v>0.582120082892145</v>
      </c>
      <c r="R1029" s="40" t="n">
        <f aca="true">RAND()</f>
        <v>0.474532765156503</v>
      </c>
      <c r="S1029" s="40" t="n">
        <f aca="true">RAND()</f>
        <v>0.407410513296942</v>
      </c>
      <c r="T1029" s="40" t="n">
        <f aca="true">RAND()</f>
        <v>0.960436573398149</v>
      </c>
      <c r="U1029" s="40" t="n">
        <f aca="true">RAND()</f>
        <v>0.965319649328058</v>
      </c>
    </row>
    <row r="1030" customFormat="false" ht="15" hidden="false" customHeight="false" outlineLevel="0" collapsed="false">
      <c r="A1030" s="36" t="n">
        <v>950</v>
      </c>
      <c r="B1030" s="37" t="n">
        <f aca="false">1+IF($G$6=$E$6,$F$6,IF(P1030&lt;($F$6-$E$6)/($G$6-$E$6),$E$6+SQRT(P1030*($G$6-$E$6)*($F$6-$E$6)),$G$6-SQRT((1-P1030)*($G$6-$E$6)*($G$6-$F$6))))</f>
        <v>1.01723713684948</v>
      </c>
      <c r="C1030" s="37" t="n">
        <f aca="false">1+IF($G$7=$E$7,$F$7,IF(Q1030&lt;($F$7-$E$7)/($G$7-$E$7),$E$7+SQRT(Q1030*($G$7-$E$7)*($F$7-$E$7)),$G$7-SQRT((1-Q1030)*($G$7-$E$7)*($G$7-$F$7))))</f>
        <v>1.08071372423589</v>
      </c>
      <c r="D1030" s="37" t="n">
        <f aca="false">1+IF($G$8=$E$8,$F$8,IF(R1030&lt;($F$8-$E$8)/($G$8-$E$8),$E$8+SQRT(R1030*($G$8-$E$8)*($F$8-$E$8)),$G$8-SQRT((1-R1030)*($G$8-$E$8)*($G$8-$F$8))))</f>
        <v>1.03253829415763</v>
      </c>
      <c r="E1030" s="37" t="n">
        <f aca="false">1+IF($G$9=$E$9,$F$9,IF(S1030&lt;($F$9-$E$9)/($G$9-$E$9),$E$9+SQRT(S1030*($G$9-$E$9)*($F$9-$E$9)),$G$9-SQRT((1-S1030)*($G$9-$E$9)*($G$9-$F$9))))</f>
        <v>0.958468572770156</v>
      </c>
      <c r="F1030" s="37" t="n">
        <f aca="false">1+IF($G$10=$E$10,$F$10,IF(T1030&lt;($F$10-$E$10)/($G$10-$E$10),$E$10+SQRT(T1030*($G$10-$E$10)*($F$10-$E$10)),$G$10-SQRT((1-T1030)*($G$10-$E$10)*($G$10-$F$10))))</f>
        <v>1.09250111798671</v>
      </c>
      <c r="G1030" s="38" t="n">
        <f aca="false">IF($G$11=$E$11,$F$11,IF(U1030&lt;($F$11-$E$11)/($G$11-$E$11),$E$11+SQRT(U1030*($G$11-$E$11)*($F$11-$E$11)),$G$11-SQRT((1-U1030)*($G$11-$E$11)*($G$11-$F$11))))</f>
        <v>0.0995207073487378</v>
      </c>
      <c r="H1030" s="39" t="n">
        <f aca="false">(('Business Case'!B11*$C1030*'Business Case'!B12*$B1030)-'Business Case'!B11*$C1030*'Business Case'!B13*$D1030-'Business Case'!B14*$E1030)-MAX(0,(('Business Case'!B11*$C1030*'Business Case'!B12*$B1030)-'Business Case'!B11*$C1030*'Business Case'!B13*$D1030-'Business Case'!B14*$E1030))*'Business Case'!$B$7-'Business Case'!$B$8*('Business Case'!B11*$C1030*'Business Case'!B12*$B1030)-'Business Case'!B15*$F1030</f>
        <v>-2185002235.97343</v>
      </c>
      <c r="I1030" s="39" t="n">
        <f aca="false">(('Business Case'!C11*$C1030*'Business Case'!C12*$B1030)-'Business Case'!C11*$C1030*'Business Case'!C13*$D1030-'Business Case'!C14*$E1030)-MAX(0,(('Business Case'!C11*$C1030*'Business Case'!C12*$B1030)-'Business Case'!C11*$C1030*'Business Case'!C13*$D1030-'Business Case'!C14*$E1030))*'Business Case'!$B$7-'Business Case'!$B$8*(('Business Case'!C11*$C1030*'Business Case'!C12*$B1030)-('Business Case'!B11*$C1030*'Business Case'!B12*$B1030))-'Business Case'!C15*$F1030</f>
        <v>26665699.7167548</v>
      </c>
      <c r="J1030" s="39" t="n">
        <f aca="false">(('Business Case'!D11*$C1030*'Business Case'!D12*$B1030)-'Business Case'!D11*$C1030*'Business Case'!D13*$D1030-'Business Case'!D14*$E1030)-MAX(0,(('Business Case'!D11*$C1030*'Business Case'!D12*$B1030)-'Business Case'!D11*$C1030*'Business Case'!D13*$D1030-'Business Case'!D14*$E1030))*'Business Case'!$B$7-'Business Case'!$B$8*(('Business Case'!D11*$C1030*'Business Case'!D12*$B1030)-('Business Case'!C11*$C1030*'Business Case'!C12*$B1030))-'Business Case'!D15*$F1030</f>
        <v>355865638.537536</v>
      </c>
      <c r="K1030" s="39" t="n">
        <f aca="false">(('Business Case'!E11*$C1030*'Business Case'!E12*$B1030)-'Business Case'!E11*$C1030*'Business Case'!E13*$D1030-'Business Case'!E14*$E1030)-MAX(0,(('Business Case'!E11*$C1030*'Business Case'!E12*$B1030)-'Business Case'!E11*$C1030*'Business Case'!E13*$D1030-'Business Case'!E14*$E1030))*'Business Case'!$B$7-'Business Case'!$B$8*(('Business Case'!E11*$C1030*'Business Case'!E12*$B1030)-('Business Case'!D11*$C1030*'Business Case'!D12*$B1030))-'Business Case'!E15*$F1030</f>
        <v>739690633.257653</v>
      </c>
      <c r="L1030" s="39" t="n">
        <f aca="false">(('Business Case'!F11*$C1030*'Business Case'!F12*$B1030)-'Business Case'!F11*$C1030*'Business Case'!F13*$D1030-'Business Case'!F14*$E1030)-MAX(0,(('Business Case'!F11*$C1030*'Business Case'!F12*$B1030)-'Business Case'!F11*$C1030*'Business Case'!F13*$D1030-'Business Case'!F14*$E1030))*'Business Case'!$B$7-'Business Case'!$B$8*(('Business Case'!F11*$C1030*'Business Case'!F12*$B1030)-('Business Case'!E11*$C1030*'Business Case'!E12*$B1030))-'Business Case'!F15*$F1030</f>
        <v>887417210.369539</v>
      </c>
      <c r="M1030" s="39" t="n">
        <f aca="false">(('Business Case'!G11*$C1030*'Business Case'!G12*$B1030)-'Business Case'!G11*$C1030*'Business Case'!G13*$D1030-'Business Case'!G14*$E1030)-MAX(0,(('Business Case'!G11*$C1030*'Business Case'!G12*$B1030)-'Business Case'!G11*$C1030*'Business Case'!G13*$D1030-'Business Case'!G14*$E1030))*'Business Case'!$B$7-'Business Case'!$B$8*(('Business Case'!G11*$C1030*'Business Case'!G12*$B1030)-('Business Case'!F11*$C1030*'Business Case'!F12*$B1030))-'Business Case'!G15*$F1030+'Business Case'!$B$8*('Business Case'!G11*$C1030*'Business Case'!G12*$B1030)</f>
        <v>1096380163.31348</v>
      </c>
      <c r="N1030" s="39" t="n">
        <f aca="false">IF(COUNT('Business Case'!B11:G11)=0,"",H1030+NPV(G1030,I1030:M1030))</f>
        <v>-20495911.4033036</v>
      </c>
      <c r="P1030" s="40" t="n">
        <f aca="true">RAND()</f>
        <v>0.892052512748086</v>
      </c>
      <c r="Q1030" s="40" t="n">
        <f aca="true">RAND()</f>
        <v>0.908560228395042</v>
      </c>
      <c r="R1030" s="40" t="n">
        <f aca="true">RAND()</f>
        <v>0.783402546012748</v>
      </c>
      <c r="S1030" s="40" t="n">
        <f aca="true">RAND()</f>
        <v>0.00956222996845633</v>
      </c>
      <c r="T1030" s="40" t="n">
        <f aca="true">RAND()</f>
        <v>0.768879807317872</v>
      </c>
      <c r="U1030" s="40" t="n">
        <f aca="true">RAND()</f>
        <v>0.302146228067699</v>
      </c>
    </row>
    <row r="1031" customFormat="false" ht="15" hidden="false" customHeight="false" outlineLevel="0" collapsed="false">
      <c r="A1031" s="36" t="n">
        <v>951</v>
      </c>
      <c r="B1031" s="37" t="n">
        <f aca="false">1+IF($G$6=$E$6,$F$6,IF(P1031&lt;($F$6-$E$6)/($G$6-$E$6),$E$6+SQRT(P1031*($G$6-$E$6)*($F$6-$E$6)),$G$6-SQRT((1-P1031)*($G$6-$E$6)*($G$6-$F$6))))</f>
        <v>0.996026731037581</v>
      </c>
      <c r="C1031" s="37" t="n">
        <f aca="false">1+IF($G$7=$E$7,$F$7,IF(Q1031&lt;($F$7-$E$7)/($G$7-$E$7),$E$7+SQRT(Q1031*($G$7-$E$7)*($F$7-$E$7)),$G$7-SQRT((1-Q1031)*($G$7-$E$7)*($G$7-$F$7))))</f>
        <v>0.927164538164636</v>
      </c>
      <c r="D1031" s="37" t="n">
        <f aca="false">1+IF($G$8=$E$8,$F$8,IF(R1031&lt;($F$8-$E$8)/($G$8-$E$8),$E$8+SQRT(R1031*($G$8-$E$8)*($F$8-$E$8)),$G$8-SQRT((1-R1031)*($G$8-$E$8)*($G$8-$F$8))))</f>
        <v>1.0098898119237</v>
      </c>
      <c r="E1031" s="37" t="n">
        <f aca="false">1+IF($G$9=$E$9,$F$9,IF(S1031&lt;($F$9-$E$9)/($G$9-$E$9),$E$9+SQRT(S1031*($G$9-$E$9)*($F$9-$E$9)),$G$9-SQRT((1-S1031)*($G$9-$E$9)*($G$9-$F$9))))</f>
        <v>0.983282524501077</v>
      </c>
      <c r="F1031" s="37" t="n">
        <f aca="false">1+IF($G$10=$E$10,$F$10,IF(T1031&lt;($F$10-$E$10)/($G$10-$E$10),$E$10+SQRT(T1031*($G$10-$E$10)*($F$10-$E$10)),$G$10-SQRT((1-T1031)*($G$10-$E$10)*($G$10-$F$10))))</f>
        <v>1.06055116485443</v>
      </c>
      <c r="G1031" s="38" t="n">
        <f aca="false">IF($G$11=$E$11,$F$11,IF(U1031&lt;($F$11-$E$11)/($G$11-$E$11),$E$11+SQRT(U1031*($G$11-$E$11)*($F$11-$E$11)),$G$11-SQRT((1-U1031)*($G$11-$E$11)*($G$11-$F$11))))</f>
        <v>0.103966087437489</v>
      </c>
      <c r="H1031" s="39" t="n">
        <f aca="false">(('Business Case'!B11*$C1031*'Business Case'!B12*$B1031)-'Business Case'!B11*$C1031*'Business Case'!B13*$D1031-'Business Case'!B14*$E1031)-MAX(0,(('Business Case'!B11*$C1031*'Business Case'!B12*$B1031)-'Business Case'!B11*$C1031*'Business Case'!B13*$D1031-'Business Case'!B14*$E1031))*'Business Case'!$B$7-'Business Case'!$B$8*('Business Case'!B11*$C1031*'Business Case'!B12*$B1031)-'Business Case'!B15*$F1031</f>
        <v>-2121102329.70887</v>
      </c>
      <c r="I1031" s="39" t="n">
        <f aca="false">(('Business Case'!C11*$C1031*'Business Case'!C12*$B1031)-'Business Case'!C11*$C1031*'Business Case'!C13*$D1031-'Business Case'!C14*$E1031)-MAX(0,(('Business Case'!C11*$C1031*'Business Case'!C12*$B1031)-'Business Case'!C11*$C1031*'Business Case'!C13*$D1031-'Business Case'!C14*$E1031))*'Business Case'!$B$7-'Business Case'!$B$8*(('Business Case'!C11*$C1031*'Business Case'!C12*$B1031)-('Business Case'!B11*$C1031*'Business Case'!B12*$B1031))-'Business Case'!C15*$F1031</f>
        <v>-16682086.6703183</v>
      </c>
      <c r="J1031" s="39" t="n">
        <f aca="false">(('Business Case'!D11*$C1031*'Business Case'!D12*$B1031)-'Business Case'!D11*$C1031*'Business Case'!D13*$D1031-'Business Case'!D14*$E1031)-MAX(0,(('Business Case'!D11*$C1031*'Business Case'!D12*$B1031)-'Business Case'!D11*$C1031*'Business Case'!D13*$D1031-'Business Case'!D14*$E1031))*'Business Case'!$B$7-'Business Case'!$B$8*(('Business Case'!D11*$C1031*'Business Case'!D12*$B1031)-('Business Case'!C11*$C1031*'Business Case'!C12*$B1031))-'Business Case'!D15*$F1031</f>
        <v>260386955.754875</v>
      </c>
      <c r="K1031" s="39" t="n">
        <f aca="false">(('Business Case'!E11*$C1031*'Business Case'!E12*$B1031)-'Business Case'!E11*$C1031*'Business Case'!E13*$D1031-'Business Case'!E14*$E1031)-MAX(0,(('Business Case'!E11*$C1031*'Business Case'!E12*$B1031)-'Business Case'!E11*$C1031*'Business Case'!E13*$D1031-'Business Case'!E14*$E1031))*'Business Case'!$B$7-'Business Case'!$B$8*(('Business Case'!E11*$C1031*'Business Case'!E12*$B1031)-('Business Case'!D11*$C1031*'Business Case'!D12*$B1031))-'Business Case'!E15*$F1031</f>
        <v>590483556.422791</v>
      </c>
      <c r="L1031" s="39" t="n">
        <f aca="false">(('Business Case'!F11*$C1031*'Business Case'!F12*$B1031)-'Business Case'!F11*$C1031*'Business Case'!F13*$D1031-'Business Case'!F14*$E1031)-MAX(0,(('Business Case'!F11*$C1031*'Business Case'!F12*$B1031)-'Business Case'!F11*$C1031*'Business Case'!F13*$D1031-'Business Case'!F14*$E1031))*'Business Case'!$B$7-'Business Case'!$B$8*(('Business Case'!F11*$C1031*'Business Case'!F12*$B1031)-('Business Case'!E11*$C1031*'Business Case'!E12*$B1031))-'Business Case'!F15*$F1031</f>
        <v>714755395.648532</v>
      </c>
      <c r="M1031" s="39" t="n">
        <f aca="false">(('Business Case'!G11*$C1031*'Business Case'!G12*$B1031)-'Business Case'!G11*$C1031*'Business Case'!G13*$D1031-'Business Case'!G14*$E1031)-MAX(0,(('Business Case'!G11*$C1031*'Business Case'!G12*$B1031)-'Business Case'!G11*$C1031*'Business Case'!G13*$D1031-'Business Case'!G14*$E1031))*'Business Case'!$B$7-'Business Case'!$B$8*(('Business Case'!G11*$C1031*'Business Case'!G12*$B1031)-('Business Case'!F11*$C1031*'Business Case'!F12*$B1031))-'Business Case'!G15*$F1031+'Business Case'!$B$8*('Business Case'!G11*$C1031*'Business Case'!G12*$B1031)</f>
        <v>890290600.277256</v>
      </c>
      <c r="N1031" s="39" t="n">
        <f aca="false">IF(COUNT('Business Case'!B11:G11)=0,"",H1031+NPV(G1031,I1031:M1031))</f>
        <v>-459534759.738882</v>
      </c>
      <c r="P1031" s="40" t="n">
        <f aca="true">RAND()</f>
        <v>0.602089982527148</v>
      </c>
      <c r="Q1031" s="40" t="n">
        <f aca="true">RAND()</f>
        <v>0.231011710951788</v>
      </c>
      <c r="R1031" s="40" t="n">
        <f aca="true">RAND()</f>
        <v>0.52736168537558</v>
      </c>
      <c r="S1031" s="40" t="n">
        <f aca="true">RAND()</f>
        <v>0.147696858288638</v>
      </c>
      <c r="T1031" s="40" t="n">
        <f aca="true">RAND()</f>
        <v>0.611080447530892</v>
      </c>
      <c r="U1031" s="40" t="n">
        <f aca="true">RAND()</f>
        <v>0.571522746562919</v>
      </c>
    </row>
    <row r="1032" customFormat="false" ht="15" hidden="false" customHeight="false" outlineLevel="0" collapsed="false">
      <c r="A1032" s="36" t="n">
        <v>952</v>
      </c>
      <c r="B1032" s="37" t="n">
        <f aca="false">1+IF($G$6=$E$6,$F$6,IF(P1032&lt;($F$6-$E$6)/($G$6-$E$6),$E$6+SQRT(P1032*($G$6-$E$6)*($F$6-$E$6)),$G$6-SQRT((1-P1032)*($G$6-$E$6)*($G$6-$F$6))))</f>
        <v>1.02652202071418</v>
      </c>
      <c r="C1032" s="37" t="n">
        <f aca="false">1+IF($G$7=$E$7,$F$7,IF(Q1032&lt;($F$7-$E$7)/($G$7-$E$7),$E$7+SQRT(Q1032*($G$7-$E$7)*($F$7-$E$7)),$G$7-SQRT((1-Q1032)*($G$7-$E$7)*($G$7-$F$7))))</f>
        <v>0.847944044688596</v>
      </c>
      <c r="D1032" s="37" t="n">
        <f aca="false">1+IF($G$8=$E$8,$F$8,IF(R1032&lt;($F$8-$E$8)/($G$8-$E$8),$E$8+SQRT(R1032*($G$8-$E$8)*($F$8-$E$8)),$G$8-SQRT((1-R1032)*($G$8-$E$8)*($G$8-$F$8))))</f>
        <v>1.02412024151538</v>
      </c>
      <c r="E1032" s="37" t="n">
        <f aca="false">1+IF($G$9=$E$9,$F$9,IF(S1032&lt;($F$9-$E$9)/($G$9-$E$9),$E$9+SQRT(S1032*($G$9-$E$9)*($F$9-$E$9)),$G$9-SQRT((1-S1032)*($G$9-$E$9)*($G$9-$F$9))))</f>
        <v>0.996675419489775</v>
      </c>
      <c r="F1032" s="37" t="n">
        <f aca="false">1+IF($G$10=$E$10,$F$10,IF(T1032&lt;($F$10-$E$10)/($G$10-$E$10),$E$10+SQRT(T1032*($G$10-$E$10)*($F$10-$E$10)),$G$10-SQRT((1-T1032)*($G$10-$E$10)*($G$10-$F$10))))</f>
        <v>1.02529188974785</v>
      </c>
      <c r="G1032" s="38" t="n">
        <f aca="false">IF($G$11=$E$11,$F$11,IF(U1032&lt;($F$11-$E$11)/($G$11-$E$11),$E$11+SQRT(U1032*($G$11-$E$11)*($F$11-$E$11)),$G$11-SQRT((1-U1032)*($G$11-$E$11)*($G$11-$F$11))))</f>
        <v>0.10658328573948</v>
      </c>
      <c r="H1032" s="39" t="n">
        <f aca="false">(('Business Case'!B11*$C1032*'Business Case'!B12*$B1032)-'Business Case'!B11*$C1032*'Business Case'!B13*$D1032-'Business Case'!B14*$E1032)-MAX(0,(('Business Case'!B11*$C1032*'Business Case'!B12*$B1032)-'Business Case'!B11*$C1032*'Business Case'!B13*$D1032-'Business Case'!B14*$E1032))*'Business Case'!$B$7-'Business Case'!$B$8*('Business Case'!B11*$C1032*'Business Case'!B12*$B1032)-'Business Case'!B15*$F1032</f>
        <v>-2050583779.4957</v>
      </c>
      <c r="I1032" s="39" t="n">
        <f aca="false">(('Business Case'!C11*$C1032*'Business Case'!C12*$B1032)-'Business Case'!C11*$C1032*'Business Case'!C13*$D1032-'Business Case'!C14*$E1032)-MAX(0,(('Business Case'!C11*$C1032*'Business Case'!C12*$B1032)-'Business Case'!C11*$C1032*'Business Case'!C13*$D1032-'Business Case'!C14*$E1032))*'Business Case'!$B$7-'Business Case'!$B$8*(('Business Case'!C11*$C1032*'Business Case'!C12*$B1032)-('Business Case'!B11*$C1032*'Business Case'!B12*$B1032))-'Business Case'!C15*$F1032</f>
        <v>-20981820.5839456</v>
      </c>
      <c r="J1032" s="39" t="n">
        <f aca="false">(('Business Case'!D11*$C1032*'Business Case'!D12*$B1032)-'Business Case'!D11*$C1032*'Business Case'!D13*$D1032-'Business Case'!D14*$E1032)-MAX(0,(('Business Case'!D11*$C1032*'Business Case'!D12*$B1032)-'Business Case'!D11*$C1032*'Business Case'!D13*$D1032-'Business Case'!D14*$E1032))*'Business Case'!$B$7-'Business Case'!$B$8*(('Business Case'!D11*$C1032*'Business Case'!D12*$B1032)-('Business Case'!C11*$C1032*'Business Case'!C12*$B1032))-'Business Case'!D15*$F1032</f>
        <v>247416051.319594</v>
      </c>
      <c r="K1032" s="39" t="n">
        <f aca="false">(('Business Case'!E11*$C1032*'Business Case'!E12*$B1032)-'Business Case'!E11*$C1032*'Business Case'!E13*$D1032-'Business Case'!E14*$E1032)-MAX(0,(('Business Case'!E11*$C1032*'Business Case'!E12*$B1032)-'Business Case'!E11*$C1032*'Business Case'!E13*$D1032-'Business Case'!E14*$E1032))*'Business Case'!$B$7-'Business Case'!$B$8*(('Business Case'!E11*$C1032*'Business Case'!E12*$B1032)-('Business Case'!D11*$C1032*'Business Case'!D12*$B1032))-'Business Case'!E15*$F1032</f>
        <v>567078517.710526</v>
      </c>
      <c r="L1032" s="39" t="n">
        <f aca="false">(('Business Case'!F11*$C1032*'Business Case'!F12*$B1032)-'Business Case'!F11*$C1032*'Business Case'!F13*$D1032-'Business Case'!F14*$E1032)-MAX(0,(('Business Case'!F11*$C1032*'Business Case'!F12*$B1032)-'Business Case'!F11*$C1032*'Business Case'!F13*$D1032-'Business Case'!F14*$E1032))*'Business Case'!$B$7-'Business Case'!$B$8*(('Business Case'!F11*$C1032*'Business Case'!F12*$B1032)-('Business Case'!E11*$C1032*'Business Case'!E12*$B1032))-'Business Case'!F15*$F1032</f>
        <v>686626647.585875</v>
      </c>
      <c r="M1032" s="39" t="n">
        <f aca="false">(('Business Case'!G11*$C1032*'Business Case'!G12*$B1032)-'Business Case'!G11*$C1032*'Business Case'!G13*$D1032-'Business Case'!G14*$E1032)-MAX(0,(('Business Case'!G11*$C1032*'Business Case'!G12*$B1032)-'Business Case'!G11*$C1032*'Business Case'!G13*$D1032-'Business Case'!G14*$E1032))*'Business Case'!$B$7-'Business Case'!$B$8*(('Business Case'!G11*$C1032*'Business Case'!G12*$B1032)-('Business Case'!F11*$C1032*'Business Case'!F12*$B1032))-'Business Case'!G15*$F1032+'Business Case'!$B$8*('Business Case'!G11*$C1032*'Business Case'!G12*$B1032)</f>
        <v>852078596.743807</v>
      </c>
      <c r="N1032" s="39" t="n">
        <f aca="false">IF(COUNT('Business Case'!B11:G11)=0,"",H1032+NPV(G1032,I1032:M1032))</f>
        <v>-477562319.860532</v>
      </c>
      <c r="P1032" s="40" t="n">
        <f aca="true">RAND()</f>
        <v>0.962155015493951</v>
      </c>
      <c r="Q1032" s="40" t="n">
        <f aca="true">RAND()</f>
        <v>0.0328375917300293</v>
      </c>
      <c r="R1032" s="40" t="n">
        <f aca="true">RAND()</f>
        <v>0.699755056894283</v>
      </c>
      <c r="S1032" s="40" t="n">
        <f aca="true">RAND()</f>
        <v>0.290479304606193</v>
      </c>
      <c r="T1032" s="40" t="n">
        <f aca="true">RAND()</f>
        <v>0.389541524242447</v>
      </c>
      <c r="U1032" s="40" t="n">
        <f aca="true">RAND()</f>
        <v>0.699986297419258</v>
      </c>
    </row>
    <row r="1033" customFormat="false" ht="15" hidden="false" customHeight="false" outlineLevel="0" collapsed="false">
      <c r="A1033" s="36" t="n">
        <v>953</v>
      </c>
      <c r="B1033" s="37" t="n">
        <f aca="false">1+IF($G$6=$E$6,$F$6,IF(P1033&lt;($F$6-$E$6)/($G$6-$E$6),$E$6+SQRT(P1033*($G$6-$E$6)*($F$6-$E$6)),$G$6-SQRT((1-P1033)*($G$6-$E$6)*($G$6-$F$6))))</f>
        <v>0.973116993910482</v>
      </c>
      <c r="C1033" s="37" t="n">
        <f aca="false">1+IF($G$7=$E$7,$F$7,IF(Q1033&lt;($F$7-$E$7)/($G$7-$E$7),$E$7+SQRT(Q1033*($G$7-$E$7)*($F$7-$E$7)),$G$7-SQRT((1-Q1033)*($G$7-$E$7)*($G$7-$F$7))))</f>
        <v>1.09499805236982</v>
      </c>
      <c r="D1033" s="37" t="n">
        <f aca="false">1+IF($G$8=$E$8,$F$8,IF(R1033&lt;($F$8-$E$8)/($G$8-$E$8),$E$8+SQRT(R1033*($G$8-$E$8)*($F$8-$E$8)),$G$8-SQRT((1-R1033)*($G$8-$E$8)*($G$8-$F$8))))</f>
        <v>0.972603959479173</v>
      </c>
      <c r="E1033" s="37" t="n">
        <f aca="false">1+IF($G$9=$E$9,$F$9,IF(S1033&lt;($F$9-$E$9)/($G$9-$E$9),$E$9+SQRT(S1033*($G$9-$E$9)*($F$9-$E$9)),$G$9-SQRT((1-S1033)*($G$9-$E$9)*($G$9-$F$9))))</f>
        <v>1.06807466831249</v>
      </c>
      <c r="F1033" s="37" t="n">
        <f aca="false">1+IF($G$10=$E$10,$F$10,IF(T1033&lt;($F$10-$E$10)/($G$10-$E$10),$E$10+SQRT(T1033*($G$10-$E$10)*($F$10-$E$10)),$G$10-SQRT((1-T1033)*($G$10-$E$10)*($G$10-$F$10))))</f>
        <v>1.0524954843736</v>
      </c>
      <c r="G1033" s="38" t="n">
        <f aca="false">IF($G$11=$E$11,$F$11,IF(U1033&lt;($F$11-$E$11)/($G$11-$E$11),$E$11+SQRT(U1033*($G$11-$E$11)*($F$11-$E$11)),$G$11-SQRT((1-U1033)*($G$11-$E$11)*($G$11-$F$11))))</f>
        <v>0.109797448833783</v>
      </c>
      <c r="H1033" s="39" t="n">
        <f aca="false">(('Business Case'!B11*$C1033*'Business Case'!B12*$B1033)-'Business Case'!B11*$C1033*'Business Case'!B13*$D1033-'Business Case'!B14*$E1033)-MAX(0,(('Business Case'!B11*$C1033*'Business Case'!B12*$B1033)-'Business Case'!B11*$C1033*'Business Case'!B13*$D1033-'Business Case'!B14*$E1033))*'Business Case'!$B$7-'Business Case'!$B$8*('Business Case'!B11*$C1033*'Business Case'!B12*$B1033)-'Business Case'!B15*$F1033</f>
        <v>-2104990968.7472</v>
      </c>
      <c r="I1033" s="39" t="n">
        <f aca="false">(('Business Case'!C11*$C1033*'Business Case'!C12*$B1033)-'Business Case'!C11*$C1033*'Business Case'!C13*$D1033-'Business Case'!C14*$E1033)-MAX(0,(('Business Case'!C11*$C1033*'Business Case'!C12*$B1033)-'Business Case'!C11*$C1033*'Business Case'!C13*$D1033-'Business Case'!C14*$E1033))*'Business Case'!$B$7-'Business Case'!$B$8*(('Business Case'!C11*$C1033*'Business Case'!C12*$B1033)-('Business Case'!B11*$C1033*'Business Case'!B12*$B1033))-'Business Case'!C15*$F1033</f>
        <v>15208380.3276059</v>
      </c>
      <c r="J1033" s="39" t="n">
        <f aca="false">(('Business Case'!D11*$C1033*'Business Case'!D12*$B1033)-'Business Case'!D11*$C1033*'Business Case'!D13*$D1033-'Business Case'!D14*$E1033)-MAX(0,(('Business Case'!D11*$C1033*'Business Case'!D12*$B1033)-'Business Case'!D11*$C1033*'Business Case'!D13*$D1033-'Business Case'!D14*$E1033))*'Business Case'!$B$7-'Business Case'!$B$8*(('Business Case'!D11*$C1033*'Business Case'!D12*$B1033)-('Business Case'!C11*$C1033*'Business Case'!C12*$B1033))-'Business Case'!D15*$F1033</f>
        <v>342785220.211636</v>
      </c>
      <c r="K1033" s="39" t="n">
        <f aca="false">(('Business Case'!E11*$C1033*'Business Case'!E12*$B1033)-'Business Case'!E11*$C1033*'Business Case'!E13*$D1033-'Business Case'!E14*$E1033)-MAX(0,(('Business Case'!E11*$C1033*'Business Case'!E12*$B1033)-'Business Case'!E11*$C1033*'Business Case'!E13*$D1033-'Business Case'!E14*$E1033))*'Business Case'!$B$7-'Business Case'!$B$8*(('Business Case'!E11*$C1033*'Business Case'!E12*$B1033)-('Business Case'!D11*$C1033*'Business Case'!D12*$B1033))-'Business Case'!E15*$F1033</f>
        <v>722986834.314347</v>
      </c>
      <c r="L1033" s="39" t="n">
        <f aca="false">(('Business Case'!F11*$C1033*'Business Case'!F12*$B1033)-'Business Case'!F11*$C1033*'Business Case'!F13*$D1033-'Business Case'!F14*$E1033)-MAX(0,(('Business Case'!F11*$C1033*'Business Case'!F12*$B1033)-'Business Case'!F11*$C1033*'Business Case'!F13*$D1033-'Business Case'!F14*$E1033))*'Business Case'!$B$7-'Business Case'!$B$8*(('Business Case'!F11*$C1033*'Business Case'!F12*$B1033)-('Business Case'!E11*$C1033*'Business Case'!E12*$B1033))-'Business Case'!F15*$F1033</f>
        <v>869004909.799042</v>
      </c>
      <c r="M1033" s="39" t="n">
        <f aca="false">(('Business Case'!G11*$C1033*'Business Case'!G12*$B1033)-'Business Case'!G11*$C1033*'Business Case'!G13*$D1033-'Business Case'!G14*$E1033)-MAX(0,(('Business Case'!G11*$C1033*'Business Case'!G12*$B1033)-'Business Case'!G11*$C1033*'Business Case'!G13*$D1033-'Business Case'!G14*$E1033))*'Business Case'!$B$7-'Business Case'!$B$8*(('Business Case'!G11*$C1033*'Business Case'!G12*$B1033)-('Business Case'!F11*$C1033*'Business Case'!F12*$B1033))-'Business Case'!G15*$F1033+'Business Case'!$B$8*('Business Case'!G11*$C1033*'Business Case'!G12*$B1033)</f>
        <v>1071546785.17748</v>
      </c>
      <c r="N1033" s="39" t="n">
        <f aca="false">IF(COUNT('Business Case'!B11:G11)=0,"",H1033+NPV(G1033,I1033:M1033))</f>
        <v>-74692387.0662262</v>
      </c>
      <c r="P1033" s="40" t="n">
        <f aca="true">RAND()</f>
        <v>0.293897400217305</v>
      </c>
      <c r="Q1033" s="40" t="n">
        <f aca="true">RAND()</f>
        <v>0.942376871559741</v>
      </c>
      <c r="R1033" s="40" t="n">
        <f aca="true">RAND()</f>
        <v>0.0786059975593959</v>
      </c>
      <c r="S1033" s="40" t="n">
        <f aca="true">RAND()</f>
        <v>0.932051546442847</v>
      </c>
      <c r="T1033" s="40" t="n">
        <f aca="true">RAND()</f>
        <v>0.564848357396435</v>
      </c>
      <c r="U1033" s="40" t="n">
        <f aca="true">RAND()</f>
        <v>0.826513249501205</v>
      </c>
    </row>
    <row r="1034" customFormat="false" ht="15" hidden="false" customHeight="false" outlineLevel="0" collapsed="false">
      <c r="A1034" s="36" t="n">
        <v>954</v>
      </c>
      <c r="B1034" s="37" t="n">
        <f aca="false">1+IF($G$6=$E$6,$F$6,IF(P1034&lt;($F$6-$E$6)/($G$6-$E$6),$E$6+SQRT(P1034*($G$6-$E$6)*($F$6-$E$6)),$G$6-SQRT((1-P1034)*($G$6-$E$6)*($G$6-$F$6))))</f>
        <v>0.967987707732289</v>
      </c>
      <c r="C1034" s="37" t="n">
        <f aca="false">1+IF($G$7=$E$7,$F$7,IF(Q1034&lt;($F$7-$E$7)/($G$7-$E$7),$E$7+SQRT(Q1034*($G$7-$E$7)*($F$7-$E$7)),$G$7-SQRT((1-Q1034)*($G$7-$E$7)*($G$7-$F$7))))</f>
        <v>1.00641719000761</v>
      </c>
      <c r="D1034" s="37" t="n">
        <f aca="false">1+IF($G$8=$E$8,$F$8,IF(R1034&lt;($F$8-$E$8)/($G$8-$E$8),$E$8+SQRT(R1034*($G$8-$E$8)*($F$8-$E$8)),$G$8-SQRT((1-R1034)*($G$8-$E$8)*($G$8-$F$8))))</f>
        <v>1.03159947113924</v>
      </c>
      <c r="E1034" s="37" t="n">
        <f aca="false">1+IF($G$9=$E$9,$F$9,IF(S1034&lt;($F$9-$E$9)/($G$9-$E$9),$E$9+SQRT(S1034*($G$9-$E$9)*($F$9-$E$9)),$G$9-SQRT((1-S1034)*($G$9-$E$9)*($G$9-$F$9))))</f>
        <v>1.0358271199224</v>
      </c>
      <c r="F1034" s="37" t="n">
        <f aca="false">1+IF($G$10=$E$10,$F$10,IF(T1034&lt;($F$10-$E$10)/($G$10-$E$10),$E$10+SQRT(T1034*($G$10-$E$10)*($F$10-$E$10)),$G$10-SQRT((1-T1034)*($G$10-$E$10)*($G$10-$F$10))))</f>
        <v>1.04037471965207</v>
      </c>
      <c r="G1034" s="38" t="n">
        <f aca="false">IF($G$11=$E$11,$F$11,IF(U1034&lt;($F$11-$E$11)/($G$11-$E$11),$E$11+SQRT(U1034*($G$11-$E$11)*($F$11-$E$11)),$G$11-SQRT((1-U1034)*($G$11-$E$11)*($G$11-$F$11))))</f>
        <v>0.108623421994985</v>
      </c>
      <c r="H1034" s="39" t="n">
        <f aca="false">(('Business Case'!B11*$C1034*'Business Case'!B12*$B1034)-'Business Case'!B11*$C1034*'Business Case'!B13*$D1034-'Business Case'!B14*$E1034)-MAX(0,(('Business Case'!B11*$C1034*'Business Case'!B12*$B1034)-'Business Case'!B11*$C1034*'Business Case'!B13*$D1034-'Business Case'!B14*$E1034))*'Business Case'!$B$7-'Business Case'!$B$8*('Business Case'!B11*$C1034*'Business Case'!B12*$B1034)-'Business Case'!B15*$F1034</f>
        <v>-2080749439.30415</v>
      </c>
      <c r="I1034" s="39" t="n">
        <f aca="false">(('Business Case'!C11*$C1034*'Business Case'!C12*$B1034)-'Business Case'!C11*$C1034*'Business Case'!C13*$D1034-'Business Case'!C14*$E1034)-MAX(0,(('Business Case'!C11*$C1034*'Business Case'!C12*$B1034)-'Business Case'!C11*$C1034*'Business Case'!C13*$D1034-'Business Case'!C14*$E1034))*'Business Case'!$B$7-'Business Case'!$B$8*(('Business Case'!C11*$C1034*'Business Case'!C12*$B1034)-('Business Case'!B11*$C1034*'Business Case'!B12*$B1034))-'Business Case'!C15*$F1034</f>
        <v>-35380377.8036698</v>
      </c>
      <c r="J1034" s="39" t="n">
        <f aca="false">(('Business Case'!D11*$C1034*'Business Case'!D12*$B1034)-'Business Case'!D11*$C1034*'Business Case'!D13*$D1034-'Business Case'!D14*$E1034)-MAX(0,(('Business Case'!D11*$C1034*'Business Case'!D12*$B1034)-'Business Case'!D11*$C1034*'Business Case'!D13*$D1034-'Business Case'!D14*$E1034))*'Business Case'!$B$7-'Business Case'!$B$8*(('Business Case'!D11*$C1034*'Business Case'!D12*$B1034)-('Business Case'!C11*$C1034*'Business Case'!C12*$B1034))-'Business Case'!D15*$F1034</f>
        <v>231073833.272275</v>
      </c>
      <c r="K1034" s="39" t="n">
        <f aca="false">(('Business Case'!E11*$C1034*'Business Case'!E12*$B1034)-'Business Case'!E11*$C1034*'Business Case'!E13*$D1034-'Business Case'!E14*$E1034)-MAX(0,(('Business Case'!E11*$C1034*'Business Case'!E12*$B1034)-'Business Case'!E11*$C1034*'Business Case'!E13*$D1034-'Business Case'!E14*$E1034))*'Business Case'!$B$7-'Business Case'!$B$8*(('Business Case'!E11*$C1034*'Business Case'!E12*$B1034)-('Business Case'!D11*$C1034*'Business Case'!D12*$B1034))-'Business Case'!E15*$F1034</f>
        <v>549546780.330824</v>
      </c>
      <c r="L1034" s="39" t="n">
        <f aca="false">(('Business Case'!F11*$C1034*'Business Case'!F12*$B1034)-'Business Case'!F11*$C1034*'Business Case'!F13*$D1034-'Business Case'!F14*$E1034)-MAX(0,(('Business Case'!F11*$C1034*'Business Case'!F12*$B1034)-'Business Case'!F11*$C1034*'Business Case'!F13*$D1034-'Business Case'!F14*$E1034))*'Business Case'!$B$7-'Business Case'!$B$8*(('Business Case'!F11*$C1034*'Business Case'!F12*$B1034)-('Business Case'!E11*$C1034*'Business Case'!E12*$B1034))-'Business Case'!F15*$F1034</f>
        <v>672033184.330435</v>
      </c>
      <c r="M1034" s="39" t="n">
        <f aca="false">(('Business Case'!G11*$C1034*'Business Case'!G12*$B1034)-'Business Case'!G11*$C1034*'Business Case'!G13*$D1034-'Business Case'!G14*$E1034)-MAX(0,(('Business Case'!G11*$C1034*'Business Case'!G12*$B1034)-'Business Case'!G11*$C1034*'Business Case'!G13*$D1034-'Business Case'!G14*$E1034))*'Business Case'!$B$7-'Business Case'!$B$8*(('Business Case'!G11*$C1034*'Business Case'!G12*$B1034)-('Business Case'!F11*$C1034*'Business Case'!F12*$B1034))-'Business Case'!G15*$F1034+'Business Case'!$B$8*('Business Case'!G11*$C1034*'Business Case'!G12*$B1034)</f>
        <v>857209019.355726</v>
      </c>
      <c r="N1034" s="39" t="n">
        <f aca="false">IF(COUNT('Business Case'!B11:G11)=0,"",H1034+NPV(G1034,I1034:M1034))</f>
        <v>-564559980.304546</v>
      </c>
      <c r="P1034" s="40" t="n">
        <f aca="true">RAND()</f>
        <v>0.239877093062453</v>
      </c>
      <c r="Q1034" s="40" t="n">
        <f aca="true">RAND()</f>
        <v>0.607313841422643</v>
      </c>
      <c r="R1034" s="40" t="n">
        <f aca="true">RAND()</f>
        <v>0.774748923653709</v>
      </c>
      <c r="S1034" s="40" t="n">
        <f aca="true">RAND()</f>
        <v>0.725456097503026</v>
      </c>
      <c r="T1034" s="40" t="n">
        <f aca="true">RAND()</f>
        <v>0.490395397476914</v>
      </c>
      <c r="U1034" s="40" t="n">
        <f aca="true">RAND()</f>
        <v>0.78428912149301</v>
      </c>
    </row>
    <row r="1035" customFormat="false" ht="15" hidden="false" customHeight="false" outlineLevel="0" collapsed="false">
      <c r="A1035" s="36" t="n">
        <v>955</v>
      </c>
      <c r="B1035" s="37" t="n">
        <f aca="false">1+IF($G$6=$E$6,$F$6,IF(P1035&lt;($F$6-$E$6)/($G$6-$E$6),$E$6+SQRT(P1035*($G$6-$E$6)*($F$6-$E$6)),$G$6-SQRT((1-P1035)*($G$6-$E$6)*($G$6-$F$6))))</f>
        <v>1.02061661167246</v>
      </c>
      <c r="C1035" s="37" t="n">
        <f aca="false">1+IF($G$7=$E$7,$F$7,IF(Q1035&lt;($F$7-$E$7)/($G$7-$E$7),$E$7+SQRT(Q1035*($G$7-$E$7)*($F$7-$E$7)),$G$7-SQRT((1-Q1035)*($G$7-$E$7)*($G$7-$F$7))))</f>
        <v>1.08296527150239</v>
      </c>
      <c r="D1035" s="37" t="n">
        <f aca="false">1+IF($G$8=$E$8,$F$8,IF(R1035&lt;($F$8-$E$8)/($G$8-$E$8),$E$8+SQRT(R1035*($G$8-$E$8)*($F$8-$E$8)),$G$8-SQRT((1-R1035)*($G$8-$E$8)*($G$8-$F$8))))</f>
        <v>0.993654010442231</v>
      </c>
      <c r="E1035" s="37" t="n">
        <f aca="false">1+IF($G$9=$E$9,$F$9,IF(S1035&lt;($F$9-$E$9)/($G$9-$E$9),$E$9+SQRT(S1035*($G$9-$E$9)*($F$9-$E$9)),$G$9-SQRT((1-S1035)*($G$9-$E$9)*($G$9-$F$9))))</f>
        <v>1.04253683493852</v>
      </c>
      <c r="F1035" s="37" t="n">
        <f aca="false">1+IF($G$10=$E$10,$F$10,IF(T1035&lt;($F$10-$E$10)/($G$10-$E$10),$E$10+SQRT(T1035*($G$10-$E$10)*($F$10-$E$10)),$G$10-SQRT((1-T1035)*($G$10-$E$10)*($G$10-$F$10))))</f>
        <v>1.09679178855527</v>
      </c>
      <c r="G1035" s="38" t="n">
        <f aca="false">IF($G$11=$E$11,$F$11,IF(U1035&lt;($F$11-$E$11)/($G$11-$E$11),$E$11+SQRT(U1035*($G$11-$E$11)*($F$11-$E$11)),$G$11-SQRT((1-U1035)*($G$11-$E$11)*($G$11-$F$11))))</f>
        <v>0.100306774125358</v>
      </c>
      <c r="H1035" s="39" t="n">
        <f aca="false">(('Business Case'!B11*$C1035*'Business Case'!B12*$B1035)-'Business Case'!B11*$C1035*'Business Case'!B13*$D1035-'Business Case'!B14*$E1035)-MAX(0,(('Business Case'!B11*$C1035*'Business Case'!B12*$B1035)-'Business Case'!B11*$C1035*'Business Case'!B13*$D1035-'Business Case'!B14*$E1035))*'Business Case'!$B$7-'Business Case'!$B$8*('Business Case'!B11*$C1035*'Business Case'!B12*$B1035)-'Business Case'!B15*$F1035</f>
        <v>-2193583577.11054</v>
      </c>
      <c r="I1035" s="39" t="n">
        <f aca="false">(('Business Case'!C11*$C1035*'Business Case'!C12*$B1035)-'Business Case'!C11*$C1035*'Business Case'!C13*$D1035-'Business Case'!C14*$E1035)-MAX(0,(('Business Case'!C11*$C1035*'Business Case'!C12*$B1035)-'Business Case'!C11*$C1035*'Business Case'!C13*$D1035-'Business Case'!C14*$E1035))*'Business Case'!$B$7-'Business Case'!$B$8*(('Business Case'!C11*$C1035*'Business Case'!C12*$B1035)-('Business Case'!B11*$C1035*'Business Case'!B12*$B1035))-'Business Case'!C15*$F1035</f>
        <v>39214321.7930154</v>
      </c>
      <c r="J1035" s="39" t="n">
        <f aca="false">(('Business Case'!D11*$C1035*'Business Case'!D12*$B1035)-'Business Case'!D11*$C1035*'Business Case'!D13*$D1035-'Business Case'!D14*$E1035)-MAX(0,(('Business Case'!D11*$C1035*'Business Case'!D12*$B1035)-'Business Case'!D11*$C1035*'Business Case'!D13*$D1035-'Business Case'!D14*$E1035))*'Business Case'!$B$7-'Business Case'!$B$8*(('Business Case'!D11*$C1035*'Business Case'!D12*$B1035)-('Business Case'!C11*$C1035*'Business Case'!C12*$B1035))-'Business Case'!D15*$F1035</f>
        <v>393654915.584366</v>
      </c>
      <c r="K1035" s="39" t="n">
        <f aca="false">(('Business Case'!E11*$C1035*'Business Case'!E12*$B1035)-'Business Case'!E11*$C1035*'Business Case'!E13*$D1035-'Business Case'!E14*$E1035)-MAX(0,(('Business Case'!E11*$C1035*'Business Case'!E12*$B1035)-'Business Case'!E11*$C1035*'Business Case'!E13*$D1035-'Business Case'!E14*$E1035))*'Business Case'!$B$7-'Business Case'!$B$8*(('Business Case'!E11*$C1035*'Business Case'!E12*$B1035)-('Business Case'!D11*$C1035*'Business Case'!D12*$B1035))-'Business Case'!E15*$F1035</f>
        <v>802935098.803481</v>
      </c>
      <c r="L1035" s="39" t="n">
        <f aca="false">(('Business Case'!F11*$C1035*'Business Case'!F12*$B1035)-'Business Case'!F11*$C1035*'Business Case'!F13*$D1035-'Business Case'!F14*$E1035)-MAX(0,(('Business Case'!F11*$C1035*'Business Case'!F12*$B1035)-'Business Case'!F11*$C1035*'Business Case'!F13*$D1035-'Business Case'!F14*$E1035))*'Business Case'!$B$7-'Business Case'!$B$8*(('Business Case'!F11*$C1035*'Business Case'!F12*$B1035)-('Business Case'!E11*$C1035*'Business Case'!E12*$B1035))-'Business Case'!F15*$F1035</f>
        <v>959280866.876966</v>
      </c>
      <c r="M1035" s="39" t="n">
        <f aca="false">(('Business Case'!G11*$C1035*'Business Case'!G12*$B1035)-'Business Case'!G11*$C1035*'Business Case'!G13*$D1035-'Business Case'!G14*$E1035)-MAX(0,(('Business Case'!G11*$C1035*'Business Case'!G12*$B1035)-'Business Case'!G11*$C1035*'Business Case'!G13*$D1035-'Business Case'!G14*$E1035))*'Business Case'!$B$7-'Business Case'!$B$8*(('Business Case'!G11*$C1035*'Business Case'!G12*$B1035)-('Business Case'!F11*$C1035*'Business Case'!F12*$B1035))-'Business Case'!G15*$F1035+'Business Case'!$B$8*('Business Case'!G11*$C1035*'Business Case'!G12*$B1035)</f>
        <v>1169374835.99699</v>
      </c>
      <c r="N1035" s="39" t="n">
        <f aca="false">IF(COUNT('Business Case'!B11:G11)=0,"",H1035+NPV(G1035,I1035:M1035))</f>
        <v>149511188.547419</v>
      </c>
      <c r="P1035" s="40" t="n">
        <f aca="true">RAND()</f>
        <v>0.921725886863296</v>
      </c>
      <c r="Q1035" s="40" t="n">
        <f aca="true">RAND()</f>
        <v>0.914406574766696</v>
      </c>
      <c r="R1035" s="40" t="n">
        <f aca="true">RAND()</f>
        <v>0.293180404260062</v>
      </c>
      <c r="S1035" s="40" t="n">
        <f aca="true">RAND()</f>
        <v>0.779865644074448</v>
      </c>
      <c r="T1035" s="40" t="n">
        <f aca="true">RAND()</f>
        <v>0.786961301807602</v>
      </c>
      <c r="U1035" s="40" t="n">
        <f aca="true">RAND()</f>
        <v>0.353628091083896</v>
      </c>
    </row>
    <row r="1036" customFormat="false" ht="15" hidden="false" customHeight="false" outlineLevel="0" collapsed="false">
      <c r="A1036" s="36" t="n">
        <v>956</v>
      </c>
      <c r="B1036" s="37" t="n">
        <f aca="false">1+IF($G$6=$E$6,$F$6,IF(P1036&lt;($F$6-$E$6)/($G$6-$E$6),$E$6+SQRT(P1036*($G$6-$E$6)*($F$6-$E$6)),$G$6-SQRT((1-P1036)*($G$6-$E$6)*($G$6-$F$6))))</f>
        <v>0.986809368384378</v>
      </c>
      <c r="C1036" s="37" t="n">
        <f aca="false">1+IF($G$7=$E$7,$F$7,IF(Q1036&lt;($F$7-$E$7)/($G$7-$E$7),$E$7+SQRT(Q1036*($G$7-$E$7)*($F$7-$E$7)),$G$7-SQRT((1-Q1036)*($G$7-$E$7)*($G$7-$F$7))))</f>
        <v>0.984548608474666</v>
      </c>
      <c r="D1036" s="37" t="n">
        <f aca="false">1+IF($G$8=$E$8,$F$8,IF(R1036&lt;($F$8-$E$8)/($G$8-$E$8),$E$8+SQRT(R1036*($G$8-$E$8)*($F$8-$E$8)),$G$8-SQRT((1-R1036)*($G$8-$E$8)*($G$8-$F$8))))</f>
        <v>0.960516795487281</v>
      </c>
      <c r="E1036" s="37" t="n">
        <f aca="false">1+IF($G$9=$E$9,$F$9,IF(S1036&lt;($F$9-$E$9)/($G$9-$E$9),$E$9+SQRT(S1036*($G$9-$E$9)*($F$9-$E$9)),$G$9-SQRT((1-S1036)*($G$9-$E$9)*($G$9-$F$9))))</f>
        <v>1.01699421687971</v>
      </c>
      <c r="F1036" s="37" t="n">
        <f aca="false">1+IF($G$10=$E$10,$F$10,IF(T1036&lt;($F$10-$E$10)/($G$10-$E$10),$E$10+SQRT(T1036*($G$10-$E$10)*($F$10-$E$10)),$G$10-SQRT((1-T1036)*($G$10-$E$10)*($G$10-$F$10))))</f>
        <v>1.05329248978598</v>
      </c>
      <c r="G1036" s="38" t="n">
        <f aca="false">IF($G$11=$E$11,$F$11,IF(U1036&lt;($F$11-$E$11)/($G$11-$E$11),$E$11+SQRT(U1036*($G$11-$E$11)*($F$11-$E$11)),$G$11-SQRT((1-U1036)*($G$11-$E$11)*($G$11-$F$11))))</f>
        <v>0.106577361816893</v>
      </c>
      <c r="H1036" s="39" t="n">
        <f aca="false">(('Business Case'!B11*$C1036*'Business Case'!B12*$B1036)-'Business Case'!B11*$C1036*'Business Case'!B13*$D1036-'Business Case'!B14*$E1036)-MAX(0,(('Business Case'!B11*$C1036*'Business Case'!B12*$B1036)-'Business Case'!B11*$C1036*'Business Case'!B13*$D1036-'Business Case'!B14*$E1036))*'Business Case'!$B$7-'Business Case'!$B$8*('Business Case'!B11*$C1036*'Business Case'!B12*$B1036)-'Business Case'!B15*$F1036</f>
        <v>-2106584979.57196</v>
      </c>
      <c r="I1036" s="39" t="n">
        <f aca="false">(('Business Case'!C11*$C1036*'Business Case'!C12*$B1036)-'Business Case'!C11*$C1036*'Business Case'!C13*$D1036-'Business Case'!C14*$E1036)-MAX(0,(('Business Case'!C11*$C1036*'Business Case'!C12*$B1036)-'Business Case'!C11*$C1036*'Business Case'!C13*$D1036-'Business Case'!C14*$E1036))*'Business Case'!$B$7-'Business Case'!$B$8*(('Business Case'!C11*$C1036*'Business Case'!C12*$B1036)-('Business Case'!B11*$C1036*'Business Case'!B12*$B1036))-'Business Case'!C15*$F1036</f>
        <v>11357280.1472003</v>
      </c>
      <c r="J1036" s="39" t="n">
        <f aca="false">(('Business Case'!D11*$C1036*'Business Case'!D12*$B1036)-'Business Case'!D11*$C1036*'Business Case'!D13*$D1036-'Business Case'!D14*$E1036)-MAX(0,(('Business Case'!D11*$C1036*'Business Case'!D12*$B1036)-'Business Case'!D11*$C1036*'Business Case'!D13*$D1036-'Business Case'!D14*$E1036))*'Business Case'!$B$7-'Business Case'!$B$8*(('Business Case'!D11*$C1036*'Business Case'!D12*$B1036)-('Business Case'!C11*$C1036*'Business Case'!C12*$B1036))-'Business Case'!D15*$F1036</f>
        <v>323026150.131393</v>
      </c>
      <c r="K1036" s="39" t="n">
        <f aca="false">(('Business Case'!E11*$C1036*'Business Case'!E12*$B1036)-'Business Case'!E11*$C1036*'Business Case'!E13*$D1036-'Business Case'!E14*$E1036)-MAX(0,(('Business Case'!E11*$C1036*'Business Case'!E12*$B1036)-'Business Case'!E11*$C1036*'Business Case'!E13*$D1036-'Business Case'!E14*$E1036))*'Business Case'!$B$7-'Business Case'!$B$8*(('Business Case'!E11*$C1036*'Business Case'!E12*$B1036)-('Business Case'!D11*$C1036*'Business Case'!D12*$B1036))-'Business Case'!E15*$F1036</f>
        <v>687359644.604886</v>
      </c>
      <c r="L1036" s="39" t="n">
        <f aca="false">(('Business Case'!F11*$C1036*'Business Case'!F12*$B1036)-'Business Case'!F11*$C1036*'Business Case'!F13*$D1036-'Business Case'!F14*$E1036)-MAX(0,(('Business Case'!F11*$C1036*'Business Case'!F12*$B1036)-'Business Case'!F11*$C1036*'Business Case'!F13*$D1036-'Business Case'!F14*$E1036))*'Business Case'!$B$7-'Business Case'!$B$8*(('Business Case'!F11*$C1036*'Business Case'!F12*$B1036)-('Business Case'!E11*$C1036*'Business Case'!E12*$B1036))-'Business Case'!F15*$F1036</f>
        <v>824826443.411683</v>
      </c>
      <c r="M1036" s="39" t="n">
        <f aca="false">(('Business Case'!G11*$C1036*'Business Case'!G12*$B1036)-'Business Case'!G11*$C1036*'Business Case'!G13*$D1036-'Business Case'!G14*$E1036)-MAX(0,(('Business Case'!G11*$C1036*'Business Case'!G12*$B1036)-'Business Case'!G11*$C1036*'Business Case'!G13*$D1036-'Business Case'!G14*$E1036))*'Business Case'!$B$7-'Business Case'!$B$8*(('Business Case'!G11*$C1036*'Business Case'!G12*$B1036)-('Business Case'!F11*$C1036*'Business Case'!F12*$B1036))-'Business Case'!G15*$F1036+'Business Case'!$B$8*('Business Case'!G11*$C1036*'Business Case'!G12*$B1036)</f>
        <v>1009500908.54472</v>
      </c>
      <c r="N1036" s="39" t="n">
        <f aca="false">IF(COUNT('Business Case'!B11:G11)=0,"",H1036+NPV(G1036,I1036:M1036))</f>
        <v>-166748326.03328</v>
      </c>
      <c r="P1036" s="40" t="n">
        <f aca="true">RAND()</f>
        <v>0.464947052491619</v>
      </c>
      <c r="Q1036" s="40" t="n">
        <f aca="true">RAND()</f>
        <v>0.48654555557051</v>
      </c>
      <c r="R1036" s="40" t="n">
        <f aca="true">RAND()</f>
        <v>0.0170158442032755</v>
      </c>
      <c r="S1036" s="40" t="n">
        <f aca="true">RAND()</f>
        <v>0.540669331239167</v>
      </c>
      <c r="T1036" s="40" t="n">
        <f aca="true">RAND()</f>
        <v>0.569538128936067</v>
      </c>
      <c r="U1036" s="40" t="n">
        <f aca="true">RAND()</f>
        <v>0.699721307008998</v>
      </c>
    </row>
    <row r="1037" customFormat="false" ht="15" hidden="false" customHeight="false" outlineLevel="0" collapsed="false">
      <c r="A1037" s="36" t="n">
        <v>957</v>
      </c>
      <c r="B1037" s="37" t="n">
        <f aca="false">1+IF($G$6=$E$6,$F$6,IF(P1037&lt;($F$6-$E$6)/($G$6-$E$6),$E$6+SQRT(P1037*($G$6-$E$6)*($F$6-$E$6)),$G$6-SQRT((1-P1037)*($G$6-$E$6)*($G$6-$F$6))))</f>
        <v>0.980014365221516</v>
      </c>
      <c r="C1037" s="37" t="n">
        <f aca="false">1+IF($G$7=$E$7,$F$7,IF(Q1037&lt;($F$7-$E$7)/($G$7-$E$7),$E$7+SQRT(Q1037*($G$7-$E$7)*($F$7-$E$7)),$G$7-SQRT((1-Q1037)*($G$7-$E$7)*($G$7-$F$7))))</f>
        <v>0.981876062786296</v>
      </c>
      <c r="D1037" s="37" t="n">
        <f aca="false">1+IF($G$8=$E$8,$F$8,IF(R1037&lt;($F$8-$E$8)/($G$8-$E$8),$E$8+SQRT(R1037*($G$8-$E$8)*($F$8-$E$8)),$G$8-SQRT((1-R1037)*($G$8-$E$8)*($G$8-$F$8))))</f>
        <v>1.01310004886201</v>
      </c>
      <c r="E1037" s="37" t="n">
        <f aca="false">1+IF($G$9=$E$9,$F$9,IF(S1037&lt;($F$9-$E$9)/($G$9-$E$9),$E$9+SQRT(S1037*($G$9-$E$9)*($F$9-$E$9)),$G$9-SQRT((1-S1037)*($G$9-$E$9)*($G$9-$F$9))))</f>
        <v>1.01692539894925</v>
      </c>
      <c r="F1037" s="37" t="n">
        <f aca="false">1+IF($G$10=$E$10,$F$10,IF(T1037&lt;($F$10-$E$10)/($G$10-$E$10),$E$10+SQRT(T1037*($G$10-$E$10)*($F$10-$E$10)),$G$10-SQRT((1-T1037)*($G$10-$E$10)*($G$10-$F$10))))</f>
        <v>1.02043447289347</v>
      </c>
      <c r="G1037" s="38" t="n">
        <f aca="false">IF($G$11=$E$11,$F$11,IF(U1037&lt;($F$11-$E$11)/($G$11-$E$11),$E$11+SQRT(U1037*($G$11-$E$11)*($F$11-$E$11)),$G$11-SQRT((1-U1037)*($G$11-$E$11)*($G$11-$F$11))))</f>
        <v>0.101081624301492</v>
      </c>
      <c r="H1037" s="39" t="n">
        <f aca="false">(('Business Case'!B11*$C1037*'Business Case'!B12*$B1037)-'Business Case'!B11*$C1037*'Business Case'!B13*$D1037-'Business Case'!B14*$E1037)-MAX(0,(('Business Case'!B11*$C1037*'Business Case'!B12*$B1037)-'Business Case'!B11*$C1037*'Business Case'!B13*$D1037-'Business Case'!B14*$E1037))*'Business Case'!$B$7-'Business Case'!$B$8*('Business Case'!B11*$C1037*'Business Case'!B12*$B1037)-'Business Case'!B15*$F1037</f>
        <v>-2040868945.78694</v>
      </c>
      <c r="I1037" s="39" t="n">
        <f aca="false">(('Business Case'!C11*$C1037*'Business Case'!C12*$B1037)-'Business Case'!C11*$C1037*'Business Case'!C13*$D1037-'Business Case'!C14*$E1037)-MAX(0,(('Business Case'!C11*$C1037*'Business Case'!C12*$B1037)-'Business Case'!C11*$C1037*'Business Case'!C13*$D1037-'Business Case'!C14*$E1037))*'Business Case'!$B$7-'Business Case'!$B$8*(('Business Case'!C11*$C1037*'Business Case'!C12*$B1037)-('Business Case'!B11*$C1037*'Business Case'!B12*$B1037))-'Business Case'!C15*$F1037</f>
        <v>-17605845.3627832</v>
      </c>
      <c r="J1037" s="39" t="n">
        <f aca="false">(('Business Case'!D11*$C1037*'Business Case'!D12*$B1037)-'Business Case'!D11*$C1037*'Business Case'!D13*$D1037-'Business Case'!D14*$E1037)-MAX(0,(('Business Case'!D11*$C1037*'Business Case'!D12*$B1037)-'Business Case'!D11*$C1037*'Business Case'!D13*$D1037-'Business Case'!D14*$E1037))*'Business Case'!$B$7-'Business Case'!$B$8*(('Business Case'!D11*$C1037*'Business Case'!D12*$B1037)-('Business Case'!C11*$C1037*'Business Case'!C12*$B1037))-'Business Case'!D15*$F1037</f>
        <v>261321725.483621</v>
      </c>
      <c r="K1037" s="39" t="n">
        <f aca="false">(('Business Case'!E11*$C1037*'Business Case'!E12*$B1037)-'Business Case'!E11*$C1037*'Business Case'!E13*$D1037-'Business Case'!E14*$E1037)-MAX(0,(('Business Case'!E11*$C1037*'Business Case'!E12*$B1037)-'Business Case'!E11*$C1037*'Business Case'!E13*$D1037-'Business Case'!E14*$E1037))*'Business Case'!$B$7-'Business Case'!$B$8*(('Business Case'!E11*$C1037*'Business Case'!E12*$B1037)-('Business Case'!D11*$C1037*'Business Case'!D12*$B1037))-'Business Case'!E15*$F1037</f>
        <v>591271019.974699</v>
      </c>
      <c r="L1037" s="39" t="n">
        <f aca="false">(('Business Case'!F11*$C1037*'Business Case'!F12*$B1037)-'Business Case'!F11*$C1037*'Business Case'!F13*$D1037-'Business Case'!F14*$E1037)-MAX(0,(('Business Case'!F11*$C1037*'Business Case'!F12*$B1037)-'Business Case'!F11*$C1037*'Business Case'!F13*$D1037-'Business Case'!F14*$E1037))*'Business Case'!$B$7-'Business Case'!$B$8*(('Business Case'!F11*$C1037*'Business Case'!F12*$B1037)-('Business Case'!E11*$C1037*'Business Case'!E12*$B1037))-'Business Case'!F15*$F1037</f>
        <v>717502328.383006</v>
      </c>
      <c r="M1037" s="39" t="n">
        <f aca="false">(('Business Case'!G11*$C1037*'Business Case'!G12*$B1037)-'Business Case'!G11*$C1037*'Business Case'!G13*$D1037-'Business Case'!G14*$E1037)-MAX(0,(('Business Case'!G11*$C1037*'Business Case'!G12*$B1037)-'Business Case'!G11*$C1037*'Business Case'!G13*$D1037-'Business Case'!G14*$E1037))*'Business Case'!$B$7-'Business Case'!$B$8*(('Business Case'!G11*$C1037*'Business Case'!G12*$B1037)-('Business Case'!F11*$C1037*'Business Case'!F12*$B1037))-'Business Case'!G15*$F1037+'Business Case'!$B$8*('Business Case'!G11*$C1037*'Business Case'!G12*$B1037)</f>
        <v>900407311.410283</v>
      </c>
      <c r="N1037" s="39" t="n">
        <f aca="false">IF(COUNT('Business Case'!B11:G11)=0,"",H1037+NPV(G1037,I1037:M1037))</f>
        <v>-353909011.074603</v>
      </c>
      <c r="P1037" s="40" t="n">
        <f aca="true">RAND()</f>
        <v>0.375179586764743</v>
      </c>
      <c r="Q1037" s="40" t="n">
        <f aca="true">RAND()</f>
        <v>0.472555745923495</v>
      </c>
      <c r="R1037" s="40" t="n">
        <f aca="true">RAND()</f>
        <v>0.569653513243666</v>
      </c>
      <c r="S1037" s="40" t="n">
        <f aca="true">RAND()</f>
        <v>0.539907377350531</v>
      </c>
      <c r="T1037" s="40" t="n">
        <f aca="true">RAND()</f>
        <v>0.355124429499097</v>
      </c>
      <c r="U1037" s="40" t="n">
        <f aca="true">RAND()</f>
        <v>0.403491768216867</v>
      </c>
    </row>
    <row r="1038" customFormat="false" ht="15" hidden="false" customHeight="false" outlineLevel="0" collapsed="false">
      <c r="A1038" s="36" t="n">
        <v>958</v>
      </c>
      <c r="B1038" s="37" t="n">
        <f aca="false">1+IF($G$6=$E$6,$F$6,IF(P1038&lt;($F$6-$E$6)/($G$6-$E$6),$E$6+SQRT(P1038*($G$6-$E$6)*($F$6-$E$6)),$G$6-SQRT((1-P1038)*($G$6-$E$6)*($G$6-$F$6))))</f>
        <v>1.03257093716323</v>
      </c>
      <c r="C1038" s="37" t="n">
        <f aca="false">1+IF($G$7=$E$7,$F$7,IF(Q1038&lt;($F$7-$E$7)/($G$7-$E$7),$E$7+SQRT(Q1038*($G$7-$E$7)*($F$7-$E$7)),$G$7-SQRT((1-Q1038)*($G$7-$E$7)*($G$7-$F$7))))</f>
        <v>1.01840716330734</v>
      </c>
      <c r="D1038" s="37" t="n">
        <f aca="false">1+IF($G$8=$E$8,$F$8,IF(R1038&lt;($F$8-$E$8)/($G$8-$E$8),$E$8+SQRT(R1038*($G$8-$E$8)*($F$8-$E$8)),$G$8-SQRT((1-R1038)*($G$8-$E$8)*($G$8-$F$8))))</f>
        <v>1.00716063115599</v>
      </c>
      <c r="E1038" s="37" t="n">
        <f aca="false">1+IF($G$9=$E$9,$F$9,IF(S1038&lt;($F$9-$E$9)/($G$9-$E$9),$E$9+SQRT(S1038*($G$9-$E$9)*($F$9-$E$9)),$G$9-SQRT((1-S1038)*($G$9-$E$9)*($G$9-$F$9))))</f>
        <v>1.07448530622434</v>
      </c>
      <c r="F1038" s="37" t="n">
        <f aca="false">1+IF($G$10=$E$10,$F$10,IF(T1038&lt;($F$10-$E$10)/($G$10-$E$10),$E$10+SQRT(T1038*($G$10-$E$10)*($F$10-$E$10)),$G$10-SQRT((1-T1038)*($G$10-$E$10)*($G$10-$F$10))))</f>
        <v>0.999961010789183</v>
      </c>
      <c r="G1038" s="38" t="n">
        <f aca="false">IF($G$11=$E$11,$F$11,IF(U1038&lt;($F$11-$E$11)/($G$11-$E$11),$E$11+SQRT(U1038*($G$11-$E$11)*($F$11-$E$11)),$G$11-SQRT((1-U1038)*($G$11-$E$11)*($G$11-$F$11))))</f>
        <v>0.10805577534456</v>
      </c>
      <c r="H1038" s="39" t="n">
        <f aca="false">(('Business Case'!B11*$C1038*'Business Case'!B12*$B1038)-'Business Case'!B11*$C1038*'Business Case'!B13*$D1038-'Business Case'!B14*$E1038)-MAX(0,(('Business Case'!B11*$C1038*'Business Case'!B12*$B1038)-'Business Case'!B11*$C1038*'Business Case'!B13*$D1038-'Business Case'!B14*$E1038))*'Business Case'!$B$7-'Business Case'!$B$8*('Business Case'!B11*$C1038*'Business Case'!B12*$B1038)-'Business Case'!B15*$F1038</f>
        <v>-1999922021.57837</v>
      </c>
      <c r="I1038" s="39" t="n">
        <f aca="false">(('Business Case'!C11*$C1038*'Business Case'!C12*$B1038)-'Business Case'!C11*$C1038*'Business Case'!C13*$D1038-'Business Case'!C14*$E1038)-MAX(0,(('Business Case'!C11*$C1038*'Business Case'!C12*$B1038)-'Business Case'!C11*$C1038*'Business Case'!C13*$D1038-'Business Case'!C14*$E1038))*'Business Case'!$B$7-'Business Case'!$B$8*(('Business Case'!C11*$C1038*'Business Case'!C12*$B1038)-('Business Case'!B11*$C1038*'Business Case'!B12*$B1038))-'Business Case'!C15*$F1038</f>
        <v>28939963.5907134</v>
      </c>
      <c r="J1038" s="39" t="n">
        <f aca="false">(('Business Case'!D11*$C1038*'Business Case'!D12*$B1038)-'Business Case'!D11*$C1038*'Business Case'!D13*$D1038-'Business Case'!D14*$E1038)-MAX(0,(('Business Case'!D11*$C1038*'Business Case'!D12*$B1038)-'Business Case'!D11*$C1038*'Business Case'!D13*$D1038-'Business Case'!D14*$E1038))*'Business Case'!$B$7-'Business Case'!$B$8*(('Business Case'!D11*$C1038*'Business Case'!D12*$B1038)-('Business Case'!C11*$C1038*'Business Case'!C12*$B1038))-'Business Case'!D15*$F1038</f>
        <v>365181623.612762</v>
      </c>
      <c r="K1038" s="39" t="n">
        <f aca="false">(('Business Case'!E11*$C1038*'Business Case'!E12*$B1038)-'Business Case'!E11*$C1038*'Business Case'!E13*$D1038-'Business Case'!E14*$E1038)-MAX(0,(('Business Case'!E11*$C1038*'Business Case'!E12*$B1038)-'Business Case'!E11*$C1038*'Business Case'!E13*$D1038-'Business Case'!E14*$E1038))*'Business Case'!$B$7-'Business Case'!$B$8*(('Business Case'!E11*$C1038*'Business Case'!E12*$B1038)-('Business Case'!D11*$C1038*'Business Case'!D12*$B1038))-'Business Case'!E15*$F1038</f>
        <v>751421334.17427</v>
      </c>
      <c r="L1038" s="39" t="n">
        <f aca="false">(('Business Case'!F11*$C1038*'Business Case'!F12*$B1038)-'Business Case'!F11*$C1038*'Business Case'!F13*$D1038-'Business Case'!F14*$E1038)-MAX(0,(('Business Case'!F11*$C1038*'Business Case'!F12*$B1038)-'Business Case'!F11*$C1038*'Business Case'!F13*$D1038-'Business Case'!F14*$E1038))*'Business Case'!$B$7-'Business Case'!$B$8*(('Business Case'!F11*$C1038*'Business Case'!F12*$B1038)-('Business Case'!E11*$C1038*'Business Case'!E12*$B1038))-'Business Case'!F15*$F1038</f>
        <v>899844410.71983</v>
      </c>
      <c r="M1038" s="39" t="n">
        <f aca="false">(('Business Case'!G11*$C1038*'Business Case'!G12*$B1038)-'Business Case'!G11*$C1038*'Business Case'!G13*$D1038-'Business Case'!G14*$E1038)-MAX(0,(('Business Case'!G11*$C1038*'Business Case'!G12*$B1038)-'Business Case'!G11*$C1038*'Business Case'!G13*$D1038-'Business Case'!G14*$E1038))*'Business Case'!$B$7-'Business Case'!$B$8*(('Business Case'!G11*$C1038*'Business Case'!G12*$B1038)-('Business Case'!F11*$C1038*'Business Case'!F12*$B1038))-'Business Case'!G15*$F1038+'Business Case'!$B$8*('Business Case'!G11*$C1038*'Business Case'!G12*$B1038)</f>
        <v>1099728288.34665</v>
      </c>
      <c r="N1038" s="39" t="n">
        <f aca="false">IF(COUNT('Business Case'!B11:G11)=0,"",H1038+NPV(G1038,I1038:M1038))</f>
        <v>131264015.680252</v>
      </c>
      <c r="P1038" s="40" t="n">
        <f aca="true">RAND()</f>
        <v>0.988501880284851</v>
      </c>
      <c r="Q1038" s="40" t="n">
        <f aca="true">RAND()</f>
        <v>0.670158577736737</v>
      </c>
      <c r="R1038" s="40" t="n">
        <f aca="true">RAND()</f>
        <v>0.489848687154399</v>
      </c>
      <c r="S1038" s="40" t="n">
        <f aca="true">RAND()</f>
        <v>0.956600026768969</v>
      </c>
      <c r="T1038" s="40" t="n">
        <f aca="true">RAND()</f>
        <v>0.199688207926152</v>
      </c>
      <c r="U1038" s="40" t="n">
        <f aca="true">RAND()</f>
        <v>0.762225828967284</v>
      </c>
    </row>
    <row r="1039" customFormat="false" ht="15" hidden="false" customHeight="false" outlineLevel="0" collapsed="false">
      <c r="A1039" s="36" t="n">
        <v>959</v>
      </c>
      <c r="B1039" s="37" t="n">
        <f aca="false">1+IF($G$6=$E$6,$F$6,IF(P1039&lt;($F$6-$E$6)/($G$6-$E$6),$E$6+SQRT(P1039*($G$6-$E$6)*($F$6-$E$6)),$G$6-SQRT((1-P1039)*($G$6-$E$6)*($G$6-$F$6))))</f>
        <v>0.994285261398534</v>
      </c>
      <c r="C1039" s="37" t="n">
        <f aca="false">1+IF($G$7=$E$7,$F$7,IF(Q1039&lt;($F$7-$E$7)/($G$7-$E$7),$E$7+SQRT(Q1039*($G$7-$E$7)*($F$7-$E$7)),$G$7-SQRT((1-Q1039)*($G$7-$E$7)*($G$7-$F$7))))</f>
        <v>1.11197996884235</v>
      </c>
      <c r="D1039" s="37" t="n">
        <f aca="false">1+IF($G$8=$E$8,$F$8,IF(R1039&lt;($F$8-$E$8)/($G$8-$E$8),$E$8+SQRT(R1039*($G$8-$E$8)*($F$8-$E$8)),$G$8-SQRT((1-R1039)*($G$8-$E$8)*($G$8-$F$8))))</f>
        <v>0.984883769527802</v>
      </c>
      <c r="E1039" s="37" t="n">
        <f aca="false">1+IF($G$9=$E$9,$F$9,IF(S1039&lt;($F$9-$E$9)/($G$9-$E$9),$E$9+SQRT(S1039*($G$9-$E$9)*($F$9-$E$9)),$G$9-SQRT((1-S1039)*($G$9-$E$9)*($G$9-$F$9))))</f>
        <v>1.08479159080364</v>
      </c>
      <c r="F1039" s="37" t="n">
        <f aca="false">1+IF($G$10=$E$10,$F$10,IF(T1039&lt;($F$10-$E$10)/($G$10-$E$10),$E$10+SQRT(T1039*($G$10-$E$10)*($F$10-$E$10)),$G$10-SQRT((1-T1039)*($G$10-$E$10)*($G$10-$F$10))))</f>
        <v>1.01912225901933</v>
      </c>
      <c r="G1039" s="38" t="n">
        <f aca="false">IF($G$11=$E$11,$F$11,IF(U1039&lt;($F$11-$E$11)/($G$11-$E$11),$E$11+SQRT(U1039*($G$11-$E$11)*($F$11-$E$11)),$G$11-SQRT((1-U1039)*($G$11-$E$11)*($G$11-$F$11))))</f>
        <v>0.101401193480561</v>
      </c>
      <c r="H1039" s="39" t="n">
        <f aca="false">(('Business Case'!B11*$C1039*'Business Case'!B12*$B1039)-'Business Case'!B11*$C1039*'Business Case'!B13*$D1039-'Business Case'!B14*$E1039)-MAX(0,(('Business Case'!B11*$C1039*'Business Case'!B12*$B1039)-'Business Case'!B11*$C1039*'Business Case'!B13*$D1039-'Business Case'!B14*$E1039))*'Business Case'!$B$7-'Business Case'!$B$8*('Business Case'!B11*$C1039*'Business Case'!B12*$B1039)-'Business Case'!B15*$F1039</f>
        <v>-2038244518.03867</v>
      </c>
      <c r="I1039" s="39" t="n">
        <f aca="false">(('Business Case'!C11*$C1039*'Business Case'!C12*$B1039)-'Business Case'!C11*$C1039*'Business Case'!C13*$D1039-'Business Case'!C14*$E1039)-MAX(0,(('Business Case'!C11*$C1039*'Business Case'!C12*$B1039)-'Business Case'!C11*$C1039*'Business Case'!C13*$D1039-'Business Case'!C14*$E1039))*'Business Case'!$B$7-'Business Case'!$B$8*(('Business Case'!C11*$C1039*'Business Case'!C12*$B1039)-('Business Case'!B11*$C1039*'Business Case'!B12*$B1039))-'Business Case'!C15*$F1039</f>
        <v>31461565.1697969</v>
      </c>
      <c r="J1039" s="39" t="n">
        <f aca="false">(('Business Case'!D11*$C1039*'Business Case'!D12*$B1039)-'Business Case'!D11*$C1039*'Business Case'!D13*$D1039-'Business Case'!D14*$E1039)-MAX(0,(('Business Case'!D11*$C1039*'Business Case'!D12*$B1039)-'Business Case'!D11*$C1039*'Business Case'!D13*$D1039-'Business Case'!D14*$E1039))*'Business Case'!$B$7-'Business Case'!$B$8*(('Business Case'!D11*$C1039*'Business Case'!D12*$B1039)-('Business Case'!C11*$C1039*'Business Case'!C12*$B1039))-'Business Case'!D15*$F1039</f>
        <v>376408335.694264</v>
      </c>
      <c r="K1039" s="39" t="n">
        <f aca="false">(('Business Case'!E11*$C1039*'Business Case'!E12*$B1039)-'Business Case'!E11*$C1039*'Business Case'!E13*$D1039-'Business Case'!E14*$E1039)-MAX(0,(('Business Case'!E11*$C1039*'Business Case'!E12*$B1039)-'Business Case'!E11*$C1039*'Business Case'!E13*$D1039-'Business Case'!E14*$E1039))*'Business Case'!$B$7-'Business Case'!$B$8*(('Business Case'!E11*$C1039*'Business Case'!E12*$B1039)-('Business Case'!D11*$C1039*'Business Case'!D12*$B1039))-'Business Case'!E15*$F1039</f>
        <v>772311219.169697</v>
      </c>
      <c r="L1039" s="39" t="n">
        <f aca="false">(('Business Case'!F11*$C1039*'Business Case'!F12*$B1039)-'Business Case'!F11*$C1039*'Business Case'!F13*$D1039-'Business Case'!F14*$E1039)-MAX(0,(('Business Case'!F11*$C1039*'Business Case'!F12*$B1039)-'Business Case'!F11*$C1039*'Business Case'!F13*$D1039-'Business Case'!F14*$E1039))*'Business Case'!$B$7-'Business Case'!$B$8*(('Business Case'!F11*$C1039*'Business Case'!F12*$B1039)-('Business Case'!E11*$C1039*'Business Case'!E12*$B1039))-'Business Case'!F15*$F1039</f>
        <v>925503886.171493</v>
      </c>
      <c r="M1039" s="39" t="n">
        <f aca="false">(('Business Case'!G11*$C1039*'Business Case'!G12*$B1039)-'Business Case'!G11*$C1039*'Business Case'!G13*$D1039-'Business Case'!G14*$E1039)-MAX(0,(('Business Case'!G11*$C1039*'Business Case'!G12*$B1039)-'Business Case'!G11*$C1039*'Business Case'!G13*$D1039-'Business Case'!G14*$E1039))*'Business Case'!$B$7-'Business Case'!$B$8*(('Business Case'!G11*$C1039*'Business Case'!G12*$B1039)-('Business Case'!F11*$C1039*'Business Case'!F12*$B1039))-'Business Case'!G15*$F1039+'Business Case'!$B$8*('Business Case'!G11*$C1039*'Business Case'!G12*$B1039)</f>
        <v>1135661142.05318</v>
      </c>
      <c r="N1039" s="39" t="n">
        <f aca="false">IF(COUNT('Business Case'!B11:G11)=0,"",H1039+NPV(G1039,I1039:M1039))</f>
        <v>208251001.402504</v>
      </c>
      <c r="P1039" s="40" t="n">
        <f aca="true">RAND()</f>
        <v>0.574822923025882</v>
      </c>
      <c r="Q1039" s="40" t="n">
        <f aca="true">RAND()</f>
        <v>0.972466232967074</v>
      </c>
      <c r="R1039" s="40" t="n">
        <f aca="true">RAND()</f>
        <v>0.187211904072122</v>
      </c>
      <c r="S1039" s="40" t="n">
        <f aca="true">RAND()</f>
        <v>0.984580285981062</v>
      </c>
      <c r="T1039" s="40" t="n">
        <f aca="true">RAND()</f>
        <v>0.34566485635462</v>
      </c>
      <c r="U1039" s="40" t="n">
        <f aca="true">RAND()</f>
        <v>0.423473993420803</v>
      </c>
    </row>
    <row r="1040" customFormat="false" ht="15" hidden="false" customHeight="false" outlineLevel="0" collapsed="false">
      <c r="A1040" s="36" t="n">
        <v>960</v>
      </c>
      <c r="B1040" s="37" t="n">
        <f aca="false">1+IF($G$6=$E$6,$F$6,IF(P1040&lt;($F$6-$E$6)/($G$6-$E$6),$E$6+SQRT(P1040*($G$6-$E$6)*($F$6-$E$6)),$G$6-SQRT((1-P1040)*($G$6-$E$6)*($G$6-$F$6))))</f>
        <v>0.941080198496335</v>
      </c>
      <c r="C1040" s="37" t="n">
        <f aca="false">1+IF($G$7=$E$7,$F$7,IF(Q1040&lt;($F$7-$E$7)/($G$7-$E$7),$E$7+SQRT(Q1040*($G$7-$E$7)*($F$7-$E$7)),$G$7-SQRT((1-Q1040)*($G$7-$E$7)*($G$7-$F$7))))</f>
        <v>0.879199733240145</v>
      </c>
      <c r="D1040" s="37" t="n">
        <f aca="false">1+IF($G$8=$E$8,$F$8,IF(R1040&lt;($F$8-$E$8)/($G$8-$E$8),$E$8+SQRT(R1040*($G$8-$E$8)*($F$8-$E$8)),$G$8-SQRT((1-R1040)*($G$8-$E$8)*($G$8-$F$8))))</f>
        <v>1.0201596882541</v>
      </c>
      <c r="E1040" s="37" t="n">
        <f aca="false">1+IF($G$9=$E$9,$F$9,IF(S1040&lt;($F$9-$E$9)/($G$9-$E$9),$E$9+SQRT(S1040*($G$9-$E$9)*($F$9-$E$9)),$G$9-SQRT((1-S1040)*($G$9-$E$9)*($G$9-$F$9))))</f>
        <v>0.997415381587575</v>
      </c>
      <c r="F1040" s="37" t="n">
        <f aca="false">1+IF($G$10=$E$10,$F$10,IF(T1040&lt;($F$10-$E$10)/($G$10-$E$10),$E$10+SQRT(T1040*($G$10-$E$10)*($F$10-$E$10)),$G$10-SQRT((1-T1040)*($G$10-$E$10)*($G$10-$F$10))))</f>
        <v>1.0747812031253</v>
      </c>
      <c r="G1040" s="38" t="n">
        <f aca="false">IF($G$11=$E$11,$F$11,IF(U1040&lt;($F$11-$E$11)/($G$11-$E$11),$E$11+SQRT(U1040*($G$11-$E$11)*($F$11-$E$11)),$G$11-SQRT((1-U1040)*($G$11-$E$11)*($G$11-$F$11))))</f>
        <v>0.101253965542948</v>
      </c>
      <c r="H1040" s="39" t="n">
        <f aca="false">(('Business Case'!B11*$C1040*'Business Case'!B12*$B1040)-'Business Case'!B11*$C1040*'Business Case'!B13*$D1040-'Business Case'!B14*$E1040)-MAX(0,(('Business Case'!B11*$C1040*'Business Case'!B12*$B1040)-'Business Case'!B11*$C1040*'Business Case'!B13*$D1040-'Business Case'!B14*$E1040))*'Business Case'!$B$7-'Business Case'!$B$8*('Business Case'!B11*$C1040*'Business Case'!B12*$B1040)-'Business Case'!B15*$F1040</f>
        <v>-2149562406.25059</v>
      </c>
      <c r="I1040" s="39" t="n">
        <f aca="false">(('Business Case'!C11*$C1040*'Business Case'!C12*$B1040)-'Business Case'!C11*$C1040*'Business Case'!C13*$D1040-'Business Case'!C14*$E1040)-MAX(0,(('Business Case'!C11*$C1040*'Business Case'!C12*$B1040)-'Business Case'!C11*$C1040*'Business Case'!C13*$D1040-'Business Case'!C14*$E1040))*'Business Case'!$B$7-'Business Case'!$B$8*(('Business Case'!C11*$C1040*'Business Case'!C12*$B1040)-('Business Case'!B11*$C1040*'Business Case'!B12*$B1040))-'Business Case'!C15*$F1040</f>
        <v>-73658178.4128508</v>
      </c>
      <c r="J1040" s="39" t="n">
        <f aca="false">(('Business Case'!D11*$C1040*'Business Case'!D12*$B1040)-'Business Case'!D11*$C1040*'Business Case'!D13*$D1040-'Business Case'!D14*$E1040)-MAX(0,(('Business Case'!D11*$C1040*'Business Case'!D12*$B1040)-'Business Case'!D11*$C1040*'Business Case'!D13*$D1040-'Business Case'!D14*$E1040))*'Business Case'!$B$7-'Business Case'!$B$8*(('Business Case'!D11*$C1040*'Business Case'!D12*$B1040)-('Business Case'!C11*$C1040*'Business Case'!C12*$B1040))-'Business Case'!D15*$F1040</f>
        <v>144886515.047794</v>
      </c>
      <c r="K1040" s="39" t="n">
        <f aca="false">(('Business Case'!E11*$C1040*'Business Case'!E12*$B1040)-'Business Case'!E11*$C1040*'Business Case'!E13*$D1040-'Business Case'!E14*$E1040)-MAX(0,(('Business Case'!E11*$C1040*'Business Case'!E12*$B1040)-'Business Case'!E11*$C1040*'Business Case'!E13*$D1040-'Business Case'!E14*$E1040))*'Business Case'!$B$7-'Business Case'!$B$8*(('Business Case'!E11*$C1040*'Business Case'!E12*$B1040)-('Business Case'!D11*$C1040*'Business Case'!D12*$B1040))-'Business Case'!E15*$F1040</f>
        <v>417170268.664704</v>
      </c>
      <c r="L1040" s="39" t="n">
        <f aca="false">(('Business Case'!F11*$C1040*'Business Case'!F12*$B1040)-'Business Case'!F11*$C1040*'Business Case'!F13*$D1040-'Business Case'!F14*$E1040)-MAX(0,(('Business Case'!F11*$C1040*'Business Case'!F12*$B1040)-'Business Case'!F11*$C1040*'Business Case'!F13*$D1040-'Business Case'!F14*$E1040))*'Business Case'!$B$7-'Business Case'!$B$8*(('Business Case'!F11*$C1040*'Business Case'!F12*$B1040)-('Business Case'!E11*$C1040*'Business Case'!E12*$B1040))-'Business Case'!F15*$F1040</f>
        <v>518613356.017728</v>
      </c>
      <c r="M1040" s="39" t="n">
        <f aca="false">(('Business Case'!G11*$C1040*'Business Case'!G12*$B1040)-'Business Case'!G11*$C1040*'Business Case'!G13*$D1040-'Business Case'!G14*$E1040)-MAX(0,(('Business Case'!G11*$C1040*'Business Case'!G12*$B1040)-'Business Case'!G11*$C1040*'Business Case'!G13*$D1040-'Business Case'!G14*$E1040))*'Business Case'!$B$7-'Business Case'!$B$8*(('Business Case'!G11*$C1040*'Business Case'!G12*$B1040)-('Business Case'!F11*$C1040*'Business Case'!F12*$B1040))-'Business Case'!G15*$F1040+'Business Case'!$B$8*('Business Case'!G11*$C1040*'Business Case'!G12*$B1040)</f>
        <v>675885065.114842</v>
      </c>
      <c r="N1040" s="39" t="n">
        <f aca="false">IF(COUNT('Business Case'!B11:G11)=0,"",H1040+NPV(G1040,I1040:M1040))</f>
        <v>-1014726163.84227</v>
      </c>
      <c r="P1040" s="40" t="n">
        <f aca="true">RAND()</f>
        <v>0.0462890384005096</v>
      </c>
      <c r="Q1040" s="40" t="n">
        <f aca="true">RAND()</f>
        <v>0.089608539218717</v>
      </c>
      <c r="R1040" s="40" t="n">
        <f aca="true">RAND()</f>
        <v>0.65568625866866</v>
      </c>
      <c r="S1040" s="40" t="n">
        <f aca="true">RAND()</f>
        <v>0.299762454812716</v>
      </c>
      <c r="T1040" s="40" t="n">
        <f aca="true">RAND()</f>
        <v>0.686405058185028</v>
      </c>
      <c r="U1040" s="40" t="n">
        <f aca="true">RAND()</f>
        <v>0.414310320225001</v>
      </c>
    </row>
    <row r="1041" customFormat="false" ht="15" hidden="false" customHeight="false" outlineLevel="0" collapsed="false">
      <c r="A1041" s="36" t="n">
        <v>961</v>
      </c>
      <c r="B1041" s="37" t="n">
        <f aca="false">1+IF($G$6=$E$6,$F$6,IF(P1041&lt;($F$6-$E$6)/($G$6-$E$6),$E$6+SQRT(P1041*($G$6-$E$6)*($F$6-$E$6)),$G$6-SQRT((1-P1041)*($G$6-$E$6)*($G$6-$F$6))))</f>
        <v>0.97376542869522</v>
      </c>
      <c r="C1041" s="37" t="n">
        <f aca="false">1+IF($G$7=$E$7,$F$7,IF(Q1041&lt;($F$7-$E$7)/($G$7-$E$7),$E$7+SQRT(Q1041*($G$7-$E$7)*($F$7-$E$7)),$G$7-SQRT((1-Q1041)*($G$7-$E$7)*($G$7-$F$7))))</f>
        <v>0.970185122525706</v>
      </c>
      <c r="D1041" s="37" t="n">
        <f aca="false">1+IF($G$8=$E$8,$F$8,IF(R1041&lt;($F$8-$E$8)/($G$8-$E$8),$E$8+SQRT(R1041*($G$8-$E$8)*($F$8-$E$8)),$G$8-SQRT((1-R1041)*($G$8-$E$8)*($G$8-$F$8))))</f>
        <v>0.991567267616555</v>
      </c>
      <c r="E1041" s="37" t="n">
        <f aca="false">1+IF($G$9=$E$9,$F$9,IF(S1041&lt;($F$9-$E$9)/($G$9-$E$9),$E$9+SQRT(S1041*($G$9-$E$9)*($F$9-$E$9)),$G$9-SQRT((1-S1041)*($G$9-$E$9)*($G$9-$F$9))))</f>
        <v>1.02678629812564</v>
      </c>
      <c r="F1041" s="37" t="n">
        <f aca="false">1+IF($G$10=$E$10,$F$10,IF(T1041&lt;($F$10-$E$10)/($G$10-$E$10),$E$10+SQRT(T1041*($G$10-$E$10)*($F$10-$E$10)),$G$10-SQRT((1-T1041)*($G$10-$E$10)*($G$10-$F$10))))</f>
        <v>1.16455087779204</v>
      </c>
      <c r="G1041" s="38" t="n">
        <f aca="false">IF($G$11=$E$11,$F$11,IF(U1041&lt;($F$11-$E$11)/($G$11-$E$11),$E$11+SQRT(U1041*($G$11-$E$11)*($F$11-$E$11)),$G$11-SQRT((1-U1041)*($G$11-$E$11)*($G$11-$F$11))))</f>
        <v>0.107403870720428</v>
      </c>
      <c r="H1041" s="39" t="n">
        <f aca="false">(('Business Case'!B11*$C1041*'Business Case'!B12*$B1041)-'Business Case'!B11*$C1041*'Business Case'!B13*$D1041-'Business Case'!B14*$E1041)-MAX(0,(('Business Case'!B11*$C1041*'Business Case'!B12*$B1041)-'Business Case'!B11*$C1041*'Business Case'!B13*$D1041-'Business Case'!B14*$E1041))*'Business Case'!$B$7-'Business Case'!$B$8*('Business Case'!B11*$C1041*'Business Case'!B12*$B1041)-'Business Case'!B15*$F1041</f>
        <v>-2329101755.58408</v>
      </c>
      <c r="I1041" s="39" t="n">
        <f aca="false">(('Business Case'!C11*$C1041*'Business Case'!C12*$B1041)-'Business Case'!C11*$C1041*'Business Case'!C13*$D1041-'Business Case'!C14*$E1041)-MAX(0,(('Business Case'!C11*$C1041*'Business Case'!C12*$B1041)-'Business Case'!C11*$C1041*'Business Case'!C13*$D1041-'Business Case'!C14*$E1041))*'Business Case'!$B$7-'Business Case'!$B$8*(('Business Case'!C11*$C1041*'Business Case'!C12*$B1041)-('Business Case'!B11*$C1041*'Business Case'!B12*$B1041))-'Business Case'!C15*$F1041</f>
        <v>-30103907.06662</v>
      </c>
      <c r="J1041" s="39" t="n">
        <f aca="false">(('Business Case'!D11*$C1041*'Business Case'!D12*$B1041)-'Business Case'!D11*$C1041*'Business Case'!D13*$D1041-'Business Case'!D14*$E1041)-MAX(0,(('Business Case'!D11*$C1041*'Business Case'!D12*$B1041)-'Business Case'!D11*$C1041*'Business Case'!D13*$D1041-'Business Case'!D14*$E1041))*'Business Case'!$B$7-'Business Case'!$B$8*(('Business Case'!D11*$C1041*'Business Case'!D12*$B1041)-('Business Case'!C11*$C1041*'Business Case'!C12*$B1041))-'Business Case'!D15*$F1041</f>
        <v>251231230.053349</v>
      </c>
      <c r="K1041" s="39" t="n">
        <f aca="false">(('Business Case'!E11*$C1041*'Business Case'!E12*$B1041)-'Business Case'!E11*$C1041*'Business Case'!E13*$D1041-'Business Case'!E14*$E1041)-MAX(0,(('Business Case'!E11*$C1041*'Business Case'!E12*$B1041)-'Business Case'!E11*$C1041*'Business Case'!E13*$D1041-'Business Case'!E14*$E1041))*'Business Case'!$B$7-'Business Case'!$B$8*(('Business Case'!E11*$C1041*'Business Case'!E12*$B1041)-('Business Case'!D11*$C1041*'Business Case'!D12*$B1041))-'Business Case'!E15*$F1041</f>
        <v>590793911.062919</v>
      </c>
      <c r="L1041" s="39" t="n">
        <f aca="false">(('Business Case'!F11*$C1041*'Business Case'!F12*$B1041)-'Business Case'!F11*$C1041*'Business Case'!F13*$D1041-'Business Case'!F14*$E1041)-MAX(0,(('Business Case'!F11*$C1041*'Business Case'!F12*$B1041)-'Business Case'!F11*$C1041*'Business Case'!F13*$D1041-'Business Case'!F14*$E1041))*'Business Case'!$B$7-'Business Case'!$B$8*(('Business Case'!F11*$C1041*'Business Case'!F12*$B1041)-('Business Case'!E11*$C1041*'Business Case'!E12*$B1041))-'Business Case'!F15*$F1041</f>
        <v>717222253.312187</v>
      </c>
      <c r="M1041" s="39" t="n">
        <f aca="false">(('Business Case'!G11*$C1041*'Business Case'!G12*$B1041)-'Business Case'!G11*$C1041*'Business Case'!G13*$D1041-'Business Case'!G14*$E1041)-MAX(0,(('Business Case'!G11*$C1041*'Business Case'!G12*$B1041)-'Business Case'!G11*$C1041*'Business Case'!G13*$D1041-'Business Case'!G14*$E1041))*'Business Case'!$B$7-'Business Case'!$B$8*(('Business Case'!G11*$C1041*'Business Case'!G12*$B1041)-('Business Case'!F11*$C1041*'Business Case'!F12*$B1041))-'Business Case'!G15*$F1041+'Business Case'!$B$8*('Business Case'!G11*$C1041*'Business Case'!G12*$B1041)</f>
        <v>896797050.963221</v>
      </c>
      <c r="N1041" s="39" t="n">
        <f aca="false">IF(COUNT('Business Case'!B11:G11)=0,"",H1041+NPV(G1041,I1041:M1041))</f>
        <v>-701019640.220806</v>
      </c>
      <c r="P1041" s="40" t="n">
        <f aca="true">RAND()</f>
        <v>0.301116804456334</v>
      </c>
      <c r="Q1041" s="40" t="n">
        <f aca="true">RAND()</f>
        <v>0.413756798986992</v>
      </c>
      <c r="R1041" s="40" t="n">
        <f aca="true">RAND()</f>
        <v>0.265821190324043</v>
      </c>
      <c r="S1041" s="40" t="n">
        <f aca="true">RAND()</f>
        <v>0.642650257190165</v>
      </c>
      <c r="T1041" s="40" t="n">
        <f aca="true">RAND()</f>
        <v>0.974867194693701</v>
      </c>
      <c r="U1041" s="40" t="n">
        <f aca="true">RAND()</f>
        <v>0.735562545287161</v>
      </c>
    </row>
    <row r="1042" customFormat="false" ht="15" hidden="false" customHeight="false" outlineLevel="0" collapsed="false">
      <c r="A1042" s="36" t="n">
        <v>962</v>
      </c>
      <c r="B1042" s="37" t="n">
        <f aca="false">1+IF($G$6=$E$6,$F$6,IF(P1042&lt;($F$6-$E$6)/($G$6-$E$6),$E$6+SQRT(P1042*($G$6-$E$6)*($F$6-$E$6)),$G$6-SQRT((1-P1042)*($G$6-$E$6)*($G$6-$F$6))))</f>
        <v>0.995909098378873</v>
      </c>
      <c r="C1042" s="37" t="n">
        <f aca="false">1+IF($G$7=$E$7,$F$7,IF(Q1042&lt;($F$7-$E$7)/($G$7-$E$7),$E$7+SQRT(Q1042*($G$7-$E$7)*($F$7-$E$7)),$G$7-SQRT((1-Q1042)*($G$7-$E$7)*($G$7-$F$7))))</f>
        <v>0.897742369657429</v>
      </c>
      <c r="D1042" s="37" t="n">
        <f aca="false">1+IF($G$8=$E$8,$F$8,IF(R1042&lt;($F$8-$E$8)/($G$8-$E$8),$E$8+SQRT(R1042*($G$8-$E$8)*($F$8-$E$8)),$G$8-SQRT((1-R1042)*($G$8-$E$8)*($G$8-$F$8))))</f>
        <v>0.994327196590524</v>
      </c>
      <c r="E1042" s="37" t="n">
        <f aca="false">1+IF($G$9=$E$9,$F$9,IF(S1042&lt;($F$9-$E$9)/($G$9-$E$9),$E$9+SQRT(S1042*($G$9-$E$9)*($F$9-$E$9)),$G$9-SQRT((1-S1042)*($G$9-$E$9)*($G$9-$F$9))))</f>
        <v>1.01039591403776</v>
      </c>
      <c r="F1042" s="37" t="n">
        <f aca="false">1+IF($G$10=$E$10,$F$10,IF(T1042&lt;($F$10-$E$10)/($G$10-$E$10),$E$10+SQRT(T1042*($G$10-$E$10)*($F$10-$E$10)),$G$10-SQRT((1-T1042)*($G$10-$E$10)*($G$10-$F$10))))</f>
        <v>0.99455373608237</v>
      </c>
      <c r="G1042" s="38" t="n">
        <f aca="false">IF($G$11=$E$11,$F$11,IF(U1042&lt;($F$11-$E$11)/($G$11-$E$11),$E$11+SQRT(U1042*($G$11-$E$11)*($F$11-$E$11)),$G$11-SQRT((1-U1042)*($G$11-$E$11)*($G$11-$F$11))))</f>
        <v>0.105668496648047</v>
      </c>
      <c r="H1042" s="39" t="n">
        <f aca="false">(('Business Case'!B11*$C1042*'Business Case'!B12*$B1042)-'Business Case'!B11*$C1042*'Business Case'!B13*$D1042-'Business Case'!B14*$E1042)-MAX(0,(('Business Case'!B11*$C1042*'Business Case'!B12*$B1042)-'Business Case'!B11*$C1042*'Business Case'!B13*$D1042-'Business Case'!B14*$E1042))*'Business Case'!$B$7-'Business Case'!$B$8*('Business Case'!B11*$C1042*'Business Case'!B12*$B1042)-'Business Case'!B15*$F1042</f>
        <v>-1989107472.16474</v>
      </c>
      <c r="I1042" s="39" t="n">
        <f aca="false">(('Business Case'!C11*$C1042*'Business Case'!C12*$B1042)-'Business Case'!C11*$C1042*'Business Case'!C13*$D1042-'Business Case'!C14*$E1042)-MAX(0,(('Business Case'!C11*$C1042*'Business Case'!C12*$B1042)-'Business Case'!C11*$C1042*'Business Case'!C13*$D1042-'Business Case'!C14*$E1042))*'Business Case'!$B$7-'Business Case'!$B$8*(('Business Case'!C11*$C1042*'Business Case'!C12*$B1042)-('Business Case'!B11*$C1042*'Business Case'!B12*$B1042))-'Business Case'!C15*$F1042</f>
        <v>-14139927.1515574</v>
      </c>
      <c r="J1042" s="39" t="n">
        <f aca="false">(('Business Case'!D11*$C1042*'Business Case'!D12*$B1042)-'Business Case'!D11*$C1042*'Business Case'!D13*$D1042-'Business Case'!D14*$E1042)-MAX(0,(('Business Case'!D11*$C1042*'Business Case'!D12*$B1042)-'Business Case'!D11*$C1042*'Business Case'!D13*$D1042-'Business Case'!D14*$E1042))*'Business Case'!$B$7-'Business Case'!$B$8*(('Business Case'!D11*$C1042*'Business Case'!D12*$B1042)-('Business Case'!C11*$C1042*'Business Case'!C12*$B1042))-'Business Case'!D15*$F1042</f>
        <v>261202396.399248</v>
      </c>
      <c r="K1042" s="39" t="n">
        <f aca="false">(('Business Case'!E11*$C1042*'Business Case'!E12*$B1042)-'Business Case'!E11*$C1042*'Business Case'!E13*$D1042-'Business Case'!E14*$E1042)-MAX(0,(('Business Case'!E11*$C1042*'Business Case'!E12*$B1042)-'Business Case'!E11*$C1042*'Business Case'!E13*$D1042-'Business Case'!E14*$E1042))*'Business Case'!$B$7-'Business Case'!$B$8*(('Business Case'!E11*$C1042*'Business Case'!E12*$B1042)-('Business Case'!D11*$C1042*'Business Case'!D12*$B1042))-'Business Case'!E15*$F1042</f>
        <v>586272406.754171</v>
      </c>
      <c r="L1042" s="39" t="n">
        <f aca="false">(('Business Case'!F11*$C1042*'Business Case'!F12*$B1042)-'Business Case'!F11*$C1042*'Business Case'!F13*$D1042-'Business Case'!F14*$E1042)-MAX(0,(('Business Case'!F11*$C1042*'Business Case'!F12*$B1042)-'Business Case'!F11*$C1042*'Business Case'!F13*$D1042-'Business Case'!F14*$E1042))*'Business Case'!$B$7-'Business Case'!$B$8*(('Business Case'!F11*$C1042*'Business Case'!F12*$B1042)-('Business Case'!E11*$C1042*'Business Case'!E12*$B1042))-'Business Case'!F15*$F1042</f>
        <v>708952233.349743</v>
      </c>
      <c r="M1042" s="39" t="n">
        <f aca="false">(('Business Case'!G11*$C1042*'Business Case'!G12*$B1042)-'Business Case'!G11*$C1042*'Business Case'!G13*$D1042-'Business Case'!G14*$E1042)-MAX(0,(('Business Case'!G11*$C1042*'Business Case'!G12*$B1042)-'Business Case'!G11*$C1042*'Business Case'!G13*$D1042-'Business Case'!G14*$E1042))*'Business Case'!$B$7-'Business Case'!$B$8*(('Business Case'!G11*$C1042*'Business Case'!G12*$B1042)-('Business Case'!F11*$C1042*'Business Case'!F12*$B1042))-'Business Case'!G15*$F1042+'Business Case'!$B$8*('Business Case'!G11*$C1042*'Business Case'!G12*$B1042)</f>
        <v>878897019.782247</v>
      </c>
      <c r="N1042" s="39" t="n">
        <f aca="false">IF(COUNT('Business Case'!B11:G11)=0,"",H1042+NPV(G1042,I1042:M1042))</f>
        <v>-348249278.210073</v>
      </c>
      <c r="P1042" s="40" t="n">
        <f aca="true">RAND()</f>
        <v>0.600228251738898</v>
      </c>
      <c r="Q1042" s="40" t="n">
        <f aca="true">RAND()</f>
        <v>0.136479583232135</v>
      </c>
      <c r="R1042" s="40" t="n">
        <f aca="true">RAND()</f>
        <v>0.302292362703833</v>
      </c>
      <c r="S1042" s="40" t="n">
        <f aca="true">RAND()</f>
        <v>0.464740518591483</v>
      </c>
      <c r="T1042" s="40" t="n">
        <f aca="true">RAND()</f>
        <v>0.158802831911795</v>
      </c>
      <c r="U1042" s="40" t="n">
        <f aca="true">RAND()</f>
        <v>0.657680019454955</v>
      </c>
    </row>
    <row r="1043" customFormat="false" ht="15" hidden="false" customHeight="false" outlineLevel="0" collapsed="false">
      <c r="A1043" s="36" t="n">
        <v>963</v>
      </c>
      <c r="B1043" s="37" t="n">
        <f aca="false">1+IF($G$6=$E$6,$F$6,IF(P1043&lt;($F$6-$E$6)/($G$6-$E$6),$E$6+SQRT(P1043*($G$6-$E$6)*($F$6-$E$6)),$G$6-SQRT((1-P1043)*($G$6-$E$6)*($G$6-$F$6))))</f>
        <v>0.992744684310288</v>
      </c>
      <c r="C1043" s="37" t="n">
        <f aca="false">1+IF($G$7=$E$7,$F$7,IF(Q1043&lt;($F$7-$E$7)/($G$7-$E$7),$E$7+SQRT(Q1043*($G$7-$E$7)*($F$7-$E$7)),$G$7-SQRT((1-Q1043)*($G$7-$E$7)*($G$7-$F$7))))</f>
        <v>1.01990839894476</v>
      </c>
      <c r="D1043" s="37" t="n">
        <f aca="false">1+IF($G$8=$E$8,$F$8,IF(R1043&lt;($F$8-$E$8)/($G$8-$E$8),$E$8+SQRT(R1043*($G$8-$E$8)*($F$8-$E$8)),$G$8-SQRT((1-R1043)*($G$8-$E$8)*($G$8-$F$8))))</f>
        <v>1.02973322561755</v>
      </c>
      <c r="E1043" s="37" t="n">
        <f aca="false">1+IF($G$9=$E$9,$F$9,IF(S1043&lt;($F$9-$E$9)/($G$9-$E$9),$E$9+SQRT(S1043*($G$9-$E$9)*($F$9-$E$9)),$G$9-SQRT((1-S1043)*($G$9-$E$9)*($G$9-$F$9))))</f>
        <v>1.01009773955553</v>
      </c>
      <c r="F1043" s="37" t="n">
        <f aca="false">1+IF($G$10=$E$10,$F$10,IF(T1043&lt;($F$10-$E$10)/($G$10-$E$10),$E$10+SQRT(T1043*($G$10-$E$10)*($F$10-$E$10)),$G$10-SQRT((1-T1043)*($G$10-$E$10)*($G$10-$F$10))))</f>
        <v>1.03207329772505</v>
      </c>
      <c r="G1043" s="38" t="n">
        <f aca="false">IF($G$11=$E$11,$F$11,IF(U1043&lt;($F$11-$E$11)/($G$11-$E$11),$E$11+SQRT(U1043*($G$11-$E$11)*($F$11-$E$11)),$G$11-SQRT((1-U1043)*($G$11-$E$11)*($G$11-$F$11))))</f>
        <v>0.0942545816830045</v>
      </c>
      <c r="H1043" s="39" t="n">
        <f aca="false">(('Business Case'!B11*$C1043*'Business Case'!B12*$B1043)-'Business Case'!B11*$C1043*'Business Case'!B13*$D1043-'Business Case'!B14*$E1043)-MAX(0,(('Business Case'!B11*$C1043*'Business Case'!B12*$B1043)-'Business Case'!B11*$C1043*'Business Case'!B13*$D1043-'Business Case'!B14*$E1043))*'Business Case'!$B$7-'Business Case'!$B$8*('Business Case'!B11*$C1043*'Business Case'!B12*$B1043)-'Business Case'!B15*$F1043</f>
        <v>-2064146595.45011</v>
      </c>
      <c r="I1043" s="39" t="n">
        <f aca="false">(('Business Case'!C11*$C1043*'Business Case'!C12*$B1043)-'Business Case'!C11*$C1043*'Business Case'!C13*$D1043-'Business Case'!C14*$E1043)-MAX(0,(('Business Case'!C11*$C1043*'Business Case'!C12*$B1043)-'Business Case'!C11*$C1043*'Business Case'!C13*$D1043-'Business Case'!C14*$E1043))*'Business Case'!$B$7-'Business Case'!$B$8*(('Business Case'!C11*$C1043*'Business Case'!C12*$B1043)-('Business Case'!B11*$C1043*'Business Case'!B12*$B1043))-'Business Case'!C15*$F1043</f>
        <v>-7649765.11491483</v>
      </c>
      <c r="J1043" s="39" t="n">
        <f aca="false">(('Business Case'!D11*$C1043*'Business Case'!D12*$B1043)-'Business Case'!D11*$C1043*'Business Case'!D13*$D1043-'Business Case'!D14*$E1043)-MAX(0,(('Business Case'!D11*$C1043*'Business Case'!D12*$B1043)-'Business Case'!D11*$C1043*'Business Case'!D13*$D1043-'Business Case'!D14*$E1043))*'Business Case'!$B$7-'Business Case'!$B$8*(('Business Case'!D11*$C1043*'Business Case'!D12*$B1043)-('Business Case'!C11*$C1043*'Business Case'!C12*$B1043))-'Business Case'!D15*$F1043</f>
        <v>284032146.084689</v>
      </c>
      <c r="K1043" s="39" t="n">
        <f aca="false">(('Business Case'!E11*$C1043*'Business Case'!E12*$B1043)-'Business Case'!E11*$C1043*'Business Case'!E13*$D1043-'Business Case'!E14*$E1043)-MAX(0,(('Business Case'!E11*$C1043*'Business Case'!E12*$B1043)-'Business Case'!E11*$C1043*'Business Case'!E13*$D1043-'Business Case'!E14*$E1043))*'Business Case'!$B$7-'Business Case'!$B$8*(('Business Case'!E11*$C1043*'Business Case'!E12*$B1043)-('Business Case'!D11*$C1043*'Business Case'!D12*$B1043))-'Business Case'!E15*$F1043</f>
        <v>627317722.170546</v>
      </c>
      <c r="L1043" s="39" t="n">
        <f aca="false">(('Business Case'!F11*$C1043*'Business Case'!F12*$B1043)-'Business Case'!F11*$C1043*'Business Case'!F13*$D1043-'Business Case'!F14*$E1043)-MAX(0,(('Business Case'!F11*$C1043*'Business Case'!F12*$B1043)-'Business Case'!F11*$C1043*'Business Case'!F13*$D1043-'Business Case'!F14*$E1043))*'Business Case'!$B$7-'Business Case'!$B$8*(('Business Case'!F11*$C1043*'Business Case'!F12*$B1043)-('Business Case'!E11*$C1043*'Business Case'!E12*$B1043))-'Business Case'!F15*$F1043</f>
        <v>759537324.555225</v>
      </c>
      <c r="M1043" s="39" t="n">
        <f aca="false">(('Business Case'!G11*$C1043*'Business Case'!G12*$B1043)-'Business Case'!G11*$C1043*'Business Case'!G13*$D1043-'Business Case'!G14*$E1043)-MAX(0,(('Business Case'!G11*$C1043*'Business Case'!G12*$B1043)-'Business Case'!G11*$C1043*'Business Case'!G13*$D1043-'Business Case'!G14*$E1043))*'Business Case'!$B$7-'Business Case'!$B$8*(('Business Case'!G11*$C1043*'Business Case'!G12*$B1043)-('Business Case'!F11*$C1043*'Business Case'!F12*$B1043))-'Business Case'!G15*$F1043+'Business Case'!$B$8*('Business Case'!G11*$C1043*'Business Case'!G12*$B1043)</f>
        <v>951994967.138355</v>
      </c>
      <c r="N1043" s="39" t="n">
        <f aca="false">IF(COUNT('Business Case'!B11:G11)=0,"",H1043+NPV(G1043,I1043:M1043))</f>
        <v>-218600808.641485</v>
      </c>
      <c r="P1043" s="40" t="n">
        <f aca="true">RAND()</f>
        <v>0.551228030771199</v>
      </c>
      <c r="Q1043" s="40" t="n">
        <f aca="true">RAND()</f>
        <v>0.67764143495019</v>
      </c>
      <c r="R1043" s="40" t="n">
        <f aca="true">RAND()</f>
        <v>0.75704340319078</v>
      </c>
      <c r="S1043" s="40" t="n">
        <f aca="true">RAND()</f>
        <v>0.461172237798264</v>
      </c>
      <c r="T1043" s="40" t="n">
        <f aca="true">RAND()</f>
        <v>0.436012453261234</v>
      </c>
      <c r="U1043" s="40" t="n">
        <f aca="true">RAND()</f>
        <v>0.0603382176578572</v>
      </c>
    </row>
    <row r="1044" customFormat="false" ht="15" hidden="false" customHeight="false" outlineLevel="0" collapsed="false">
      <c r="A1044" s="36" t="n">
        <v>964</v>
      </c>
      <c r="B1044" s="37" t="n">
        <f aca="false">1+IF($G$6=$E$6,$F$6,IF(P1044&lt;($F$6-$E$6)/($G$6-$E$6),$E$6+SQRT(P1044*($G$6-$E$6)*($F$6-$E$6)),$G$6-SQRT((1-P1044)*($G$6-$E$6)*($G$6-$F$6))))</f>
        <v>0.942817231112991</v>
      </c>
      <c r="C1044" s="37" t="n">
        <f aca="false">1+IF($G$7=$E$7,$F$7,IF(Q1044&lt;($F$7-$E$7)/($G$7-$E$7),$E$7+SQRT(Q1044*($G$7-$E$7)*($F$7-$E$7)),$G$7-SQRT((1-Q1044)*($G$7-$E$7)*($G$7-$F$7))))</f>
        <v>1.07776506509749</v>
      </c>
      <c r="D1044" s="37" t="n">
        <f aca="false">1+IF($G$8=$E$8,$F$8,IF(R1044&lt;($F$8-$E$8)/($G$8-$E$8),$E$8+SQRT(R1044*($G$8-$E$8)*($F$8-$E$8)),$G$8-SQRT((1-R1044)*($G$8-$E$8)*($G$8-$F$8))))</f>
        <v>1.04962409516117</v>
      </c>
      <c r="E1044" s="37" t="n">
        <f aca="false">1+IF($G$9=$E$9,$F$9,IF(S1044&lt;($F$9-$E$9)/($G$9-$E$9),$E$9+SQRT(S1044*($G$9-$E$9)*($F$9-$E$9)),$G$9-SQRT((1-S1044)*($G$9-$E$9)*($G$9-$F$9))))</f>
        <v>0.99332828193516</v>
      </c>
      <c r="F1044" s="37" t="n">
        <f aca="false">1+IF($G$10=$E$10,$F$10,IF(T1044&lt;($F$10-$E$10)/($G$10-$E$10),$E$10+SQRT(T1044*($G$10-$E$10)*($F$10-$E$10)),$G$10-SQRT((1-T1044)*($G$10-$E$10)*($G$10-$F$10))))</f>
        <v>0.998757526997893</v>
      </c>
      <c r="G1044" s="38" t="n">
        <f aca="false">IF($G$11=$E$11,$F$11,IF(U1044&lt;($F$11-$E$11)/($G$11-$E$11),$E$11+SQRT(U1044*($G$11-$E$11)*($F$11-$E$11)),$G$11-SQRT((1-U1044)*($G$11-$E$11)*($G$11-$F$11))))</f>
        <v>0.107146602124685</v>
      </c>
      <c r="H1044" s="39" t="n">
        <f aca="false">(('Business Case'!B11*$C1044*'Business Case'!B12*$B1044)-'Business Case'!B11*$C1044*'Business Case'!B13*$D1044-'Business Case'!B14*$E1044)-MAX(0,(('Business Case'!B11*$C1044*'Business Case'!B12*$B1044)-'Business Case'!B11*$C1044*'Business Case'!B13*$D1044-'Business Case'!B14*$E1044))*'Business Case'!$B$7-'Business Case'!$B$8*('Business Case'!B11*$C1044*'Business Case'!B12*$B1044)-'Business Case'!B15*$F1044</f>
        <v>-1997515053.99579</v>
      </c>
      <c r="I1044" s="39" t="n">
        <f aca="false">(('Business Case'!C11*$C1044*'Business Case'!C12*$B1044)-'Business Case'!C11*$C1044*'Business Case'!C13*$D1044-'Business Case'!C14*$E1044)-MAX(0,(('Business Case'!C11*$C1044*'Business Case'!C12*$B1044)-'Business Case'!C11*$C1044*'Business Case'!C13*$D1044-'Business Case'!C14*$E1044))*'Business Case'!$B$7-'Business Case'!$B$8*(('Business Case'!C11*$C1044*'Business Case'!C12*$B1044)-('Business Case'!B11*$C1044*'Business Case'!B12*$B1044))-'Business Case'!C15*$F1044</f>
        <v>-40623950.9909612</v>
      </c>
      <c r="J1044" s="39" t="n">
        <f aca="false">(('Business Case'!D11*$C1044*'Business Case'!D12*$B1044)-'Business Case'!D11*$C1044*'Business Case'!D13*$D1044-'Business Case'!D14*$E1044)-MAX(0,(('Business Case'!D11*$C1044*'Business Case'!D12*$B1044)-'Business Case'!D11*$C1044*'Business Case'!D13*$D1044-'Business Case'!D14*$E1044))*'Business Case'!$B$7-'Business Case'!$B$8*(('Business Case'!D11*$C1044*'Business Case'!D12*$B1044)-('Business Case'!C11*$C1044*'Business Case'!C12*$B1044))-'Business Case'!D15*$F1044</f>
        <v>212555595.40534</v>
      </c>
      <c r="K1044" s="39" t="n">
        <f aca="false">(('Business Case'!E11*$C1044*'Business Case'!E12*$B1044)-'Business Case'!E11*$C1044*'Business Case'!E13*$D1044-'Business Case'!E14*$E1044)-MAX(0,(('Business Case'!E11*$C1044*'Business Case'!E12*$B1044)-'Business Case'!E11*$C1044*'Business Case'!E13*$D1044-'Business Case'!E14*$E1044))*'Business Case'!$B$7-'Business Case'!$B$8*(('Business Case'!E11*$C1044*'Business Case'!E12*$B1044)-('Business Case'!D11*$C1044*'Business Case'!D12*$B1044))-'Business Case'!E15*$F1044</f>
        <v>515673018.151536</v>
      </c>
      <c r="L1044" s="39" t="n">
        <f aca="false">(('Business Case'!F11*$C1044*'Business Case'!F12*$B1044)-'Business Case'!F11*$C1044*'Business Case'!F13*$D1044-'Business Case'!F14*$E1044)-MAX(0,(('Business Case'!F11*$C1044*'Business Case'!F12*$B1044)-'Business Case'!F11*$C1044*'Business Case'!F13*$D1044-'Business Case'!F14*$E1044))*'Business Case'!$B$7-'Business Case'!$B$8*(('Business Case'!F11*$C1044*'Business Case'!F12*$B1044)-('Business Case'!E11*$C1044*'Business Case'!E12*$B1044))-'Business Case'!F15*$F1044</f>
        <v>635183842.281165</v>
      </c>
      <c r="M1044" s="39" t="n">
        <f aca="false">(('Business Case'!G11*$C1044*'Business Case'!G12*$B1044)-'Business Case'!G11*$C1044*'Business Case'!G13*$D1044-'Business Case'!G14*$E1044)-MAX(0,(('Business Case'!G11*$C1044*'Business Case'!G12*$B1044)-'Business Case'!G11*$C1044*'Business Case'!G13*$D1044-'Business Case'!G14*$E1044))*'Business Case'!$B$7-'Business Case'!$B$8*(('Business Case'!G11*$C1044*'Business Case'!G12*$B1044)-('Business Case'!F11*$C1044*'Business Case'!F12*$B1044))-'Business Case'!G15*$F1044+'Business Case'!$B$8*('Business Case'!G11*$C1044*'Business Case'!G12*$B1044)</f>
        <v>828330873.267573</v>
      </c>
      <c r="N1044" s="39" t="n">
        <f aca="false">IF(COUNT('Business Case'!B11:G11)=0,"",H1044+NPV(G1044,I1044:M1044))</f>
        <v>-560137002.123479</v>
      </c>
      <c r="P1044" s="40" t="n">
        <f aca="true">RAND()</f>
        <v>0.0542318787149622</v>
      </c>
      <c r="Q1044" s="40" t="n">
        <f aca="true">RAND()</f>
        <v>0.900611698659632</v>
      </c>
      <c r="R1044" s="40" t="n">
        <f aca="true">RAND()</f>
        <v>0.91127926973293</v>
      </c>
      <c r="S1044" s="40" t="n">
        <f aca="true">RAND()</f>
        <v>0.250312002060361</v>
      </c>
      <c r="T1044" s="40" t="n">
        <f aca="true">RAND()</f>
        <v>0.190183715116025</v>
      </c>
      <c r="U1044" s="40" t="n">
        <f aca="true">RAND()</f>
        <v>0.724650271764728</v>
      </c>
    </row>
    <row r="1045" customFormat="false" ht="15" hidden="false" customHeight="false" outlineLevel="0" collapsed="false">
      <c r="A1045" s="36" t="n">
        <v>965</v>
      </c>
      <c r="B1045" s="37" t="n">
        <f aca="false">1+IF($G$6=$E$6,$F$6,IF(P1045&lt;($F$6-$E$6)/($G$6-$E$6),$E$6+SQRT(P1045*($G$6-$E$6)*($F$6-$E$6)),$G$6-SQRT((1-P1045)*($G$6-$E$6)*($G$6-$F$6))))</f>
        <v>1.03509244887284</v>
      </c>
      <c r="C1045" s="37" t="n">
        <f aca="false">1+IF($G$7=$E$7,$F$7,IF(Q1045&lt;($F$7-$E$7)/($G$7-$E$7),$E$7+SQRT(Q1045*($G$7-$E$7)*($F$7-$E$7)),$G$7-SQRT((1-Q1045)*($G$7-$E$7)*($G$7-$F$7))))</f>
        <v>0.939397911870606</v>
      </c>
      <c r="D1045" s="37" t="n">
        <f aca="false">1+IF($G$8=$E$8,$F$8,IF(R1045&lt;($F$8-$E$8)/($G$8-$E$8),$E$8+SQRT(R1045*($G$8-$E$8)*($F$8-$E$8)),$G$8-SQRT((1-R1045)*($G$8-$E$8)*($G$8-$F$8))))</f>
        <v>1.02776524479511</v>
      </c>
      <c r="E1045" s="37" t="n">
        <f aca="false">1+IF($G$9=$E$9,$F$9,IF(S1045&lt;($F$9-$E$9)/($G$9-$E$9),$E$9+SQRT(S1045*($G$9-$E$9)*($F$9-$E$9)),$G$9-SQRT((1-S1045)*($G$9-$E$9)*($G$9-$F$9))))</f>
        <v>0.98514702340425</v>
      </c>
      <c r="F1045" s="37" t="n">
        <f aca="false">1+IF($G$10=$E$10,$F$10,IF(T1045&lt;($F$10-$E$10)/($G$10-$E$10),$E$10+SQRT(T1045*($G$10-$E$10)*($F$10-$E$10)),$G$10-SQRT((1-T1045)*($G$10-$E$10)*($G$10-$F$10))))</f>
        <v>1.12874805178842</v>
      </c>
      <c r="G1045" s="38" t="n">
        <f aca="false">IF($G$11=$E$11,$F$11,IF(U1045&lt;($F$11-$E$11)/($G$11-$E$11),$E$11+SQRT(U1045*($G$11-$E$11)*($F$11-$E$11)),$G$11-SQRT((1-U1045)*($G$11-$E$11)*($G$11-$F$11))))</f>
        <v>0.11596320713466</v>
      </c>
      <c r="H1045" s="39" t="n">
        <f aca="false">(('Business Case'!B11*$C1045*'Business Case'!B12*$B1045)-'Business Case'!B11*$C1045*'Business Case'!B13*$D1045-'Business Case'!B14*$E1045)-MAX(0,(('Business Case'!B11*$C1045*'Business Case'!B12*$B1045)-'Business Case'!B11*$C1045*'Business Case'!B13*$D1045-'Business Case'!B14*$E1045))*'Business Case'!$B$7-'Business Case'!$B$8*('Business Case'!B11*$C1045*'Business Case'!B12*$B1045)-'Business Case'!B15*$F1045</f>
        <v>-2257496103.57683</v>
      </c>
      <c r="I1045" s="39" t="n">
        <f aca="false">(('Business Case'!C11*$C1045*'Business Case'!C12*$B1045)-'Business Case'!C11*$C1045*'Business Case'!C13*$D1045-'Business Case'!C14*$E1045)-MAX(0,(('Business Case'!C11*$C1045*'Business Case'!C12*$B1045)-'Business Case'!C11*$C1045*'Business Case'!C13*$D1045-'Business Case'!C14*$E1045))*'Business Case'!$B$7-'Business Case'!$B$8*(('Business Case'!C11*$C1045*'Business Case'!C12*$B1045)-('Business Case'!B11*$C1045*'Business Case'!B12*$B1045))-'Business Case'!C15*$F1045</f>
        <v>-1182967.37087485</v>
      </c>
      <c r="J1045" s="39" t="n">
        <f aca="false">(('Business Case'!D11*$C1045*'Business Case'!D12*$B1045)-'Business Case'!D11*$C1045*'Business Case'!D13*$D1045-'Business Case'!D14*$E1045)-MAX(0,(('Business Case'!D11*$C1045*'Business Case'!D12*$B1045)-'Business Case'!D11*$C1045*'Business Case'!D13*$D1045-'Business Case'!D14*$E1045))*'Business Case'!$B$7-'Business Case'!$B$8*(('Business Case'!D11*$C1045*'Business Case'!D12*$B1045)-('Business Case'!C11*$C1045*'Business Case'!C12*$B1045))-'Business Case'!D15*$F1045</f>
        <v>301004110.598903</v>
      </c>
      <c r="K1045" s="39" t="n">
        <f aca="false">(('Business Case'!E11*$C1045*'Business Case'!E12*$B1045)-'Business Case'!E11*$C1045*'Business Case'!E13*$D1045-'Business Case'!E14*$E1045)-MAX(0,(('Business Case'!E11*$C1045*'Business Case'!E12*$B1045)-'Business Case'!E11*$C1045*'Business Case'!E13*$D1045-'Business Case'!E14*$E1045))*'Business Case'!$B$7-'Business Case'!$B$8*(('Business Case'!E11*$C1045*'Business Case'!E12*$B1045)-('Business Case'!D11*$C1045*'Business Case'!D12*$B1045))-'Business Case'!E15*$F1045</f>
        <v>659628591.158102</v>
      </c>
      <c r="L1045" s="39" t="n">
        <f aca="false">(('Business Case'!F11*$C1045*'Business Case'!F12*$B1045)-'Business Case'!F11*$C1045*'Business Case'!F13*$D1045-'Business Case'!F14*$E1045)-MAX(0,(('Business Case'!F11*$C1045*'Business Case'!F12*$B1045)-'Business Case'!F11*$C1045*'Business Case'!F13*$D1045-'Business Case'!F14*$E1045))*'Business Case'!$B$7-'Business Case'!$B$8*(('Business Case'!F11*$C1045*'Business Case'!F12*$B1045)-('Business Case'!E11*$C1045*'Business Case'!E12*$B1045))-'Business Case'!F15*$F1045</f>
        <v>793962506.103847</v>
      </c>
      <c r="M1045" s="39" t="n">
        <f aca="false">(('Business Case'!G11*$C1045*'Business Case'!G12*$B1045)-'Business Case'!G11*$C1045*'Business Case'!G13*$D1045-'Business Case'!G14*$E1045)-MAX(0,(('Business Case'!G11*$C1045*'Business Case'!G12*$B1045)-'Business Case'!G11*$C1045*'Business Case'!G13*$D1045-'Business Case'!G14*$E1045))*'Business Case'!$B$7-'Business Case'!$B$8*(('Business Case'!G11*$C1045*'Business Case'!G12*$B1045)-('Business Case'!F11*$C1045*'Business Case'!F12*$B1045))-'Business Case'!G15*$F1045+'Business Case'!$B$8*('Business Case'!G11*$C1045*'Business Case'!G12*$B1045)</f>
        <v>978789395.360847</v>
      </c>
      <c r="N1045" s="39" t="n">
        <f aca="false">IF(COUNT('Business Case'!B11:G11)=0,"",H1045+NPV(G1045,I1045:M1045))</f>
        <v>-464806633.800577</v>
      </c>
      <c r="P1045" s="40" t="n">
        <f aca="true">RAND()</f>
        <v>0.994982487902991</v>
      </c>
      <c r="Q1045" s="40" t="n">
        <f aca="true">RAND()</f>
        <v>0.277596826198362</v>
      </c>
      <c r="R1045" s="40" t="n">
        <f aca="true">RAND()</f>
        <v>0.737647148912066</v>
      </c>
      <c r="S1045" s="40" t="n">
        <f aca="true">RAND()</f>
        <v>0.164708433890519</v>
      </c>
      <c r="T1045" s="40" t="n">
        <f aca="true">RAND()</f>
        <v>0.898463197521075</v>
      </c>
      <c r="U1045" s="40" t="n">
        <f aca="true">RAND()</f>
        <v>0.972840505603905</v>
      </c>
    </row>
    <row r="1046" customFormat="false" ht="15" hidden="false" customHeight="false" outlineLevel="0" collapsed="false">
      <c r="A1046" s="36" t="n">
        <v>966</v>
      </c>
      <c r="B1046" s="37" t="n">
        <f aca="false">1+IF($G$6=$E$6,$F$6,IF(P1046&lt;($F$6-$E$6)/($G$6-$E$6),$E$6+SQRT(P1046*($G$6-$E$6)*($F$6-$E$6)),$G$6-SQRT((1-P1046)*($G$6-$E$6)*($G$6-$F$6))))</f>
        <v>1.03379442025077</v>
      </c>
      <c r="C1046" s="37" t="n">
        <f aca="false">1+IF($G$7=$E$7,$F$7,IF(Q1046&lt;($F$7-$E$7)/($G$7-$E$7),$E$7+SQRT(Q1046*($G$7-$E$7)*($F$7-$E$7)),$G$7-SQRT((1-Q1046)*($G$7-$E$7)*($G$7-$F$7))))</f>
        <v>0.997442466937585</v>
      </c>
      <c r="D1046" s="37" t="n">
        <f aca="false">1+IF($G$8=$E$8,$F$8,IF(R1046&lt;($F$8-$E$8)/($G$8-$E$8),$E$8+SQRT(R1046*($G$8-$E$8)*($F$8-$E$8)),$G$8-SQRT((1-R1046)*($G$8-$E$8)*($G$8-$F$8))))</f>
        <v>1.00717890841036</v>
      </c>
      <c r="E1046" s="37" t="n">
        <f aca="false">1+IF($G$9=$E$9,$F$9,IF(S1046&lt;($F$9-$E$9)/($G$9-$E$9),$E$9+SQRT(S1046*($G$9-$E$9)*($F$9-$E$9)),$G$9-SQRT((1-S1046)*($G$9-$E$9)*($G$9-$F$9))))</f>
        <v>1.0541058734695</v>
      </c>
      <c r="F1046" s="37" t="n">
        <f aca="false">1+IF($G$10=$E$10,$F$10,IF(T1046&lt;($F$10-$E$10)/($G$10-$E$10),$E$10+SQRT(T1046*($G$10-$E$10)*($F$10-$E$10)),$G$10-SQRT((1-T1046)*($G$10-$E$10)*($G$10-$F$10))))</f>
        <v>1.07235969122693</v>
      </c>
      <c r="G1046" s="38" t="n">
        <f aca="false">IF($G$11=$E$11,$F$11,IF(U1046&lt;($F$11-$E$11)/($G$11-$E$11),$E$11+SQRT(U1046*($G$11-$E$11)*($F$11-$E$11)),$G$11-SQRT((1-U1046)*($G$11-$E$11)*($G$11-$F$11))))</f>
        <v>0.105337122211755</v>
      </c>
      <c r="H1046" s="39" t="n">
        <f aca="false">(('Business Case'!B11*$C1046*'Business Case'!B12*$B1046)-'Business Case'!B11*$C1046*'Business Case'!B13*$D1046-'Business Case'!B14*$E1046)-MAX(0,(('Business Case'!B11*$C1046*'Business Case'!B12*$B1046)-'Business Case'!B11*$C1046*'Business Case'!B13*$D1046-'Business Case'!B14*$E1046))*'Business Case'!$B$7-'Business Case'!$B$8*('Business Case'!B11*$C1046*'Business Case'!B12*$B1046)-'Business Case'!B15*$F1046</f>
        <v>-2144719382.45386</v>
      </c>
      <c r="I1046" s="39" t="n">
        <f aca="false">(('Business Case'!C11*$C1046*'Business Case'!C12*$B1046)-'Business Case'!C11*$C1046*'Business Case'!C13*$D1046-'Business Case'!C14*$E1046)-MAX(0,(('Business Case'!C11*$C1046*'Business Case'!C12*$B1046)-'Business Case'!C11*$C1046*'Business Case'!C13*$D1046-'Business Case'!C14*$E1046))*'Business Case'!$B$7-'Business Case'!$B$8*(('Business Case'!C11*$C1046*'Business Case'!C12*$B1046)-('Business Case'!B11*$C1046*'Business Case'!B12*$B1046))-'Business Case'!C15*$F1046</f>
        <v>19725427.5075683</v>
      </c>
      <c r="J1046" s="39" t="n">
        <f aca="false">(('Business Case'!D11*$C1046*'Business Case'!D12*$B1046)-'Business Case'!D11*$C1046*'Business Case'!D13*$D1046-'Business Case'!D14*$E1046)-MAX(0,(('Business Case'!D11*$C1046*'Business Case'!D12*$B1046)-'Business Case'!D11*$C1046*'Business Case'!D13*$D1046-'Business Case'!D14*$E1046))*'Business Case'!$B$7-'Business Case'!$B$8*(('Business Case'!D11*$C1046*'Business Case'!D12*$B1046)-('Business Case'!C11*$C1046*'Business Case'!C12*$B1046))-'Business Case'!D15*$F1046</f>
        <v>350035519.027843</v>
      </c>
      <c r="K1046" s="39" t="n">
        <f aca="false">(('Business Case'!E11*$C1046*'Business Case'!E12*$B1046)-'Business Case'!E11*$C1046*'Business Case'!E13*$D1046-'Business Case'!E14*$E1046)-MAX(0,(('Business Case'!E11*$C1046*'Business Case'!E12*$B1046)-'Business Case'!E11*$C1046*'Business Case'!E13*$D1046-'Business Case'!E14*$E1046))*'Business Case'!$B$7-'Business Case'!$B$8*(('Business Case'!E11*$C1046*'Business Case'!E12*$B1046)-('Business Case'!D11*$C1046*'Business Case'!D12*$B1046))-'Business Case'!E15*$F1046</f>
        <v>733963595.109465</v>
      </c>
      <c r="L1046" s="39" t="n">
        <f aca="false">(('Business Case'!F11*$C1046*'Business Case'!F12*$B1046)-'Business Case'!F11*$C1046*'Business Case'!F13*$D1046-'Business Case'!F14*$E1046)-MAX(0,(('Business Case'!F11*$C1046*'Business Case'!F12*$B1046)-'Business Case'!F11*$C1046*'Business Case'!F13*$D1046-'Business Case'!F14*$E1046))*'Business Case'!$B$7-'Business Case'!$B$8*(('Business Case'!F11*$C1046*'Business Case'!F12*$B1046)-('Business Case'!E11*$C1046*'Business Case'!E12*$B1046))-'Business Case'!F15*$F1046</f>
        <v>879703518.73799</v>
      </c>
      <c r="M1046" s="39" t="n">
        <f aca="false">(('Business Case'!G11*$C1046*'Business Case'!G12*$B1046)-'Business Case'!G11*$C1046*'Business Case'!G13*$D1046-'Business Case'!G14*$E1046)-MAX(0,(('Business Case'!G11*$C1046*'Business Case'!G12*$B1046)-'Business Case'!G11*$C1046*'Business Case'!G13*$D1046-'Business Case'!G14*$E1046))*'Business Case'!$B$7-'Business Case'!$B$8*(('Business Case'!G11*$C1046*'Business Case'!G12*$B1046)-('Business Case'!F11*$C1046*'Business Case'!F12*$B1046))-'Business Case'!G15*$F1046+'Business Case'!$B$8*('Business Case'!G11*$C1046*'Business Case'!G12*$B1046)</f>
        <v>1075704597.57437</v>
      </c>
      <c r="N1046" s="39" t="n">
        <f aca="false">IF(COUNT('Business Case'!B11:G11)=0,"",H1046+NPV(G1046,I1046:M1046))</f>
        <v>-55600977.6866872</v>
      </c>
      <c r="P1046" s="40" t="n">
        <f aca="true">RAND()</f>
        <v>0.991977245828324</v>
      </c>
      <c r="Q1046" s="40" t="n">
        <f aca="true">RAND()</f>
        <v>0.556907539291421</v>
      </c>
      <c r="R1046" s="40" t="n">
        <f aca="true">RAND()</f>
        <v>0.490104674970564</v>
      </c>
      <c r="S1046" s="40" t="n">
        <f aca="true">RAND()</f>
        <v>0.859581943333523</v>
      </c>
      <c r="T1046" s="40" t="n">
        <f aca="true">RAND()</f>
        <v>0.674159031526314</v>
      </c>
      <c r="U1046" s="40" t="n">
        <f aca="true">RAND()</f>
        <v>0.641666691611653</v>
      </c>
    </row>
    <row r="1047" customFormat="false" ht="15" hidden="false" customHeight="false" outlineLevel="0" collapsed="false">
      <c r="A1047" s="36" t="n">
        <v>967</v>
      </c>
      <c r="B1047" s="37" t="n">
        <f aca="false">1+IF($G$6=$E$6,$F$6,IF(P1047&lt;($F$6-$E$6)/($G$6-$E$6),$E$6+SQRT(P1047*($G$6-$E$6)*($F$6-$E$6)),$G$6-SQRT((1-P1047)*($G$6-$E$6)*($G$6-$F$6))))</f>
        <v>0.994924298120184</v>
      </c>
      <c r="C1047" s="37" t="n">
        <f aca="false">1+IF($G$7=$E$7,$F$7,IF(Q1047&lt;($F$7-$E$7)/($G$7-$E$7),$E$7+SQRT(Q1047*($G$7-$E$7)*($F$7-$E$7)),$G$7-SQRT((1-Q1047)*($G$7-$E$7)*($G$7-$F$7))))</f>
        <v>0.963280997976136</v>
      </c>
      <c r="D1047" s="37" t="n">
        <f aca="false">1+IF($G$8=$E$8,$F$8,IF(R1047&lt;($F$8-$E$8)/($G$8-$E$8),$E$8+SQRT(R1047*($G$8-$E$8)*($F$8-$E$8)),$G$8-SQRT((1-R1047)*($G$8-$E$8)*($G$8-$F$8))))</f>
        <v>0.962954994152985</v>
      </c>
      <c r="E1047" s="37" t="n">
        <f aca="false">1+IF($G$9=$E$9,$F$9,IF(S1047&lt;($F$9-$E$9)/($G$9-$E$9),$E$9+SQRT(S1047*($G$9-$E$9)*($F$9-$E$9)),$G$9-SQRT((1-S1047)*($G$9-$E$9)*($G$9-$F$9))))</f>
        <v>1.0826140877659</v>
      </c>
      <c r="F1047" s="37" t="n">
        <f aca="false">1+IF($G$10=$E$10,$F$10,IF(T1047&lt;($F$10-$E$10)/($G$10-$E$10),$E$10+SQRT(T1047*($G$10-$E$10)*($F$10-$E$10)),$G$10-SQRT((1-T1047)*($G$10-$E$10)*($G$10-$F$10))))</f>
        <v>1.05782594527229</v>
      </c>
      <c r="G1047" s="38" t="n">
        <f aca="false">IF($G$11=$E$11,$F$11,IF(U1047&lt;($F$11-$E$11)/($G$11-$E$11),$E$11+SQRT(U1047*($G$11-$E$11)*($F$11-$E$11)),$G$11-SQRT((1-U1047)*($G$11-$E$11)*($G$11-$F$11))))</f>
        <v>0.107517257674916</v>
      </c>
      <c r="H1047" s="39" t="n">
        <f aca="false">(('Business Case'!B11*$C1047*'Business Case'!B12*$B1047)-'Business Case'!B11*$C1047*'Business Case'!B13*$D1047-'Business Case'!B14*$E1047)-MAX(0,(('Business Case'!B11*$C1047*'Business Case'!B12*$B1047)-'Business Case'!B11*$C1047*'Business Case'!B13*$D1047-'Business Case'!B14*$E1047))*'Business Case'!$B$7-'Business Case'!$B$8*('Business Case'!B11*$C1047*'Business Case'!B12*$B1047)-'Business Case'!B15*$F1047</f>
        <v>-2115651890.54457</v>
      </c>
      <c r="I1047" s="39" t="n">
        <f aca="false">(('Business Case'!C11*$C1047*'Business Case'!C12*$B1047)-'Business Case'!C11*$C1047*'Business Case'!C13*$D1047-'Business Case'!C14*$E1047)-MAX(0,(('Business Case'!C11*$C1047*'Business Case'!C12*$B1047)-'Business Case'!C11*$C1047*'Business Case'!C13*$D1047-'Business Case'!C14*$E1047))*'Business Case'!$B$7-'Business Case'!$B$8*(('Business Case'!C11*$C1047*'Business Case'!C12*$B1047)-('Business Case'!B11*$C1047*'Business Case'!B12*$B1047))-'Business Case'!C15*$F1047</f>
        <v>723369.406332091</v>
      </c>
      <c r="J1047" s="39" t="n">
        <f aca="false">(('Business Case'!D11*$C1047*'Business Case'!D12*$B1047)-'Business Case'!D11*$C1047*'Business Case'!D13*$D1047-'Business Case'!D14*$E1047)-MAX(0,(('Business Case'!D11*$C1047*'Business Case'!D12*$B1047)-'Business Case'!D11*$C1047*'Business Case'!D13*$D1047-'Business Case'!D14*$E1047))*'Business Case'!$B$7-'Business Case'!$B$8*(('Business Case'!D11*$C1047*'Business Case'!D12*$B1047)-('Business Case'!C11*$C1047*'Business Case'!C12*$B1047))-'Business Case'!D15*$F1047</f>
        <v>310860080.834679</v>
      </c>
      <c r="K1047" s="39" t="n">
        <f aca="false">(('Business Case'!E11*$C1047*'Business Case'!E12*$B1047)-'Business Case'!E11*$C1047*'Business Case'!E13*$D1047-'Business Case'!E14*$E1047)-MAX(0,(('Business Case'!E11*$C1047*'Business Case'!E12*$B1047)-'Business Case'!E11*$C1047*'Business Case'!E13*$D1047-'Business Case'!E14*$E1047))*'Business Case'!$B$7-'Business Case'!$B$8*(('Business Case'!E11*$C1047*'Business Case'!E12*$B1047)-('Business Case'!D11*$C1047*'Business Case'!D12*$B1047))-'Business Case'!E15*$F1047</f>
        <v>673888089.526641</v>
      </c>
      <c r="L1047" s="39" t="n">
        <f aca="false">(('Business Case'!F11*$C1047*'Business Case'!F12*$B1047)-'Business Case'!F11*$C1047*'Business Case'!F13*$D1047-'Business Case'!F14*$E1047)-MAX(0,(('Business Case'!F11*$C1047*'Business Case'!F12*$B1047)-'Business Case'!F11*$C1047*'Business Case'!F13*$D1047-'Business Case'!F14*$E1047))*'Business Case'!$B$7-'Business Case'!$B$8*(('Business Case'!F11*$C1047*'Business Case'!F12*$B1047)-('Business Case'!E11*$C1047*'Business Case'!E12*$B1047))-'Business Case'!F15*$F1047</f>
        <v>810389009.479073</v>
      </c>
      <c r="M1047" s="39" t="n">
        <f aca="false">(('Business Case'!G11*$C1047*'Business Case'!G12*$B1047)-'Business Case'!G11*$C1047*'Business Case'!G13*$D1047-'Business Case'!G14*$E1047)-MAX(0,(('Business Case'!G11*$C1047*'Business Case'!G12*$B1047)-'Business Case'!G11*$C1047*'Business Case'!G13*$D1047-'Business Case'!G14*$E1047))*'Business Case'!$B$7-'Business Case'!$B$8*(('Business Case'!G11*$C1047*'Business Case'!G12*$B1047)-('Business Case'!F11*$C1047*'Business Case'!F12*$B1047))-'Business Case'!G15*$F1047+'Business Case'!$B$8*('Business Case'!G11*$C1047*'Business Case'!G12*$B1047)</f>
        <v>992560098.265481</v>
      </c>
      <c r="N1047" s="39" t="n">
        <f aca="false">IF(COUNT('Business Case'!B11:G11)=0,"",H1047+NPV(G1047,I1047:M1047))</f>
        <v>-231203651.537422</v>
      </c>
      <c r="P1047" s="40" t="n">
        <f aca="true">RAND()</f>
        <v>0.584755255083569</v>
      </c>
      <c r="Q1047" s="40" t="n">
        <f aca="true">RAND()</f>
        <v>0.380866918572614</v>
      </c>
      <c r="R1047" s="40" t="n">
        <f aca="true">RAND()</f>
        <v>0.0258202882313669</v>
      </c>
      <c r="S1047" s="40" t="n">
        <f aca="true">RAND()</f>
        <v>0.979848670385882</v>
      </c>
      <c r="T1047" s="40" t="n">
        <f aca="true">RAND()</f>
        <v>0.595730763245622</v>
      </c>
      <c r="U1047" s="40" t="n">
        <f aca="true">RAND()</f>
        <v>0.740301906742607</v>
      </c>
    </row>
    <row r="1048" customFormat="false" ht="15" hidden="false" customHeight="false" outlineLevel="0" collapsed="false">
      <c r="A1048" s="36" t="n">
        <v>968</v>
      </c>
      <c r="B1048" s="37" t="n">
        <f aca="false">1+IF($G$6=$E$6,$F$6,IF(P1048&lt;($F$6-$E$6)/($G$6-$E$6),$E$6+SQRT(P1048*($G$6-$E$6)*($F$6-$E$6)),$G$6-SQRT((1-P1048)*($G$6-$E$6)*($G$6-$F$6))))</f>
        <v>0.985063656146149</v>
      </c>
      <c r="C1048" s="37" t="n">
        <f aca="false">1+IF($G$7=$E$7,$F$7,IF(Q1048&lt;($F$7-$E$7)/($G$7-$E$7),$E$7+SQRT(Q1048*($G$7-$E$7)*($F$7-$E$7)),$G$7-SQRT((1-Q1048)*($G$7-$E$7)*($G$7-$F$7))))</f>
        <v>1.02052898054162</v>
      </c>
      <c r="D1048" s="37" t="n">
        <f aca="false">1+IF($G$8=$E$8,$F$8,IF(R1048&lt;($F$8-$E$8)/($G$8-$E$8),$E$8+SQRT(R1048*($G$8-$E$8)*($F$8-$E$8)),$G$8-SQRT((1-R1048)*($G$8-$E$8)*($G$8-$F$8))))</f>
        <v>1.02697208515173</v>
      </c>
      <c r="E1048" s="37" t="n">
        <f aca="false">1+IF($G$9=$E$9,$F$9,IF(S1048&lt;($F$9-$E$9)/($G$9-$E$9),$E$9+SQRT(S1048*($G$9-$E$9)*($F$9-$E$9)),$G$9-SQRT((1-S1048)*($G$9-$E$9)*($G$9-$F$9))))</f>
        <v>1.0007558351732</v>
      </c>
      <c r="F1048" s="37" t="n">
        <f aca="false">1+IF($G$10=$E$10,$F$10,IF(T1048&lt;($F$10-$E$10)/($G$10-$E$10),$E$10+SQRT(T1048*($G$10-$E$10)*($F$10-$E$10)),$G$10-SQRT((1-T1048)*($G$10-$E$10)*($G$10-$F$10))))</f>
        <v>1.00384613439354</v>
      </c>
      <c r="G1048" s="38" t="n">
        <f aca="false">IF($G$11=$E$11,$F$11,IF(U1048&lt;($F$11-$E$11)/($G$11-$E$11),$E$11+SQRT(U1048*($G$11-$E$11)*($F$11-$E$11)),$G$11-SQRT((1-U1048)*($G$11-$E$11)*($G$11-$F$11))))</f>
        <v>0.105748162324053</v>
      </c>
      <c r="H1048" s="39" t="n">
        <f aca="false">(('Business Case'!B11*$C1048*'Business Case'!B12*$B1048)-'Business Case'!B11*$C1048*'Business Case'!B13*$D1048-'Business Case'!B14*$E1048)-MAX(0,(('Business Case'!B11*$C1048*'Business Case'!B12*$B1048)-'Business Case'!B11*$C1048*'Business Case'!B13*$D1048-'Business Case'!B14*$E1048))*'Business Case'!$B$7-'Business Case'!$B$8*('Business Case'!B11*$C1048*'Business Case'!B12*$B1048)-'Business Case'!B15*$F1048</f>
        <v>-2007692268.78708</v>
      </c>
      <c r="I1048" s="39" t="n">
        <f aca="false">(('Business Case'!C11*$C1048*'Business Case'!C12*$B1048)-'Business Case'!C11*$C1048*'Business Case'!C13*$D1048-'Business Case'!C14*$E1048)-MAX(0,(('Business Case'!C11*$C1048*'Business Case'!C12*$B1048)-'Business Case'!C11*$C1048*'Business Case'!C13*$D1048-'Business Case'!C14*$E1048))*'Business Case'!$B$7-'Business Case'!$B$8*(('Business Case'!C11*$C1048*'Business Case'!C12*$B1048)-('Business Case'!B11*$C1048*'Business Case'!B12*$B1048))-'Business Case'!C15*$F1048</f>
        <v>-7924698.58773546</v>
      </c>
      <c r="J1048" s="39" t="n">
        <f aca="false">(('Business Case'!D11*$C1048*'Business Case'!D12*$B1048)-'Business Case'!D11*$C1048*'Business Case'!D13*$D1048-'Business Case'!D14*$E1048)-MAX(0,(('Business Case'!D11*$C1048*'Business Case'!D12*$B1048)-'Business Case'!D11*$C1048*'Business Case'!D13*$D1048-'Business Case'!D14*$E1048))*'Business Case'!$B$7-'Business Case'!$B$8*(('Business Case'!D11*$C1048*'Business Case'!D12*$B1048)-('Business Case'!C11*$C1048*'Business Case'!C12*$B1048))-'Business Case'!D15*$F1048</f>
        <v>278956722.720431</v>
      </c>
      <c r="K1048" s="39" t="n">
        <f aca="false">(('Business Case'!E11*$C1048*'Business Case'!E12*$B1048)-'Business Case'!E11*$C1048*'Business Case'!E13*$D1048-'Business Case'!E14*$E1048)-MAX(0,(('Business Case'!E11*$C1048*'Business Case'!E12*$B1048)-'Business Case'!E11*$C1048*'Business Case'!E13*$D1048-'Business Case'!E14*$E1048))*'Business Case'!$B$7-'Business Case'!$B$8*(('Business Case'!E11*$C1048*'Business Case'!E12*$B1048)-('Business Case'!D11*$C1048*'Business Case'!D12*$B1048))-'Business Case'!E15*$F1048</f>
        <v>616030450.748274</v>
      </c>
      <c r="L1048" s="39" t="n">
        <f aca="false">(('Business Case'!F11*$C1048*'Business Case'!F12*$B1048)-'Business Case'!F11*$C1048*'Business Case'!F13*$D1048-'Business Case'!F14*$E1048)-MAX(0,(('Business Case'!F11*$C1048*'Business Case'!F12*$B1048)-'Business Case'!F11*$C1048*'Business Case'!F13*$D1048-'Business Case'!F14*$E1048))*'Business Case'!$B$7-'Business Case'!$B$8*(('Business Case'!F11*$C1048*'Business Case'!F12*$B1048)-('Business Case'!E11*$C1048*'Business Case'!E12*$B1048))-'Business Case'!F15*$F1048</f>
        <v>746400275.647608</v>
      </c>
      <c r="M1048" s="39" t="n">
        <f aca="false">(('Business Case'!G11*$C1048*'Business Case'!G12*$B1048)-'Business Case'!G11*$C1048*'Business Case'!G13*$D1048-'Business Case'!G14*$E1048)-MAX(0,(('Business Case'!G11*$C1048*'Business Case'!G12*$B1048)-'Business Case'!G11*$C1048*'Business Case'!G13*$D1048-'Business Case'!G14*$E1048))*'Business Case'!$B$7-'Business Case'!$B$8*(('Business Case'!G11*$C1048*'Business Case'!G12*$B1048)-('Business Case'!F11*$C1048*'Business Case'!F12*$B1048))-'Business Case'!G15*$F1048+'Business Case'!$B$8*('Business Case'!G11*$C1048*'Business Case'!G12*$B1048)</f>
        <v>937485040.195642</v>
      </c>
      <c r="N1048" s="39" t="n">
        <f aca="false">IF(COUNT('Business Case'!B11:G11)=0,"",H1048+NPV(G1048,I1048:M1048))</f>
        <v>-264640907.539731</v>
      </c>
      <c r="P1048" s="40" t="n">
        <f aca="true">RAND()</f>
        <v>0.440966599073362</v>
      </c>
      <c r="Q1048" s="40" t="n">
        <f aca="true">RAND()</f>
        <v>0.680709621341105</v>
      </c>
      <c r="R1048" s="40" t="n">
        <f aca="true">RAND()</f>
        <v>0.72961925450425</v>
      </c>
      <c r="S1048" s="40" t="n">
        <f aca="true">RAND()</f>
        <v>0.343373049855414</v>
      </c>
      <c r="T1048" s="40" t="n">
        <f aca="true">RAND()</f>
        <v>0.230473220152861</v>
      </c>
      <c r="U1048" s="40" t="n">
        <f aca="true">RAND()</f>
        <v>0.661475204764112</v>
      </c>
    </row>
    <row r="1049" customFormat="false" ht="15" hidden="false" customHeight="false" outlineLevel="0" collapsed="false">
      <c r="A1049" s="36" t="n">
        <v>969</v>
      </c>
      <c r="B1049" s="37" t="n">
        <f aca="false">1+IF($G$6=$E$6,$F$6,IF(P1049&lt;($F$6-$E$6)/($G$6-$E$6),$E$6+SQRT(P1049*($G$6-$E$6)*($F$6-$E$6)),$G$6-SQRT((1-P1049)*($G$6-$E$6)*($G$6-$F$6))))</f>
        <v>1.01271973516161</v>
      </c>
      <c r="C1049" s="37" t="n">
        <f aca="false">1+IF($G$7=$E$7,$F$7,IF(Q1049&lt;($F$7-$E$7)/($G$7-$E$7),$E$7+SQRT(Q1049*($G$7-$E$7)*($F$7-$E$7)),$G$7-SQRT((1-Q1049)*($G$7-$E$7)*($G$7-$F$7))))</f>
        <v>0.969961729885247</v>
      </c>
      <c r="D1049" s="37" t="n">
        <f aca="false">1+IF($G$8=$E$8,$F$8,IF(R1049&lt;($F$8-$E$8)/($G$8-$E$8),$E$8+SQRT(R1049*($G$8-$E$8)*($F$8-$E$8)),$G$8-SQRT((1-R1049)*($G$8-$E$8)*($G$8-$F$8))))</f>
        <v>1.01916405847302</v>
      </c>
      <c r="E1049" s="37" t="n">
        <f aca="false">1+IF($G$9=$E$9,$F$9,IF(S1049&lt;($F$9-$E$9)/($G$9-$E$9),$E$9+SQRT(S1049*($G$9-$E$9)*($F$9-$E$9)),$G$9-SQRT((1-S1049)*($G$9-$E$9)*($G$9-$F$9))))</f>
        <v>0.990008292902025</v>
      </c>
      <c r="F1049" s="37" t="n">
        <f aca="false">1+IF($G$10=$E$10,$F$10,IF(T1049&lt;($F$10-$E$10)/($G$10-$E$10),$E$10+SQRT(T1049*($G$10-$E$10)*($F$10-$E$10)),$G$10-SQRT((1-T1049)*($G$10-$E$10)*($G$10-$F$10))))</f>
        <v>1.00099340536094</v>
      </c>
      <c r="G1049" s="38" t="n">
        <f aca="false">IF($G$11=$E$11,$F$11,IF(U1049&lt;($F$11-$E$11)/($G$11-$E$11),$E$11+SQRT(U1049*($G$11-$E$11)*($F$11-$E$11)),$G$11-SQRT((1-U1049)*($G$11-$E$11)*($G$11-$F$11))))</f>
        <v>0.10611192138015</v>
      </c>
      <c r="H1049" s="39" t="n">
        <f aca="false">(('Business Case'!B11*$C1049*'Business Case'!B12*$B1049)-'Business Case'!B11*$C1049*'Business Case'!B13*$D1049-'Business Case'!B14*$E1049)-MAX(0,(('Business Case'!B11*$C1049*'Business Case'!B12*$B1049)-'Business Case'!B11*$C1049*'Business Case'!B13*$D1049-'Business Case'!B14*$E1049))*'Business Case'!$B$7-'Business Case'!$B$8*('Business Case'!B11*$C1049*'Business Case'!B12*$B1049)-'Business Case'!B15*$F1049</f>
        <v>-2001986810.72188</v>
      </c>
      <c r="I1049" s="39" t="n">
        <f aca="false">(('Business Case'!C11*$C1049*'Business Case'!C12*$B1049)-'Business Case'!C11*$C1049*'Business Case'!C13*$D1049-'Business Case'!C14*$E1049)-MAX(0,(('Business Case'!C11*$C1049*'Business Case'!C12*$B1049)-'Business Case'!C11*$C1049*'Business Case'!C13*$D1049-'Business Case'!C14*$E1049))*'Business Case'!$B$7-'Business Case'!$B$8*(('Business Case'!C11*$C1049*'Business Case'!C12*$B1049)-('Business Case'!B11*$C1049*'Business Case'!B12*$B1049))-'Business Case'!C15*$F1049</f>
        <v>6714418.70671368</v>
      </c>
      <c r="J1049" s="39" t="n">
        <f aca="false">(('Business Case'!D11*$C1049*'Business Case'!D12*$B1049)-'Business Case'!D11*$C1049*'Business Case'!D13*$D1049-'Business Case'!D14*$E1049)-MAX(0,(('Business Case'!D11*$C1049*'Business Case'!D12*$B1049)-'Business Case'!D11*$C1049*'Business Case'!D13*$D1049-'Business Case'!D14*$E1049))*'Business Case'!$B$7-'Business Case'!$B$8*(('Business Case'!D11*$C1049*'Business Case'!D12*$B1049)-('Business Case'!C11*$C1049*'Business Case'!C12*$B1049))-'Business Case'!D15*$F1049</f>
        <v>305229757.381123</v>
      </c>
      <c r="K1049" s="39" t="n">
        <f aca="false">(('Business Case'!E11*$C1049*'Business Case'!E12*$B1049)-'Business Case'!E11*$C1049*'Business Case'!E13*$D1049-'Business Case'!E14*$E1049)-MAX(0,(('Business Case'!E11*$C1049*'Business Case'!E12*$B1049)-'Business Case'!E11*$C1049*'Business Case'!E13*$D1049-'Business Case'!E14*$E1049))*'Business Case'!$B$7-'Business Case'!$B$8*(('Business Case'!E11*$C1049*'Business Case'!E12*$B1049)-('Business Case'!D11*$C1049*'Business Case'!D12*$B1049))-'Business Case'!E15*$F1049</f>
        <v>653794766.32358</v>
      </c>
      <c r="L1049" s="39" t="n">
        <f aca="false">(('Business Case'!F11*$C1049*'Business Case'!F12*$B1049)-'Business Case'!F11*$C1049*'Business Case'!F13*$D1049-'Business Case'!F14*$E1049)-MAX(0,(('Business Case'!F11*$C1049*'Business Case'!F12*$B1049)-'Business Case'!F11*$C1049*'Business Case'!F13*$D1049-'Business Case'!F14*$E1049))*'Business Case'!$B$7-'Business Case'!$B$8*(('Business Case'!F11*$C1049*'Business Case'!F12*$B1049)-('Business Case'!E11*$C1049*'Business Case'!E12*$B1049))-'Business Case'!F15*$F1049</f>
        <v>787248146.002339</v>
      </c>
      <c r="M1049" s="39" t="n">
        <f aca="false">(('Business Case'!G11*$C1049*'Business Case'!G12*$B1049)-'Business Case'!G11*$C1049*'Business Case'!G13*$D1049-'Business Case'!G14*$E1049)-MAX(0,(('Business Case'!G11*$C1049*'Business Case'!G12*$B1049)-'Business Case'!G11*$C1049*'Business Case'!G13*$D1049-'Business Case'!G14*$E1049))*'Business Case'!$B$7-'Business Case'!$B$8*(('Business Case'!G11*$C1049*'Business Case'!G12*$B1049)-('Business Case'!F11*$C1049*'Business Case'!F12*$B1049))-'Business Case'!G15*$F1049+'Business Case'!$B$8*('Business Case'!G11*$C1049*'Business Case'!G12*$B1049)</f>
        <v>973963613.33243</v>
      </c>
      <c r="N1049" s="39" t="n">
        <f aca="false">IF(COUNT('Business Case'!B11:G11)=0,"",H1049+NPV(G1049,I1049:M1049))</f>
        <v>-149187538.27685</v>
      </c>
      <c r="P1049" s="40" t="n">
        <f aca="true">RAND()</f>
        <v>0.844955656322355</v>
      </c>
      <c r="Q1049" s="40" t="n">
        <f aca="true">RAND()</f>
        <v>0.412671280365509</v>
      </c>
      <c r="R1049" s="40" t="n">
        <f aca="true">RAND()</f>
        <v>0.644133482550556</v>
      </c>
      <c r="S1049" s="40" t="n">
        <f aca="true">RAND()</f>
        <v>0.213421800124565</v>
      </c>
      <c r="T1049" s="40" t="n">
        <f aca="true">RAND()</f>
        <v>0.207927505803301</v>
      </c>
      <c r="U1049" s="40" t="n">
        <f aca="true">RAND()</f>
        <v>0.678535453748121</v>
      </c>
    </row>
    <row r="1050" customFormat="false" ht="15" hidden="false" customHeight="false" outlineLevel="0" collapsed="false">
      <c r="A1050" s="36" t="n">
        <v>970</v>
      </c>
      <c r="B1050" s="37" t="n">
        <f aca="false">1+IF($G$6=$E$6,$F$6,IF(P1050&lt;($F$6-$E$6)/($G$6-$E$6),$E$6+SQRT(P1050*($G$6-$E$6)*($F$6-$E$6)),$G$6-SQRT((1-P1050)*($G$6-$E$6)*($G$6-$F$6))))</f>
        <v>0.962315264065238</v>
      </c>
      <c r="C1050" s="37" t="n">
        <f aca="false">1+IF($G$7=$E$7,$F$7,IF(Q1050&lt;($F$7-$E$7)/($G$7-$E$7),$E$7+SQRT(Q1050*($G$7-$E$7)*($F$7-$E$7)),$G$7-SQRT((1-Q1050)*($G$7-$E$7)*($G$7-$F$7))))</f>
        <v>1.01232032501843</v>
      </c>
      <c r="D1050" s="37" t="n">
        <f aca="false">1+IF($G$8=$E$8,$F$8,IF(R1050&lt;($F$8-$E$8)/($G$8-$E$8),$E$8+SQRT(R1050*($G$8-$E$8)*($F$8-$E$8)),$G$8-SQRT((1-R1050)*($G$8-$E$8)*($G$8-$F$8))))</f>
        <v>1.00161695196183</v>
      </c>
      <c r="E1050" s="37" t="n">
        <f aca="false">1+IF($G$9=$E$9,$F$9,IF(S1050&lt;($F$9-$E$9)/($G$9-$E$9),$E$9+SQRT(S1050*($G$9-$E$9)*($F$9-$E$9)),$G$9-SQRT((1-S1050)*($G$9-$E$9)*($G$9-$F$9))))</f>
        <v>0.985857302018431</v>
      </c>
      <c r="F1050" s="37" t="n">
        <f aca="false">1+IF($G$10=$E$10,$F$10,IF(T1050&lt;($F$10-$E$10)/($G$10-$E$10),$E$10+SQRT(T1050*($G$10-$E$10)*($F$10-$E$10)),$G$10-SQRT((1-T1050)*($G$10-$E$10)*($G$10-$F$10))))</f>
        <v>1.12457902216933</v>
      </c>
      <c r="G1050" s="38" t="n">
        <f aca="false">IF($G$11=$E$11,$F$11,IF(U1050&lt;($F$11-$E$11)/($G$11-$E$11),$E$11+SQRT(U1050*($G$11-$E$11)*($F$11-$E$11)),$G$11-SQRT((1-U1050)*($G$11-$E$11)*($G$11-$F$11))))</f>
        <v>0.105142799669404</v>
      </c>
      <c r="H1050" s="39" t="n">
        <f aca="false">(('Business Case'!B11*$C1050*'Business Case'!B12*$B1050)-'Business Case'!B11*$C1050*'Business Case'!B13*$D1050-'Business Case'!B14*$E1050)-MAX(0,(('Business Case'!B11*$C1050*'Business Case'!B12*$B1050)-'Business Case'!B11*$C1050*'Business Case'!B13*$D1050-'Business Case'!B14*$E1050))*'Business Case'!$B$7-'Business Case'!$B$8*('Business Case'!B11*$C1050*'Business Case'!B12*$B1050)-'Business Case'!B15*$F1050</f>
        <v>-2249158044.33867</v>
      </c>
      <c r="I1050" s="39" t="n">
        <f aca="false">(('Business Case'!C11*$C1050*'Business Case'!C12*$B1050)-'Business Case'!C11*$C1050*'Business Case'!C13*$D1050-'Business Case'!C14*$E1050)-MAX(0,(('Business Case'!C11*$C1050*'Business Case'!C12*$B1050)-'Business Case'!C11*$C1050*'Business Case'!C13*$D1050-'Business Case'!C14*$E1050))*'Business Case'!$B$7-'Business Case'!$B$8*(('Business Case'!C11*$C1050*'Business Case'!C12*$B1050)-('Business Case'!B11*$C1050*'Business Case'!B12*$B1050))-'Business Case'!C15*$F1050</f>
        <v>-24296384.0218641</v>
      </c>
      <c r="J1050" s="39" t="n">
        <f aca="false">(('Business Case'!D11*$C1050*'Business Case'!D12*$B1050)-'Business Case'!D11*$C1050*'Business Case'!D13*$D1050-'Business Case'!D14*$E1050)-MAX(0,(('Business Case'!D11*$C1050*'Business Case'!D12*$B1050)-'Business Case'!D11*$C1050*'Business Case'!D13*$D1050-'Business Case'!D14*$E1050))*'Business Case'!$B$7-'Business Case'!$B$8*(('Business Case'!D11*$C1050*'Business Case'!D12*$B1050)-('Business Case'!C11*$C1050*'Business Case'!C12*$B1050))-'Business Case'!D15*$F1050</f>
        <v>254555082.758297</v>
      </c>
      <c r="K1050" s="39" t="n">
        <f aca="false">(('Business Case'!E11*$C1050*'Business Case'!E12*$B1050)-'Business Case'!E11*$C1050*'Business Case'!E13*$D1050-'Business Case'!E14*$E1050)-MAX(0,(('Business Case'!E11*$C1050*'Business Case'!E12*$B1050)-'Business Case'!E11*$C1050*'Business Case'!E13*$D1050-'Business Case'!E14*$E1050))*'Business Case'!$B$7-'Business Case'!$B$8*(('Business Case'!E11*$C1050*'Business Case'!E12*$B1050)-('Business Case'!D11*$C1050*'Business Case'!D12*$B1050))-'Business Case'!E15*$F1050</f>
        <v>589635500.646926</v>
      </c>
      <c r="L1050" s="39" t="n">
        <f aca="false">(('Business Case'!F11*$C1050*'Business Case'!F12*$B1050)-'Business Case'!F11*$C1050*'Business Case'!F13*$D1050-'Business Case'!F14*$E1050)-MAX(0,(('Business Case'!F11*$C1050*'Business Case'!F12*$B1050)-'Business Case'!F11*$C1050*'Business Case'!F13*$D1050-'Business Case'!F14*$E1050))*'Business Case'!$B$7-'Business Case'!$B$8*(('Business Case'!F11*$C1050*'Business Case'!F12*$B1050)-('Business Case'!E11*$C1050*'Business Case'!E12*$B1050))-'Business Case'!F15*$F1050</f>
        <v>716253349.73236</v>
      </c>
      <c r="M1050" s="39" t="n">
        <f aca="false">(('Business Case'!G11*$C1050*'Business Case'!G12*$B1050)-'Business Case'!G11*$C1050*'Business Case'!G13*$D1050-'Business Case'!G14*$E1050)-MAX(0,(('Business Case'!G11*$C1050*'Business Case'!G12*$B1050)-'Business Case'!G11*$C1050*'Business Case'!G13*$D1050-'Business Case'!G14*$E1050))*'Business Case'!$B$7-'Business Case'!$B$8*(('Business Case'!G11*$C1050*'Business Case'!G12*$B1050)-('Business Case'!F11*$C1050*'Business Case'!F12*$B1050))-'Business Case'!G15*$F1050+'Business Case'!$B$8*('Business Case'!G11*$C1050*'Business Case'!G12*$B1050)</f>
        <v>901423830.605289</v>
      </c>
      <c r="N1050" s="39" t="n">
        <f aca="false">IF(COUNT('Business Case'!B11:G11)=0,"",H1050+NPV(G1050,I1050:M1050))</f>
        <v>-598895544.044</v>
      </c>
      <c r="P1050" s="40" t="n">
        <f aca="true">RAND()</f>
        <v>0.186518913844879</v>
      </c>
      <c r="Q1050" s="40" t="n">
        <f aca="true">RAND()</f>
        <v>0.638939182799439</v>
      </c>
      <c r="R1050" s="40" t="n">
        <f aca="true">RAND()</f>
        <v>0.409240171177498</v>
      </c>
      <c r="S1050" s="40" t="n">
        <f aca="true">RAND()</f>
        <v>0.171432814405464</v>
      </c>
      <c r="T1050" s="40" t="n">
        <f aca="true">RAND()</f>
        <v>0.886233522061325</v>
      </c>
      <c r="U1050" s="40" t="n">
        <f aca="true">RAND()</f>
        <v>0.632105997227576</v>
      </c>
    </row>
    <row r="1051" customFormat="false" ht="15" hidden="false" customHeight="false" outlineLevel="0" collapsed="false">
      <c r="A1051" s="36" t="n">
        <v>971</v>
      </c>
      <c r="B1051" s="37" t="n">
        <f aca="false">1+IF($G$6=$E$6,$F$6,IF(P1051&lt;($F$6-$E$6)/($G$6-$E$6),$E$6+SQRT(P1051*($G$6-$E$6)*($F$6-$E$6)),$G$6-SQRT((1-P1051)*($G$6-$E$6)*($G$6-$F$6))))</f>
        <v>0.977771640501279</v>
      </c>
      <c r="C1051" s="37" t="n">
        <f aca="false">1+IF($G$7=$E$7,$F$7,IF(Q1051&lt;($F$7-$E$7)/($G$7-$E$7),$E$7+SQRT(Q1051*($G$7-$E$7)*($F$7-$E$7)),$G$7-SQRT((1-Q1051)*($G$7-$E$7)*($G$7-$F$7))))</f>
        <v>1.08637095364617</v>
      </c>
      <c r="D1051" s="37" t="n">
        <f aca="false">1+IF($G$8=$E$8,$F$8,IF(R1051&lt;($F$8-$E$8)/($G$8-$E$8),$E$8+SQRT(R1051*($G$8-$E$8)*($F$8-$E$8)),$G$8-SQRT((1-R1051)*($G$8-$E$8)*($G$8-$F$8))))</f>
        <v>1.04772813894867</v>
      </c>
      <c r="E1051" s="37" t="n">
        <f aca="false">1+IF($G$9=$E$9,$F$9,IF(S1051&lt;($F$9-$E$9)/($G$9-$E$9),$E$9+SQRT(S1051*($G$9-$E$9)*($F$9-$E$9)),$G$9-SQRT((1-S1051)*($G$9-$E$9)*($G$9-$F$9))))</f>
        <v>1.06561606225668</v>
      </c>
      <c r="F1051" s="37" t="n">
        <f aca="false">1+IF($G$10=$E$10,$F$10,IF(T1051&lt;($F$10-$E$10)/($G$10-$E$10),$E$10+SQRT(T1051*($G$10-$E$10)*($F$10-$E$10)),$G$10-SQRT((1-T1051)*($G$10-$E$10)*($G$10-$F$10))))</f>
        <v>1.12705639265463</v>
      </c>
      <c r="G1051" s="38" t="n">
        <f aca="false">IF($G$11=$E$11,$F$11,IF(U1051&lt;($F$11-$E$11)/($G$11-$E$11),$E$11+SQRT(U1051*($G$11-$E$11)*($F$11-$E$11)),$G$11-SQRT((1-U1051)*($G$11-$E$11)*($G$11-$F$11))))</f>
        <v>0.0994543506042713</v>
      </c>
      <c r="H1051" s="39" t="n">
        <f aca="false">(('Business Case'!B11*$C1051*'Business Case'!B12*$B1051)-'Business Case'!B11*$C1051*'Business Case'!B13*$D1051-'Business Case'!B14*$E1051)-MAX(0,(('Business Case'!B11*$C1051*'Business Case'!B12*$B1051)-'Business Case'!B11*$C1051*'Business Case'!B13*$D1051-'Business Case'!B14*$E1051))*'Business Case'!$B$7-'Business Case'!$B$8*('Business Case'!B11*$C1051*'Business Case'!B12*$B1051)-'Business Case'!B15*$F1051</f>
        <v>-2254112785.30925</v>
      </c>
      <c r="I1051" s="39" t="n">
        <f aca="false">(('Business Case'!C11*$C1051*'Business Case'!C12*$B1051)-'Business Case'!C11*$C1051*'Business Case'!C13*$D1051-'Business Case'!C14*$E1051)-MAX(0,(('Business Case'!C11*$C1051*'Business Case'!C12*$B1051)-'Business Case'!C11*$C1051*'Business Case'!C13*$D1051-'Business Case'!C14*$E1051))*'Business Case'!$B$7-'Business Case'!$B$8*(('Business Case'!C11*$C1051*'Business Case'!C12*$B1051)-('Business Case'!B11*$C1051*'Business Case'!B12*$B1051))-'Business Case'!C15*$F1051</f>
        <v>-31943297.4649716</v>
      </c>
      <c r="J1051" s="39" t="n">
        <f aca="false">(('Business Case'!D11*$C1051*'Business Case'!D12*$B1051)-'Business Case'!D11*$C1051*'Business Case'!D13*$D1051-'Business Case'!D14*$E1051)-MAX(0,(('Business Case'!D11*$C1051*'Business Case'!D12*$B1051)-'Business Case'!D11*$C1051*'Business Case'!D13*$D1051-'Business Case'!D14*$E1051))*'Business Case'!$B$7-'Business Case'!$B$8*(('Business Case'!D11*$C1051*'Business Case'!D12*$B1051)-('Business Case'!C11*$C1051*'Business Case'!C12*$B1051))-'Business Case'!D15*$F1051</f>
        <v>255415273.65095</v>
      </c>
      <c r="K1051" s="39" t="n">
        <f aca="false">(('Business Case'!E11*$C1051*'Business Case'!E12*$B1051)-'Business Case'!E11*$C1051*'Business Case'!E13*$D1051-'Business Case'!E14*$E1051)-MAX(0,(('Business Case'!E11*$C1051*'Business Case'!E12*$B1051)-'Business Case'!E11*$C1051*'Business Case'!E13*$D1051-'Business Case'!E14*$E1051))*'Business Case'!$B$7-'Business Case'!$B$8*(('Business Case'!E11*$C1051*'Business Case'!E12*$B1051)-('Business Case'!D11*$C1051*'Business Case'!D12*$B1051))-'Business Case'!E15*$F1051</f>
        <v>599126664.399604</v>
      </c>
      <c r="L1051" s="39" t="n">
        <f aca="false">(('Business Case'!F11*$C1051*'Business Case'!F12*$B1051)-'Business Case'!F11*$C1051*'Business Case'!F13*$D1051-'Business Case'!F14*$E1051)-MAX(0,(('Business Case'!F11*$C1051*'Business Case'!F12*$B1051)-'Business Case'!F11*$C1051*'Business Case'!F13*$D1051-'Business Case'!F14*$E1051))*'Business Case'!$B$7-'Business Case'!$B$8*(('Business Case'!F11*$C1051*'Business Case'!F12*$B1051)-('Business Case'!E11*$C1051*'Business Case'!E12*$B1051))-'Business Case'!F15*$F1051</f>
        <v>731623271.613265</v>
      </c>
      <c r="M1051" s="39" t="n">
        <f aca="false">(('Business Case'!G11*$C1051*'Business Case'!G12*$B1051)-'Business Case'!G11*$C1051*'Business Case'!G13*$D1051-'Business Case'!G14*$E1051)-MAX(0,(('Business Case'!G11*$C1051*'Business Case'!G12*$B1051)-'Business Case'!G11*$C1051*'Business Case'!G13*$D1051-'Business Case'!G14*$E1051))*'Business Case'!$B$7-'Business Case'!$B$8*(('Business Case'!G11*$C1051*'Business Case'!G12*$B1051)-('Business Case'!F11*$C1051*'Business Case'!F12*$B1051))-'Business Case'!G15*$F1051+'Business Case'!$B$8*('Business Case'!G11*$C1051*'Business Case'!G12*$B1051)</f>
        <v>933530564.242543</v>
      </c>
      <c r="N1051" s="39" t="n">
        <f aca="false">IF(COUNT('Business Case'!B11:G11)=0,"",H1051+NPV(G1051,I1051:M1051))</f>
        <v>-539276612.781396</v>
      </c>
      <c r="P1051" s="40" t="n">
        <f aca="true">RAND()</f>
        <v>0.347662754813442</v>
      </c>
      <c r="Q1051" s="40" t="n">
        <f aca="true">RAND()</f>
        <v>0.922882751620991</v>
      </c>
      <c r="R1051" s="40" t="n">
        <f aca="true">RAND()</f>
        <v>0.89985836387345</v>
      </c>
      <c r="S1051" s="40" t="n">
        <f aca="true">RAND()</f>
        <v>0.92118298835092</v>
      </c>
      <c r="T1051" s="40" t="n">
        <f aca="true">RAND()</f>
        <v>0.893584602948875</v>
      </c>
      <c r="U1051" s="40" t="n">
        <f aca="true">RAND()</f>
        <v>0.297949151161618</v>
      </c>
    </row>
    <row r="1052" customFormat="false" ht="15" hidden="false" customHeight="false" outlineLevel="0" collapsed="false">
      <c r="A1052" s="36" t="n">
        <v>972</v>
      </c>
      <c r="B1052" s="37" t="n">
        <f aca="false">1+IF($G$6=$E$6,$F$6,IF(P1052&lt;($F$6-$E$6)/($G$6-$E$6),$E$6+SQRT(P1052*($G$6-$E$6)*($F$6-$E$6)),$G$6-SQRT((1-P1052)*($G$6-$E$6)*($G$6-$F$6))))</f>
        <v>0.939898921419905</v>
      </c>
      <c r="C1052" s="37" t="n">
        <f aca="false">1+IF($G$7=$E$7,$F$7,IF(Q1052&lt;($F$7-$E$7)/($G$7-$E$7),$E$7+SQRT(Q1052*($G$7-$E$7)*($F$7-$E$7)),$G$7-SQRT((1-Q1052)*($G$7-$E$7)*($G$7-$F$7))))</f>
        <v>1.04378475828879</v>
      </c>
      <c r="D1052" s="37" t="n">
        <f aca="false">1+IF($G$8=$E$8,$F$8,IF(R1052&lt;($F$8-$E$8)/($G$8-$E$8),$E$8+SQRT(R1052*($G$8-$E$8)*($F$8-$E$8)),$G$8-SQRT((1-R1052)*($G$8-$E$8)*($G$8-$F$8))))</f>
        <v>1.00371398413112</v>
      </c>
      <c r="E1052" s="37" t="n">
        <f aca="false">1+IF($G$9=$E$9,$F$9,IF(S1052&lt;($F$9-$E$9)/($G$9-$E$9),$E$9+SQRT(S1052*($G$9-$E$9)*($F$9-$E$9)),$G$9-SQRT((1-S1052)*($G$9-$E$9)*($G$9-$F$9))))</f>
        <v>1.04487323520821</v>
      </c>
      <c r="F1052" s="37" t="n">
        <f aca="false">1+IF($G$10=$E$10,$F$10,IF(T1052&lt;($F$10-$E$10)/($G$10-$E$10),$E$10+SQRT(T1052*($G$10-$E$10)*($F$10-$E$10)),$G$10-SQRT((1-T1052)*($G$10-$E$10)*($G$10-$F$10))))</f>
        <v>1.19254767393939</v>
      </c>
      <c r="G1052" s="38" t="n">
        <f aca="false">IF($G$11=$E$11,$F$11,IF(U1052&lt;($F$11-$E$11)/($G$11-$E$11),$E$11+SQRT(U1052*($G$11-$E$11)*($F$11-$E$11)),$G$11-SQRT((1-U1052)*($G$11-$E$11)*($G$11-$F$11))))</f>
        <v>0.09715702680689</v>
      </c>
      <c r="H1052" s="39" t="n">
        <f aca="false">(('Business Case'!B11*$C1052*'Business Case'!B12*$B1052)-'Business Case'!B11*$C1052*'Business Case'!B13*$D1052-'Business Case'!B14*$E1052)-MAX(0,(('Business Case'!B11*$C1052*'Business Case'!B12*$B1052)-'Business Case'!B11*$C1052*'Business Case'!B13*$D1052-'Business Case'!B14*$E1052))*'Business Case'!$B$7-'Business Case'!$B$8*('Business Case'!B11*$C1052*'Business Case'!B12*$B1052)-'Business Case'!B15*$F1052</f>
        <v>-2385095347.87879</v>
      </c>
      <c r="I1052" s="39" t="n">
        <f aca="false">(('Business Case'!C11*$C1052*'Business Case'!C12*$B1052)-'Business Case'!C11*$C1052*'Business Case'!C13*$D1052-'Business Case'!C14*$E1052)-MAX(0,(('Business Case'!C11*$C1052*'Business Case'!C12*$B1052)-'Business Case'!C11*$C1052*'Business Case'!C13*$D1052-'Business Case'!C14*$E1052))*'Business Case'!$B$7-'Business Case'!$B$8*(('Business Case'!C11*$C1052*'Business Case'!C12*$B1052)-('Business Case'!B11*$C1052*'Business Case'!B12*$B1052))-'Business Case'!C15*$F1052</f>
        <v>-51459926.639987</v>
      </c>
      <c r="J1052" s="39" t="n">
        <f aca="false">(('Business Case'!D11*$C1052*'Business Case'!D12*$B1052)-'Business Case'!D11*$C1052*'Business Case'!D13*$D1052-'Business Case'!D14*$E1052)-MAX(0,(('Business Case'!D11*$C1052*'Business Case'!D12*$B1052)-'Business Case'!D11*$C1052*'Business Case'!D13*$D1052-'Business Case'!D14*$E1052))*'Business Case'!$B$7-'Business Case'!$B$8*(('Business Case'!D11*$C1052*'Business Case'!D12*$B1052)-('Business Case'!C11*$C1052*'Business Case'!C12*$B1052))-'Business Case'!D15*$F1052</f>
        <v>215773632.576141</v>
      </c>
      <c r="K1052" s="39" t="n">
        <f aca="false">(('Business Case'!E11*$C1052*'Business Case'!E12*$B1052)-'Business Case'!E11*$C1052*'Business Case'!E13*$D1052-'Business Case'!E14*$E1052)-MAX(0,(('Business Case'!E11*$C1052*'Business Case'!E12*$B1052)-'Business Case'!E11*$C1052*'Business Case'!E13*$D1052-'Business Case'!E14*$E1052))*'Business Case'!$B$7-'Business Case'!$B$8*(('Business Case'!E11*$C1052*'Business Case'!E12*$B1052)-('Business Case'!D11*$C1052*'Business Case'!D12*$B1052))-'Business Case'!E15*$F1052</f>
        <v>542634575.489238</v>
      </c>
      <c r="L1052" s="39" t="n">
        <f aca="false">(('Business Case'!F11*$C1052*'Business Case'!F12*$B1052)-'Business Case'!F11*$C1052*'Business Case'!F13*$D1052-'Business Case'!F14*$E1052)-MAX(0,(('Business Case'!F11*$C1052*'Business Case'!F12*$B1052)-'Business Case'!F11*$C1052*'Business Case'!F13*$D1052-'Business Case'!F14*$E1052))*'Business Case'!$B$7-'Business Case'!$B$8*(('Business Case'!F11*$C1052*'Business Case'!F12*$B1052)-('Business Case'!E11*$C1052*'Business Case'!E12*$B1052))-'Business Case'!F15*$F1052</f>
        <v>665617591.504993</v>
      </c>
      <c r="M1052" s="39" t="n">
        <f aca="false">(('Business Case'!G11*$C1052*'Business Case'!G12*$B1052)-'Business Case'!G11*$C1052*'Business Case'!G13*$D1052-'Business Case'!G14*$E1052)-MAX(0,(('Business Case'!G11*$C1052*'Business Case'!G12*$B1052)-'Business Case'!G11*$C1052*'Business Case'!G13*$D1052-'Business Case'!G14*$E1052))*'Business Case'!$B$7-'Business Case'!$B$8*(('Business Case'!G11*$C1052*'Business Case'!G12*$B1052)-('Business Case'!F11*$C1052*'Business Case'!F12*$B1052))-'Business Case'!G15*$F1052+'Business Case'!$B$8*('Business Case'!G11*$C1052*'Business Case'!G12*$B1052)</f>
        <v>852095987.695406</v>
      </c>
      <c r="N1052" s="39" t="n">
        <f aca="false">IF(COUNT('Business Case'!B11:G11)=0,"",H1052+NPV(G1052,I1052:M1052))</f>
        <v>-846549495.201128</v>
      </c>
      <c r="P1052" s="40" t="n">
        <f aca="true">RAND()</f>
        <v>0.0412465701745359</v>
      </c>
      <c r="Q1052" s="40" t="n">
        <f aca="true">RAND()</f>
        <v>0.785110903394847</v>
      </c>
      <c r="R1052" s="40" t="n">
        <f aca="true">RAND()</f>
        <v>0.440427286812823</v>
      </c>
      <c r="S1052" s="40" t="n">
        <f aca="true">RAND()</f>
        <v>0.797402653572735</v>
      </c>
      <c r="T1052" s="40" t="n">
        <f aca="true">RAND()</f>
        <v>0.998889256725729</v>
      </c>
      <c r="U1052" s="40" t="n">
        <f aca="true">RAND()</f>
        <v>0.170743442381808</v>
      </c>
    </row>
    <row r="1053" customFormat="false" ht="15" hidden="false" customHeight="false" outlineLevel="0" collapsed="false">
      <c r="A1053" s="36" t="n">
        <v>973</v>
      </c>
      <c r="B1053" s="37" t="n">
        <f aca="false">1+IF($G$6=$E$6,$F$6,IF(P1053&lt;($F$6-$E$6)/($G$6-$E$6),$E$6+SQRT(P1053*($G$6-$E$6)*($F$6-$E$6)),$G$6-SQRT((1-P1053)*($G$6-$E$6)*($G$6-$F$6))))</f>
        <v>1.010006179218</v>
      </c>
      <c r="C1053" s="37" t="n">
        <f aca="false">1+IF($G$7=$E$7,$F$7,IF(Q1053&lt;($F$7-$E$7)/($G$7-$E$7),$E$7+SQRT(Q1053*($G$7-$E$7)*($F$7-$E$7)),$G$7-SQRT((1-Q1053)*($G$7-$E$7)*($G$7-$F$7))))</f>
        <v>1.02623930169404</v>
      </c>
      <c r="D1053" s="37" t="n">
        <f aca="false">1+IF($G$8=$E$8,$F$8,IF(R1053&lt;($F$8-$E$8)/($G$8-$E$8),$E$8+SQRT(R1053*($G$8-$E$8)*($F$8-$E$8)),$G$8-SQRT((1-R1053)*($G$8-$E$8)*($G$8-$F$8))))</f>
        <v>1.0151201117878</v>
      </c>
      <c r="E1053" s="37" t="n">
        <f aca="false">1+IF($G$9=$E$9,$F$9,IF(S1053&lt;($F$9-$E$9)/($G$9-$E$9),$E$9+SQRT(S1053*($G$9-$E$9)*($F$9-$E$9)),$G$9-SQRT((1-S1053)*($G$9-$E$9)*($G$9-$F$9))))</f>
        <v>1.00341952361572</v>
      </c>
      <c r="F1053" s="37" t="n">
        <f aca="false">1+IF($G$10=$E$10,$F$10,IF(T1053&lt;($F$10-$E$10)/($G$10-$E$10),$E$10+SQRT(T1053*($G$10-$E$10)*($F$10-$E$10)),$G$10-SQRT((1-T1053)*($G$10-$E$10)*($G$10-$F$10))))</f>
        <v>1.05539489093246</v>
      </c>
      <c r="G1053" s="38" t="n">
        <f aca="false">IF($G$11=$E$11,$F$11,IF(U1053&lt;($F$11-$E$11)/($G$11-$E$11),$E$11+SQRT(U1053*($G$11-$E$11)*($F$11-$E$11)),$G$11-SQRT((1-U1053)*($G$11-$E$11)*($G$11-$F$11))))</f>
        <v>0.106396679077654</v>
      </c>
      <c r="H1053" s="39" t="n">
        <f aca="false">(('Business Case'!B11*$C1053*'Business Case'!B12*$B1053)-'Business Case'!B11*$C1053*'Business Case'!B13*$D1053-'Business Case'!B14*$E1053)-MAX(0,(('Business Case'!B11*$C1053*'Business Case'!B12*$B1053)-'Business Case'!B11*$C1053*'Business Case'!B13*$D1053-'Business Case'!B14*$E1053))*'Business Case'!$B$7-'Business Case'!$B$8*('Business Case'!B11*$C1053*'Business Case'!B12*$B1053)-'Business Case'!B15*$F1053</f>
        <v>-2110789781.86493</v>
      </c>
      <c r="I1053" s="39" t="n">
        <f aca="false">(('Business Case'!C11*$C1053*'Business Case'!C12*$B1053)-'Business Case'!C11*$C1053*'Business Case'!C13*$D1053-'Business Case'!C14*$E1053)-MAX(0,(('Business Case'!C11*$C1053*'Business Case'!C12*$B1053)-'Business Case'!C11*$C1053*'Business Case'!C13*$D1053-'Business Case'!C14*$E1053))*'Business Case'!$B$7-'Business Case'!$B$8*(('Business Case'!C11*$C1053*'Business Case'!C12*$B1053)-('Business Case'!B11*$C1053*'Business Case'!B12*$B1053))-'Business Case'!C15*$F1053</f>
        <v>13720577.4847667</v>
      </c>
      <c r="J1053" s="39" t="n">
        <f aca="false">(('Business Case'!D11*$C1053*'Business Case'!D12*$B1053)-'Business Case'!D11*$C1053*'Business Case'!D13*$D1053-'Business Case'!D14*$E1053)-MAX(0,(('Business Case'!D11*$C1053*'Business Case'!D12*$B1053)-'Business Case'!D11*$C1053*'Business Case'!D13*$D1053-'Business Case'!D14*$E1053))*'Business Case'!$B$7-'Business Case'!$B$8*(('Business Case'!D11*$C1053*'Business Case'!D12*$B1053)-('Business Case'!C11*$C1053*'Business Case'!C12*$B1053))-'Business Case'!D15*$F1053</f>
        <v>329399476.910666</v>
      </c>
      <c r="K1053" s="39" t="n">
        <f aca="false">(('Business Case'!E11*$C1053*'Business Case'!E12*$B1053)-'Business Case'!E11*$C1053*'Business Case'!E13*$D1053-'Business Case'!E14*$E1053)-MAX(0,(('Business Case'!E11*$C1053*'Business Case'!E12*$B1053)-'Business Case'!E11*$C1053*'Business Case'!E13*$D1053-'Business Case'!E14*$E1053))*'Business Case'!$B$7-'Business Case'!$B$8*(('Business Case'!E11*$C1053*'Business Case'!E12*$B1053)-('Business Case'!D11*$C1053*'Business Case'!D12*$B1053))-'Business Case'!E15*$F1053</f>
        <v>697848120.883188</v>
      </c>
      <c r="L1053" s="39" t="n">
        <f aca="false">(('Business Case'!F11*$C1053*'Business Case'!F12*$B1053)-'Business Case'!F11*$C1053*'Business Case'!F13*$D1053-'Business Case'!F14*$E1053)-MAX(0,(('Business Case'!F11*$C1053*'Business Case'!F12*$B1053)-'Business Case'!F11*$C1053*'Business Case'!F13*$D1053-'Business Case'!F14*$E1053))*'Business Case'!$B$7-'Business Case'!$B$8*(('Business Case'!F11*$C1053*'Business Case'!F12*$B1053)-('Business Case'!E11*$C1053*'Business Case'!E12*$B1053))-'Business Case'!F15*$F1053</f>
        <v>838896138.418308</v>
      </c>
      <c r="M1053" s="39" t="n">
        <f aca="false">(('Business Case'!G11*$C1053*'Business Case'!G12*$B1053)-'Business Case'!G11*$C1053*'Business Case'!G13*$D1053-'Business Case'!G14*$E1053)-MAX(0,(('Business Case'!G11*$C1053*'Business Case'!G12*$B1053)-'Business Case'!G11*$C1053*'Business Case'!G13*$D1053-'Business Case'!G14*$E1053))*'Business Case'!$B$7-'Business Case'!$B$8*(('Business Case'!G11*$C1053*'Business Case'!G12*$B1053)-('Business Case'!F11*$C1053*'Business Case'!F12*$B1053))-'Business Case'!G15*$F1053+'Business Case'!$B$8*('Business Case'!G11*$C1053*'Business Case'!G12*$B1053)</f>
        <v>1035915585.91399</v>
      </c>
      <c r="N1053" s="39" t="n">
        <f aca="false">IF(COUNT('Business Case'!B11:G11)=0,"",H1053+NPV(G1053,I1053:M1053))</f>
        <v>-129351339.406709</v>
      </c>
      <c r="P1053" s="40" t="n">
        <f aca="true">RAND()</f>
        <v>0.812577232270225</v>
      </c>
      <c r="Q1053" s="40" t="n">
        <f aca="true">RAND()</f>
        <v>0.708253134377528</v>
      </c>
      <c r="R1053" s="40" t="n">
        <f aca="true">RAND()</f>
        <v>0.595250010151167</v>
      </c>
      <c r="S1053" s="40" t="n">
        <f aca="true">RAND()</f>
        <v>0.378147438758979</v>
      </c>
      <c r="T1053" s="40" t="n">
        <f aca="true">RAND()</f>
        <v>0.581787248631322</v>
      </c>
      <c r="U1053" s="40" t="n">
        <f aca="true">RAND()</f>
        <v>0.69158276647278</v>
      </c>
    </row>
    <row r="1054" customFormat="false" ht="15" hidden="false" customHeight="false" outlineLevel="0" collapsed="false">
      <c r="A1054" s="36" t="n">
        <v>974</v>
      </c>
      <c r="B1054" s="37" t="n">
        <f aca="false">1+IF($G$6=$E$6,$F$6,IF(P1054&lt;($F$6-$E$6)/($G$6-$E$6),$E$6+SQRT(P1054*($G$6-$E$6)*($F$6-$E$6)),$G$6-SQRT((1-P1054)*($G$6-$E$6)*($G$6-$F$6))))</f>
        <v>0.969291816601806</v>
      </c>
      <c r="C1054" s="37" t="n">
        <f aca="false">1+IF($G$7=$E$7,$F$7,IF(Q1054&lt;($F$7-$E$7)/($G$7-$E$7),$E$7+SQRT(Q1054*($G$7-$E$7)*($F$7-$E$7)),$G$7-SQRT((1-Q1054)*($G$7-$E$7)*($G$7-$F$7))))</f>
        <v>1.12736025959536</v>
      </c>
      <c r="D1054" s="37" t="n">
        <f aca="false">1+IF($G$8=$E$8,$F$8,IF(R1054&lt;($F$8-$E$8)/($G$8-$E$8),$E$8+SQRT(R1054*($G$8-$E$8)*($F$8-$E$8)),$G$8-SQRT((1-R1054)*($G$8-$E$8)*($G$8-$F$8))))</f>
        <v>0.963305269914741</v>
      </c>
      <c r="E1054" s="37" t="n">
        <f aca="false">1+IF($G$9=$E$9,$F$9,IF(S1054&lt;($F$9-$E$9)/($G$9-$E$9),$E$9+SQRT(S1054*($G$9-$E$9)*($F$9-$E$9)),$G$9-SQRT((1-S1054)*($G$9-$E$9)*($G$9-$F$9))))</f>
        <v>1.0435952126624</v>
      </c>
      <c r="F1054" s="37" t="n">
        <f aca="false">1+IF($G$10=$E$10,$F$10,IF(T1054&lt;($F$10-$E$10)/($G$10-$E$10),$E$10+SQRT(T1054*($G$10-$E$10)*($F$10-$E$10)),$G$10-SQRT((1-T1054)*($G$10-$E$10)*($G$10-$F$10))))</f>
        <v>1.12593516684861</v>
      </c>
      <c r="G1054" s="38" t="n">
        <f aca="false">IF($G$11=$E$11,$F$11,IF(U1054&lt;($F$11-$E$11)/($G$11-$E$11),$E$11+SQRT(U1054*($G$11-$E$11)*($F$11-$E$11)),$G$11-SQRT((1-U1054)*($G$11-$E$11)*($G$11-$F$11))))</f>
        <v>0.107474924154691</v>
      </c>
      <c r="H1054" s="39" t="n">
        <f aca="false">(('Business Case'!B11*$C1054*'Business Case'!B12*$B1054)-'Business Case'!B11*$C1054*'Business Case'!B13*$D1054-'Business Case'!B14*$E1054)-MAX(0,(('Business Case'!B11*$C1054*'Business Case'!B12*$B1054)-'Business Case'!B11*$C1054*'Business Case'!B13*$D1054-'Business Case'!B14*$E1054))*'Business Case'!$B$7-'Business Case'!$B$8*('Business Case'!B11*$C1054*'Business Case'!B12*$B1054)-'Business Case'!B15*$F1054</f>
        <v>-2251870333.69721</v>
      </c>
      <c r="I1054" s="39" t="n">
        <f aca="false">(('Business Case'!C11*$C1054*'Business Case'!C12*$B1054)-'Business Case'!C11*$C1054*'Business Case'!C13*$D1054-'Business Case'!C14*$E1054)-MAX(0,(('Business Case'!C11*$C1054*'Business Case'!C12*$B1054)-'Business Case'!C11*$C1054*'Business Case'!C13*$D1054-'Business Case'!C14*$E1054))*'Business Case'!$B$7-'Business Case'!$B$8*(('Business Case'!C11*$C1054*'Business Case'!C12*$B1054)-('Business Case'!B11*$C1054*'Business Case'!B12*$B1054))-'Business Case'!C15*$F1054</f>
        <v>21452098.5884827</v>
      </c>
      <c r="J1054" s="39" t="n">
        <f aca="false">(('Business Case'!D11*$C1054*'Business Case'!D12*$B1054)-'Business Case'!D11*$C1054*'Business Case'!D13*$D1054-'Business Case'!D14*$E1054)-MAX(0,(('Business Case'!D11*$C1054*'Business Case'!D12*$B1054)-'Business Case'!D11*$C1054*'Business Case'!D13*$D1054-'Business Case'!D14*$E1054))*'Business Case'!$B$7-'Business Case'!$B$8*(('Business Case'!D11*$C1054*'Business Case'!D12*$B1054)-('Business Case'!C11*$C1054*'Business Case'!C12*$B1054))-'Business Case'!D15*$F1054</f>
        <v>360544650.377951</v>
      </c>
      <c r="K1054" s="39" t="n">
        <f aca="false">(('Business Case'!E11*$C1054*'Business Case'!E12*$B1054)-'Business Case'!E11*$C1054*'Business Case'!E13*$D1054-'Business Case'!E14*$E1054)-MAX(0,(('Business Case'!E11*$C1054*'Business Case'!E12*$B1054)-'Business Case'!E11*$C1054*'Business Case'!E13*$D1054-'Business Case'!E14*$E1054))*'Business Case'!$B$7-'Business Case'!$B$8*(('Business Case'!E11*$C1054*'Business Case'!E12*$B1054)-('Business Case'!D11*$C1054*'Business Case'!D12*$B1054))-'Business Case'!E15*$F1054</f>
        <v>755933960.50985</v>
      </c>
      <c r="L1054" s="39" t="n">
        <f aca="false">(('Business Case'!F11*$C1054*'Business Case'!F12*$B1054)-'Business Case'!F11*$C1054*'Business Case'!F13*$D1054-'Business Case'!F14*$E1054)-MAX(0,(('Business Case'!F11*$C1054*'Business Case'!F12*$B1054)-'Business Case'!F11*$C1054*'Business Case'!F13*$D1054-'Business Case'!F14*$E1054))*'Business Case'!$B$7-'Business Case'!$B$8*(('Business Case'!F11*$C1054*'Business Case'!F12*$B1054)-('Business Case'!E11*$C1054*'Business Case'!E12*$B1054))-'Business Case'!F15*$F1054</f>
        <v>906729942.623361</v>
      </c>
      <c r="M1054" s="39" t="n">
        <f aca="false">(('Business Case'!G11*$C1054*'Business Case'!G12*$B1054)-'Business Case'!G11*$C1054*'Business Case'!G13*$D1054-'Business Case'!G14*$E1054)-MAX(0,(('Business Case'!G11*$C1054*'Business Case'!G12*$B1054)-'Business Case'!G11*$C1054*'Business Case'!G13*$D1054-'Business Case'!G14*$E1054))*'Business Case'!$B$7-'Business Case'!$B$8*(('Business Case'!G11*$C1054*'Business Case'!G12*$B1054)-('Business Case'!F11*$C1054*'Business Case'!F12*$B1054))-'Business Case'!G15*$F1054+'Business Case'!$B$8*('Business Case'!G11*$C1054*'Business Case'!G12*$B1054)</f>
        <v>1114438165.96698</v>
      </c>
      <c r="N1054" s="39" t="n">
        <f aca="false">IF(COUNT('Business Case'!B11:G11)=0,"",H1054+NPV(G1054,I1054:M1054))</f>
        <v>-110320201.795565</v>
      </c>
      <c r="P1054" s="40" t="n">
        <f aca="true">RAND()</f>
        <v>0.253091998323549</v>
      </c>
      <c r="Q1054" s="40" t="n">
        <f aca="true">RAND()</f>
        <v>0.990236993417346</v>
      </c>
      <c r="R1054" s="40" t="n">
        <f aca="true">RAND()</f>
        <v>0.0272354165390928</v>
      </c>
      <c r="S1054" s="40" t="n">
        <f aca="true">RAND()</f>
        <v>0.787899997693366</v>
      </c>
      <c r="T1054" s="40" t="n">
        <f aca="true">RAND()</f>
        <v>0.890288009805125</v>
      </c>
      <c r="U1054" s="40" t="n">
        <f aca="true">RAND()</f>
        <v>0.73853745844878</v>
      </c>
    </row>
    <row r="1055" customFormat="false" ht="15" hidden="false" customHeight="false" outlineLevel="0" collapsed="false">
      <c r="A1055" s="36" t="n">
        <v>975</v>
      </c>
      <c r="B1055" s="37" t="n">
        <f aca="false">1+IF($G$6=$E$6,$F$6,IF(P1055&lt;($F$6-$E$6)/($G$6-$E$6),$E$6+SQRT(P1055*($G$6-$E$6)*($F$6-$E$6)),$G$6-SQRT((1-P1055)*($G$6-$E$6)*($G$6-$F$6))))</f>
        <v>1.00702030681823</v>
      </c>
      <c r="C1055" s="37" t="n">
        <f aca="false">1+IF($G$7=$E$7,$F$7,IF(Q1055&lt;($F$7-$E$7)/($G$7-$E$7),$E$7+SQRT(Q1055*($G$7-$E$7)*($F$7-$E$7)),$G$7-SQRT((1-Q1055)*($G$7-$E$7)*($G$7-$F$7))))</f>
        <v>1.11755293502253</v>
      </c>
      <c r="D1055" s="37" t="n">
        <f aca="false">1+IF($G$8=$E$8,$F$8,IF(R1055&lt;($F$8-$E$8)/($G$8-$E$8),$E$8+SQRT(R1055*($G$8-$E$8)*($F$8-$E$8)),$G$8-SQRT((1-R1055)*($G$8-$E$8)*($G$8-$F$8))))</f>
        <v>1.02768687543418</v>
      </c>
      <c r="E1055" s="37" t="n">
        <f aca="false">1+IF($G$9=$E$9,$F$9,IF(S1055&lt;($F$9-$E$9)/($G$9-$E$9),$E$9+SQRT(S1055*($G$9-$E$9)*($F$9-$E$9)),$G$9-SQRT((1-S1055)*($G$9-$E$9)*($G$9-$F$9))))</f>
        <v>0.976194279873602</v>
      </c>
      <c r="F1055" s="37" t="n">
        <f aca="false">1+IF($G$10=$E$10,$F$10,IF(T1055&lt;($F$10-$E$10)/($G$10-$E$10),$E$10+SQRT(T1055*($G$10-$E$10)*($F$10-$E$10)),$G$10-SQRT((1-T1055)*($G$10-$E$10)*($G$10-$F$10))))</f>
        <v>1.16745282527999</v>
      </c>
      <c r="G1055" s="38" t="n">
        <f aca="false">IF($G$11=$E$11,$F$11,IF(U1055&lt;($F$11-$E$11)/($G$11-$E$11),$E$11+SQRT(U1055*($G$11-$E$11)*($F$11-$E$11)),$G$11-SQRT((1-U1055)*($G$11-$E$11)*($G$11-$F$11))))</f>
        <v>0.107299418656416</v>
      </c>
      <c r="H1055" s="39" t="n">
        <f aca="false">(('Business Case'!B11*$C1055*'Business Case'!B12*$B1055)-'Business Case'!B11*$C1055*'Business Case'!B13*$D1055-'Business Case'!B14*$E1055)-MAX(0,(('Business Case'!B11*$C1055*'Business Case'!B12*$B1055)-'Business Case'!B11*$C1055*'Business Case'!B13*$D1055-'Business Case'!B14*$E1055))*'Business Case'!$B$7-'Business Case'!$B$8*('Business Case'!B11*$C1055*'Business Case'!B12*$B1055)-'Business Case'!B15*$F1055</f>
        <v>-2334905650.55998</v>
      </c>
      <c r="I1055" s="39" t="n">
        <f aca="false">(('Business Case'!C11*$C1055*'Business Case'!C12*$B1055)-'Business Case'!C11*$C1055*'Business Case'!C13*$D1055-'Business Case'!C14*$E1055)-MAX(0,(('Business Case'!C11*$C1055*'Business Case'!C12*$B1055)-'Business Case'!C11*$C1055*'Business Case'!C13*$D1055-'Business Case'!C14*$E1055))*'Business Case'!$B$7-'Business Case'!$B$8*(('Business Case'!C11*$C1055*'Business Case'!C12*$B1055)-('Business Case'!B11*$C1055*'Business Case'!B12*$B1055))-'Business Case'!C15*$F1055</f>
        <v>19944336.2403787</v>
      </c>
      <c r="J1055" s="39" t="n">
        <f aca="false">(('Business Case'!D11*$C1055*'Business Case'!D12*$B1055)-'Business Case'!D11*$C1055*'Business Case'!D13*$D1055-'Business Case'!D14*$E1055)-MAX(0,(('Business Case'!D11*$C1055*'Business Case'!D12*$B1055)-'Business Case'!D11*$C1055*'Business Case'!D13*$D1055-'Business Case'!D14*$E1055))*'Business Case'!$B$7-'Business Case'!$B$8*(('Business Case'!D11*$C1055*'Business Case'!D12*$B1055)-('Business Case'!C11*$C1055*'Business Case'!C12*$B1055))-'Business Case'!D15*$F1055</f>
        <v>353789439.821485</v>
      </c>
      <c r="K1055" s="39" t="n">
        <f aca="false">(('Business Case'!E11*$C1055*'Business Case'!E12*$B1055)-'Business Case'!E11*$C1055*'Business Case'!E13*$D1055-'Business Case'!E14*$E1055)-MAX(0,(('Business Case'!E11*$C1055*'Business Case'!E12*$B1055)-'Business Case'!E11*$C1055*'Business Case'!E13*$D1055-'Business Case'!E14*$E1055))*'Business Case'!$B$7-'Business Case'!$B$8*(('Business Case'!E11*$C1055*'Business Case'!E12*$B1055)-('Business Case'!D11*$C1055*'Business Case'!D12*$B1055))-'Business Case'!E15*$F1055</f>
        <v>746007184.666591</v>
      </c>
      <c r="L1055" s="39" t="n">
        <f aca="false">(('Business Case'!F11*$C1055*'Business Case'!F12*$B1055)-'Business Case'!F11*$C1055*'Business Case'!F13*$D1055-'Business Case'!F14*$E1055)-MAX(0,(('Business Case'!F11*$C1055*'Business Case'!F12*$B1055)-'Business Case'!F11*$C1055*'Business Case'!F13*$D1055-'Business Case'!F14*$E1055))*'Business Case'!$B$7-'Business Case'!$B$8*(('Business Case'!F11*$C1055*'Business Case'!F12*$B1055)-('Business Case'!E11*$C1055*'Business Case'!E12*$B1055))-'Business Case'!F15*$F1055</f>
        <v>896182658.003428</v>
      </c>
      <c r="M1055" s="39" t="n">
        <f aca="false">(('Business Case'!G11*$C1055*'Business Case'!G12*$B1055)-'Business Case'!G11*$C1055*'Business Case'!G13*$D1055-'Business Case'!G14*$E1055)-MAX(0,(('Business Case'!G11*$C1055*'Business Case'!G12*$B1055)-'Business Case'!G11*$C1055*'Business Case'!G13*$D1055-'Business Case'!G14*$E1055))*'Business Case'!$B$7-'Business Case'!$B$8*(('Business Case'!G11*$C1055*'Business Case'!G12*$B1055)-('Business Case'!F11*$C1055*'Business Case'!F12*$B1055))-'Business Case'!G15*$F1055+'Business Case'!$B$8*('Business Case'!G11*$C1055*'Business Case'!G12*$B1055)</f>
        <v>1110098404.79067</v>
      </c>
      <c r="N1055" s="39" t="n">
        <f aca="false">IF(COUNT('Business Case'!B11:G11)=0,"",H1055+NPV(G1055,I1055:M1055))</f>
        <v>-215887627.925776</v>
      </c>
      <c r="P1055" s="40" t="n">
        <f aca="true">RAND()</f>
        <v>0.773404132840946</v>
      </c>
      <c r="Q1055" s="40" t="n">
        <f aca="true">RAND()</f>
        <v>0.979946437606625</v>
      </c>
      <c r="R1055" s="40" t="n">
        <f aca="true">RAND()</f>
        <v>0.736859326746203</v>
      </c>
      <c r="S1055" s="40" t="n">
        <f aca="true">RAND()</f>
        <v>0.0914853730795433</v>
      </c>
      <c r="T1055" s="40" t="n">
        <f aca="true">RAND()</f>
        <v>0.978813628354903</v>
      </c>
      <c r="U1055" s="40" t="n">
        <f aca="true">RAND()</f>
        <v>0.731158722558332</v>
      </c>
    </row>
    <row r="1056" customFormat="false" ht="15" hidden="false" customHeight="false" outlineLevel="0" collapsed="false">
      <c r="A1056" s="36" t="n">
        <v>976</v>
      </c>
      <c r="B1056" s="37" t="n">
        <f aca="false">1+IF($G$6=$E$6,$F$6,IF(P1056&lt;($F$6-$E$6)/($G$6-$E$6),$E$6+SQRT(P1056*($G$6-$E$6)*($F$6-$E$6)),$G$6-SQRT((1-P1056)*($G$6-$E$6)*($G$6-$F$6))))</f>
        <v>0.966594791997935</v>
      </c>
      <c r="C1056" s="37" t="n">
        <f aca="false">1+IF($G$7=$E$7,$F$7,IF(Q1056&lt;($F$7-$E$7)/($G$7-$E$7),$E$7+SQRT(Q1056*($G$7-$E$7)*($F$7-$E$7)),$G$7-SQRT((1-Q1056)*($G$7-$E$7)*($G$7-$F$7))))</f>
        <v>0.937843156184882</v>
      </c>
      <c r="D1056" s="37" t="n">
        <f aca="false">1+IF($G$8=$E$8,$F$8,IF(R1056&lt;($F$8-$E$8)/($G$8-$E$8),$E$8+SQRT(R1056*($G$8-$E$8)*($F$8-$E$8)),$G$8-SQRT((1-R1056)*($G$8-$E$8)*($G$8-$F$8))))</f>
        <v>1.00856630435903</v>
      </c>
      <c r="E1056" s="37" t="n">
        <f aca="false">1+IF($G$9=$E$9,$F$9,IF(S1056&lt;($F$9-$E$9)/($G$9-$E$9),$E$9+SQRT(S1056*($G$9-$E$9)*($F$9-$E$9)),$G$9-SQRT((1-S1056)*($G$9-$E$9)*($G$9-$F$9))))</f>
        <v>1.03311497497389</v>
      </c>
      <c r="F1056" s="37" t="n">
        <f aca="false">1+IF($G$10=$E$10,$F$10,IF(T1056&lt;($F$10-$E$10)/($G$10-$E$10),$E$10+SQRT(T1056*($G$10-$E$10)*($F$10-$E$10)),$G$10-SQRT((1-T1056)*($G$10-$E$10)*($G$10-$F$10))))</f>
        <v>1.11893827459595</v>
      </c>
      <c r="G1056" s="38" t="n">
        <f aca="false">IF($G$11=$E$11,$F$11,IF(U1056&lt;($F$11-$E$11)/($G$11-$E$11),$E$11+SQRT(U1056*($G$11-$E$11)*($F$11-$E$11)),$G$11-SQRT((1-U1056)*($G$11-$E$11)*($G$11-$F$11))))</f>
        <v>0.0995235482587113</v>
      </c>
      <c r="H1056" s="39" t="n">
        <f aca="false">(('Business Case'!B11*$C1056*'Business Case'!B12*$B1056)-'Business Case'!B11*$C1056*'Business Case'!B13*$D1056-'Business Case'!B14*$E1056)-MAX(0,(('Business Case'!B11*$C1056*'Business Case'!B12*$B1056)-'Business Case'!B11*$C1056*'Business Case'!B13*$D1056-'Business Case'!B14*$E1056))*'Business Case'!$B$7-'Business Case'!$B$8*('Business Case'!B11*$C1056*'Business Case'!B12*$B1056)-'Business Case'!B15*$F1056</f>
        <v>-2237876549.19189</v>
      </c>
      <c r="I1056" s="39" t="n">
        <f aca="false">(('Business Case'!C11*$C1056*'Business Case'!C12*$B1056)-'Business Case'!C11*$C1056*'Business Case'!C13*$D1056-'Business Case'!C14*$E1056)-MAX(0,(('Business Case'!C11*$C1056*'Business Case'!C12*$B1056)-'Business Case'!C11*$C1056*'Business Case'!C13*$D1056-'Business Case'!C14*$E1056))*'Business Case'!$B$7-'Business Case'!$B$8*(('Business Case'!C11*$C1056*'Business Case'!C12*$B1056)-('Business Case'!B11*$C1056*'Business Case'!B12*$B1056))-'Business Case'!C15*$F1056</f>
        <v>-47509346.4069227</v>
      </c>
      <c r="J1056" s="39" t="n">
        <f aca="false">(('Business Case'!D11*$C1056*'Business Case'!D12*$B1056)-'Business Case'!D11*$C1056*'Business Case'!D13*$D1056-'Business Case'!D14*$E1056)-MAX(0,(('Business Case'!D11*$C1056*'Business Case'!D12*$B1056)-'Business Case'!D11*$C1056*'Business Case'!D13*$D1056-'Business Case'!D14*$E1056))*'Business Case'!$B$7-'Business Case'!$B$8*(('Business Case'!D11*$C1056*'Business Case'!D12*$B1056)-('Business Case'!C11*$C1056*'Business Case'!C12*$B1056))-'Business Case'!D15*$F1056</f>
        <v>210777785.942278</v>
      </c>
      <c r="K1056" s="39" t="n">
        <f aca="false">(('Business Case'!E11*$C1056*'Business Case'!E12*$B1056)-'Business Case'!E11*$C1056*'Business Case'!E13*$D1056-'Business Case'!E14*$E1056)-MAX(0,(('Business Case'!E11*$C1056*'Business Case'!E12*$B1056)-'Business Case'!E11*$C1056*'Business Case'!E13*$D1056-'Business Case'!E14*$E1056))*'Business Case'!$B$7-'Business Case'!$B$8*(('Business Case'!E11*$C1056*'Business Case'!E12*$B1056)-('Business Case'!D11*$C1056*'Business Case'!D12*$B1056))-'Business Case'!E15*$F1056</f>
        <v>525011832.021277</v>
      </c>
      <c r="L1056" s="39" t="n">
        <f aca="false">(('Business Case'!F11*$C1056*'Business Case'!F12*$B1056)-'Business Case'!F11*$C1056*'Business Case'!F13*$D1056-'Business Case'!F14*$E1056)-MAX(0,(('Business Case'!F11*$C1056*'Business Case'!F12*$B1056)-'Business Case'!F11*$C1056*'Business Case'!F13*$D1056-'Business Case'!F14*$E1056))*'Business Case'!$B$7-'Business Case'!$B$8*(('Business Case'!F11*$C1056*'Business Case'!F12*$B1056)-('Business Case'!E11*$C1056*'Business Case'!E12*$B1056))-'Business Case'!F15*$F1056</f>
        <v>642436677.374505</v>
      </c>
      <c r="M1056" s="39" t="n">
        <f aca="false">(('Business Case'!G11*$C1056*'Business Case'!G12*$B1056)-'Business Case'!G11*$C1056*'Business Case'!G13*$D1056-'Business Case'!G14*$E1056)-MAX(0,(('Business Case'!G11*$C1056*'Business Case'!G12*$B1056)-'Business Case'!G11*$C1056*'Business Case'!G13*$D1056-'Business Case'!G14*$E1056))*'Business Case'!$B$7-'Business Case'!$B$8*(('Business Case'!G11*$C1056*'Business Case'!G12*$B1056)-('Business Case'!F11*$C1056*'Business Case'!F12*$B1056))-'Business Case'!G15*$F1056+'Business Case'!$B$8*('Business Case'!G11*$C1056*'Business Case'!G12*$B1056)</f>
        <v>814746917.510394</v>
      </c>
      <c r="N1056" s="39" t="n">
        <f aca="false">IF(COUNT('Business Case'!B11:G11)=0,"",H1056+NPV(G1056,I1056:M1056))</f>
        <v>-765231186.710153</v>
      </c>
      <c r="P1056" s="40" t="n">
        <f aca="true">RAND()</f>
        <v>0.226153608471959</v>
      </c>
      <c r="Q1056" s="40" t="n">
        <f aca="true">RAND()</f>
        <v>0.27143908152871</v>
      </c>
      <c r="R1056" s="40" t="n">
        <f aca="true">RAND()</f>
        <v>0.509348762218516</v>
      </c>
      <c r="S1056" s="40" t="n">
        <f aca="true">RAND()</f>
        <v>0.701759561817083</v>
      </c>
      <c r="T1056" s="40" t="n">
        <f aca="true">RAND()</f>
        <v>0.868579933490355</v>
      </c>
      <c r="U1056" s="40" t="n">
        <f aca="true">RAND()</f>
        <v>0.30232657145334</v>
      </c>
    </row>
    <row r="1057" customFormat="false" ht="15" hidden="false" customHeight="false" outlineLevel="0" collapsed="false">
      <c r="A1057" s="36" t="n">
        <v>977</v>
      </c>
      <c r="B1057" s="37" t="n">
        <f aca="false">1+IF($G$6=$E$6,$F$6,IF(P1057&lt;($F$6-$E$6)/($G$6-$E$6),$E$6+SQRT(P1057*($G$6-$E$6)*($F$6-$E$6)),$G$6-SQRT((1-P1057)*($G$6-$E$6)*($G$6-$F$6))))</f>
        <v>1.00628396694742</v>
      </c>
      <c r="C1057" s="37" t="n">
        <f aca="false">1+IF($G$7=$E$7,$F$7,IF(Q1057&lt;($F$7-$E$7)/($G$7-$E$7),$E$7+SQRT(Q1057*($G$7-$E$7)*($F$7-$E$7)),$G$7-SQRT((1-Q1057)*($G$7-$E$7)*($G$7-$F$7))))</f>
        <v>0.876764720093241</v>
      </c>
      <c r="D1057" s="37" t="n">
        <f aca="false">1+IF($G$8=$E$8,$F$8,IF(R1057&lt;($F$8-$E$8)/($G$8-$E$8),$E$8+SQRT(R1057*($G$8-$E$8)*($F$8-$E$8)),$G$8-SQRT((1-R1057)*($G$8-$E$8)*($G$8-$F$8))))</f>
        <v>1.04941032685061</v>
      </c>
      <c r="E1057" s="37" t="n">
        <f aca="false">1+IF($G$9=$E$9,$F$9,IF(S1057&lt;($F$9-$E$9)/($G$9-$E$9),$E$9+SQRT(S1057*($G$9-$E$9)*($F$9-$E$9)),$G$9-SQRT((1-S1057)*($G$9-$E$9)*($G$9-$F$9))))</f>
        <v>1.03419647477925</v>
      </c>
      <c r="F1057" s="37" t="n">
        <f aca="false">1+IF($G$10=$E$10,$F$10,IF(T1057&lt;($F$10-$E$10)/($G$10-$E$10),$E$10+SQRT(T1057*($G$10-$E$10)*($F$10-$E$10)),$G$10-SQRT((1-T1057)*($G$10-$E$10)*($G$10-$F$10))))</f>
        <v>1.12883325348606</v>
      </c>
      <c r="G1057" s="38" t="n">
        <f aca="false">IF($G$11=$E$11,$F$11,IF(U1057&lt;($F$11-$E$11)/($G$11-$E$11),$E$11+SQRT(U1057*($G$11-$E$11)*($F$11-$E$11)),$G$11-SQRT((1-U1057)*($G$11-$E$11)*($G$11-$F$11))))</f>
        <v>0.0997542513980943</v>
      </c>
      <c r="H1057" s="39" t="n">
        <f aca="false">(('Business Case'!B11*$C1057*'Business Case'!B12*$B1057)-'Business Case'!B11*$C1057*'Business Case'!B13*$D1057-'Business Case'!B14*$E1057)-MAX(0,(('Business Case'!B11*$C1057*'Business Case'!B12*$B1057)-'Business Case'!B11*$C1057*'Business Case'!B13*$D1057-'Business Case'!B14*$E1057))*'Business Case'!$B$7-'Business Case'!$B$8*('Business Case'!B11*$C1057*'Business Case'!B12*$B1057)-'Business Case'!B15*$F1057</f>
        <v>-2257666506.97212</v>
      </c>
      <c r="I1057" s="39" t="n">
        <f aca="false">(('Business Case'!C11*$C1057*'Business Case'!C12*$B1057)-'Business Case'!C11*$C1057*'Business Case'!C13*$D1057-'Business Case'!C14*$E1057)-MAX(0,(('Business Case'!C11*$C1057*'Business Case'!C12*$B1057)-'Business Case'!C11*$C1057*'Business Case'!C13*$D1057-'Business Case'!C14*$E1057))*'Business Case'!$B$7-'Business Case'!$B$8*(('Business Case'!C11*$C1057*'Business Case'!C12*$B1057)-('Business Case'!B11*$C1057*'Business Case'!B12*$B1057))-'Business Case'!C15*$F1057</f>
        <v>-54047403.4811874</v>
      </c>
      <c r="J1057" s="39" t="n">
        <f aca="false">(('Business Case'!D11*$C1057*'Business Case'!D12*$B1057)-'Business Case'!D11*$C1057*'Business Case'!D13*$D1057-'Business Case'!D14*$E1057)-MAX(0,(('Business Case'!D11*$C1057*'Business Case'!D12*$B1057)-'Business Case'!D11*$C1057*'Business Case'!D13*$D1057-'Business Case'!D14*$E1057))*'Business Case'!$B$7-'Business Case'!$B$8*(('Business Case'!D11*$C1057*'Business Case'!D12*$B1057)-('Business Case'!C11*$C1057*'Business Case'!C12*$B1057))-'Business Case'!D15*$F1057</f>
        <v>197588355.806921</v>
      </c>
      <c r="K1057" s="39" t="n">
        <f aca="false">(('Business Case'!E11*$C1057*'Business Case'!E12*$B1057)-'Business Case'!E11*$C1057*'Business Case'!E13*$D1057-'Business Case'!E14*$E1057)-MAX(0,(('Business Case'!E11*$C1057*'Business Case'!E12*$B1057)-'Business Case'!E11*$C1057*'Business Case'!E13*$D1057-'Business Case'!E14*$E1057))*'Business Case'!$B$7-'Business Case'!$B$8*(('Business Case'!E11*$C1057*'Business Case'!E12*$B1057)-('Business Case'!D11*$C1057*'Business Case'!D12*$B1057))-'Business Case'!E15*$F1057</f>
        <v>505665777.769332</v>
      </c>
      <c r="L1057" s="39" t="n">
        <f aca="false">(('Business Case'!F11*$C1057*'Business Case'!F12*$B1057)-'Business Case'!F11*$C1057*'Business Case'!F13*$D1057-'Business Case'!F14*$E1057)-MAX(0,(('Business Case'!F11*$C1057*'Business Case'!F12*$B1057)-'Business Case'!F11*$C1057*'Business Case'!F13*$D1057-'Business Case'!F14*$E1057))*'Business Case'!$B$7-'Business Case'!$B$8*(('Business Case'!F11*$C1057*'Business Case'!F12*$B1057)-('Business Case'!E11*$C1057*'Business Case'!E12*$B1057))-'Business Case'!F15*$F1057</f>
        <v>620035763.336755</v>
      </c>
      <c r="M1057" s="39" t="n">
        <f aca="false">(('Business Case'!G11*$C1057*'Business Case'!G12*$B1057)-'Business Case'!G11*$C1057*'Business Case'!G13*$D1057-'Business Case'!G14*$E1057)-MAX(0,(('Business Case'!G11*$C1057*'Business Case'!G12*$B1057)-'Business Case'!G11*$C1057*'Business Case'!G13*$D1057-'Business Case'!G14*$E1057))*'Business Case'!$B$7-'Business Case'!$B$8*(('Business Case'!G11*$C1057*'Business Case'!G12*$B1057)-('Business Case'!F11*$C1057*'Business Case'!F12*$B1057))-'Business Case'!G15*$F1057+'Business Case'!$B$8*('Business Case'!G11*$C1057*'Business Case'!G12*$B1057)</f>
        <v>787738458.596048</v>
      </c>
      <c r="N1057" s="39" t="n">
        <f aca="false">IF(COUNT('Business Case'!B11:G11)=0,"",H1057+NPV(G1057,I1057:M1057))</f>
        <v>-849731646.064098</v>
      </c>
      <c r="P1057" s="40" t="n">
        <f aca="true">RAND()</f>
        <v>0.763172732332749</v>
      </c>
      <c r="Q1057" s="40" t="n">
        <f aca="true">RAND()</f>
        <v>0.0841831750141945</v>
      </c>
      <c r="R1057" s="40" t="n">
        <f aca="true">RAND()</f>
        <v>0.910026143905129</v>
      </c>
      <c r="S1057" s="40" t="n">
        <f aca="true">RAND()</f>
        <v>0.711326404568148</v>
      </c>
      <c r="T1057" s="40" t="n">
        <f aca="true">RAND()</f>
        <v>0.898705883812419</v>
      </c>
      <c r="U1057" s="40" t="n">
        <f aca="true">RAND()</f>
        <v>0.317151401124084</v>
      </c>
    </row>
    <row r="1058" customFormat="false" ht="15" hidden="false" customHeight="false" outlineLevel="0" collapsed="false">
      <c r="A1058" s="36" t="n">
        <v>978</v>
      </c>
      <c r="B1058" s="37" t="n">
        <f aca="false">1+IF($G$6=$E$6,$F$6,IF(P1058&lt;($F$6-$E$6)/($G$6-$E$6),$E$6+SQRT(P1058*($G$6-$E$6)*($F$6-$E$6)),$G$6-SQRT((1-P1058)*($G$6-$E$6)*($G$6-$F$6))))</f>
        <v>0.981270956510397</v>
      </c>
      <c r="C1058" s="37" t="n">
        <f aca="false">1+IF($G$7=$E$7,$F$7,IF(Q1058&lt;($F$7-$E$7)/($G$7-$E$7),$E$7+SQRT(Q1058*($G$7-$E$7)*($F$7-$E$7)),$G$7-SQRT((1-Q1058)*($G$7-$E$7)*($G$7-$F$7))))</f>
        <v>1.11658405786375</v>
      </c>
      <c r="D1058" s="37" t="n">
        <f aca="false">1+IF($G$8=$E$8,$F$8,IF(R1058&lt;($F$8-$E$8)/($G$8-$E$8),$E$8+SQRT(R1058*($G$8-$E$8)*($F$8-$E$8)),$G$8-SQRT((1-R1058)*($G$8-$E$8)*($G$8-$F$8))))</f>
        <v>0.997281963037864</v>
      </c>
      <c r="E1058" s="37" t="n">
        <f aca="false">1+IF($G$9=$E$9,$F$9,IF(S1058&lt;($F$9-$E$9)/($G$9-$E$9),$E$9+SQRT(S1058*($G$9-$E$9)*($F$9-$E$9)),$G$9-SQRT((1-S1058)*($G$9-$E$9)*($G$9-$F$9))))</f>
        <v>1.00566389923701</v>
      </c>
      <c r="F1058" s="37" t="n">
        <f aca="false">1+IF($G$10=$E$10,$F$10,IF(T1058&lt;($F$10-$E$10)/($G$10-$E$10),$E$10+SQRT(T1058*($G$10-$E$10)*($F$10-$E$10)),$G$10-SQRT((1-T1058)*($G$10-$E$10)*($G$10-$F$10))))</f>
        <v>1.15826308539743</v>
      </c>
      <c r="G1058" s="38" t="n">
        <f aca="false">IF($G$11=$E$11,$F$11,IF(U1058&lt;($F$11-$E$11)/($G$11-$E$11),$E$11+SQRT(U1058*($G$11-$E$11)*($F$11-$E$11)),$G$11-SQRT((1-U1058)*($G$11-$E$11)*($G$11-$F$11))))</f>
        <v>0.106782978856549</v>
      </c>
      <c r="H1058" s="39" t="n">
        <f aca="false">(('Business Case'!B11*$C1058*'Business Case'!B12*$B1058)-'Business Case'!B11*$C1058*'Business Case'!B13*$D1058-'Business Case'!B14*$E1058)-MAX(0,(('Business Case'!B11*$C1058*'Business Case'!B12*$B1058)-'Business Case'!B11*$C1058*'Business Case'!B13*$D1058-'Business Case'!B14*$E1058))*'Business Case'!$B$7-'Business Case'!$B$8*('Business Case'!B11*$C1058*'Business Case'!B12*$B1058)-'Business Case'!B15*$F1058</f>
        <v>-2316526170.79486</v>
      </c>
      <c r="I1058" s="39" t="n">
        <f aca="false">(('Business Case'!C11*$C1058*'Business Case'!C12*$B1058)-'Business Case'!C11*$C1058*'Business Case'!C13*$D1058-'Business Case'!C14*$E1058)-MAX(0,(('Business Case'!C11*$C1058*'Business Case'!C12*$B1058)-'Business Case'!C11*$C1058*'Business Case'!C13*$D1058-'Business Case'!C14*$E1058))*'Business Case'!$B$7-'Business Case'!$B$8*(('Business Case'!C11*$C1058*'Business Case'!C12*$B1058)-('Business Case'!B11*$C1058*'Business Case'!B12*$B1058))-'Business Case'!C15*$F1058</f>
        <v>11754449.9278979</v>
      </c>
      <c r="J1058" s="39" t="n">
        <f aca="false">(('Business Case'!D11*$C1058*'Business Case'!D12*$B1058)-'Business Case'!D11*$C1058*'Business Case'!D13*$D1058-'Business Case'!D14*$E1058)-MAX(0,(('Business Case'!D11*$C1058*'Business Case'!D12*$B1058)-'Business Case'!D11*$C1058*'Business Case'!D13*$D1058-'Business Case'!D14*$E1058))*'Business Case'!$B$7-'Business Case'!$B$8*(('Business Case'!D11*$C1058*'Business Case'!D12*$B1058)-('Business Case'!C11*$C1058*'Business Case'!C12*$B1058))-'Business Case'!D15*$F1058</f>
        <v>339140225.763183</v>
      </c>
      <c r="K1058" s="39" t="n">
        <f aca="false">(('Business Case'!E11*$C1058*'Business Case'!E12*$B1058)-'Business Case'!E11*$C1058*'Business Case'!E13*$D1058-'Business Case'!E14*$E1058)-MAX(0,(('Business Case'!E11*$C1058*'Business Case'!E12*$B1058)-'Business Case'!E11*$C1058*'Business Case'!E13*$D1058-'Business Case'!E14*$E1058))*'Business Case'!$B$7-'Business Case'!$B$8*(('Business Case'!E11*$C1058*'Business Case'!E12*$B1058)-('Business Case'!D11*$C1058*'Business Case'!D12*$B1058))-'Business Case'!E15*$F1058</f>
        <v>724439155.86834</v>
      </c>
      <c r="L1058" s="39" t="n">
        <f aca="false">(('Business Case'!F11*$C1058*'Business Case'!F12*$B1058)-'Business Case'!F11*$C1058*'Business Case'!F13*$D1058-'Business Case'!F14*$E1058)-MAX(0,(('Business Case'!F11*$C1058*'Business Case'!F12*$B1058)-'Business Case'!F11*$C1058*'Business Case'!F13*$D1058-'Business Case'!F14*$E1058))*'Business Case'!$B$7-'Business Case'!$B$8*(('Business Case'!F11*$C1058*'Business Case'!F12*$B1058)-('Business Case'!E11*$C1058*'Business Case'!E12*$B1058))-'Business Case'!F15*$F1058</f>
        <v>871434155.077529</v>
      </c>
      <c r="M1058" s="39" t="n">
        <f aca="false">(('Business Case'!G11*$C1058*'Business Case'!G12*$B1058)-'Business Case'!G11*$C1058*'Business Case'!G13*$D1058-'Business Case'!G14*$E1058)-MAX(0,(('Business Case'!G11*$C1058*'Business Case'!G12*$B1058)-'Business Case'!G11*$C1058*'Business Case'!G13*$D1058-'Business Case'!G14*$E1058))*'Business Case'!$B$7-'Business Case'!$B$8*(('Business Case'!G11*$C1058*'Business Case'!G12*$B1058)-('Business Case'!F11*$C1058*'Business Case'!F12*$B1058))-'Business Case'!G15*$F1058+'Business Case'!$B$8*('Business Case'!G11*$C1058*'Business Case'!G12*$B1058)</f>
        <v>1079699395.03005</v>
      </c>
      <c r="N1058" s="39" t="n">
        <f aca="false">IF(COUNT('Business Case'!B11:G11)=0,"",H1058+NPV(G1058,I1058:M1058))</f>
        <v>-263854029.378617</v>
      </c>
      <c r="P1058" s="40" t="n">
        <f aca="true">RAND()</f>
        <v>0.391055219968641</v>
      </c>
      <c r="Q1058" s="40" t="n">
        <f aca="true">RAND()</f>
        <v>0.978730948783749</v>
      </c>
      <c r="R1058" s="40" t="n">
        <f aca="true">RAND()</f>
        <v>0.343936004417524</v>
      </c>
      <c r="S1058" s="40" t="n">
        <f aca="true">RAND()</f>
        <v>0.40671333952227</v>
      </c>
      <c r="T1058" s="40" t="n">
        <f aca="true">RAND()</f>
        <v>0.965160599189154</v>
      </c>
      <c r="U1058" s="40" t="n">
        <f aca="true">RAND()</f>
        <v>0.70885058682261</v>
      </c>
    </row>
    <row r="1059" customFormat="false" ht="15" hidden="false" customHeight="false" outlineLevel="0" collapsed="false">
      <c r="A1059" s="36" t="n">
        <v>979</v>
      </c>
      <c r="B1059" s="37" t="n">
        <f aca="false">1+IF($G$6=$E$6,$F$6,IF(P1059&lt;($F$6-$E$6)/($G$6-$E$6),$E$6+SQRT(P1059*($G$6-$E$6)*($F$6-$E$6)),$G$6-SQRT((1-P1059)*($G$6-$E$6)*($G$6-$F$6))))</f>
        <v>1.0075996678925</v>
      </c>
      <c r="C1059" s="37" t="n">
        <f aca="false">1+IF($G$7=$E$7,$F$7,IF(Q1059&lt;($F$7-$E$7)/($G$7-$E$7),$E$7+SQRT(Q1059*($G$7-$E$7)*($F$7-$E$7)),$G$7-SQRT((1-Q1059)*($G$7-$E$7)*($G$7-$F$7))))</f>
        <v>1.00254800040841</v>
      </c>
      <c r="D1059" s="37" t="n">
        <f aca="false">1+IF($G$8=$E$8,$F$8,IF(R1059&lt;($F$8-$E$8)/($G$8-$E$8),$E$8+SQRT(R1059*($G$8-$E$8)*($F$8-$E$8)),$G$8-SQRT((1-R1059)*($G$8-$E$8)*($G$8-$F$8))))</f>
        <v>0.980579804947075</v>
      </c>
      <c r="E1059" s="37" t="n">
        <f aca="false">1+IF($G$9=$E$9,$F$9,IF(S1059&lt;($F$9-$E$9)/($G$9-$E$9),$E$9+SQRT(S1059*($G$9-$E$9)*($F$9-$E$9)),$G$9-SQRT((1-S1059)*($G$9-$E$9)*($G$9-$F$9))))</f>
        <v>0.97679252199331</v>
      </c>
      <c r="F1059" s="37" t="n">
        <f aca="false">1+IF($G$10=$E$10,$F$10,IF(T1059&lt;($F$10-$E$10)/($G$10-$E$10),$E$10+SQRT(T1059*($G$10-$E$10)*($F$10-$E$10)),$G$10-SQRT((1-T1059)*($G$10-$E$10)*($G$10-$F$10))))</f>
        <v>1.11696740163706</v>
      </c>
      <c r="G1059" s="38" t="n">
        <f aca="false">IF($G$11=$E$11,$F$11,IF(U1059&lt;($F$11-$E$11)/($G$11-$E$11),$E$11+SQRT(U1059*($G$11-$E$11)*($F$11-$E$11)),$G$11-SQRT((1-U1059)*($G$11-$E$11)*($G$11-$F$11))))</f>
        <v>0.0946195681438779</v>
      </c>
      <c r="H1059" s="39" t="n">
        <f aca="false">(('Business Case'!B11*$C1059*'Business Case'!B12*$B1059)-'Business Case'!B11*$C1059*'Business Case'!B13*$D1059-'Business Case'!B14*$E1059)-MAX(0,(('Business Case'!B11*$C1059*'Business Case'!B12*$B1059)-'Business Case'!B11*$C1059*'Business Case'!B13*$D1059-'Business Case'!B14*$E1059))*'Business Case'!$B$7-'Business Case'!$B$8*('Business Case'!B11*$C1059*'Business Case'!B12*$B1059)-'Business Case'!B15*$F1059</f>
        <v>-2233934803.27412</v>
      </c>
      <c r="I1059" s="39" t="n">
        <f aca="false">(('Business Case'!C11*$C1059*'Business Case'!C12*$B1059)-'Business Case'!C11*$C1059*'Business Case'!C13*$D1059-'Business Case'!C14*$E1059)-MAX(0,(('Business Case'!C11*$C1059*'Business Case'!C12*$B1059)-'Business Case'!C11*$C1059*'Business Case'!C13*$D1059-'Business Case'!C14*$E1059))*'Business Case'!$B$7-'Business Case'!$B$8*(('Business Case'!C11*$C1059*'Business Case'!C12*$B1059)-('Business Case'!B11*$C1059*'Business Case'!B12*$B1059))-'Business Case'!C15*$F1059</f>
        <v>21178380.7503128</v>
      </c>
      <c r="J1059" s="39" t="n">
        <f aca="false">(('Business Case'!D11*$C1059*'Business Case'!D12*$B1059)-'Business Case'!D11*$C1059*'Business Case'!D13*$D1059-'Business Case'!D14*$E1059)-MAX(0,(('Business Case'!D11*$C1059*'Business Case'!D12*$B1059)-'Business Case'!D11*$C1059*'Business Case'!D13*$D1059-'Business Case'!D14*$E1059))*'Business Case'!$B$7-'Business Case'!$B$8*(('Business Case'!D11*$C1059*'Business Case'!D12*$B1059)-('Business Case'!C11*$C1059*'Business Case'!C12*$B1059))-'Business Case'!D15*$F1059</f>
        <v>345320457.244025</v>
      </c>
      <c r="K1059" s="39" t="n">
        <f aca="false">(('Business Case'!E11*$C1059*'Business Case'!E12*$B1059)-'Business Case'!E11*$C1059*'Business Case'!E13*$D1059-'Business Case'!E14*$E1059)-MAX(0,(('Business Case'!E11*$C1059*'Business Case'!E12*$B1059)-'Business Case'!E11*$C1059*'Business Case'!E13*$D1059-'Business Case'!E14*$E1059))*'Business Case'!$B$7-'Business Case'!$B$8*(('Business Case'!E11*$C1059*'Business Case'!E12*$B1059)-('Business Case'!D11*$C1059*'Business Case'!D12*$B1059))-'Business Case'!E15*$F1059</f>
        <v>725310903.81959</v>
      </c>
      <c r="L1059" s="39" t="n">
        <f aca="false">(('Business Case'!F11*$C1059*'Business Case'!F12*$B1059)-'Business Case'!F11*$C1059*'Business Case'!F13*$D1059-'Business Case'!F14*$E1059)-MAX(0,(('Business Case'!F11*$C1059*'Business Case'!F12*$B1059)-'Business Case'!F11*$C1059*'Business Case'!F13*$D1059-'Business Case'!F14*$E1059))*'Business Case'!$B$7-'Business Case'!$B$8*(('Business Case'!F11*$C1059*'Business Case'!F12*$B1059)-('Business Case'!E11*$C1059*'Business Case'!E12*$B1059))-'Business Case'!F15*$F1059</f>
        <v>868269635.285656</v>
      </c>
      <c r="M1059" s="39" t="n">
        <f aca="false">(('Business Case'!G11*$C1059*'Business Case'!G12*$B1059)-'Business Case'!G11*$C1059*'Business Case'!G13*$D1059-'Business Case'!G14*$E1059)-MAX(0,(('Business Case'!G11*$C1059*'Business Case'!G12*$B1059)-'Business Case'!G11*$C1059*'Business Case'!G13*$D1059-'Business Case'!G14*$E1059))*'Business Case'!$B$7-'Business Case'!$B$8*(('Business Case'!G11*$C1059*'Business Case'!G12*$B1059)-('Business Case'!F11*$C1059*'Business Case'!F12*$B1059))-'Business Case'!G15*$F1059+'Business Case'!$B$8*('Business Case'!G11*$C1059*'Business Case'!G12*$B1059)</f>
        <v>1060282184.77722</v>
      </c>
      <c r="N1059" s="39" t="n">
        <f aca="false">IF(COUNT('Business Case'!B11:G11)=0,"",H1059+NPV(G1059,I1059:M1059))</f>
        <v>-93895921.3120573</v>
      </c>
      <c r="P1059" s="40" t="n">
        <f aca="true">RAND()</f>
        <v>0.781295516525775</v>
      </c>
      <c r="Q1059" s="40" t="n">
        <f aca="true">RAND()</f>
        <v>0.58586491078934</v>
      </c>
      <c r="R1059" s="40" t="n">
        <f aca="true">RAND()</f>
        <v>0.143865303169408</v>
      </c>
      <c r="S1059" s="40" t="n">
        <f aca="true">RAND()</f>
        <v>0.0957118979682639</v>
      </c>
      <c r="T1059" s="40" t="n">
        <f aca="true">RAND()</f>
        <v>0.862111752181979</v>
      </c>
      <c r="U1059" s="40" t="n">
        <f aca="true">RAND()</f>
        <v>0.0711346994531052</v>
      </c>
    </row>
    <row r="1060" customFormat="false" ht="15" hidden="false" customHeight="false" outlineLevel="0" collapsed="false">
      <c r="A1060" s="36" t="n">
        <v>980</v>
      </c>
      <c r="B1060" s="37" t="n">
        <f aca="false">1+IF($G$6=$E$6,$F$6,IF(P1060&lt;($F$6-$E$6)/($G$6-$E$6),$E$6+SQRT(P1060*($G$6-$E$6)*($F$6-$E$6)),$G$6-SQRT((1-P1060)*($G$6-$E$6)*($G$6-$F$6))))</f>
        <v>0.974128226407085</v>
      </c>
      <c r="C1060" s="37" t="n">
        <f aca="false">1+IF($G$7=$E$7,$F$7,IF(Q1060&lt;($F$7-$E$7)/($G$7-$E$7),$E$7+SQRT(Q1060*($G$7-$E$7)*($F$7-$E$7)),$G$7-SQRT((1-Q1060)*($G$7-$E$7)*($G$7-$F$7))))</f>
        <v>0.956977523722437</v>
      </c>
      <c r="D1060" s="37" t="n">
        <f aca="false">1+IF($G$8=$E$8,$F$8,IF(R1060&lt;($F$8-$E$8)/($G$8-$E$8),$E$8+SQRT(R1060*($G$8-$E$8)*($F$8-$E$8)),$G$8-SQRT((1-R1060)*($G$8-$E$8)*($G$8-$F$8))))</f>
        <v>1.02905863803395</v>
      </c>
      <c r="E1060" s="37" t="n">
        <f aca="false">1+IF($G$9=$E$9,$F$9,IF(S1060&lt;($F$9-$E$9)/($G$9-$E$9),$E$9+SQRT(S1060*($G$9-$E$9)*($F$9-$E$9)),$G$9-SQRT((1-S1060)*($G$9-$E$9)*($G$9-$F$9))))</f>
        <v>0.99580862250405</v>
      </c>
      <c r="F1060" s="37" t="n">
        <f aca="false">1+IF($G$10=$E$10,$F$10,IF(T1060&lt;($F$10-$E$10)/($G$10-$E$10),$E$10+SQRT(T1060*($G$10-$E$10)*($F$10-$E$10)),$G$10-SQRT((1-T1060)*($G$10-$E$10)*($G$10-$F$10))))</f>
        <v>1.11570765218156</v>
      </c>
      <c r="G1060" s="38" t="n">
        <f aca="false">IF($G$11=$E$11,$F$11,IF(U1060&lt;($F$11-$E$11)/($G$11-$E$11),$E$11+SQRT(U1060*($G$11-$E$11)*($F$11-$E$11)),$G$11-SQRT((1-U1060)*($G$11-$E$11)*($G$11-$F$11))))</f>
        <v>0.096865767630087</v>
      </c>
      <c r="H1060" s="39" t="n">
        <f aca="false">(('Business Case'!B11*$C1060*'Business Case'!B12*$B1060)-'Business Case'!B11*$C1060*'Business Case'!B13*$D1060-'Business Case'!B14*$E1060)-MAX(0,(('Business Case'!B11*$C1060*'Business Case'!B12*$B1060)-'Business Case'!B11*$C1060*'Business Case'!B13*$D1060-'Business Case'!B14*$E1060))*'Business Case'!$B$7-'Business Case'!$B$8*('Business Case'!B11*$C1060*'Business Case'!B12*$B1060)-'Business Case'!B15*$F1060</f>
        <v>-2231415304.36313</v>
      </c>
      <c r="I1060" s="39" t="n">
        <f aca="false">(('Business Case'!C11*$C1060*'Business Case'!C12*$B1060)-'Business Case'!C11*$C1060*'Business Case'!C13*$D1060-'Business Case'!C14*$E1060)-MAX(0,(('Business Case'!C11*$C1060*'Business Case'!C12*$B1060)-'Business Case'!C11*$C1060*'Business Case'!C13*$D1060-'Business Case'!C14*$E1060))*'Business Case'!$B$7-'Business Case'!$B$8*(('Business Case'!C11*$C1060*'Business Case'!C12*$B1060)-('Business Case'!B11*$C1060*'Business Case'!B12*$B1060))-'Business Case'!C15*$F1060</f>
        <v>-42078285.8096478</v>
      </c>
      <c r="J1060" s="39" t="n">
        <f aca="false">(('Business Case'!D11*$C1060*'Business Case'!D12*$B1060)-'Business Case'!D11*$C1060*'Business Case'!D13*$D1060-'Business Case'!D14*$E1060)-MAX(0,(('Business Case'!D11*$C1060*'Business Case'!D12*$B1060)-'Business Case'!D11*$C1060*'Business Case'!D13*$D1060-'Business Case'!D14*$E1060))*'Business Case'!$B$7-'Business Case'!$B$8*(('Business Case'!D11*$C1060*'Business Case'!D12*$B1060)-('Business Case'!C11*$C1060*'Business Case'!C12*$B1060))-'Business Case'!D15*$F1060</f>
        <v>217344403.238623</v>
      </c>
      <c r="K1060" s="39" t="n">
        <f aca="false">(('Business Case'!E11*$C1060*'Business Case'!E12*$B1060)-'Business Case'!E11*$C1060*'Business Case'!E13*$D1060-'Business Case'!E14*$E1060)-MAX(0,(('Business Case'!E11*$C1060*'Business Case'!E12*$B1060)-'Business Case'!E11*$C1060*'Business Case'!E13*$D1060-'Business Case'!E14*$E1060))*'Business Case'!$B$7-'Business Case'!$B$8*(('Business Case'!E11*$C1060*'Business Case'!E12*$B1060)-('Business Case'!D11*$C1060*'Business Case'!D12*$B1060))-'Business Case'!E15*$F1060</f>
        <v>532552474.895972</v>
      </c>
      <c r="L1060" s="39" t="n">
        <f aca="false">(('Business Case'!F11*$C1060*'Business Case'!F12*$B1060)-'Business Case'!F11*$C1060*'Business Case'!F13*$D1060-'Business Case'!F14*$E1060)-MAX(0,(('Business Case'!F11*$C1060*'Business Case'!F12*$B1060)-'Business Case'!F11*$C1060*'Business Case'!F13*$D1060-'Business Case'!F14*$E1060))*'Business Case'!$B$7-'Business Case'!$B$8*(('Business Case'!F11*$C1060*'Business Case'!F12*$B1060)-('Business Case'!E11*$C1060*'Business Case'!E12*$B1060))-'Business Case'!F15*$F1060</f>
        <v>651244186.925186</v>
      </c>
      <c r="M1060" s="39" t="n">
        <f aca="false">(('Business Case'!G11*$C1060*'Business Case'!G12*$B1060)-'Business Case'!G11*$C1060*'Business Case'!G13*$D1060-'Business Case'!G14*$E1060)-MAX(0,(('Business Case'!G11*$C1060*'Business Case'!G12*$B1060)-'Business Case'!G11*$C1060*'Business Case'!G13*$D1060-'Business Case'!G14*$E1060))*'Business Case'!$B$7-'Business Case'!$B$8*(('Business Case'!G11*$C1060*'Business Case'!G12*$B1060)-('Business Case'!F11*$C1060*'Business Case'!F12*$B1060))-'Business Case'!G15*$F1060+'Business Case'!$B$8*('Business Case'!G11*$C1060*'Business Case'!G12*$B1060)</f>
        <v>828440339.830702</v>
      </c>
      <c r="N1060" s="39" t="n">
        <f aca="false">IF(COUNT('Business Case'!B11:G11)=0,"",H1060+NPV(G1060,I1060:M1060))</f>
        <v>-713869725.740004</v>
      </c>
      <c r="P1060" s="40" t="n">
        <f aca="true">RAND()</f>
        <v>0.305194259789233</v>
      </c>
      <c r="Q1060" s="40" t="n">
        <f aca="true">RAND()</f>
        <v>0.352027756486117</v>
      </c>
      <c r="R1060" s="40" t="n">
        <f aca="true">RAND()</f>
        <v>0.750478619331126</v>
      </c>
      <c r="S1060" s="40" t="n">
        <f aca="true">RAND()</f>
        <v>0.279790652762469</v>
      </c>
      <c r="T1060" s="40" t="n">
        <f aca="true">RAND()</f>
        <v>0.857896001985116</v>
      </c>
      <c r="U1060" s="40" t="n">
        <f aca="true">RAND()</f>
        <v>0.157129217167833</v>
      </c>
    </row>
    <row r="1061" customFormat="false" ht="15" hidden="false" customHeight="false" outlineLevel="0" collapsed="false">
      <c r="A1061" s="36" t="n">
        <v>981</v>
      </c>
      <c r="B1061" s="37" t="n">
        <f aca="false">1+IF($G$6=$E$6,$F$6,IF(P1061&lt;($F$6-$E$6)/($G$6-$E$6),$E$6+SQRT(P1061*($G$6-$E$6)*($F$6-$E$6)),$G$6-SQRT((1-P1061)*($G$6-$E$6)*($G$6-$F$6))))</f>
        <v>0.970110733014446</v>
      </c>
      <c r="C1061" s="37" t="n">
        <f aca="false">1+IF($G$7=$E$7,$F$7,IF(Q1061&lt;($F$7-$E$7)/($G$7-$E$7),$E$7+SQRT(Q1061*($G$7-$E$7)*($F$7-$E$7)),$G$7-SQRT((1-Q1061)*($G$7-$E$7)*($G$7-$F$7))))</f>
        <v>0.968994269828032</v>
      </c>
      <c r="D1061" s="37" t="n">
        <f aca="false">1+IF($G$8=$E$8,$F$8,IF(R1061&lt;($F$8-$E$8)/($G$8-$E$8),$E$8+SQRT(R1061*($G$8-$E$8)*($F$8-$E$8)),$G$8-SQRT((1-R1061)*($G$8-$E$8)*($G$8-$F$8))))</f>
        <v>1.00592607193942</v>
      </c>
      <c r="E1061" s="37" t="n">
        <f aca="false">1+IF($G$9=$E$9,$F$9,IF(S1061&lt;($F$9-$E$9)/($G$9-$E$9),$E$9+SQRT(S1061*($G$9-$E$9)*($F$9-$E$9)),$G$9-SQRT((1-S1061)*($G$9-$E$9)*($G$9-$F$9))))</f>
        <v>1.06522117662963</v>
      </c>
      <c r="F1061" s="37" t="n">
        <f aca="false">1+IF($G$10=$E$10,$F$10,IF(T1061&lt;($F$10-$E$10)/($G$10-$E$10),$E$10+SQRT(T1061*($G$10-$E$10)*($F$10-$E$10)),$G$10-SQRT((1-T1061)*($G$10-$E$10)*($G$10-$F$10))))</f>
        <v>1.07616590141248</v>
      </c>
      <c r="G1061" s="38" t="n">
        <f aca="false">IF($G$11=$E$11,$F$11,IF(U1061&lt;($F$11-$E$11)/($G$11-$E$11),$E$11+SQRT(U1061*($G$11-$E$11)*($F$11-$E$11)),$G$11-SQRT((1-U1061)*($G$11-$E$11)*($G$11-$F$11))))</f>
        <v>0.0956985270165811</v>
      </c>
      <c r="H1061" s="39" t="n">
        <f aca="false">(('Business Case'!B11*$C1061*'Business Case'!B12*$B1061)-'Business Case'!B11*$C1061*'Business Case'!B13*$D1061-'Business Case'!B14*$E1061)-MAX(0,(('Business Case'!B11*$C1061*'Business Case'!B12*$B1061)-'Business Case'!B11*$C1061*'Business Case'!B13*$D1061-'Business Case'!B14*$E1061))*'Business Case'!$B$7-'Business Case'!$B$8*('Business Case'!B11*$C1061*'Business Case'!B12*$B1061)-'Business Case'!B15*$F1061</f>
        <v>-2152331802.82497</v>
      </c>
      <c r="I1061" s="39" t="n">
        <f aca="false">(('Business Case'!C11*$C1061*'Business Case'!C12*$B1061)-'Business Case'!C11*$C1061*'Business Case'!C13*$D1061-'Business Case'!C14*$E1061)-MAX(0,(('Business Case'!C11*$C1061*'Business Case'!C12*$B1061)-'Business Case'!C11*$C1061*'Business Case'!C13*$D1061-'Business Case'!C14*$E1061))*'Business Case'!$B$7-'Business Case'!$B$8*(('Business Case'!C11*$C1061*'Business Case'!C12*$B1061)-('Business Case'!B11*$C1061*'Business Case'!B12*$B1061))-'Business Case'!C15*$F1061</f>
        <v>-36855768.5050563</v>
      </c>
      <c r="J1061" s="39" t="n">
        <f aca="false">(('Business Case'!D11*$C1061*'Business Case'!D12*$B1061)-'Business Case'!D11*$C1061*'Business Case'!D13*$D1061-'Business Case'!D14*$E1061)-MAX(0,(('Business Case'!D11*$C1061*'Business Case'!D12*$B1061)-'Business Case'!D11*$C1061*'Business Case'!D13*$D1061-'Business Case'!D14*$E1061))*'Business Case'!$B$7-'Business Case'!$B$8*(('Business Case'!D11*$C1061*'Business Case'!D12*$B1061)-('Business Case'!C11*$C1061*'Business Case'!C12*$B1061))-'Business Case'!D15*$F1061</f>
        <v>234110749.921509</v>
      </c>
      <c r="K1061" s="39" t="n">
        <f aca="false">(('Business Case'!E11*$C1061*'Business Case'!E12*$B1061)-'Business Case'!E11*$C1061*'Business Case'!E13*$D1061-'Business Case'!E14*$E1061)-MAX(0,(('Business Case'!E11*$C1061*'Business Case'!E12*$B1061)-'Business Case'!E11*$C1061*'Business Case'!E13*$D1061-'Business Case'!E14*$E1061))*'Business Case'!$B$7-'Business Case'!$B$8*(('Business Case'!E11*$C1061*'Business Case'!E12*$B1061)-('Business Case'!D11*$C1061*'Business Case'!D12*$B1061))-'Business Case'!E15*$F1061</f>
        <v>558885563.418699</v>
      </c>
      <c r="L1061" s="39" t="n">
        <f aca="false">(('Business Case'!F11*$C1061*'Business Case'!F12*$B1061)-'Business Case'!F11*$C1061*'Business Case'!F13*$D1061-'Business Case'!F14*$E1061)-MAX(0,(('Business Case'!F11*$C1061*'Business Case'!F12*$B1061)-'Business Case'!F11*$C1061*'Business Case'!F13*$D1061-'Business Case'!F14*$E1061))*'Business Case'!$B$7-'Business Case'!$B$8*(('Business Case'!F11*$C1061*'Business Case'!F12*$B1061)-('Business Case'!E11*$C1061*'Business Case'!E12*$B1061))-'Business Case'!F15*$F1061</f>
        <v>681695233.209982</v>
      </c>
      <c r="M1061" s="39" t="n">
        <f aca="false">(('Business Case'!G11*$C1061*'Business Case'!G12*$B1061)-'Business Case'!G11*$C1061*'Business Case'!G13*$D1061-'Business Case'!G14*$E1061)-MAX(0,(('Business Case'!G11*$C1061*'Business Case'!G12*$B1061)-'Business Case'!G11*$C1061*'Business Case'!G13*$D1061-'Business Case'!G14*$E1061))*'Business Case'!$B$7-'Business Case'!$B$8*(('Business Case'!G11*$C1061*'Business Case'!G12*$B1061)-('Business Case'!F11*$C1061*'Business Case'!F12*$B1061))-'Business Case'!G15*$F1061+'Business Case'!$B$8*('Business Case'!G11*$C1061*'Business Case'!G12*$B1061)</f>
        <v>860376466.61333</v>
      </c>
      <c r="N1061" s="39" t="n">
        <f aca="false">IF(COUNT('Business Case'!B11:G11)=0,"",H1061+NPV(G1061,I1061:M1061))</f>
        <v>-548346094.075933</v>
      </c>
      <c r="P1061" s="40" t="n">
        <f aca="true">RAND()</f>
        <v>0.26157141283803</v>
      </c>
      <c r="Q1061" s="40" t="n">
        <f aca="true">RAND()</f>
        <v>0.407986617638712</v>
      </c>
      <c r="R1061" s="40" t="n">
        <f aca="true">RAND()</f>
        <v>0.472408959776608</v>
      </c>
      <c r="S1061" s="40" t="n">
        <f aca="true">RAND()</f>
        <v>0.919362229664823</v>
      </c>
      <c r="T1061" s="40" t="n">
        <f aca="true">RAND()</f>
        <v>0.693302320540351</v>
      </c>
      <c r="U1061" s="40" t="n">
        <f aca="true">RAND()</f>
        <v>0.10824403386235</v>
      </c>
    </row>
    <row r="1062" customFormat="false" ht="15" hidden="false" customHeight="false" outlineLevel="0" collapsed="false">
      <c r="A1062" s="36" t="n">
        <v>982</v>
      </c>
      <c r="B1062" s="37" t="n">
        <f aca="false">1+IF($G$6=$E$6,$F$6,IF(P1062&lt;($F$6-$E$6)/($G$6-$E$6),$E$6+SQRT(P1062*($G$6-$E$6)*($F$6-$E$6)),$G$6-SQRT((1-P1062)*($G$6-$E$6)*($G$6-$F$6))))</f>
        <v>0.980229402001506</v>
      </c>
      <c r="C1062" s="37" t="n">
        <f aca="false">1+IF($G$7=$E$7,$F$7,IF(Q1062&lt;($F$7-$E$7)/($G$7-$E$7),$E$7+SQRT(Q1062*($G$7-$E$7)*($F$7-$E$7)),$G$7-SQRT((1-Q1062)*($G$7-$E$7)*($G$7-$F$7))))</f>
        <v>0.978167483529825</v>
      </c>
      <c r="D1062" s="37" t="n">
        <f aca="false">1+IF($G$8=$E$8,$F$8,IF(R1062&lt;($F$8-$E$8)/($G$8-$E$8),$E$8+SQRT(R1062*($G$8-$E$8)*($F$8-$E$8)),$G$8-SQRT((1-R1062)*($G$8-$E$8)*($G$8-$F$8))))</f>
        <v>1.03384318228643</v>
      </c>
      <c r="E1062" s="37" t="n">
        <f aca="false">1+IF($G$9=$E$9,$F$9,IF(S1062&lt;($F$9-$E$9)/($G$9-$E$9),$E$9+SQRT(S1062*($G$9-$E$9)*($F$9-$E$9)),$G$9-SQRT((1-S1062)*($G$9-$E$9)*($G$9-$F$9))))</f>
        <v>1.06219308415692</v>
      </c>
      <c r="F1062" s="37" t="n">
        <f aca="false">1+IF($G$10=$E$10,$F$10,IF(T1062&lt;($F$10-$E$10)/($G$10-$E$10),$E$10+SQRT(T1062*($G$10-$E$10)*($F$10-$E$10)),$G$10-SQRT((1-T1062)*($G$10-$E$10)*($G$10-$F$10))))</f>
        <v>1.01917522891713</v>
      </c>
      <c r="G1062" s="38" t="n">
        <f aca="false">IF($G$11=$E$11,$F$11,IF(U1062&lt;($F$11-$E$11)/($G$11-$E$11),$E$11+SQRT(U1062*($G$11-$E$11)*($F$11-$E$11)),$G$11-SQRT((1-U1062)*($G$11-$E$11)*($G$11-$F$11))))</f>
        <v>0.0913097647641549</v>
      </c>
      <c r="H1062" s="39" t="n">
        <f aca="false">(('Business Case'!B11*$C1062*'Business Case'!B12*$B1062)-'Business Case'!B11*$C1062*'Business Case'!B13*$D1062-'Business Case'!B14*$E1062)-MAX(0,(('Business Case'!B11*$C1062*'Business Case'!B12*$B1062)-'Business Case'!B11*$C1062*'Business Case'!B13*$D1062-'Business Case'!B14*$E1062))*'Business Case'!$B$7-'Business Case'!$B$8*('Business Case'!B11*$C1062*'Business Case'!B12*$B1062)-'Business Case'!B15*$F1062</f>
        <v>-2038350457.83426</v>
      </c>
      <c r="I1062" s="39" t="n">
        <f aca="false">(('Business Case'!C11*$C1062*'Business Case'!C12*$B1062)-'Business Case'!C11*$C1062*'Business Case'!C13*$D1062-'Business Case'!C14*$E1062)-MAX(0,(('Business Case'!C11*$C1062*'Business Case'!C12*$B1062)-'Business Case'!C11*$C1062*'Business Case'!C13*$D1062-'Business Case'!C14*$E1062))*'Business Case'!$B$7-'Business Case'!$B$8*(('Business Case'!C11*$C1062*'Business Case'!C12*$B1062)-('Business Case'!B11*$C1062*'Business Case'!B12*$B1062))-'Business Case'!C15*$F1062</f>
        <v>-35007702.3515514</v>
      </c>
      <c r="J1062" s="39" t="n">
        <f aca="false">(('Business Case'!D11*$C1062*'Business Case'!D12*$B1062)-'Business Case'!D11*$C1062*'Business Case'!D13*$D1062-'Business Case'!D14*$E1062)-MAX(0,(('Business Case'!D11*$C1062*'Business Case'!D12*$B1062)-'Business Case'!D11*$C1062*'Business Case'!D13*$D1062-'Business Case'!D14*$E1062))*'Business Case'!$B$7-'Business Case'!$B$8*(('Business Case'!D11*$C1062*'Business Case'!D12*$B1062)-('Business Case'!C11*$C1062*'Business Case'!C12*$B1062))-'Business Case'!D15*$F1062</f>
        <v>232651645.618097</v>
      </c>
      <c r="K1062" s="39" t="n">
        <f aca="false">(('Business Case'!E11*$C1062*'Business Case'!E12*$B1062)-'Business Case'!E11*$C1062*'Business Case'!E13*$D1062-'Business Case'!E14*$E1062)-MAX(0,(('Business Case'!E11*$C1062*'Business Case'!E12*$B1062)-'Business Case'!E11*$C1062*'Business Case'!E13*$D1062-'Business Case'!E14*$E1062))*'Business Case'!$B$7-'Business Case'!$B$8*(('Business Case'!E11*$C1062*'Business Case'!E12*$B1062)-('Business Case'!D11*$C1062*'Business Case'!D12*$B1062))-'Business Case'!E15*$F1062</f>
        <v>551269755.033603</v>
      </c>
      <c r="L1062" s="39" t="n">
        <f aca="false">(('Business Case'!F11*$C1062*'Business Case'!F12*$B1062)-'Business Case'!F11*$C1062*'Business Case'!F13*$D1062-'Business Case'!F14*$E1062)-MAX(0,(('Business Case'!F11*$C1062*'Business Case'!F12*$B1062)-'Business Case'!F11*$C1062*'Business Case'!F13*$D1062-'Business Case'!F14*$E1062))*'Business Case'!$B$7-'Business Case'!$B$8*(('Business Case'!F11*$C1062*'Business Case'!F12*$B1062)-('Business Case'!E11*$C1062*'Business Case'!E12*$B1062))-'Business Case'!F15*$F1062</f>
        <v>673626651.598401</v>
      </c>
      <c r="M1062" s="39" t="n">
        <f aca="false">(('Business Case'!G11*$C1062*'Business Case'!G12*$B1062)-'Business Case'!G11*$C1062*'Business Case'!G13*$D1062-'Business Case'!G14*$E1062)-MAX(0,(('Business Case'!G11*$C1062*'Business Case'!G12*$B1062)-'Business Case'!G11*$C1062*'Business Case'!G13*$D1062-'Business Case'!G14*$E1062))*'Business Case'!$B$7-'Business Case'!$B$8*(('Business Case'!G11*$C1062*'Business Case'!G12*$B1062)-('Business Case'!F11*$C1062*'Business Case'!F12*$B1062))-'Business Case'!G15*$F1062+'Business Case'!$B$8*('Business Case'!G11*$C1062*'Business Case'!G12*$B1062)</f>
        <v>855880778.09377</v>
      </c>
      <c r="N1062" s="39" t="n">
        <f aca="false">IF(COUNT('Business Case'!B11:G11)=0,"",H1062+NPV(G1062,I1062:M1062))</f>
        <v>-423069060.034698</v>
      </c>
      <c r="P1062" s="40" t="n">
        <f aca="true">RAND()</f>
        <v>0.377873006818652</v>
      </c>
      <c r="Q1062" s="40" t="n">
        <f aca="true">RAND()</f>
        <v>0.453480745533576</v>
      </c>
      <c r="R1062" s="40" t="n">
        <f aca="true">RAND()</f>
        <v>0.795148863322701</v>
      </c>
      <c r="S1062" s="40" t="n">
        <f aca="true">RAND()</f>
        <v>0.904709140962268</v>
      </c>
      <c r="T1062" s="40" t="n">
        <f aca="true">RAND()</f>
        <v>0.346048043256556</v>
      </c>
      <c r="U1062" s="40" t="n">
        <f aca="true">RAND()</f>
        <v>0.00571827912473908</v>
      </c>
    </row>
    <row r="1063" customFormat="false" ht="15" hidden="false" customHeight="false" outlineLevel="0" collapsed="false">
      <c r="A1063" s="36" t="n">
        <v>983</v>
      </c>
      <c r="B1063" s="37" t="n">
        <f aca="false">1+IF($G$6=$E$6,$F$6,IF(P1063&lt;($F$6-$E$6)/($G$6-$E$6),$E$6+SQRT(P1063*($G$6-$E$6)*($F$6-$E$6)),$G$6-SQRT((1-P1063)*($G$6-$E$6)*($G$6-$F$6))))</f>
        <v>0.941716148215494</v>
      </c>
      <c r="C1063" s="37" t="n">
        <f aca="false">1+IF($G$7=$E$7,$F$7,IF(Q1063&lt;($F$7-$E$7)/($G$7-$E$7),$E$7+SQRT(Q1063*($G$7-$E$7)*($F$7-$E$7)),$G$7-SQRT((1-Q1063)*($G$7-$E$7)*($G$7-$F$7))))</f>
        <v>0.94149162568118</v>
      </c>
      <c r="D1063" s="37" t="n">
        <f aca="false">1+IF($G$8=$E$8,$F$8,IF(R1063&lt;($F$8-$E$8)/($G$8-$E$8),$E$8+SQRT(R1063*($G$8-$E$8)*($F$8-$E$8)),$G$8-SQRT((1-R1063)*($G$8-$E$8)*($G$8-$F$8))))</f>
        <v>0.985354049001224</v>
      </c>
      <c r="E1063" s="37" t="n">
        <f aca="false">1+IF($G$9=$E$9,$F$9,IF(S1063&lt;($F$9-$E$9)/($G$9-$E$9),$E$9+SQRT(S1063*($G$9-$E$9)*($F$9-$E$9)),$G$9-SQRT((1-S1063)*($G$9-$E$9)*($G$9-$F$9))))</f>
        <v>1.03151000739229</v>
      </c>
      <c r="F1063" s="37" t="n">
        <f aca="false">1+IF($G$10=$E$10,$F$10,IF(T1063&lt;($F$10-$E$10)/($G$10-$E$10),$E$10+SQRT(T1063*($G$10-$E$10)*($F$10-$E$10)),$G$10-SQRT((1-T1063)*($G$10-$E$10)*($G$10-$F$10))))</f>
        <v>1.01760358769134</v>
      </c>
      <c r="G1063" s="38" t="n">
        <f aca="false">IF($G$11=$E$11,$F$11,IF(U1063&lt;($F$11-$E$11)/($G$11-$E$11),$E$11+SQRT(U1063*($G$11-$E$11)*($F$11-$E$11)),$G$11-SQRT((1-U1063)*($G$11-$E$11)*($G$11-$F$11))))</f>
        <v>0.109875828455924</v>
      </c>
      <c r="H1063" s="39" t="n">
        <f aca="false">(('Business Case'!B11*$C1063*'Business Case'!B12*$B1063)-'Business Case'!B11*$C1063*'Business Case'!B13*$D1063-'Business Case'!B14*$E1063)-MAX(0,(('Business Case'!B11*$C1063*'Business Case'!B12*$B1063)-'Business Case'!B11*$C1063*'Business Case'!B13*$D1063-'Business Case'!B14*$E1063))*'Business Case'!$B$7-'Business Case'!$B$8*('Business Case'!B11*$C1063*'Business Case'!B12*$B1063)-'Business Case'!B15*$F1063</f>
        <v>-2035207175.38269</v>
      </c>
      <c r="I1063" s="39" t="n">
        <f aca="false">(('Business Case'!C11*$C1063*'Business Case'!C12*$B1063)-'Business Case'!C11*$C1063*'Business Case'!C13*$D1063-'Business Case'!C14*$E1063)-MAX(0,(('Business Case'!C11*$C1063*'Business Case'!C12*$B1063)-'Business Case'!C11*$C1063*'Business Case'!C13*$D1063-'Business Case'!C14*$E1063))*'Business Case'!$B$7-'Business Case'!$B$8*(('Business Case'!C11*$C1063*'Business Case'!C12*$B1063)-('Business Case'!B11*$C1063*'Business Case'!B12*$B1063))-'Business Case'!C15*$F1063</f>
        <v>-43108989.7971498</v>
      </c>
      <c r="J1063" s="39" t="n">
        <f aca="false">(('Business Case'!D11*$C1063*'Business Case'!D12*$B1063)-'Business Case'!D11*$C1063*'Business Case'!D13*$D1063-'Business Case'!D14*$E1063)-MAX(0,(('Business Case'!D11*$C1063*'Business Case'!D12*$B1063)-'Business Case'!D11*$C1063*'Business Case'!D13*$D1063-'Business Case'!D14*$E1063))*'Business Case'!$B$7-'Business Case'!$B$8*(('Business Case'!D11*$C1063*'Business Case'!D12*$B1063)-('Business Case'!C11*$C1063*'Business Case'!C12*$B1063))-'Business Case'!D15*$F1063</f>
        <v>208185372.467556</v>
      </c>
      <c r="K1063" s="39" t="n">
        <f aca="false">(('Business Case'!E11*$C1063*'Business Case'!E12*$B1063)-'Business Case'!E11*$C1063*'Business Case'!E13*$D1063-'Business Case'!E14*$E1063)-MAX(0,(('Business Case'!E11*$C1063*'Business Case'!E12*$B1063)-'Business Case'!E11*$C1063*'Business Case'!E13*$D1063-'Business Case'!E14*$E1063))*'Business Case'!$B$7-'Business Case'!$B$8*(('Business Case'!E11*$C1063*'Business Case'!E12*$B1063)-('Business Case'!D11*$C1063*'Business Case'!D12*$B1063))-'Business Case'!E15*$F1063</f>
        <v>510359914.116829</v>
      </c>
      <c r="L1063" s="39" t="n">
        <f aca="false">(('Business Case'!F11*$C1063*'Business Case'!F12*$B1063)-'Business Case'!F11*$C1063*'Business Case'!F13*$D1063-'Business Case'!F14*$E1063)-MAX(0,(('Business Case'!F11*$C1063*'Business Case'!F12*$B1063)-'Business Case'!F11*$C1063*'Business Case'!F13*$D1063-'Business Case'!F14*$E1063))*'Business Case'!$B$7-'Business Case'!$B$8*(('Business Case'!F11*$C1063*'Business Case'!F12*$B1063)-('Business Case'!E11*$C1063*'Business Case'!E12*$B1063))-'Business Case'!F15*$F1063</f>
        <v>624766215.032757</v>
      </c>
      <c r="M1063" s="39" t="n">
        <f aca="false">(('Business Case'!G11*$C1063*'Business Case'!G12*$B1063)-'Business Case'!G11*$C1063*'Business Case'!G13*$D1063-'Business Case'!G14*$E1063)-MAX(0,(('Business Case'!G11*$C1063*'Business Case'!G12*$B1063)-'Business Case'!G11*$C1063*'Business Case'!G13*$D1063-'Business Case'!G14*$E1063))*'Business Case'!$B$7-'Business Case'!$B$8*(('Business Case'!G11*$C1063*'Business Case'!G12*$B1063)-('Business Case'!F11*$C1063*'Business Case'!F12*$B1063))-'Business Case'!G15*$F1063+'Business Case'!$B$8*('Business Case'!G11*$C1063*'Business Case'!G12*$B1063)</f>
        <v>793294539.251731</v>
      </c>
      <c r="N1063" s="39" t="n">
        <f aca="false">IF(COUNT('Business Case'!B11:G11)=0,"",H1063+NPV(G1063,I1063:M1063))</f>
        <v>-648964511.739509</v>
      </c>
      <c r="P1063" s="40" t="n">
        <f aca="true">RAND()</f>
        <v>0.0491240722205506</v>
      </c>
      <c r="Q1063" s="40" t="n">
        <f aca="true">RAND()</f>
        <v>0.285998287684333</v>
      </c>
      <c r="R1063" s="40" t="n">
        <f aca="true">RAND()</f>
        <v>0.192293658581686</v>
      </c>
      <c r="S1063" s="40" t="n">
        <f aca="true">RAND()</f>
        <v>0.687274727506355</v>
      </c>
      <c r="T1063" s="40" t="n">
        <f aca="true">RAND()</f>
        <v>0.334630975538607</v>
      </c>
      <c r="U1063" s="40" t="n">
        <f aca="true">RAND()</f>
        <v>0.829168584243528</v>
      </c>
    </row>
    <row r="1064" customFormat="false" ht="15" hidden="false" customHeight="false" outlineLevel="0" collapsed="false">
      <c r="A1064" s="36" t="n">
        <v>984</v>
      </c>
      <c r="B1064" s="37" t="n">
        <f aca="false">1+IF($G$6=$E$6,$F$6,IF(P1064&lt;($F$6-$E$6)/($G$6-$E$6),$E$6+SQRT(P1064*($G$6-$E$6)*($F$6-$E$6)),$G$6-SQRT((1-P1064)*($G$6-$E$6)*($G$6-$F$6))))</f>
        <v>0.978948601346354</v>
      </c>
      <c r="C1064" s="37" t="n">
        <f aca="false">1+IF($G$7=$E$7,$F$7,IF(Q1064&lt;($F$7-$E$7)/($G$7-$E$7),$E$7+SQRT(Q1064*($G$7-$E$7)*($F$7-$E$7)),$G$7-SQRT((1-Q1064)*($G$7-$E$7)*($G$7-$F$7))))</f>
        <v>0.835694567224836</v>
      </c>
      <c r="D1064" s="37" t="n">
        <f aca="false">1+IF($G$8=$E$8,$F$8,IF(R1064&lt;($F$8-$E$8)/($G$8-$E$8),$E$8+SQRT(R1064*($G$8-$E$8)*($F$8-$E$8)),$G$8-SQRT((1-R1064)*($G$8-$E$8)*($G$8-$F$8))))</f>
        <v>1.0064930548597</v>
      </c>
      <c r="E1064" s="37" t="n">
        <f aca="false">1+IF($G$9=$E$9,$F$9,IF(S1064&lt;($F$9-$E$9)/($G$9-$E$9),$E$9+SQRT(S1064*($G$9-$E$9)*($F$9-$E$9)),$G$9-SQRT((1-S1064)*($G$9-$E$9)*($G$9-$F$9))))</f>
        <v>1.03715710812837</v>
      </c>
      <c r="F1064" s="37" t="n">
        <f aca="false">1+IF($G$10=$E$10,$F$10,IF(T1064&lt;($F$10-$E$10)/($G$10-$E$10),$E$10+SQRT(T1064*($G$10-$E$10)*($F$10-$E$10)),$G$10-SQRT((1-T1064)*($G$10-$E$10)*($G$10-$F$10))))</f>
        <v>0.992699377184233</v>
      </c>
      <c r="G1064" s="38" t="n">
        <f aca="false">IF($G$11=$E$11,$F$11,IF(U1064&lt;($F$11-$E$11)/($G$11-$E$11),$E$11+SQRT(U1064*($G$11-$E$11)*($F$11-$E$11)),$G$11-SQRT((1-U1064)*($G$11-$E$11)*($G$11-$F$11))))</f>
        <v>0.108223831008714</v>
      </c>
      <c r="H1064" s="39" t="n">
        <f aca="false">(('Business Case'!B11*$C1064*'Business Case'!B12*$B1064)-'Business Case'!B11*$C1064*'Business Case'!B13*$D1064-'Business Case'!B14*$E1064)-MAX(0,(('Business Case'!B11*$C1064*'Business Case'!B12*$B1064)-'Business Case'!B11*$C1064*'Business Case'!B13*$D1064-'Business Case'!B14*$E1064))*'Business Case'!$B$7-'Business Case'!$B$8*('Business Case'!B11*$C1064*'Business Case'!B12*$B1064)-'Business Case'!B15*$F1064</f>
        <v>-1985398754.36847</v>
      </c>
      <c r="I1064" s="39" t="n">
        <f aca="false">(('Business Case'!C11*$C1064*'Business Case'!C12*$B1064)-'Business Case'!C11*$C1064*'Business Case'!C13*$D1064-'Business Case'!C14*$E1064)-MAX(0,(('Business Case'!C11*$C1064*'Business Case'!C12*$B1064)-'Business Case'!C11*$C1064*'Business Case'!C13*$D1064-'Business Case'!C14*$E1064))*'Business Case'!$B$7-'Business Case'!$B$8*(('Business Case'!C11*$C1064*'Business Case'!C12*$B1064)-('Business Case'!B11*$C1064*'Business Case'!B12*$B1064))-'Business Case'!C15*$F1064</f>
        <v>-49666172.1695888</v>
      </c>
      <c r="J1064" s="39" t="n">
        <f aca="false">(('Business Case'!D11*$C1064*'Business Case'!D12*$B1064)-'Business Case'!D11*$C1064*'Business Case'!D13*$D1064-'Business Case'!D14*$E1064)-MAX(0,(('Business Case'!D11*$C1064*'Business Case'!D12*$B1064)-'Business Case'!D11*$C1064*'Business Case'!D13*$D1064-'Business Case'!D14*$E1064))*'Business Case'!$B$7-'Business Case'!$B$8*(('Business Case'!D11*$C1064*'Business Case'!D12*$B1064)-('Business Case'!C11*$C1064*'Business Case'!C12*$B1064))-'Business Case'!D15*$F1064</f>
        <v>189831743.273012</v>
      </c>
      <c r="K1064" s="39" t="n">
        <f aca="false">(('Business Case'!E11*$C1064*'Business Case'!E12*$B1064)-'Business Case'!E11*$C1064*'Business Case'!E13*$D1064-'Business Case'!E14*$E1064)-MAX(0,(('Business Case'!E11*$C1064*'Business Case'!E12*$B1064)-'Business Case'!E11*$C1064*'Business Case'!E13*$D1064-'Business Case'!E14*$E1064))*'Business Case'!$B$7-'Business Case'!$B$8*(('Business Case'!E11*$C1064*'Business Case'!E12*$B1064)-('Business Case'!D11*$C1064*'Business Case'!D12*$B1064))-'Business Case'!E15*$F1064</f>
        <v>478964627.574825</v>
      </c>
      <c r="L1064" s="39" t="n">
        <f aca="false">(('Business Case'!F11*$C1064*'Business Case'!F12*$B1064)-'Business Case'!F11*$C1064*'Business Case'!F13*$D1064-'Business Case'!F14*$E1064)-MAX(0,(('Business Case'!F11*$C1064*'Business Case'!F12*$B1064)-'Business Case'!F11*$C1064*'Business Case'!F13*$D1064-'Business Case'!F14*$E1064))*'Business Case'!$B$7-'Business Case'!$B$8*(('Business Case'!F11*$C1064*'Business Case'!F12*$B1064)-('Business Case'!E11*$C1064*'Business Case'!E12*$B1064))-'Business Case'!F15*$F1064</f>
        <v>587070872.134301</v>
      </c>
      <c r="M1064" s="39" t="n">
        <f aca="false">(('Business Case'!G11*$C1064*'Business Case'!G12*$B1064)-'Business Case'!G11*$C1064*'Business Case'!G13*$D1064-'Business Case'!G14*$E1064)-MAX(0,(('Business Case'!G11*$C1064*'Business Case'!G12*$B1064)-'Business Case'!G11*$C1064*'Business Case'!G13*$D1064-'Business Case'!G14*$E1064))*'Business Case'!$B$7-'Business Case'!$B$8*(('Business Case'!G11*$C1064*'Business Case'!G12*$B1064)-('Business Case'!F11*$C1064*'Business Case'!F12*$B1064))-'Business Case'!G15*$F1064+'Business Case'!$B$8*('Business Case'!G11*$C1064*'Business Case'!G12*$B1064)</f>
        <v>742575705.566645</v>
      </c>
      <c r="N1064" s="39" t="n">
        <f aca="false">IF(COUNT('Business Case'!B11:G11)=0,"",H1064+NPV(G1064,I1064:M1064))</f>
        <v>-690315129.631829</v>
      </c>
      <c r="P1064" s="40" t="n">
        <f aca="true">RAND()</f>
        <v>0.361972666738678</v>
      </c>
      <c r="Q1064" s="40" t="n">
        <f aca="true">RAND()</f>
        <v>0.0182014589909758</v>
      </c>
      <c r="R1064" s="40" t="n">
        <f aca="true">RAND()</f>
        <v>0.480454713090474</v>
      </c>
      <c r="S1064" s="40" t="n">
        <f aca="true">RAND()</f>
        <v>0.736718062747411</v>
      </c>
      <c r="T1064" s="40" t="n">
        <f aca="true">RAND()</f>
        <v>0.145858944953709</v>
      </c>
      <c r="U1064" s="40" t="n">
        <f aca="true">RAND()</f>
        <v>0.768869739814447</v>
      </c>
    </row>
    <row r="1065" customFormat="false" ht="15" hidden="false" customHeight="false" outlineLevel="0" collapsed="false">
      <c r="A1065" s="36" t="n">
        <v>985</v>
      </c>
      <c r="B1065" s="37" t="n">
        <f aca="false">1+IF($G$6=$E$6,$F$6,IF(P1065&lt;($F$6-$E$6)/($G$6-$E$6),$E$6+SQRT(P1065*($G$6-$E$6)*($F$6-$E$6)),$G$6-SQRT((1-P1065)*($G$6-$E$6)*($G$6-$F$6))))</f>
        <v>0.96562187086058</v>
      </c>
      <c r="C1065" s="37" t="n">
        <f aca="false">1+IF($G$7=$E$7,$F$7,IF(Q1065&lt;($F$7-$E$7)/($G$7-$E$7),$E$7+SQRT(Q1065*($G$7-$E$7)*($F$7-$E$7)),$G$7-SQRT((1-Q1065)*($G$7-$E$7)*($G$7-$F$7))))</f>
        <v>1.03112112625545</v>
      </c>
      <c r="D1065" s="37" t="n">
        <f aca="false">1+IF($G$8=$E$8,$F$8,IF(R1065&lt;($F$8-$E$8)/($G$8-$E$8),$E$8+SQRT(R1065*($G$8-$E$8)*($F$8-$E$8)),$G$8-SQRT((1-R1065)*($G$8-$E$8)*($G$8-$F$8))))</f>
        <v>1.02333781757516</v>
      </c>
      <c r="E1065" s="37" t="n">
        <f aca="false">1+IF($G$9=$E$9,$F$9,IF(S1065&lt;($F$9-$E$9)/($G$9-$E$9),$E$9+SQRT(S1065*($G$9-$E$9)*($F$9-$E$9)),$G$9-SQRT((1-S1065)*($G$9-$E$9)*($G$9-$F$9))))</f>
        <v>1.03702408717917</v>
      </c>
      <c r="F1065" s="37" t="n">
        <f aca="false">1+IF($G$10=$E$10,$F$10,IF(T1065&lt;($F$10-$E$10)/($G$10-$E$10),$E$10+SQRT(T1065*($G$10-$E$10)*($F$10-$E$10)),$G$10-SQRT((1-T1065)*($G$10-$E$10)*($G$10-$F$10))))</f>
        <v>0.999816865982413</v>
      </c>
      <c r="G1065" s="38" t="n">
        <f aca="false">IF($G$11=$E$11,$F$11,IF(U1065&lt;($F$11-$E$11)/($G$11-$E$11),$E$11+SQRT(U1065*($G$11-$E$11)*($F$11-$E$11)),$G$11-SQRT((1-U1065)*($G$11-$E$11)*($G$11-$F$11))))</f>
        <v>0.0983905753727406</v>
      </c>
      <c r="H1065" s="39" t="n">
        <f aca="false">(('Business Case'!B11*$C1065*'Business Case'!B12*$B1065)-'Business Case'!B11*$C1065*'Business Case'!B13*$D1065-'Business Case'!B14*$E1065)-MAX(0,(('Business Case'!B11*$C1065*'Business Case'!B12*$B1065)-'Business Case'!B11*$C1065*'Business Case'!B13*$D1065-'Business Case'!B14*$E1065))*'Business Case'!$B$7-'Business Case'!$B$8*('Business Case'!B11*$C1065*'Business Case'!B12*$B1065)-'Business Case'!B15*$F1065</f>
        <v>-1999633731.96483</v>
      </c>
      <c r="I1065" s="39" t="n">
        <f aca="false">(('Business Case'!C11*$C1065*'Business Case'!C12*$B1065)-'Business Case'!C11*$C1065*'Business Case'!C13*$D1065-'Business Case'!C14*$E1065)-MAX(0,(('Business Case'!C11*$C1065*'Business Case'!C12*$B1065)-'Business Case'!C11*$C1065*'Business Case'!C13*$D1065-'Business Case'!C14*$E1065))*'Business Case'!$B$7-'Business Case'!$B$8*(('Business Case'!C11*$C1065*'Business Case'!C12*$B1065)-('Business Case'!B11*$C1065*'Business Case'!B12*$B1065))-'Business Case'!C15*$F1065</f>
        <v>-23704669.0775334</v>
      </c>
      <c r="J1065" s="39" t="n">
        <f aca="false">(('Business Case'!D11*$C1065*'Business Case'!D12*$B1065)-'Business Case'!D11*$C1065*'Business Case'!D13*$D1065-'Business Case'!D14*$E1065)-MAX(0,(('Business Case'!D11*$C1065*'Business Case'!D12*$B1065)-'Business Case'!D11*$C1065*'Business Case'!D13*$D1065-'Business Case'!D14*$E1065))*'Business Case'!$B$7-'Business Case'!$B$8*(('Business Case'!D11*$C1065*'Business Case'!D12*$B1065)-('Business Case'!C11*$C1065*'Business Case'!C12*$B1065))-'Business Case'!D15*$F1065</f>
        <v>251652867.715259</v>
      </c>
      <c r="K1065" s="39" t="n">
        <f aca="false">(('Business Case'!E11*$C1065*'Business Case'!E12*$B1065)-'Business Case'!E11*$C1065*'Business Case'!E13*$D1065-'Business Case'!E14*$E1065)-MAX(0,(('Business Case'!E11*$C1065*'Business Case'!E12*$B1065)-'Business Case'!E11*$C1065*'Business Case'!E13*$D1065-'Business Case'!E14*$E1065))*'Business Case'!$B$7-'Business Case'!$B$8*(('Business Case'!E11*$C1065*'Business Case'!E12*$B1065)-('Business Case'!D11*$C1065*'Business Case'!D12*$B1065))-'Business Case'!E15*$F1065</f>
        <v>577001247.807173</v>
      </c>
      <c r="L1065" s="39" t="n">
        <f aca="false">(('Business Case'!F11*$C1065*'Business Case'!F12*$B1065)-'Business Case'!F11*$C1065*'Business Case'!F13*$D1065-'Business Case'!F14*$E1065)-MAX(0,(('Business Case'!F11*$C1065*'Business Case'!F12*$B1065)-'Business Case'!F11*$C1065*'Business Case'!F13*$D1065-'Business Case'!F14*$E1065))*'Business Case'!$B$7-'Business Case'!$B$8*(('Business Case'!F11*$C1065*'Business Case'!F12*$B1065)-('Business Case'!E11*$C1065*'Business Case'!E12*$B1065))-'Business Case'!F15*$F1065</f>
        <v>703197556.121575</v>
      </c>
      <c r="M1065" s="39" t="n">
        <f aca="false">(('Business Case'!G11*$C1065*'Business Case'!G12*$B1065)-'Business Case'!G11*$C1065*'Business Case'!G13*$D1065-'Business Case'!G14*$E1065)-MAX(0,(('Business Case'!G11*$C1065*'Business Case'!G12*$B1065)-'Business Case'!G11*$C1065*'Business Case'!G13*$D1065-'Business Case'!G14*$E1065))*'Business Case'!$B$7-'Business Case'!$B$8*(('Business Case'!G11*$C1065*'Business Case'!G12*$B1065)-('Business Case'!F11*$C1065*'Business Case'!F12*$B1065))-'Business Case'!G15*$F1065+'Business Case'!$B$8*('Business Case'!G11*$C1065*'Business Case'!G12*$B1065)</f>
        <v>892455101.064002</v>
      </c>
      <c r="N1065" s="39" t="n">
        <f aca="false">IF(COUNT('Business Case'!B11:G11)=0,"",H1065+NPV(G1065,I1065:M1065))</f>
        <v>-335878786.241449</v>
      </c>
      <c r="P1065" s="40" t="n">
        <f aca="true">RAND()</f>
        <v>0.216807823002025</v>
      </c>
      <c r="Q1065" s="40" t="n">
        <f aca="true">RAND()</f>
        <v>0.730815492899587</v>
      </c>
      <c r="R1065" s="40" t="n">
        <f aca="true">RAND()</f>
        <v>0.691288181043658</v>
      </c>
      <c r="S1065" s="40" t="n">
        <f aca="true">RAND()</f>
        <v>0.735602293625515</v>
      </c>
      <c r="T1065" s="40" t="n">
        <f aca="true">RAND()</f>
        <v>0.198537610904774</v>
      </c>
      <c r="U1065" s="40" t="n">
        <f aca="true">RAND()</f>
        <v>0.234672516952139</v>
      </c>
    </row>
    <row r="1066" customFormat="false" ht="15" hidden="false" customHeight="false" outlineLevel="0" collapsed="false">
      <c r="A1066" s="36" t="n">
        <v>986</v>
      </c>
      <c r="B1066" s="37" t="n">
        <f aca="false">1+IF($G$6=$E$6,$F$6,IF(P1066&lt;($F$6-$E$6)/($G$6-$E$6),$E$6+SQRT(P1066*($G$6-$E$6)*($F$6-$E$6)),$G$6-SQRT((1-P1066)*($G$6-$E$6)*($G$6-$F$6))))</f>
        <v>0.980039890506988</v>
      </c>
      <c r="C1066" s="37" t="n">
        <f aca="false">1+IF($G$7=$E$7,$F$7,IF(Q1066&lt;($F$7-$E$7)/($G$7-$E$7),$E$7+SQRT(Q1066*($G$7-$E$7)*($F$7-$E$7)),$G$7-SQRT((1-Q1066)*($G$7-$E$7)*($G$7-$F$7))))</f>
        <v>0.948792759185176</v>
      </c>
      <c r="D1066" s="37" t="n">
        <f aca="false">1+IF($G$8=$E$8,$F$8,IF(R1066&lt;($F$8-$E$8)/($G$8-$E$8),$E$8+SQRT(R1066*($G$8-$E$8)*($F$8-$E$8)),$G$8-SQRT((1-R1066)*($G$8-$E$8)*($G$8-$F$8))))</f>
        <v>1.02219571417449</v>
      </c>
      <c r="E1066" s="37" t="n">
        <f aca="false">1+IF($G$9=$E$9,$F$9,IF(S1066&lt;($F$9-$E$9)/($G$9-$E$9),$E$9+SQRT(S1066*($G$9-$E$9)*($F$9-$E$9)),$G$9-SQRT((1-S1066)*($G$9-$E$9)*($G$9-$F$9))))</f>
        <v>1.03683191618486</v>
      </c>
      <c r="F1066" s="37" t="n">
        <f aca="false">1+IF($G$10=$E$10,$F$10,IF(T1066&lt;($F$10-$E$10)/($G$10-$E$10),$E$10+SQRT(T1066*($G$10-$E$10)*($F$10-$E$10)),$G$10-SQRT((1-T1066)*($G$10-$E$10)*($G$10-$F$10))))</f>
        <v>1.0081805358214</v>
      </c>
      <c r="G1066" s="38" t="n">
        <f aca="false">IF($G$11=$E$11,$F$11,IF(U1066&lt;($F$11-$E$11)/($G$11-$E$11),$E$11+SQRT(U1066*($G$11-$E$11)*($F$11-$E$11)),$G$11-SQRT((1-U1066)*($G$11-$E$11)*($G$11-$F$11))))</f>
        <v>0.0997218056530347</v>
      </c>
      <c r="H1066" s="39" t="n">
        <f aca="false">(('Business Case'!B11*$C1066*'Business Case'!B12*$B1066)-'Business Case'!B11*$C1066*'Business Case'!B13*$D1066-'Business Case'!B14*$E1066)-MAX(0,(('Business Case'!B11*$C1066*'Business Case'!B12*$B1066)-'Business Case'!B11*$C1066*'Business Case'!B13*$D1066-'Business Case'!B14*$E1066))*'Business Case'!$B$7-'Business Case'!$B$8*('Business Case'!B11*$C1066*'Business Case'!B12*$B1066)-'Business Case'!B15*$F1066</f>
        <v>-2016361071.64281</v>
      </c>
      <c r="I1066" s="39" t="n">
        <f aca="false">(('Business Case'!C11*$C1066*'Business Case'!C12*$B1066)-'Business Case'!C11*$C1066*'Business Case'!C13*$D1066-'Business Case'!C14*$E1066)-MAX(0,(('Business Case'!C11*$C1066*'Business Case'!C12*$B1066)-'Business Case'!C11*$C1066*'Business Case'!C13*$D1066-'Business Case'!C14*$E1066))*'Business Case'!$B$7-'Business Case'!$B$8*(('Business Case'!C11*$C1066*'Business Case'!C12*$B1066)-('Business Case'!B11*$C1066*'Business Case'!B12*$B1066))-'Business Case'!C15*$F1066</f>
        <v>-31327811.7039383</v>
      </c>
      <c r="J1066" s="39" t="n">
        <f aca="false">(('Business Case'!D11*$C1066*'Business Case'!D12*$B1066)-'Business Case'!D11*$C1066*'Business Case'!D13*$D1066-'Business Case'!D14*$E1066)-MAX(0,(('Business Case'!D11*$C1066*'Business Case'!D12*$B1066)-'Business Case'!D11*$C1066*'Business Case'!D13*$D1066-'Business Case'!D14*$E1066))*'Business Case'!$B$7-'Business Case'!$B$8*(('Business Case'!D11*$C1066*'Business Case'!D12*$B1066)-('Business Case'!C11*$C1066*'Business Case'!C12*$B1066))-'Business Case'!D15*$F1066</f>
        <v>233803598.990393</v>
      </c>
      <c r="K1066" s="39" t="n">
        <f aca="false">(('Business Case'!E11*$C1066*'Business Case'!E12*$B1066)-'Business Case'!E11*$C1066*'Business Case'!E13*$D1066-'Business Case'!E14*$E1066)-MAX(0,(('Business Case'!E11*$C1066*'Business Case'!E12*$B1066)-'Business Case'!E11*$C1066*'Business Case'!E13*$D1066-'Business Case'!E14*$E1066))*'Business Case'!$B$7-'Business Case'!$B$8*(('Business Case'!E11*$C1066*'Business Case'!E12*$B1066)-('Business Case'!D11*$C1066*'Business Case'!D12*$B1066))-'Business Case'!E15*$F1066</f>
        <v>549344036.475794</v>
      </c>
      <c r="L1066" s="39" t="n">
        <f aca="false">(('Business Case'!F11*$C1066*'Business Case'!F12*$B1066)-'Business Case'!F11*$C1066*'Business Case'!F13*$D1066-'Business Case'!F14*$E1066)-MAX(0,(('Business Case'!F11*$C1066*'Business Case'!F12*$B1066)-'Business Case'!F11*$C1066*'Business Case'!F13*$D1066-'Business Case'!F14*$E1066))*'Business Case'!$B$7-'Business Case'!$B$8*(('Business Case'!F11*$C1066*'Business Case'!F12*$B1066)-('Business Case'!E11*$C1066*'Business Case'!E12*$B1066))-'Business Case'!F15*$F1066</f>
        <v>669856953.596999</v>
      </c>
      <c r="M1066" s="39" t="n">
        <f aca="false">(('Business Case'!G11*$C1066*'Business Case'!G12*$B1066)-'Business Case'!G11*$C1066*'Business Case'!G13*$D1066-'Business Case'!G14*$E1066)-MAX(0,(('Business Case'!G11*$C1066*'Business Case'!G12*$B1066)-'Business Case'!G11*$C1066*'Business Case'!G13*$D1066-'Business Case'!G14*$E1066))*'Business Case'!$B$7-'Business Case'!$B$8*(('Business Case'!G11*$C1066*'Business Case'!G12*$B1066)-('Business Case'!F11*$C1066*'Business Case'!F12*$B1066))-'Business Case'!G15*$F1066+'Business Case'!$B$8*('Business Case'!G11*$C1066*'Business Case'!G12*$B1066)</f>
        <v>846603744.824022</v>
      </c>
      <c r="N1066" s="39" t="n">
        <f aca="false">IF(COUNT('Business Case'!B11:G11)=0,"",H1066+NPV(G1066,I1066:M1066))</f>
        <v>-454156621.884563</v>
      </c>
      <c r="P1066" s="40" t="n">
        <f aca="true">RAND()</f>
        <v>0.375498797092828</v>
      </c>
      <c r="Q1066" s="40" t="n">
        <f aca="true">RAND()</f>
        <v>0.316275502656255</v>
      </c>
      <c r="R1066" s="40" t="n">
        <f aca="true">RAND()</f>
        <v>0.67871774425028</v>
      </c>
      <c r="S1066" s="40" t="n">
        <f aca="true">RAND()</f>
        <v>0.733986212474853</v>
      </c>
      <c r="T1066" s="40" t="n">
        <f aca="true">RAND()</f>
        <v>0.264105863244727</v>
      </c>
      <c r="U1066" s="40" t="n">
        <f aca="true">RAND()</f>
        <v>0.31504501718459</v>
      </c>
    </row>
    <row r="1067" customFormat="false" ht="15" hidden="false" customHeight="false" outlineLevel="0" collapsed="false">
      <c r="A1067" s="36" t="n">
        <v>987</v>
      </c>
      <c r="B1067" s="37" t="n">
        <f aca="false">1+IF($G$6=$E$6,$F$6,IF(P1067&lt;($F$6-$E$6)/($G$6-$E$6),$E$6+SQRT(P1067*($G$6-$E$6)*($F$6-$E$6)),$G$6-SQRT((1-P1067)*($G$6-$E$6)*($G$6-$F$6))))</f>
        <v>0.987843251068059</v>
      </c>
      <c r="C1067" s="37" t="n">
        <f aca="false">1+IF($G$7=$E$7,$F$7,IF(Q1067&lt;($F$7-$E$7)/($G$7-$E$7),$E$7+SQRT(Q1067*($G$7-$E$7)*($F$7-$E$7)),$G$7-SQRT((1-Q1067)*($G$7-$E$7)*($G$7-$F$7))))</f>
        <v>0.89408340271052</v>
      </c>
      <c r="D1067" s="37" t="n">
        <f aca="false">1+IF($G$8=$E$8,$F$8,IF(R1067&lt;($F$8-$E$8)/($G$8-$E$8),$E$8+SQRT(R1067*($G$8-$E$8)*($F$8-$E$8)),$G$8-SQRT((1-R1067)*($G$8-$E$8)*($G$8-$F$8))))</f>
        <v>0.975078089292846</v>
      </c>
      <c r="E1067" s="37" t="n">
        <f aca="false">1+IF($G$9=$E$9,$F$9,IF(S1067&lt;($F$9-$E$9)/($G$9-$E$9),$E$9+SQRT(S1067*($G$9-$E$9)*($F$9-$E$9)),$G$9-SQRT((1-S1067)*($G$9-$E$9)*($G$9-$F$9))))</f>
        <v>1.03663549062664</v>
      </c>
      <c r="F1067" s="37" t="n">
        <f aca="false">1+IF($G$10=$E$10,$F$10,IF(T1067&lt;($F$10-$E$10)/($G$10-$E$10),$E$10+SQRT(T1067*($G$10-$E$10)*($F$10-$E$10)),$G$10-SQRT((1-T1067)*($G$10-$E$10)*($G$10-$F$10))))</f>
        <v>1.02822004756712</v>
      </c>
      <c r="G1067" s="38" t="n">
        <f aca="false">IF($G$11=$E$11,$F$11,IF(U1067&lt;($F$11-$E$11)/($G$11-$E$11),$E$11+SQRT(U1067*($G$11-$E$11)*($F$11-$E$11)),$G$11-SQRT((1-U1067)*($G$11-$E$11)*($G$11-$F$11))))</f>
        <v>0.109998178155032</v>
      </c>
      <c r="H1067" s="39" t="n">
        <f aca="false">(('Business Case'!B11*$C1067*'Business Case'!B12*$B1067)-'Business Case'!B11*$C1067*'Business Case'!B13*$D1067-'Business Case'!B14*$E1067)-MAX(0,(('Business Case'!B11*$C1067*'Business Case'!B12*$B1067)-'Business Case'!B11*$C1067*'Business Case'!B13*$D1067-'Business Case'!B14*$E1067))*'Business Case'!$B$7-'Business Case'!$B$8*('Business Case'!B11*$C1067*'Business Case'!B12*$B1067)-'Business Case'!B15*$F1067</f>
        <v>-2056440095.13423</v>
      </c>
      <c r="I1067" s="39" t="n">
        <f aca="false">(('Business Case'!C11*$C1067*'Business Case'!C12*$B1067)-'Business Case'!C11*$C1067*'Business Case'!C13*$D1067-'Business Case'!C14*$E1067)-MAX(0,(('Business Case'!C11*$C1067*'Business Case'!C12*$B1067)-'Business Case'!C11*$C1067*'Business Case'!C13*$D1067-'Business Case'!C14*$E1067))*'Business Case'!$B$7-'Business Case'!$B$8*(('Business Case'!C11*$C1067*'Business Case'!C12*$B1067)-('Business Case'!B11*$C1067*'Business Case'!B12*$B1067))-'Business Case'!C15*$F1067</f>
        <v>-18893769.5651548</v>
      </c>
      <c r="J1067" s="39" t="n">
        <f aca="false">(('Business Case'!D11*$C1067*'Business Case'!D12*$B1067)-'Business Case'!D11*$C1067*'Business Case'!D13*$D1067-'Business Case'!D14*$E1067)-MAX(0,(('Business Case'!D11*$C1067*'Business Case'!D12*$B1067)-'Business Case'!D11*$C1067*'Business Case'!D13*$D1067-'Business Case'!D14*$E1067))*'Business Case'!$B$7-'Business Case'!$B$8*(('Business Case'!D11*$C1067*'Business Case'!D12*$B1067)-('Business Case'!C11*$C1067*'Business Case'!C12*$B1067))-'Business Case'!D15*$F1067</f>
        <v>258229859.386166</v>
      </c>
      <c r="K1067" s="39" t="n">
        <f aca="false">(('Business Case'!E11*$C1067*'Business Case'!E12*$B1067)-'Business Case'!E11*$C1067*'Business Case'!E13*$D1067-'Business Case'!E14*$E1067)-MAX(0,(('Business Case'!E11*$C1067*'Business Case'!E12*$B1067)-'Business Case'!E11*$C1067*'Business Case'!E13*$D1067-'Business Case'!E14*$E1067))*'Business Case'!$B$7-'Business Case'!$B$8*(('Business Case'!E11*$C1067*'Business Case'!E12*$B1067)-('Business Case'!D11*$C1067*'Business Case'!D12*$B1067))-'Business Case'!E15*$F1067</f>
        <v>586764490.715842</v>
      </c>
      <c r="L1067" s="39" t="n">
        <f aca="false">(('Business Case'!F11*$C1067*'Business Case'!F12*$B1067)-'Business Case'!F11*$C1067*'Business Case'!F13*$D1067-'Business Case'!F14*$E1067)-MAX(0,(('Business Case'!F11*$C1067*'Business Case'!F12*$B1067)-'Business Case'!F11*$C1067*'Business Case'!F13*$D1067-'Business Case'!F14*$E1067))*'Business Case'!$B$7-'Business Case'!$B$8*(('Business Case'!F11*$C1067*'Business Case'!F12*$B1067)-('Business Case'!E11*$C1067*'Business Case'!E12*$B1067))-'Business Case'!F15*$F1067</f>
        <v>709662918.361386</v>
      </c>
      <c r="M1067" s="39" t="n">
        <f aca="false">(('Business Case'!G11*$C1067*'Business Case'!G12*$B1067)-'Business Case'!G11*$C1067*'Business Case'!G13*$D1067-'Business Case'!G14*$E1067)-MAX(0,(('Business Case'!G11*$C1067*'Business Case'!G12*$B1067)-'Business Case'!G11*$C1067*'Business Case'!G13*$D1067-'Business Case'!G14*$E1067))*'Business Case'!$B$7-'Business Case'!$B$8*(('Business Case'!G11*$C1067*'Business Case'!G12*$B1067)-('Business Case'!F11*$C1067*'Business Case'!F12*$B1067))-'Business Case'!G15*$F1067+'Business Case'!$B$8*('Business Case'!G11*$C1067*'Business Case'!G12*$B1067)</f>
        <v>877544284.001122</v>
      </c>
      <c r="N1067" s="39" t="n">
        <f aca="false">IF(COUNT('Business Case'!B11:G11)=0,"",H1067+NPV(G1067,I1067:M1067))</f>
        <v>-446572342.088009</v>
      </c>
      <c r="P1067" s="40" t="n">
        <f aca="true">RAND()</f>
        <v>0.479448616196223</v>
      </c>
      <c r="Q1067" s="40" t="n">
        <f aca="true">RAND()</f>
        <v>0.126452666651285</v>
      </c>
      <c r="R1067" s="40" t="n">
        <f aca="true">RAND()</f>
        <v>0.0967554711661452</v>
      </c>
      <c r="S1067" s="40" t="n">
        <f aca="true">RAND()</f>
        <v>0.732329263458234</v>
      </c>
      <c r="T1067" s="40" t="n">
        <f aca="true">RAND()</f>
        <v>0.409832958843131</v>
      </c>
      <c r="U1067" s="40" t="n">
        <f aca="true">RAND()</f>
        <v>0.833272599635871</v>
      </c>
    </row>
    <row r="1068" customFormat="false" ht="15" hidden="false" customHeight="false" outlineLevel="0" collapsed="false">
      <c r="A1068" s="36" t="n">
        <v>988</v>
      </c>
      <c r="B1068" s="37" t="n">
        <f aca="false">1+IF($G$6=$E$6,$F$6,IF(P1068&lt;($F$6-$E$6)/($G$6-$E$6),$E$6+SQRT(P1068*($G$6-$E$6)*($F$6-$E$6)),$G$6-SQRT((1-P1068)*($G$6-$E$6)*($G$6-$F$6))))</f>
        <v>0.992049495948444</v>
      </c>
      <c r="C1068" s="37" t="n">
        <f aca="false">1+IF($G$7=$E$7,$F$7,IF(Q1068&lt;($F$7-$E$7)/($G$7-$E$7),$E$7+SQRT(Q1068*($G$7-$E$7)*($F$7-$E$7)),$G$7-SQRT((1-Q1068)*($G$7-$E$7)*($G$7-$F$7))))</f>
        <v>0.988790503023918</v>
      </c>
      <c r="D1068" s="37" t="n">
        <f aca="false">1+IF($G$8=$E$8,$F$8,IF(R1068&lt;($F$8-$E$8)/($G$8-$E$8),$E$8+SQRT(R1068*($G$8-$E$8)*($F$8-$E$8)),$G$8-SQRT((1-R1068)*($G$8-$E$8)*($G$8-$F$8))))</f>
        <v>1.02776130852545</v>
      </c>
      <c r="E1068" s="37" t="n">
        <f aca="false">1+IF($G$9=$E$9,$F$9,IF(S1068&lt;($F$9-$E$9)/($G$9-$E$9),$E$9+SQRT(S1068*($G$9-$E$9)*($F$9-$E$9)),$G$9-SQRT((1-S1068)*($G$9-$E$9)*($G$9-$F$9))))</f>
        <v>1.06491969564269</v>
      </c>
      <c r="F1068" s="37" t="n">
        <f aca="false">1+IF($G$10=$E$10,$F$10,IF(T1068&lt;($F$10-$E$10)/($G$10-$E$10),$E$10+SQRT(T1068*($G$10-$E$10)*($F$10-$E$10)),$G$10-SQRT((1-T1068)*($G$10-$E$10)*($G$10-$F$10))))</f>
        <v>1.00162044711375</v>
      </c>
      <c r="G1068" s="38" t="n">
        <f aca="false">IF($G$11=$E$11,$F$11,IF(U1068&lt;($F$11-$E$11)/($G$11-$E$11),$E$11+SQRT(U1068*($G$11-$E$11)*($F$11-$E$11)),$G$11-SQRT((1-U1068)*($G$11-$E$11)*($G$11-$F$11))))</f>
        <v>0.100727826942144</v>
      </c>
      <c r="H1068" s="39" t="n">
        <f aca="false">(('Business Case'!B11*$C1068*'Business Case'!B12*$B1068)-'Business Case'!B11*$C1068*'Business Case'!B13*$D1068-'Business Case'!B14*$E1068)-MAX(0,(('Business Case'!B11*$C1068*'Business Case'!B12*$B1068)-'Business Case'!B11*$C1068*'Business Case'!B13*$D1068-'Business Case'!B14*$E1068))*'Business Case'!$B$7-'Business Case'!$B$8*('Business Case'!B11*$C1068*'Business Case'!B12*$B1068)-'Business Case'!B15*$F1068</f>
        <v>-2003240894.22751</v>
      </c>
      <c r="I1068" s="39" t="n">
        <f aca="false">(('Business Case'!C11*$C1068*'Business Case'!C12*$B1068)-'Business Case'!C11*$C1068*'Business Case'!C13*$D1068-'Business Case'!C14*$E1068)-MAX(0,(('Business Case'!C11*$C1068*'Business Case'!C12*$B1068)-'Business Case'!C11*$C1068*'Business Case'!C13*$D1068-'Business Case'!C14*$E1068))*'Business Case'!$B$7-'Business Case'!$B$8*(('Business Case'!C11*$C1068*'Business Case'!C12*$B1068)-('Business Case'!B11*$C1068*'Business Case'!B12*$B1068))-'Business Case'!C15*$F1068</f>
        <v>-19227313.5691296</v>
      </c>
      <c r="J1068" s="39" t="n">
        <f aca="false">(('Business Case'!D11*$C1068*'Business Case'!D12*$B1068)-'Business Case'!D11*$C1068*'Business Case'!D13*$D1068-'Business Case'!D14*$E1068)-MAX(0,(('Business Case'!D11*$C1068*'Business Case'!D12*$B1068)-'Business Case'!D11*$C1068*'Business Case'!D13*$D1068-'Business Case'!D14*$E1068))*'Business Case'!$B$7-'Business Case'!$B$8*(('Business Case'!D11*$C1068*'Business Case'!D12*$B1068)-('Business Case'!C11*$C1068*'Business Case'!C12*$B1068))-'Business Case'!D15*$F1068</f>
        <v>263990363.880708</v>
      </c>
      <c r="K1068" s="39" t="n">
        <f aca="false">(('Business Case'!E11*$C1068*'Business Case'!E12*$B1068)-'Business Case'!E11*$C1068*'Business Case'!E13*$D1068-'Business Case'!E14*$E1068)-MAX(0,(('Business Case'!E11*$C1068*'Business Case'!E12*$B1068)-'Business Case'!E11*$C1068*'Business Case'!E13*$D1068-'Business Case'!E14*$E1068))*'Business Case'!$B$7-'Business Case'!$B$8*(('Business Case'!E11*$C1068*'Business Case'!E12*$B1068)-('Business Case'!D11*$C1068*'Business Case'!D12*$B1068))-'Business Case'!E15*$F1068</f>
        <v>597289063.686232</v>
      </c>
      <c r="L1068" s="39" t="n">
        <f aca="false">(('Business Case'!F11*$C1068*'Business Case'!F12*$B1068)-'Business Case'!F11*$C1068*'Business Case'!F13*$D1068-'Business Case'!F14*$E1068)-MAX(0,(('Business Case'!F11*$C1068*'Business Case'!F12*$B1068)-'Business Case'!F11*$C1068*'Business Case'!F13*$D1068-'Business Case'!F14*$E1068))*'Business Case'!$B$7-'Business Case'!$B$8*(('Business Case'!F11*$C1068*'Business Case'!F12*$B1068)-('Business Case'!E11*$C1068*'Business Case'!E12*$B1068))-'Business Case'!F15*$F1068</f>
        <v>725595866.560979</v>
      </c>
      <c r="M1068" s="39" t="n">
        <f aca="false">(('Business Case'!G11*$C1068*'Business Case'!G12*$B1068)-'Business Case'!G11*$C1068*'Business Case'!G13*$D1068-'Business Case'!G14*$E1068)-MAX(0,(('Business Case'!G11*$C1068*'Business Case'!G12*$B1068)-'Business Case'!G11*$C1068*'Business Case'!G13*$D1068-'Business Case'!G14*$E1068))*'Business Case'!$B$7-'Business Case'!$B$8*(('Business Case'!G11*$C1068*'Business Case'!G12*$B1068)-('Business Case'!F11*$C1068*'Business Case'!F12*$B1068))-'Business Case'!G15*$F1068+'Business Case'!$B$8*('Business Case'!G11*$C1068*'Business Case'!G12*$B1068)</f>
        <v>912050873.714052</v>
      </c>
      <c r="N1068" s="39" t="n">
        <f aca="false">IF(COUNT('Business Case'!B11:G11)=0,"",H1068+NPV(G1068,I1068:M1068))</f>
        <v>-296236490.841519</v>
      </c>
      <c r="P1068" s="40" t="n">
        <f aca="true">RAND()</f>
        <v>0.54074269441926</v>
      </c>
      <c r="Q1068" s="40" t="n">
        <f aca="true">RAND()</f>
        <v>0.509169343314626</v>
      </c>
      <c r="R1068" s="40" t="n">
        <f aca="true">RAND()</f>
        <v>0.737607607021844</v>
      </c>
      <c r="S1068" s="40" t="n">
        <f aca="true">RAND()</f>
        <v>0.917958149746547</v>
      </c>
      <c r="T1068" s="40" t="n">
        <f aca="true">RAND()</f>
        <v>0.212911059933061</v>
      </c>
      <c r="U1068" s="40" t="n">
        <f aca="true">RAND()</f>
        <v>0.380972242713406</v>
      </c>
    </row>
    <row r="1069" customFormat="false" ht="15" hidden="false" customHeight="false" outlineLevel="0" collapsed="false">
      <c r="A1069" s="36" t="n">
        <v>989</v>
      </c>
      <c r="B1069" s="37" t="n">
        <f aca="false">1+IF($G$6=$E$6,$F$6,IF(P1069&lt;($F$6-$E$6)/($G$6-$E$6),$E$6+SQRT(P1069*($G$6-$E$6)*($F$6-$E$6)),$G$6-SQRT((1-P1069)*($G$6-$E$6)*($G$6-$F$6))))</f>
        <v>0.998036290452753</v>
      </c>
      <c r="C1069" s="37" t="n">
        <f aca="false">1+IF($G$7=$E$7,$F$7,IF(Q1069&lt;($F$7-$E$7)/($G$7-$E$7),$E$7+SQRT(Q1069*($G$7-$E$7)*($F$7-$E$7)),$G$7-SQRT((1-Q1069)*($G$7-$E$7)*($G$7-$F$7))))</f>
        <v>0.9397422813924</v>
      </c>
      <c r="D1069" s="37" t="n">
        <f aca="false">1+IF($G$8=$E$8,$F$8,IF(R1069&lt;($F$8-$E$8)/($G$8-$E$8),$E$8+SQRT(R1069*($G$8-$E$8)*($F$8-$E$8)),$G$8-SQRT((1-R1069)*($G$8-$E$8)*($G$8-$F$8))))</f>
        <v>1.02364217198443</v>
      </c>
      <c r="E1069" s="37" t="n">
        <f aca="false">1+IF($G$9=$E$9,$F$9,IF(S1069&lt;($F$9-$E$9)/($G$9-$E$9),$E$9+SQRT(S1069*($G$9-$E$9)*($F$9-$E$9)),$G$9-SQRT((1-S1069)*($G$9-$E$9)*($G$9-$F$9))))</f>
        <v>1.05292066214317</v>
      </c>
      <c r="F1069" s="37" t="n">
        <f aca="false">1+IF($G$10=$E$10,$F$10,IF(T1069&lt;($F$10-$E$10)/($G$10-$E$10),$E$10+SQRT(T1069*($G$10-$E$10)*($F$10-$E$10)),$G$10-SQRT((1-T1069)*($G$10-$E$10)*($G$10-$F$10))))</f>
        <v>0.979250423537808</v>
      </c>
      <c r="G1069" s="38" t="n">
        <f aca="false">IF($G$11=$E$11,$F$11,IF(U1069&lt;($F$11-$E$11)/($G$11-$E$11),$E$11+SQRT(U1069*($G$11-$E$11)*($F$11-$E$11)),$G$11-SQRT((1-U1069)*($G$11-$E$11)*($G$11-$F$11))))</f>
        <v>0.099450162839306</v>
      </c>
      <c r="H1069" s="39" t="n">
        <f aca="false">(('Business Case'!B11*$C1069*'Business Case'!B12*$B1069)-'Business Case'!B11*$C1069*'Business Case'!B13*$D1069-'Business Case'!B14*$E1069)-MAX(0,(('Business Case'!B11*$C1069*'Business Case'!B12*$B1069)-'Business Case'!B11*$C1069*'Business Case'!B13*$D1069-'Business Case'!B14*$E1069))*'Business Case'!$B$7-'Business Case'!$B$8*('Business Case'!B11*$C1069*'Business Case'!B12*$B1069)-'Business Case'!B15*$F1069</f>
        <v>-1958500847.07562</v>
      </c>
      <c r="I1069" s="39" t="n">
        <f aca="false">(('Business Case'!C11*$C1069*'Business Case'!C12*$B1069)-'Business Case'!C11*$C1069*'Business Case'!C13*$D1069-'Business Case'!C14*$E1069)-MAX(0,(('Business Case'!C11*$C1069*'Business Case'!C12*$B1069)-'Business Case'!C11*$C1069*'Business Case'!C13*$D1069-'Business Case'!C14*$E1069))*'Business Case'!$B$7-'Business Case'!$B$8*(('Business Case'!C11*$C1069*'Business Case'!C12*$B1069)-('Business Case'!B11*$C1069*'Business Case'!B12*$B1069))-'Business Case'!C15*$F1069</f>
        <v>-20512321.9332383</v>
      </c>
      <c r="J1069" s="39" t="n">
        <f aca="false">(('Business Case'!D11*$C1069*'Business Case'!D12*$B1069)-'Business Case'!D11*$C1069*'Business Case'!D13*$D1069-'Business Case'!D14*$E1069)-MAX(0,(('Business Case'!D11*$C1069*'Business Case'!D12*$B1069)-'Business Case'!D11*$C1069*'Business Case'!D13*$D1069-'Business Case'!D14*$E1069))*'Business Case'!$B$7-'Business Case'!$B$8*(('Business Case'!D11*$C1069*'Business Case'!D12*$B1069)-('Business Case'!C11*$C1069*'Business Case'!C12*$B1069))-'Business Case'!D15*$F1069</f>
        <v>255246291.966111</v>
      </c>
      <c r="K1069" s="39" t="n">
        <f aca="false">(('Business Case'!E11*$C1069*'Business Case'!E12*$B1069)-'Business Case'!E11*$C1069*'Business Case'!E13*$D1069-'Business Case'!E14*$E1069)-MAX(0,(('Business Case'!E11*$C1069*'Business Case'!E12*$B1069)-'Business Case'!E11*$C1069*'Business Case'!E13*$D1069-'Business Case'!E14*$E1069))*'Business Case'!$B$7-'Business Case'!$B$8*(('Business Case'!E11*$C1069*'Business Case'!E12*$B1069)-('Business Case'!D11*$C1069*'Business Case'!D12*$B1069))-'Business Case'!E15*$F1069</f>
        <v>579967427.042351</v>
      </c>
      <c r="L1069" s="39" t="n">
        <f aca="false">(('Business Case'!F11*$C1069*'Business Case'!F12*$B1069)-'Business Case'!F11*$C1069*'Business Case'!F13*$D1069-'Business Case'!F14*$E1069)-MAX(0,(('Business Case'!F11*$C1069*'Business Case'!F12*$B1069)-'Business Case'!F11*$C1069*'Business Case'!F13*$D1069-'Business Case'!F14*$E1069))*'Business Case'!$B$7-'Business Case'!$B$8*(('Business Case'!F11*$C1069*'Business Case'!F12*$B1069)-('Business Case'!E11*$C1069*'Business Case'!E12*$B1069))-'Business Case'!F15*$F1069</f>
        <v>704300681.890166</v>
      </c>
      <c r="M1069" s="39" t="n">
        <f aca="false">(('Business Case'!G11*$C1069*'Business Case'!G12*$B1069)-'Business Case'!G11*$C1069*'Business Case'!G13*$D1069-'Business Case'!G14*$E1069)-MAX(0,(('Business Case'!G11*$C1069*'Business Case'!G12*$B1069)-'Business Case'!G11*$C1069*'Business Case'!G13*$D1069-'Business Case'!G14*$E1069))*'Business Case'!$B$7-'Business Case'!$B$8*(('Business Case'!G11*$C1069*'Business Case'!G12*$B1069)-('Business Case'!F11*$C1069*'Business Case'!F12*$B1069))-'Business Case'!G15*$F1069+'Business Case'!$B$8*('Business Case'!G11*$C1069*'Business Case'!G12*$B1069)</f>
        <v>882576124.737677</v>
      </c>
      <c r="N1069" s="39" t="n">
        <f aca="false">IF(COUNT('Business Case'!B11:G11)=0,"",H1069+NPV(G1069,I1069:M1069))</f>
        <v>-298215301.106989</v>
      </c>
      <c r="P1069" s="40" t="n">
        <f aca="true">RAND()</f>
        <v>0.634339857044422</v>
      </c>
      <c r="Q1069" s="40" t="n">
        <f aca="true">RAND()</f>
        <v>0.278970074410752</v>
      </c>
      <c r="R1069" s="40" t="n">
        <f aca="true">RAND()</f>
        <v>0.694595694362202</v>
      </c>
      <c r="S1069" s="40" t="n">
        <f aca="true">RAND()</f>
        <v>0.85223572979747</v>
      </c>
      <c r="T1069" s="40" t="n">
        <f aca="true">RAND()</f>
        <v>0.0684469821712903</v>
      </c>
      <c r="U1069" s="40" t="n">
        <f aca="true">RAND()</f>
        <v>0.297685258964667</v>
      </c>
    </row>
    <row r="1070" customFormat="false" ht="15" hidden="false" customHeight="false" outlineLevel="0" collapsed="false">
      <c r="A1070" s="36" t="n">
        <v>990</v>
      </c>
      <c r="B1070" s="37" t="n">
        <f aca="false">1+IF($G$6=$E$6,$F$6,IF(P1070&lt;($F$6-$E$6)/($G$6-$E$6),$E$6+SQRT(P1070*($G$6-$E$6)*($F$6-$E$6)),$G$6-SQRT((1-P1070)*($G$6-$E$6)*($G$6-$F$6))))</f>
        <v>0.943830563575256</v>
      </c>
      <c r="C1070" s="37" t="n">
        <f aca="false">1+IF($G$7=$E$7,$F$7,IF(Q1070&lt;($F$7-$E$7)/($G$7-$E$7),$E$7+SQRT(Q1070*($G$7-$E$7)*($F$7-$E$7)),$G$7-SQRT((1-Q1070)*($G$7-$E$7)*($G$7-$F$7))))</f>
        <v>0.917722450329775</v>
      </c>
      <c r="D1070" s="37" t="n">
        <f aca="false">1+IF($G$8=$E$8,$F$8,IF(R1070&lt;($F$8-$E$8)/($G$8-$E$8),$E$8+SQRT(R1070*($G$8-$E$8)*($F$8-$E$8)),$G$8-SQRT((1-R1070)*($G$8-$E$8)*($G$8-$F$8))))</f>
        <v>0.997299122603202</v>
      </c>
      <c r="E1070" s="37" t="n">
        <f aca="false">1+IF($G$9=$E$9,$F$9,IF(S1070&lt;($F$9-$E$9)/($G$9-$E$9),$E$9+SQRT(S1070*($G$9-$E$9)*($F$9-$E$9)),$G$9-SQRT((1-S1070)*($G$9-$E$9)*($G$9-$F$9))))</f>
        <v>1.00210296230521</v>
      </c>
      <c r="F1070" s="37" t="n">
        <f aca="false">1+IF($G$10=$E$10,$F$10,IF(T1070&lt;($F$10-$E$10)/($G$10-$E$10),$E$10+SQRT(T1070*($G$10-$E$10)*($F$10-$E$10)),$G$10-SQRT((1-T1070)*($G$10-$E$10)*($G$10-$F$10))))</f>
        <v>0.986780619802689</v>
      </c>
      <c r="G1070" s="38" t="n">
        <f aca="false">IF($G$11=$E$11,$F$11,IF(U1070&lt;($F$11-$E$11)/($G$11-$E$11),$E$11+SQRT(U1070*($G$11-$E$11)*($F$11-$E$11)),$G$11-SQRT((1-U1070)*($G$11-$E$11)*($G$11-$F$11))))</f>
        <v>0.108910844646863</v>
      </c>
      <c r="H1070" s="39" t="n">
        <f aca="false">(('Business Case'!B11*$C1070*'Business Case'!B12*$B1070)-'Business Case'!B11*$C1070*'Business Case'!B13*$D1070-'Business Case'!B14*$E1070)-MAX(0,(('Business Case'!B11*$C1070*'Business Case'!B12*$B1070)-'Business Case'!B11*$C1070*'Business Case'!B13*$D1070-'Business Case'!B14*$E1070))*'Business Case'!$B$7-'Business Case'!$B$8*('Business Case'!B11*$C1070*'Business Case'!B12*$B1070)-'Business Case'!B15*$F1070</f>
        <v>-1973561239.60538</v>
      </c>
      <c r="I1070" s="39" t="n">
        <f aca="false">(('Business Case'!C11*$C1070*'Business Case'!C12*$B1070)-'Business Case'!C11*$C1070*'Business Case'!C13*$D1070-'Business Case'!C14*$E1070)-MAX(0,(('Business Case'!C11*$C1070*'Business Case'!C12*$B1070)-'Business Case'!C11*$C1070*'Business Case'!C13*$D1070-'Business Case'!C14*$E1070))*'Business Case'!$B$7-'Business Case'!$B$8*(('Business Case'!C11*$C1070*'Business Case'!C12*$B1070)-('Business Case'!B11*$C1070*'Business Case'!B12*$B1070))-'Business Case'!C15*$F1070</f>
        <v>-45151914.4379281</v>
      </c>
      <c r="J1070" s="39" t="n">
        <f aca="false">(('Business Case'!D11*$C1070*'Business Case'!D12*$B1070)-'Business Case'!D11*$C1070*'Business Case'!D13*$D1070-'Business Case'!D14*$E1070)-MAX(0,(('Business Case'!D11*$C1070*'Business Case'!D12*$B1070)-'Business Case'!D11*$C1070*'Business Case'!D13*$D1070-'Business Case'!D14*$E1070))*'Business Case'!$B$7-'Business Case'!$B$8*(('Business Case'!D11*$C1070*'Business Case'!D12*$B1070)-('Business Case'!C11*$C1070*'Business Case'!C12*$B1070))-'Business Case'!D15*$F1070</f>
        <v>195775760.294635</v>
      </c>
      <c r="K1070" s="39" t="n">
        <f aca="false">(('Business Case'!E11*$C1070*'Business Case'!E12*$B1070)-'Business Case'!E11*$C1070*'Business Case'!E13*$D1070-'Business Case'!E14*$E1070)-MAX(0,(('Business Case'!E11*$C1070*'Business Case'!E12*$B1070)-'Business Case'!E11*$C1070*'Business Case'!E13*$D1070-'Business Case'!E14*$E1070))*'Business Case'!$B$7-'Business Case'!$B$8*(('Business Case'!E11*$C1070*'Business Case'!E12*$B1070)-('Business Case'!D11*$C1070*'Business Case'!D12*$B1070))-'Business Case'!E15*$F1070</f>
        <v>486042466.017333</v>
      </c>
      <c r="L1070" s="39" t="n">
        <f aca="false">(('Business Case'!F11*$C1070*'Business Case'!F12*$B1070)-'Business Case'!F11*$C1070*'Business Case'!F13*$D1070-'Business Case'!F14*$E1070)-MAX(0,(('Business Case'!F11*$C1070*'Business Case'!F12*$B1070)-'Business Case'!F11*$C1070*'Business Case'!F13*$D1070-'Business Case'!F14*$E1070))*'Business Case'!$B$7-'Business Case'!$B$8*(('Business Case'!F11*$C1070*'Business Case'!F12*$B1070)-('Business Case'!E11*$C1070*'Business Case'!E12*$B1070))-'Business Case'!F15*$F1070</f>
        <v>596286681.561802</v>
      </c>
      <c r="M1070" s="39" t="n">
        <f aca="false">(('Business Case'!G11*$C1070*'Business Case'!G12*$B1070)-'Business Case'!G11*$C1070*'Business Case'!G13*$D1070-'Business Case'!G14*$E1070)-MAX(0,(('Business Case'!G11*$C1070*'Business Case'!G12*$B1070)-'Business Case'!G11*$C1070*'Business Case'!G13*$D1070-'Business Case'!G14*$E1070))*'Business Case'!$B$7-'Business Case'!$B$8*(('Business Case'!G11*$C1070*'Business Case'!G12*$B1070)-('Business Case'!F11*$C1070*'Business Case'!F12*$B1070))-'Business Case'!G15*$F1070+'Business Case'!$B$8*('Business Case'!G11*$C1070*'Business Case'!G12*$B1070)</f>
        <v>760929130.046681</v>
      </c>
      <c r="N1070" s="39" t="n">
        <f aca="false">IF(COUNT('Business Case'!B11:G11)=0,"",H1070+NPV(G1070,I1070:M1070))</f>
        <v>-650497671.159788</v>
      </c>
      <c r="P1070" s="40" t="n">
        <f aca="true">RAND()</f>
        <v>0.0591558083660738</v>
      </c>
      <c r="Q1070" s="40" t="n">
        <f aca="true">RAND()</f>
        <v>0.197979647309232</v>
      </c>
      <c r="R1070" s="40" t="n">
        <f aca="true">RAND()</f>
        <v>0.344185692158877</v>
      </c>
      <c r="S1070" s="40" t="n">
        <f aca="true">RAND()</f>
        <v>0.361078000705659</v>
      </c>
      <c r="T1070" s="40" t="n">
        <f aca="true">RAND()</f>
        <v>0.108225119445596</v>
      </c>
      <c r="U1070" s="40" t="n">
        <f aca="true">RAND()</f>
        <v>0.795051055923334</v>
      </c>
    </row>
    <row r="1071" customFormat="false" ht="15" hidden="false" customHeight="false" outlineLevel="0" collapsed="false">
      <c r="A1071" s="36" t="n">
        <v>991</v>
      </c>
      <c r="B1071" s="37" t="n">
        <f aca="false">1+IF($G$6=$E$6,$F$6,IF(P1071&lt;($F$6-$E$6)/($G$6-$E$6),$E$6+SQRT(P1071*($G$6-$E$6)*($F$6-$E$6)),$G$6-SQRT((1-P1071)*($G$6-$E$6)*($G$6-$F$6))))</f>
        <v>0.978642906407462</v>
      </c>
      <c r="C1071" s="37" t="n">
        <f aca="false">1+IF($G$7=$E$7,$F$7,IF(Q1071&lt;($F$7-$E$7)/($G$7-$E$7),$E$7+SQRT(Q1071*($G$7-$E$7)*($F$7-$E$7)),$G$7-SQRT((1-Q1071)*($G$7-$E$7)*($G$7-$F$7))))</f>
        <v>1.00117087891221</v>
      </c>
      <c r="D1071" s="37" t="n">
        <f aca="false">1+IF($G$8=$E$8,$F$8,IF(R1071&lt;($F$8-$E$8)/($G$8-$E$8),$E$8+SQRT(R1071*($G$8-$E$8)*($F$8-$E$8)),$G$8-SQRT((1-R1071)*($G$8-$E$8)*($G$8-$F$8))))</f>
        <v>1.02293741803879</v>
      </c>
      <c r="E1071" s="37" t="n">
        <f aca="false">1+IF($G$9=$E$9,$F$9,IF(S1071&lt;($F$9-$E$9)/($G$9-$E$9),$E$9+SQRT(S1071*($G$9-$E$9)*($F$9-$E$9)),$G$9-SQRT((1-S1071)*($G$9-$E$9)*($G$9-$F$9))))</f>
        <v>0.992102487957148</v>
      </c>
      <c r="F1071" s="37" t="n">
        <f aca="false">1+IF($G$10=$E$10,$F$10,IF(T1071&lt;($F$10-$E$10)/($G$10-$E$10),$E$10+SQRT(T1071*($G$10-$E$10)*($F$10-$E$10)),$G$10-SQRT((1-T1071)*($G$10-$E$10)*($G$10-$F$10))))</f>
        <v>0.998283940719094</v>
      </c>
      <c r="G1071" s="38" t="n">
        <f aca="false">IF($G$11=$E$11,$F$11,IF(U1071&lt;($F$11-$E$11)/($G$11-$E$11),$E$11+SQRT(U1071*($G$11-$E$11)*($F$11-$E$11)),$G$11-SQRT((1-U1071)*($G$11-$E$11)*($G$11-$F$11))))</f>
        <v>0.0998893702378825</v>
      </c>
      <c r="H1071" s="39" t="n">
        <f aca="false">(('Business Case'!B11*$C1071*'Business Case'!B12*$B1071)-'Business Case'!B11*$C1071*'Business Case'!B13*$D1071-'Business Case'!B14*$E1071)-MAX(0,(('Business Case'!B11*$C1071*'Business Case'!B12*$B1071)-'Business Case'!B11*$C1071*'Business Case'!B13*$D1071-'Business Case'!B14*$E1071))*'Business Case'!$B$7-'Business Case'!$B$8*('Business Case'!B11*$C1071*'Business Case'!B12*$B1071)-'Business Case'!B15*$F1071</f>
        <v>-1996567881.43819</v>
      </c>
      <c r="I1071" s="39" t="n">
        <f aca="false">(('Business Case'!C11*$C1071*'Business Case'!C12*$B1071)-'Business Case'!C11*$C1071*'Business Case'!C13*$D1071-'Business Case'!C14*$E1071)-MAX(0,(('Business Case'!C11*$C1071*'Business Case'!C12*$B1071)-'Business Case'!C11*$C1071*'Business Case'!C13*$D1071-'Business Case'!C14*$E1071))*'Business Case'!$B$7-'Business Case'!$B$8*(('Business Case'!C11*$C1071*'Business Case'!C12*$B1071)-('Business Case'!B11*$C1071*'Business Case'!B12*$B1071))-'Business Case'!C15*$F1071</f>
        <v>-13455331.5415527</v>
      </c>
      <c r="J1071" s="39" t="n">
        <f aca="false">(('Business Case'!D11*$C1071*'Business Case'!D12*$B1071)-'Business Case'!D11*$C1071*'Business Case'!D13*$D1071-'Business Case'!D14*$E1071)-MAX(0,(('Business Case'!D11*$C1071*'Business Case'!D12*$B1071)-'Business Case'!D11*$C1071*'Business Case'!D13*$D1071-'Business Case'!D14*$E1071))*'Business Case'!$B$7-'Business Case'!$B$8*(('Business Case'!D11*$C1071*'Business Case'!D12*$B1071)-('Business Case'!C11*$C1071*'Business Case'!C12*$B1071))-'Business Case'!D15*$F1071</f>
        <v>264786955.066667</v>
      </c>
      <c r="K1071" s="39" t="n">
        <f aca="false">(('Business Case'!E11*$C1071*'Business Case'!E12*$B1071)-'Business Case'!E11*$C1071*'Business Case'!E13*$D1071-'Business Case'!E14*$E1071)-MAX(0,(('Business Case'!E11*$C1071*'Business Case'!E12*$B1071)-'Business Case'!E11*$C1071*'Business Case'!E13*$D1071-'Business Case'!E14*$E1071))*'Business Case'!$B$7-'Business Case'!$B$8*(('Business Case'!E11*$C1071*'Business Case'!E12*$B1071)-('Business Case'!D11*$C1071*'Business Case'!D12*$B1071))-'Business Case'!E15*$F1071</f>
        <v>592943438.710841</v>
      </c>
      <c r="L1071" s="39" t="n">
        <f aca="false">(('Business Case'!F11*$C1071*'Business Case'!F12*$B1071)-'Business Case'!F11*$C1071*'Business Case'!F13*$D1071-'Business Case'!F14*$E1071)-MAX(0,(('Business Case'!F11*$C1071*'Business Case'!F12*$B1071)-'Business Case'!F11*$C1071*'Business Case'!F13*$D1071-'Business Case'!F14*$E1071))*'Business Case'!$B$7-'Business Case'!$B$8*(('Business Case'!F11*$C1071*'Business Case'!F12*$B1071)-('Business Case'!E11*$C1071*'Business Case'!E12*$B1071))-'Business Case'!F15*$F1071</f>
        <v>719552367.773819</v>
      </c>
      <c r="M1071" s="39" t="n">
        <f aca="false">(('Business Case'!G11*$C1071*'Business Case'!G12*$B1071)-'Business Case'!G11*$C1071*'Business Case'!G13*$D1071-'Business Case'!G14*$E1071)-MAX(0,(('Business Case'!G11*$C1071*'Business Case'!G12*$B1071)-'Business Case'!G11*$C1071*'Business Case'!G13*$D1071-'Business Case'!G14*$E1071))*'Business Case'!$B$7-'Business Case'!$B$8*(('Business Case'!G11*$C1071*'Business Case'!G12*$B1071)-('Business Case'!F11*$C1071*'Business Case'!F12*$B1071))-'Business Case'!G15*$F1071+'Business Case'!$B$8*('Business Case'!G11*$C1071*'Business Case'!G12*$B1071)</f>
        <v>905790618.83846</v>
      </c>
      <c r="N1071" s="39" t="n">
        <f aca="false">IF(COUNT('Business Case'!B11:G11)=0,"",H1071+NPV(G1071,I1071:M1071))</f>
        <v>-289934066.560881</v>
      </c>
      <c r="P1071" s="40" t="n">
        <f aca="true">RAND()</f>
        <v>0.358228174157743</v>
      </c>
      <c r="Q1071" s="40" t="n">
        <f aca="true">RAND()</f>
        <v>0.57809319459499</v>
      </c>
      <c r="R1071" s="40" t="n">
        <f aca="true">RAND()</f>
        <v>0.686909782684653</v>
      </c>
      <c r="S1071" s="40" t="n">
        <f aca="true">RAND()</f>
        <v>0.236349265624235</v>
      </c>
      <c r="T1071" s="40" t="n">
        <f aca="true">RAND()</f>
        <v>0.186507114509202</v>
      </c>
      <c r="U1071" s="40" t="n">
        <f aca="true">RAND()</f>
        <v>0.32599881233972</v>
      </c>
    </row>
    <row r="1072" customFormat="false" ht="15" hidden="false" customHeight="false" outlineLevel="0" collapsed="false">
      <c r="A1072" s="36" t="n">
        <v>992</v>
      </c>
      <c r="B1072" s="37" t="n">
        <f aca="false">1+IF($G$6=$E$6,$F$6,IF(P1072&lt;($F$6-$E$6)/($G$6-$E$6),$E$6+SQRT(P1072*($G$6-$E$6)*($F$6-$E$6)),$G$6-SQRT((1-P1072)*($G$6-$E$6)*($G$6-$F$6))))</f>
        <v>0.961064838313408</v>
      </c>
      <c r="C1072" s="37" t="n">
        <f aca="false">1+IF($G$7=$E$7,$F$7,IF(Q1072&lt;($F$7-$E$7)/($G$7-$E$7),$E$7+SQRT(Q1072*($G$7-$E$7)*($F$7-$E$7)),$G$7-SQRT((1-Q1072)*($G$7-$E$7)*($G$7-$F$7))))</f>
        <v>1.0829404454261</v>
      </c>
      <c r="D1072" s="37" t="n">
        <f aca="false">1+IF($G$8=$E$8,$F$8,IF(R1072&lt;($F$8-$E$8)/($G$8-$E$8),$E$8+SQRT(R1072*($G$8-$E$8)*($F$8-$E$8)),$G$8-SQRT((1-R1072)*($G$8-$E$8)*($G$8-$F$8))))</f>
        <v>0.998974566769334</v>
      </c>
      <c r="E1072" s="37" t="n">
        <f aca="false">1+IF($G$9=$E$9,$F$9,IF(S1072&lt;($F$9-$E$9)/($G$9-$E$9),$E$9+SQRT(S1072*($G$9-$E$9)*($F$9-$E$9)),$G$9-SQRT((1-S1072)*($G$9-$E$9)*($G$9-$F$9))))</f>
        <v>1.01883891731192</v>
      </c>
      <c r="F1072" s="37" t="n">
        <f aca="false">1+IF($G$10=$E$10,$F$10,IF(T1072&lt;($F$10-$E$10)/($G$10-$E$10),$E$10+SQRT(T1072*($G$10-$E$10)*($F$10-$E$10)),$G$10-SQRT((1-T1072)*($G$10-$E$10)*($G$10-$F$10))))</f>
        <v>1.10305723098679</v>
      </c>
      <c r="G1072" s="38" t="n">
        <f aca="false">IF($G$11=$E$11,$F$11,IF(U1072&lt;($F$11-$E$11)/($G$11-$E$11),$E$11+SQRT(U1072*($G$11-$E$11)*($F$11-$E$11)),$G$11-SQRT((1-U1072)*($G$11-$E$11)*($G$11-$F$11))))</f>
        <v>0.0957117485835127</v>
      </c>
      <c r="H1072" s="39" t="n">
        <f aca="false">(('Business Case'!B11*$C1072*'Business Case'!B12*$B1072)-'Business Case'!B11*$C1072*'Business Case'!B13*$D1072-'Business Case'!B14*$E1072)-MAX(0,(('Business Case'!B11*$C1072*'Business Case'!B12*$B1072)-'Business Case'!B11*$C1072*'Business Case'!B13*$D1072-'Business Case'!B14*$E1072))*'Business Case'!$B$7-'Business Case'!$B$8*('Business Case'!B11*$C1072*'Business Case'!B12*$B1072)-'Business Case'!B15*$F1072</f>
        <v>-2206114461.97359</v>
      </c>
      <c r="I1072" s="39" t="n">
        <f aca="false">(('Business Case'!C11*$C1072*'Business Case'!C12*$B1072)-'Business Case'!C11*$C1072*'Business Case'!C13*$D1072-'Business Case'!C14*$E1072)-MAX(0,(('Business Case'!C11*$C1072*'Business Case'!C12*$B1072)-'Business Case'!C11*$C1072*'Business Case'!C13*$D1072-'Business Case'!C14*$E1072))*'Business Case'!$B$7-'Business Case'!$B$8*(('Business Case'!C11*$C1072*'Business Case'!C12*$B1072)-('Business Case'!B11*$C1072*'Business Case'!B12*$B1072))-'Business Case'!C15*$F1072</f>
        <v>-10478371.6217515</v>
      </c>
      <c r="J1072" s="39" t="n">
        <f aca="false">(('Business Case'!D11*$C1072*'Business Case'!D12*$B1072)-'Business Case'!D11*$C1072*'Business Case'!D13*$D1072-'Business Case'!D14*$E1072)-MAX(0,(('Business Case'!D11*$C1072*'Business Case'!D12*$B1072)-'Business Case'!D11*$C1072*'Business Case'!D13*$D1072-'Business Case'!D14*$E1072))*'Business Case'!$B$7-'Business Case'!$B$8*(('Business Case'!D11*$C1072*'Business Case'!D12*$B1072)-('Business Case'!C11*$C1072*'Business Case'!C12*$B1072))-'Business Case'!D15*$F1072</f>
        <v>288181700.911975</v>
      </c>
      <c r="K1072" s="39" t="n">
        <f aca="false">(('Business Case'!E11*$C1072*'Business Case'!E12*$B1072)-'Business Case'!E11*$C1072*'Business Case'!E13*$D1072-'Business Case'!E14*$E1072)-MAX(0,(('Business Case'!E11*$C1072*'Business Case'!E12*$B1072)-'Business Case'!E11*$C1072*'Business Case'!E13*$D1072-'Business Case'!E14*$E1072))*'Business Case'!$B$7-'Business Case'!$B$8*(('Business Case'!E11*$C1072*'Business Case'!E12*$B1072)-('Business Case'!D11*$C1072*'Business Case'!D12*$B1072))-'Business Case'!E15*$F1072</f>
        <v>641994634.995041</v>
      </c>
      <c r="L1072" s="39" t="n">
        <f aca="false">(('Business Case'!F11*$C1072*'Business Case'!F12*$B1072)-'Business Case'!F11*$C1072*'Business Case'!F13*$D1072-'Business Case'!F14*$E1072)-MAX(0,(('Business Case'!F11*$C1072*'Business Case'!F12*$B1072)-'Business Case'!F11*$C1072*'Business Case'!F13*$D1072-'Business Case'!F14*$E1072))*'Business Case'!$B$7-'Business Case'!$B$8*(('Business Case'!F11*$C1072*'Business Case'!F12*$B1072)-('Business Case'!E11*$C1072*'Business Case'!E12*$B1072))-'Business Case'!F15*$F1072</f>
        <v>777517210.516312</v>
      </c>
      <c r="M1072" s="39" t="n">
        <f aca="false">(('Business Case'!G11*$C1072*'Business Case'!G12*$B1072)-'Business Case'!G11*$C1072*'Business Case'!G13*$D1072-'Business Case'!G14*$E1072)-MAX(0,(('Business Case'!G11*$C1072*'Business Case'!G12*$B1072)-'Business Case'!G11*$C1072*'Business Case'!G13*$D1072-'Business Case'!G14*$E1072))*'Business Case'!$B$7-'Business Case'!$B$8*(('Business Case'!G11*$C1072*'Business Case'!G12*$B1072)-('Business Case'!F11*$C1072*'Business Case'!F12*$B1072))-'Business Case'!G15*$F1072+'Business Case'!$B$8*('Business Case'!G11*$C1072*'Business Case'!G12*$B1072)</f>
        <v>975347909.57147</v>
      </c>
      <c r="N1072" s="39" t="n">
        <f aca="false">IF(COUNT('Business Case'!B11:G11)=0,"",H1072+NPV(G1072,I1072:M1072))</f>
        <v>-330642123.134362</v>
      </c>
      <c r="P1072" s="40" t="n">
        <f aca="true">RAND()</f>
        <v>0.175658431844413</v>
      </c>
      <c r="Q1072" s="40" t="n">
        <f aca="true">RAND()</f>
        <v>0.914343164578085</v>
      </c>
      <c r="R1072" s="40" t="n">
        <f aca="true">RAND()</f>
        <v>0.369001260037535</v>
      </c>
      <c r="S1072" s="40" t="n">
        <f aca="true">RAND()</f>
        <v>0.560858577126603</v>
      </c>
      <c r="T1072" s="40" t="n">
        <f aca="true">RAND()</f>
        <v>0.812041990721042</v>
      </c>
      <c r="U1072" s="40" t="n">
        <f aca="true">RAND()</f>
        <v>0.108746906270864</v>
      </c>
    </row>
    <row r="1073" customFormat="false" ht="15" hidden="false" customHeight="false" outlineLevel="0" collapsed="false">
      <c r="A1073" s="36" t="n">
        <v>993</v>
      </c>
      <c r="B1073" s="37" t="n">
        <f aca="false">1+IF($G$6=$E$6,$F$6,IF(P1073&lt;($F$6-$E$6)/($G$6-$E$6),$E$6+SQRT(P1073*($G$6-$E$6)*($F$6-$E$6)),$G$6-SQRT((1-P1073)*($G$6-$E$6)*($G$6-$F$6))))</f>
        <v>1.00248357750679</v>
      </c>
      <c r="C1073" s="37" t="n">
        <f aca="false">1+IF($G$7=$E$7,$F$7,IF(Q1073&lt;($F$7-$E$7)/($G$7-$E$7),$E$7+SQRT(Q1073*($G$7-$E$7)*($F$7-$E$7)),$G$7-SQRT((1-Q1073)*($G$7-$E$7)*($G$7-$F$7))))</f>
        <v>0.867341717657416</v>
      </c>
      <c r="D1073" s="37" t="n">
        <f aca="false">1+IF($G$8=$E$8,$F$8,IF(R1073&lt;($F$8-$E$8)/($G$8-$E$8),$E$8+SQRT(R1073*($G$8-$E$8)*($F$8-$E$8)),$G$8-SQRT((1-R1073)*($G$8-$E$8)*($G$8-$F$8))))</f>
        <v>1.00394211913659</v>
      </c>
      <c r="E1073" s="37" t="n">
        <f aca="false">1+IF($G$9=$E$9,$F$9,IF(S1073&lt;($F$9-$E$9)/($G$9-$E$9),$E$9+SQRT(S1073*($G$9-$E$9)*($F$9-$E$9)),$G$9-SQRT((1-S1073)*($G$9-$E$9)*($G$9-$F$9))))</f>
        <v>0.967174594798834</v>
      </c>
      <c r="F1073" s="37" t="n">
        <f aca="false">1+IF($G$10=$E$10,$F$10,IF(T1073&lt;($F$10-$E$10)/($G$10-$E$10),$E$10+SQRT(T1073*($G$10-$E$10)*($F$10-$E$10)),$G$10-SQRT((1-T1073)*($G$10-$E$10)*($G$10-$F$10))))</f>
        <v>0.989915157486981</v>
      </c>
      <c r="G1073" s="38" t="n">
        <f aca="false">IF($G$11=$E$11,$F$11,IF(U1073&lt;($F$11-$E$11)/($G$11-$E$11),$E$11+SQRT(U1073*($G$11-$E$11)*($F$11-$E$11)),$G$11-SQRT((1-U1073)*($G$11-$E$11)*($G$11-$F$11))))</f>
        <v>0.100098585004789</v>
      </c>
      <c r="H1073" s="39" t="n">
        <f aca="false">(('Business Case'!B11*$C1073*'Business Case'!B12*$B1073)-'Business Case'!B11*$C1073*'Business Case'!B13*$D1073-'Business Case'!B14*$E1073)-MAX(0,(('Business Case'!B11*$C1073*'Business Case'!B12*$B1073)-'Business Case'!B11*$C1073*'Business Case'!B13*$D1073-'Business Case'!B14*$E1073))*'Business Case'!$B$7-'Business Case'!$B$8*('Business Case'!B11*$C1073*'Business Case'!B12*$B1073)-'Business Case'!B15*$F1073</f>
        <v>-1979830314.97396</v>
      </c>
      <c r="I1073" s="39" t="n">
        <f aca="false">(('Business Case'!C11*$C1073*'Business Case'!C12*$B1073)-'Business Case'!C11*$C1073*'Business Case'!C13*$D1073-'Business Case'!C14*$E1073)-MAX(0,(('Business Case'!C11*$C1073*'Business Case'!C12*$B1073)-'Business Case'!C11*$C1073*'Business Case'!C13*$D1073-'Business Case'!C14*$E1073))*'Business Case'!$B$7-'Business Case'!$B$8*(('Business Case'!C11*$C1073*'Business Case'!C12*$B1073)-('Business Case'!B11*$C1073*'Business Case'!B12*$B1073))-'Business Case'!C15*$F1073</f>
        <v>-15178630.7259744</v>
      </c>
      <c r="J1073" s="39" t="n">
        <f aca="false">(('Business Case'!D11*$C1073*'Business Case'!D12*$B1073)-'Business Case'!D11*$C1073*'Business Case'!D13*$D1073-'Business Case'!D14*$E1073)-MAX(0,(('Business Case'!D11*$C1073*'Business Case'!D12*$B1073)-'Business Case'!D11*$C1073*'Business Case'!D13*$D1073-'Business Case'!D14*$E1073))*'Business Case'!$B$7-'Business Case'!$B$8*(('Business Case'!D11*$C1073*'Business Case'!D12*$B1073)-('Business Case'!C11*$C1073*'Business Case'!C12*$B1073))-'Business Case'!D15*$F1073</f>
        <v>251241145.402638</v>
      </c>
      <c r="K1073" s="39" t="n">
        <f aca="false">(('Business Case'!E11*$C1073*'Business Case'!E12*$B1073)-'Business Case'!E11*$C1073*'Business Case'!E13*$D1073-'Business Case'!E14*$E1073)-MAX(0,(('Business Case'!E11*$C1073*'Business Case'!E12*$B1073)-'Business Case'!E11*$C1073*'Business Case'!E13*$D1073-'Business Case'!E14*$E1073))*'Business Case'!$B$7-'Business Case'!$B$8*(('Business Case'!E11*$C1073*'Business Case'!E12*$B1073)-('Business Case'!D11*$C1073*'Business Case'!D12*$B1073))-'Business Case'!E15*$F1073</f>
        <v>567156679.405599</v>
      </c>
      <c r="L1073" s="39" t="n">
        <f aca="false">(('Business Case'!F11*$C1073*'Business Case'!F12*$B1073)-'Business Case'!F11*$C1073*'Business Case'!F13*$D1073-'Business Case'!F14*$E1073)-MAX(0,(('Business Case'!F11*$C1073*'Business Case'!F12*$B1073)-'Business Case'!F11*$C1073*'Business Case'!F13*$D1073-'Business Case'!F14*$E1073))*'Business Case'!$B$7-'Business Case'!$B$8*(('Business Case'!F11*$C1073*'Business Case'!F12*$B1073)-('Business Case'!E11*$C1073*'Business Case'!E12*$B1073))-'Business Case'!F15*$F1073</f>
        <v>686013047.265466</v>
      </c>
      <c r="M1073" s="39" t="n">
        <f aca="false">(('Business Case'!G11*$C1073*'Business Case'!G12*$B1073)-'Business Case'!G11*$C1073*'Business Case'!G13*$D1073-'Business Case'!G14*$E1073)-MAX(0,(('Business Case'!G11*$C1073*'Business Case'!G12*$B1073)-'Business Case'!G11*$C1073*'Business Case'!G13*$D1073-'Business Case'!G14*$E1073))*'Business Case'!$B$7-'Business Case'!$B$8*(('Business Case'!G11*$C1073*'Business Case'!G12*$B1073)-('Business Case'!F11*$C1073*'Business Case'!F12*$B1073))-'Business Case'!G15*$F1073+'Business Case'!$B$8*('Business Case'!G11*$C1073*'Business Case'!G12*$B1073)</f>
        <v>851286814.258946</v>
      </c>
      <c r="N1073" s="39" t="n">
        <f aca="false">IF(COUNT('Business Case'!B11:G11)=0,"",H1073+NPV(G1073,I1073:M1073))</f>
        <v>-363295536.337488</v>
      </c>
      <c r="P1073" s="40" t="n">
        <f aca="true">RAND()</f>
        <v>0.706774592356407</v>
      </c>
      <c r="Q1073" s="40" t="n">
        <f aca="true">RAND()</f>
        <v>0.0647843848150157</v>
      </c>
      <c r="R1073" s="40" t="n">
        <f aca="true">RAND()</f>
        <v>0.443769111400671</v>
      </c>
      <c r="S1073" s="40" t="n">
        <f aca="true">RAND()</f>
        <v>0.0393288942005508</v>
      </c>
      <c r="T1073" s="40" t="n">
        <f aca="true">RAND()</f>
        <v>0.127457583776842</v>
      </c>
      <c r="U1073" s="40" t="n">
        <f aca="true">RAND()</f>
        <v>0.339889468647297</v>
      </c>
    </row>
    <row r="1074" customFormat="false" ht="15" hidden="false" customHeight="false" outlineLevel="0" collapsed="false">
      <c r="A1074" s="36" t="n">
        <v>994</v>
      </c>
      <c r="B1074" s="37" t="n">
        <f aca="false">1+IF($G$6=$E$6,$F$6,IF(P1074&lt;($F$6-$E$6)/($G$6-$E$6),$E$6+SQRT(P1074*($G$6-$E$6)*($F$6-$E$6)),$G$6-SQRT((1-P1074)*($G$6-$E$6)*($G$6-$F$6))))</f>
        <v>1.00514689065883</v>
      </c>
      <c r="C1074" s="37" t="n">
        <f aca="false">1+IF($G$7=$E$7,$F$7,IF(Q1074&lt;($F$7-$E$7)/($G$7-$E$7),$E$7+SQRT(Q1074*($G$7-$E$7)*($F$7-$E$7)),$G$7-SQRT((1-Q1074)*($G$7-$E$7)*($G$7-$F$7))))</f>
        <v>1.00240511122101</v>
      </c>
      <c r="D1074" s="37" t="n">
        <f aca="false">1+IF($G$8=$E$8,$F$8,IF(R1074&lt;($F$8-$E$8)/($G$8-$E$8),$E$8+SQRT(R1074*($G$8-$E$8)*($F$8-$E$8)),$G$8-SQRT((1-R1074)*($G$8-$E$8)*($G$8-$F$8))))</f>
        <v>0.984427943202904</v>
      </c>
      <c r="E1074" s="37" t="n">
        <f aca="false">1+IF($G$9=$E$9,$F$9,IF(S1074&lt;($F$9-$E$9)/($G$9-$E$9),$E$9+SQRT(S1074*($G$9-$E$9)*($F$9-$E$9)),$G$9-SQRT((1-S1074)*($G$9-$E$9)*($G$9-$F$9))))</f>
        <v>0.99930991401787</v>
      </c>
      <c r="F1074" s="37" t="n">
        <f aca="false">1+IF($G$10=$E$10,$F$10,IF(T1074&lt;($F$10-$E$10)/($G$10-$E$10),$E$10+SQRT(T1074*($G$10-$E$10)*($F$10-$E$10)),$G$10-SQRT((1-T1074)*($G$10-$E$10)*($G$10-$F$10))))</f>
        <v>0.983456457627131</v>
      </c>
      <c r="G1074" s="38" t="n">
        <f aca="false">IF($G$11=$E$11,$F$11,IF(U1074&lt;($F$11-$E$11)/($G$11-$E$11),$E$11+SQRT(U1074*($G$11-$E$11)*($F$11-$E$11)),$G$11-SQRT((1-U1074)*($G$11-$E$11)*($G$11-$F$11))))</f>
        <v>0.10908819585154</v>
      </c>
      <c r="H1074" s="39" t="n">
        <f aca="false">(('Business Case'!B11*$C1074*'Business Case'!B12*$B1074)-'Business Case'!B11*$C1074*'Business Case'!B13*$D1074-'Business Case'!B14*$E1074)-MAX(0,(('Business Case'!B11*$C1074*'Business Case'!B12*$B1074)-'Business Case'!B11*$C1074*'Business Case'!B13*$D1074-'Business Case'!B14*$E1074))*'Business Case'!$B$7-'Business Case'!$B$8*('Business Case'!B11*$C1074*'Business Case'!B12*$B1074)-'Business Case'!B15*$F1074</f>
        <v>-1966912915.25426</v>
      </c>
      <c r="I1074" s="39" t="n">
        <f aca="false">(('Business Case'!C11*$C1074*'Business Case'!C12*$B1074)-'Business Case'!C11*$C1074*'Business Case'!C13*$D1074-'Business Case'!C14*$E1074)-MAX(0,(('Business Case'!C11*$C1074*'Business Case'!C12*$B1074)-'Business Case'!C11*$C1074*'Business Case'!C13*$D1074-'Business Case'!C14*$E1074))*'Business Case'!$B$7-'Business Case'!$B$8*(('Business Case'!C11*$C1074*'Business Case'!C12*$B1074)-('Business Case'!B11*$C1074*'Business Case'!B12*$B1074))-'Business Case'!C15*$F1074</f>
        <v>27427714.8935424</v>
      </c>
      <c r="J1074" s="39" t="n">
        <f aca="false">(('Business Case'!D11*$C1074*'Business Case'!D12*$B1074)-'Business Case'!D11*$C1074*'Business Case'!D13*$D1074-'Business Case'!D14*$E1074)-MAX(0,(('Business Case'!D11*$C1074*'Business Case'!D12*$B1074)-'Business Case'!D11*$C1074*'Business Case'!D13*$D1074-'Business Case'!D14*$E1074))*'Business Case'!$B$7-'Business Case'!$B$8*(('Business Case'!D11*$C1074*'Business Case'!D12*$B1074)-('Business Case'!C11*$C1074*'Business Case'!C12*$B1074))-'Business Case'!D15*$F1074</f>
        <v>347535082.819888</v>
      </c>
      <c r="K1074" s="39" t="n">
        <f aca="false">(('Business Case'!E11*$C1074*'Business Case'!E12*$B1074)-'Business Case'!E11*$C1074*'Business Case'!E13*$D1074-'Business Case'!E14*$E1074)-MAX(0,(('Business Case'!E11*$C1074*'Business Case'!E12*$B1074)-'Business Case'!E11*$C1074*'Business Case'!E13*$D1074-'Business Case'!E14*$E1074))*'Business Case'!$B$7-'Business Case'!$B$8*(('Business Case'!E11*$C1074*'Business Case'!E12*$B1074)-('Business Case'!D11*$C1074*'Business Case'!D12*$B1074))-'Business Case'!E15*$F1074</f>
        <v>716815273.627589</v>
      </c>
      <c r="L1074" s="39" t="n">
        <f aca="false">(('Business Case'!F11*$C1074*'Business Case'!F12*$B1074)-'Business Case'!F11*$C1074*'Business Case'!F13*$D1074-'Business Case'!F14*$E1074)-MAX(0,(('Business Case'!F11*$C1074*'Business Case'!F12*$B1074)-'Business Case'!F11*$C1074*'Business Case'!F13*$D1074-'Business Case'!F14*$E1074))*'Business Case'!$B$7-'Business Case'!$B$8*(('Business Case'!F11*$C1074*'Business Case'!F12*$B1074)-('Business Case'!E11*$C1074*'Business Case'!E12*$B1074))-'Business Case'!F15*$F1074</f>
        <v>858339154.60087</v>
      </c>
      <c r="M1074" s="39" t="n">
        <f aca="false">(('Business Case'!G11*$C1074*'Business Case'!G12*$B1074)-'Business Case'!G11*$C1074*'Business Case'!G13*$D1074-'Business Case'!G14*$E1074)-MAX(0,(('Business Case'!G11*$C1074*'Business Case'!G12*$B1074)-'Business Case'!G11*$C1074*'Business Case'!G13*$D1074-'Business Case'!G14*$E1074))*'Business Case'!$B$7-'Business Case'!$B$8*(('Business Case'!G11*$C1074*'Business Case'!G12*$B1074)-('Business Case'!F11*$C1074*'Business Case'!F12*$B1074))-'Business Case'!G15*$F1074+'Business Case'!$B$8*('Business Case'!G11*$C1074*'Business Case'!G12*$B1074)</f>
        <v>1049856992.08895</v>
      </c>
      <c r="N1074" s="39" t="n">
        <f aca="false">IF(COUNT('Business Case'!B11:G11)=0,"",H1074+NPV(G1074,I1074:M1074))</f>
        <v>58651747.7932904</v>
      </c>
      <c r="P1074" s="40" t="n">
        <f aca="true">RAND()</f>
        <v>0.746929326927571</v>
      </c>
      <c r="Q1074" s="40" t="n">
        <f aca="true">RAND()</f>
        <v>0.585061882025096</v>
      </c>
      <c r="R1074" s="40" t="n">
        <f aca="true">RAND()</f>
        <v>0.182351272797287</v>
      </c>
      <c r="S1074" s="40" t="n">
        <f aca="true">RAND()</f>
        <v>0.324195682726634</v>
      </c>
      <c r="T1074" s="40" t="n">
        <f aca="true">RAND()</f>
        <v>0.0895467645564834</v>
      </c>
      <c r="U1074" s="40" t="n">
        <f aca="true">RAND()</f>
        <v>0.801554217042752</v>
      </c>
    </row>
    <row r="1075" customFormat="false" ht="15" hidden="false" customHeight="false" outlineLevel="0" collapsed="false">
      <c r="A1075" s="36" t="n">
        <v>995</v>
      </c>
      <c r="B1075" s="37" t="n">
        <f aca="false">1+IF($G$6=$E$6,$F$6,IF(P1075&lt;($F$6-$E$6)/($G$6-$E$6),$E$6+SQRT(P1075*($G$6-$E$6)*($F$6-$E$6)),$G$6-SQRT((1-P1075)*($G$6-$E$6)*($G$6-$F$6))))</f>
        <v>0.974288418828965</v>
      </c>
      <c r="C1075" s="37" t="n">
        <f aca="false">1+IF($G$7=$E$7,$F$7,IF(Q1075&lt;($F$7-$E$7)/($G$7-$E$7),$E$7+SQRT(Q1075*($G$7-$E$7)*($F$7-$E$7)),$G$7-SQRT((1-Q1075)*($G$7-$E$7)*($G$7-$F$7))))</f>
        <v>0.858968813315172</v>
      </c>
      <c r="D1075" s="37" t="n">
        <f aca="false">1+IF($G$8=$E$8,$F$8,IF(R1075&lt;($F$8-$E$8)/($G$8-$E$8),$E$8+SQRT(R1075*($G$8-$E$8)*($F$8-$E$8)),$G$8-SQRT((1-R1075)*($G$8-$E$8)*($G$8-$F$8))))</f>
        <v>1.04377691352927</v>
      </c>
      <c r="E1075" s="37" t="n">
        <f aca="false">1+IF($G$9=$E$9,$F$9,IF(S1075&lt;($F$9-$E$9)/($G$9-$E$9),$E$9+SQRT(S1075*($G$9-$E$9)*($F$9-$E$9)),$G$9-SQRT((1-S1075)*($G$9-$E$9)*($G$9-$F$9))))</f>
        <v>1.01668060304738</v>
      </c>
      <c r="F1075" s="37" t="n">
        <f aca="false">1+IF($G$10=$E$10,$F$10,IF(T1075&lt;($F$10-$E$10)/($G$10-$E$10),$E$10+SQRT(T1075*($G$10-$E$10)*($F$10-$E$10)),$G$10-SQRT((1-T1075)*($G$10-$E$10)*($G$10-$F$10))))</f>
        <v>1.04383181477067</v>
      </c>
      <c r="G1075" s="38" t="n">
        <f aca="false">IF($G$11=$E$11,$F$11,IF(U1075&lt;($F$11-$E$11)/($G$11-$E$11),$E$11+SQRT(U1075*($G$11-$E$11)*($F$11-$E$11)),$G$11-SQRT((1-U1075)*($G$11-$E$11)*($G$11-$F$11))))</f>
        <v>0.113012752385489</v>
      </c>
      <c r="H1075" s="39" t="n">
        <f aca="false">(('Business Case'!B11*$C1075*'Business Case'!B12*$B1075)-'Business Case'!B11*$C1075*'Business Case'!B13*$D1075-'Business Case'!B14*$E1075)-MAX(0,(('Business Case'!B11*$C1075*'Business Case'!B12*$B1075)-'Business Case'!B11*$C1075*'Business Case'!B13*$D1075-'Business Case'!B14*$E1075))*'Business Case'!$B$7-'Business Case'!$B$8*('Business Case'!B11*$C1075*'Business Case'!B12*$B1075)-'Business Case'!B15*$F1075</f>
        <v>-2087663629.54135</v>
      </c>
      <c r="I1075" s="39" t="n">
        <f aca="false">(('Business Case'!C11*$C1075*'Business Case'!C12*$B1075)-'Business Case'!C11*$C1075*'Business Case'!C13*$D1075-'Business Case'!C14*$E1075)-MAX(0,(('Business Case'!C11*$C1075*'Business Case'!C12*$B1075)-'Business Case'!C11*$C1075*'Business Case'!C13*$D1075-'Business Case'!C14*$E1075))*'Business Case'!$B$7-'Business Case'!$B$8*(('Business Case'!C11*$C1075*'Business Case'!C12*$B1075)-('Business Case'!B11*$C1075*'Business Case'!B12*$B1075))-'Business Case'!C15*$F1075</f>
        <v>-65844508.2860021</v>
      </c>
      <c r="J1075" s="39" t="n">
        <f aca="false">(('Business Case'!D11*$C1075*'Business Case'!D12*$B1075)-'Business Case'!D11*$C1075*'Business Case'!D13*$D1075-'Business Case'!D14*$E1075)-MAX(0,(('Business Case'!D11*$C1075*'Business Case'!D12*$B1075)-'Business Case'!D11*$C1075*'Business Case'!D13*$D1075-'Business Case'!D14*$E1075))*'Business Case'!$B$7-'Business Case'!$B$8*(('Business Case'!D11*$C1075*'Business Case'!D12*$B1075)-('Business Case'!C11*$C1075*'Business Case'!C12*$B1075))-'Business Case'!D15*$F1075</f>
        <v>160650180.400997</v>
      </c>
      <c r="K1075" s="39" t="n">
        <f aca="false">(('Business Case'!E11*$C1075*'Business Case'!E12*$B1075)-'Business Case'!E11*$C1075*'Business Case'!E13*$D1075-'Business Case'!E14*$E1075)-MAX(0,(('Business Case'!E11*$C1075*'Business Case'!E12*$B1075)-'Business Case'!E11*$C1075*'Business Case'!E13*$D1075-'Business Case'!E14*$E1075))*'Business Case'!$B$7-'Business Case'!$B$8*(('Business Case'!E11*$C1075*'Business Case'!E12*$B1075)-('Business Case'!D11*$C1075*'Business Case'!D12*$B1075))-'Business Case'!E15*$F1075</f>
        <v>439336459.82653</v>
      </c>
      <c r="L1075" s="39" t="n">
        <f aca="false">(('Business Case'!F11*$C1075*'Business Case'!F12*$B1075)-'Business Case'!F11*$C1075*'Business Case'!F13*$D1075-'Business Case'!F14*$E1075)-MAX(0,(('Business Case'!F11*$C1075*'Business Case'!F12*$B1075)-'Business Case'!F11*$C1075*'Business Case'!F13*$D1075-'Business Case'!F14*$E1075))*'Business Case'!$B$7-'Business Case'!$B$8*(('Business Case'!F11*$C1075*'Business Case'!F12*$B1075)-('Business Case'!E11*$C1075*'Business Case'!E12*$B1075))-'Business Case'!F15*$F1075</f>
        <v>543757378.550594</v>
      </c>
      <c r="M1075" s="39" t="n">
        <f aca="false">(('Business Case'!G11*$C1075*'Business Case'!G12*$B1075)-'Business Case'!G11*$C1075*'Business Case'!G13*$D1075-'Business Case'!G14*$E1075)-MAX(0,(('Business Case'!G11*$C1075*'Business Case'!G12*$B1075)-'Business Case'!G11*$C1075*'Business Case'!G13*$D1075-'Business Case'!G14*$E1075))*'Business Case'!$B$7-'Business Case'!$B$8*(('Business Case'!G11*$C1075*'Business Case'!G12*$B1075)-('Business Case'!F11*$C1075*'Business Case'!F12*$B1075))-'Business Case'!G15*$F1075+'Business Case'!$B$8*('Business Case'!G11*$C1075*'Business Case'!G12*$B1075)</f>
        <v>702832168.940114</v>
      </c>
      <c r="N1075" s="39" t="n">
        <f aca="false">IF(COUNT('Business Case'!B11:G11)=0,"",H1075+NPV(G1075,I1075:M1075))</f>
        <v>-932693240.785253</v>
      </c>
      <c r="P1075" s="40" t="n">
        <f aca="true">RAND()</f>
        <v>0.307003376973869</v>
      </c>
      <c r="Q1075" s="40" t="n">
        <f aca="true">RAND()</f>
        <v>0.0496760134828507</v>
      </c>
      <c r="R1075" s="40" t="n">
        <f aca="true">RAND()</f>
        <v>0.873835385243651</v>
      </c>
      <c r="S1075" s="40" t="n">
        <f aca="true">RAND()</f>
        <v>0.537191872763483</v>
      </c>
      <c r="T1075" s="40" t="n">
        <f aca="true">RAND()</f>
        <v>0.512229958443577</v>
      </c>
      <c r="U1075" s="40" t="n">
        <f aca="true">RAND()</f>
        <v>0.918630617955848</v>
      </c>
    </row>
    <row r="1076" customFormat="false" ht="15" hidden="false" customHeight="false" outlineLevel="0" collapsed="false">
      <c r="A1076" s="36" t="n">
        <v>996</v>
      </c>
      <c r="B1076" s="37" t="n">
        <f aca="false">1+IF($G$6=$E$6,$F$6,IF(P1076&lt;($F$6-$E$6)/($G$6-$E$6),$E$6+SQRT(P1076*($G$6-$E$6)*($F$6-$E$6)),$G$6-SQRT((1-P1076)*($G$6-$E$6)*($G$6-$F$6))))</f>
        <v>0.993414503222097</v>
      </c>
      <c r="C1076" s="37" t="n">
        <f aca="false">1+IF($G$7=$E$7,$F$7,IF(Q1076&lt;($F$7-$E$7)/($G$7-$E$7),$E$7+SQRT(Q1076*($G$7-$E$7)*($F$7-$E$7)),$G$7-SQRT((1-Q1076)*($G$7-$E$7)*($G$7-$F$7))))</f>
        <v>0.944761767153955</v>
      </c>
      <c r="D1076" s="37" t="n">
        <f aca="false">1+IF($G$8=$E$8,$F$8,IF(R1076&lt;($F$8-$E$8)/($G$8-$E$8),$E$8+SQRT(R1076*($G$8-$E$8)*($F$8-$E$8)),$G$8-SQRT((1-R1076)*($G$8-$E$8)*($G$8-$F$8))))</f>
        <v>1.02515745796109</v>
      </c>
      <c r="E1076" s="37" t="n">
        <f aca="false">1+IF($G$9=$E$9,$F$9,IF(S1076&lt;($F$9-$E$9)/($G$9-$E$9),$E$9+SQRT(S1076*($G$9-$E$9)*($F$9-$E$9)),$G$9-SQRT((1-S1076)*($G$9-$E$9)*($G$9-$F$9))))</f>
        <v>1.04899588717293</v>
      </c>
      <c r="F1076" s="37" t="n">
        <f aca="false">1+IF($G$10=$E$10,$F$10,IF(T1076&lt;($F$10-$E$10)/($G$10-$E$10),$E$10+SQRT(T1076*($G$10-$E$10)*($F$10-$E$10)),$G$10-SQRT((1-T1076)*($G$10-$E$10)*($G$10-$F$10))))</f>
        <v>1.18347629319021</v>
      </c>
      <c r="G1076" s="38" t="n">
        <f aca="false">IF($G$11=$E$11,$F$11,IF(U1076&lt;($F$11-$E$11)/($G$11-$E$11),$E$11+SQRT(U1076*($G$11-$E$11)*($F$11-$E$11)),$G$11-SQRT((1-U1076)*($G$11-$E$11)*($G$11-$F$11))))</f>
        <v>0.101931013479363</v>
      </c>
      <c r="H1076" s="39" t="n">
        <f aca="false">(('Business Case'!B11*$C1076*'Business Case'!B12*$B1076)-'Business Case'!B11*$C1076*'Business Case'!B13*$D1076-'Business Case'!B14*$E1076)-MAX(0,(('Business Case'!B11*$C1076*'Business Case'!B12*$B1076)-'Business Case'!B11*$C1076*'Business Case'!B13*$D1076-'Business Case'!B14*$E1076))*'Business Case'!$B$7-'Business Case'!$B$8*('Business Case'!B11*$C1076*'Business Case'!B12*$B1076)-'Business Case'!B15*$F1076</f>
        <v>-2366952586.38043</v>
      </c>
      <c r="I1076" s="39" t="n">
        <f aca="false">(('Business Case'!C11*$C1076*'Business Case'!C12*$B1076)-'Business Case'!C11*$C1076*'Business Case'!C13*$D1076-'Business Case'!C14*$E1076)-MAX(0,(('Business Case'!C11*$C1076*'Business Case'!C12*$B1076)-'Business Case'!C11*$C1076*'Business Case'!C13*$D1076-'Business Case'!C14*$E1076))*'Business Case'!$B$7-'Business Case'!$B$8*(('Business Case'!C11*$C1076*'Business Case'!C12*$B1076)-('Business Case'!B11*$C1076*'Business Case'!B12*$B1076))-'Business Case'!C15*$F1076</f>
        <v>-43246549.583732</v>
      </c>
      <c r="J1076" s="39" t="n">
        <f aca="false">(('Business Case'!D11*$C1076*'Business Case'!D12*$B1076)-'Business Case'!D11*$C1076*'Business Case'!D13*$D1076-'Business Case'!D14*$E1076)-MAX(0,(('Business Case'!D11*$C1076*'Business Case'!D12*$B1076)-'Business Case'!D11*$C1076*'Business Case'!D13*$D1076-'Business Case'!D14*$E1076))*'Business Case'!$B$7-'Business Case'!$B$8*(('Business Case'!D11*$C1076*'Business Case'!D12*$B1076)-('Business Case'!C11*$C1076*'Business Case'!C12*$B1076))-'Business Case'!D15*$F1076</f>
        <v>229675661.063079</v>
      </c>
      <c r="K1076" s="39" t="n">
        <f aca="false">(('Business Case'!E11*$C1076*'Business Case'!E12*$B1076)-'Business Case'!E11*$C1076*'Business Case'!E13*$D1076-'Business Case'!E14*$E1076)-MAX(0,(('Business Case'!E11*$C1076*'Business Case'!E12*$B1076)-'Business Case'!E11*$C1076*'Business Case'!E13*$D1076-'Business Case'!E14*$E1076))*'Business Case'!$B$7-'Business Case'!$B$8*(('Business Case'!E11*$C1076*'Business Case'!E12*$B1076)-('Business Case'!D11*$C1076*'Business Case'!D12*$B1076))-'Business Case'!E15*$F1076</f>
        <v>561771686.369401</v>
      </c>
      <c r="L1076" s="39" t="n">
        <f aca="false">(('Business Case'!F11*$C1076*'Business Case'!F12*$B1076)-'Business Case'!F11*$C1076*'Business Case'!F13*$D1076-'Business Case'!F14*$E1076)-MAX(0,(('Business Case'!F11*$C1076*'Business Case'!F12*$B1076)-'Business Case'!F11*$C1076*'Business Case'!F13*$D1076-'Business Case'!F14*$E1076))*'Business Case'!$B$7-'Business Case'!$B$8*(('Business Case'!F11*$C1076*'Business Case'!F12*$B1076)-('Business Case'!E11*$C1076*'Business Case'!E12*$B1076))-'Business Case'!F15*$F1076</f>
        <v>685181700.422026</v>
      </c>
      <c r="M1076" s="39" t="n">
        <f aca="false">(('Business Case'!G11*$C1076*'Business Case'!G12*$B1076)-'Business Case'!G11*$C1076*'Business Case'!G13*$D1076-'Business Case'!G14*$E1076)-MAX(0,(('Business Case'!G11*$C1076*'Business Case'!G12*$B1076)-'Business Case'!G11*$C1076*'Business Case'!G13*$D1076-'Business Case'!G14*$E1076))*'Business Case'!$B$7-'Business Case'!$B$8*(('Business Case'!G11*$C1076*'Business Case'!G12*$B1076)-('Business Case'!F11*$C1076*'Business Case'!F12*$B1076))-'Business Case'!G15*$F1076+'Business Case'!$B$8*('Business Case'!G11*$C1076*'Business Case'!G12*$B1076)</f>
        <v>863579391.525643</v>
      </c>
      <c r="N1076" s="39" t="n">
        <f aca="false">IF(COUNT('Business Case'!B11:G11)=0,"",H1076+NPV(G1076,I1076:M1076))</f>
        <v>-800946880.771251</v>
      </c>
      <c r="P1076" s="40" t="n">
        <f aca="true">RAND()</f>
        <v>0.561425967015335</v>
      </c>
      <c r="Q1076" s="40" t="n">
        <f aca="true">RAND()</f>
        <v>0.29937098899337</v>
      </c>
      <c r="R1076" s="40" t="n">
        <f aca="true">RAND()</f>
        <v>0.710797652183687</v>
      </c>
      <c r="S1076" s="40" t="n">
        <f aca="true">RAND()</f>
        <v>0.826572031648204</v>
      </c>
      <c r="T1076" s="40" t="n">
        <f aca="true">RAND()</f>
        <v>0.994539342265284</v>
      </c>
      <c r="U1076" s="40" t="n">
        <f aca="true">RAND()</f>
        <v>0.455852876861758</v>
      </c>
    </row>
    <row r="1077" customFormat="false" ht="15" hidden="false" customHeight="false" outlineLevel="0" collapsed="false">
      <c r="A1077" s="36" t="n">
        <v>997</v>
      </c>
      <c r="B1077" s="37" t="n">
        <f aca="false">1+IF($G$6=$E$6,$F$6,IF(P1077&lt;($F$6-$E$6)/($G$6-$E$6),$E$6+SQRT(P1077*($G$6-$E$6)*($F$6-$E$6)),$G$6-SQRT((1-P1077)*($G$6-$E$6)*($G$6-$F$6))))</f>
        <v>0.967535981012293</v>
      </c>
      <c r="C1077" s="37" t="n">
        <f aca="false">1+IF($G$7=$E$7,$F$7,IF(Q1077&lt;($F$7-$E$7)/($G$7-$E$7),$E$7+SQRT(Q1077*($G$7-$E$7)*($F$7-$E$7)),$G$7-SQRT((1-Q1077)*($G$7-$E$7)*($G$7-$F$7))))</f>
        <v>0.98089927981733</v>
      </c>
      <c r="D1077" s="37" t="n">
        <f aca="false">1+IF($G$8=$E$8,$F$8,IF(R1077&lt;($F$8-$E$8)/($G$8-$E$8),$E$8+SQRT(R1077*($G$8-$E$8)*($F$8-$E$8)),$G$8-SQRT((1-R1077)*($G$8-$E$8)*($G$8-$F$8))))</f>
        <v>0.99286635977146</v>
      </c>
      <c r="E1077" s="37" t="n">
        <f aca="false">1+IF($G$9=$E$9,$F$9,IF(S1077&lt;($F$9-$E$9)/($G$9-$E$9),$E$9+SQRT(S1077*($G$9-$E$9)*($F$9-$E$9)),$G$9-SQRT((1-S1077)*($G$9-$E$9)*($G$9-$F$9))))</f>
        <v>1.02181130759015</v>
      </c>
      <c r="F1077" s="37" t="n">
        <f aca="false">1+IF($G$10=$E$10,$F$10,IF(T1077&lt;($F$10-$E$10)/($G$10-$E$10),$E$10+SQRT(T1077*($G$10-$E$10)*($F$10-$E$10)),$G$10-SQRT((1-T1077)*($G$10-$E$10)*($G$10-$F$10))))</f>
        <v>1.16873306819492</v>
      </c>
      <c r="G1077" s="38" t="n">
        <f aca="false">IF($G$11=$E$11,$F$11,IF(U1077&lt;($F$11-$E$11)/($G$11-$E$11),$E$11+SQRT(U1077*($G$11-$E$11)*($F$11-$E$11)),$G$11-SQRT((1-U1077)*($G$11-$E$11)*($G$11-$F$11))))</f>
        <v>0.100610074401271</v>
      </c>
      <c r="H1077" s="39" t="n">
        <f aca="false">(('Business Case'!B11*$C1077*'Business Case'!B12*$B1077)-'Business Case'!B11*$C1077*'Business Case'!B13*$D1077-'Business Case'!B14*$E1077)-MAX(0,(('Business Case'!B11*$C1077*'Business Case'!B12*$B1077)-'Business Case'!B11*$C1077*'Business Case'!B13*$D1077-'Business Case'!B14*$E1077))*'Business Case'!$B$7-'Business Case'!$B$8*('Business Case'!B11*$C1077*'Business Case'!B12*$B1077)-'Business Case'!B15*$F1077</f>
        <v>-2337466136.38984</v>
      </c>
      <c r="I1077" s="39" t="n">
        <f aca="false">(('Business Case'!C11*$C1077*'Business Case'!C12*$B1077)-'Business Case'!C11*$C1077*'Business Case'!C13*$D1077-'Business Case'!C14*$E1077)-MAX(0,(('Business Case'!C11*$C1077*'Business Case'!C12*$B1077)-'Business Case'!C11*$C1077*'Business Case'!C13*$D1077-'Business Case'!C14*$E1077))*'Business Case'!$B$7-'Business Case'!$B$8*(('Business Case'!C11*$C1077*'Business Case'!C12*$B1077)-('Business Case'!B11*$C1077*'Business Case'!B12*$B1077))-'Business Case'!C15*$F1077</f>
        <v>-32589102.0331649</v>
      </c>
      <c r="J1077" s="39" t="n">
        <f aca="false">(('Business Case'!D11*$C1077*'Business Case'!D12*$B1077)-'Business Case'!D11*$C1077*'Business Case'!D13*$D1077-'Business Case'!D14*$E1077)-MAX(0,(('Business Case'!D11*$C1077*'Business Case'!D12*$B1077)-'Business Case'!D11*$C1077*'Business Case'!D13*$D1077-'Business Case'!D14*$E1077))*'Business Case'!$B$7-'Business Case'!$B$8*(('Business Case'!D11*$C1077*'Business Case'!D12*$B1077)-('Business Case'!C11*$C1077*'Business Case'!C12*$B1077))-'Business Case'!D15*$F1077</f>
        <v>246195699.879526</v>
      </c>
      <c r="K1077" s="39" t="n">
        <f aca="false">(('Business Case'!E11*$C1077*'Business Case'!E12*$B1077)-'Business Case'!E11*$C1077*'Business Case'!E13*$D1077-'Business Case'!E14*$E1077)-MAX(0,(('Business Case'!E11*$C1077*'Business Case'!E12*$B1077)-'Business Case'!E11*$C1077*'Business Case'!E13*$D1077-'Business Case'!E14*$E1077))*'Business Case'!$B$7-'Business Case'!$B$8*(('Business Case'!E11*$C1077*'Business Case'!E12*$B1077)-('Business Case'!D11*$C1077*'Business Case'!D12*$B1077))-'Business Case'!E15*$F1077</f>
        <v>583417155.201963</v>
      </c>
      <c r="L1077" s="39" t="n">
        <f aca="false">(('Business Case'!F11*$C1077*'Business Case'!F12*$B1077)-'Business Case'!F11*$C1077*'Business Case'!F13*$D1077-'Business Case'!F14*$E1077)-MAX(0,(('Business Case'!F11*$C1077*'Business Case'!F12*$B1077)-'Business Case'!F11*$C1077*'Business Case'!F13*$D1077-'Business Case'!F14*$E1077))*'Business Case'!$B$7-'Business Case'!$B$8*(('Business Case'!F11*$C1077*'Business Case'!F12*$B1077)-('Business Case'!E11*$C1077*'Business Case'!E12*$B1077))-'Business Case'!F15*$F1077</f>
        <v>709144775.297556</v>
      </c>
      <c r="M1077" s="39" t="n">
        <f aca="false">(('Business Case'!G11*$C1077*'Business Case'!G12*$B1077)-'Business Case'!G11*$C1077*'Business Case'!G13*$D1077-'Business Case'!G14*$E1077)-MAX(0,(('Business Case'!G11*$C1077*'Business Case'!G12*$B1077)-'Business Case'!G11*$C1077*'Business Case'!G13*$D1077-'Business Case'!G14*$E1077))*'Business Case'!$B$7-'Business Case'!$B$8*(('Business Case'!G11*$C1077*'Business Case'!G12*$B1077)-('Business Case'!F11*$C1077*'Business Case'!F12*$B1077))-'Business Case'!G15*$F1077+'Business Case'!$B$8*('Business Case'!G11*$C1077*'Business Case'!G12*$B1077)</f>
        <v>889541215.650053</v>
      </c>
      <c r="N1077" s="39" t="n">
        <f aca="false">IF(COUNT('Business Case'!B11:G11)=0,"",H1077+NPV(G1077,I1077:M1077))</f>
        <v>-692144328.173718</v>
      </c>
      <c r="P1077" s="40" t="n">
        <f aca="true">RAND()</f>
        <v>0.235382238625117</v>
      </c>
      <c r="Q1077" s="40" t="n">
        <f aca="true">RAND()</f>
        <v>0.467493563406125</v>
      </c>
      <c r="R1077" s="40" t="n">
        <f aca="true">RAND()</f>
        <v>0.282696123085571</v>
      </c>
      <c r="S1077" s="40" t="n">
        <f aca="true">RAND()</f>
        <v>0.592435225282493</v>
      </c>
      <c r="T1077" s="40" t="n">
        <f aca="true">RAND()</f>
        <v>0.980447579509931</v>
      </c>
      <c r="U1077" s="40" t="n">
        <f aca="true">RAND()</f>
        <v>0.373384642126264</v>
      </c>
    </row>
    <row r="1078" customFormat="false" ht="15" hidden="false" customHeight="false" outlineLevel="0" collapsed="false">
      <c r="A1078" s="36" t="n">
        <v>998</v>
      </c>
      <c r="B1078" s="37" t="n">
        <f aca="false">1+IF($G$6=$E$6,$F$6,IF(P1078&lt;($F$6-$E$6)/($G$6-$E$6),$E$6+SQRT(P1078*($G$6-$E$6)*($F$6-$E$6)),$G$6-SQRT((1-P1078)*($G$6-$E$6)*($G$6-$F$6))))</f>
        <v>1.02526861600963</v>
      </c>
      <c r="C1078" s="37" t="n">
        <f aca="false">1+IF($G$7=$E$7,$F$7,IF(Q1078&lt;($F$7-$E$7)/($G$7-$E$7),$E$7+SQRT(Q1078*($G$7-$E$7)*($F$7-$E$7)),$G$7-SQRT((1-Q1078)*($G$7-$E$7)*($G$7-$F$7))))</f>
        <v>0.993247281780433</v>
      </c>
      <c r="D1078" s="37" t="n">
        <f aca="false">1+IF($G$8=$E$8,$F$8,IF(R1078&lt;($F$8-$E$8)/($G$8-$E$8),$E$8+SQRT(R1078*($G$8-$E$8)*($F$8-$E$8)),$G$8-SQRT((1-R1078)*($G$8-$E$8)*($G$8-$F$8))))</f>
        <v>0.974331163469289</v>
      </c>
      <c r="E1078" s="37" t="n">
        <f aca="false">1+IF($G$9=$E$9,$F$9,IF(S1078&lt;($F$9-$E$9)/($G$9-$E$9),$E$9+SQRT(S1078*($G$9-$E$9)*($F$9-$E$9)),$G$9-SQRT((1-S1078)*($G$9-$E$9)*($G$9-$F$9))))</f>
        <v>1.03718515852257</v>
      </c>
      <c r="F1078" s="37" t="n">
        <f aca="false">1+IF($G$10=$E$10,$F$10,IF(T1078&lt;($F$10-$E$10)/($G$10-$E$10),$E$10+SQRT(T1078*($G$10-$E$10)*($F$10-$E$10)),$G$10-SQRT((1-T1078)*($G$10-$E$10)*($G$10-$F$10))))</f>
        <v>1.01419875411801</v>
      </c>
      <c r="G1078" s="38" t="n">
        <f aca="false">IF($G$11=$E$11,$F$11,IF(U1078&lt;($F$11-$E$11)/($G$11-$E$11),$E$11+SQRT(U1078*($G$11-$E$11)*($F$11-$E$11)),$G$11-SQRT((1-U1078)*($G$11-$E$11)*($G$11-$F$11))))</f>
        <v>0.0961971062531286</v>
      </c>
      <c r="H1078" s="39" t="n">
        <f aca="false">(('Business Case'!B11*$C1078*'Business Case'!B12*$B1078)-'Business Case'!B11*$C1078*'Business Case'!B13*$D1078-'Business Case'!B14*$E1078)-MAX(0,(('Business Case'!B11*$C1078*'Business Case'!B12*$B1078)-'Business Case'!B11*$C1078*'Business Case'!B13*$D1078-'Business Case'!B14*$E1078))*'Business Case'!$B$7-'Business Case'!$B$8*('Business Case'!B11*$C1078*'Business Case'!B12*$B1078)-'Business Case'!B15*$F1078</f>
        <v>-2028397508.23603</v>
      </c>
      <c r="I1078" s="39" t="n">
        <f aca="false">(('Business Case'!C11*$C1078*'Business Case'!C12*$B1078)-'Business Case'!C11*$C1078*'Business Case'!C13*$D1078-'Business Case'!C14*$E1078)-MAX(0,(('Business Case'!C11*$C1078*'Business Case'!C12*$B1078)-'Business Case'!C11*$C1078*'Business Case'!C13*$D1078-'Business Case'!C14*$E1078))*'Business Case'!$B$7-'Business Case'!$B$8*(('Business Case'!C11*$C1078*'Business Case'!C12*$B1078)-('Business Case'!B11*$C1078*'Business Case'!B12*$B1078))-'Business Case'!C15*$F1078</f>
        <v>36987979.0802608</v>
      </c>
      <c r="J1078" s="39" t="n">
        <f aca="false">(('Business Case'!D11*$C1078*'Business Case'!D12*$B1078)-'Business Case'!D11*$C1078*'Business Case'!D13*$D1078-'Business Case'!D14*$E1078)-MAX(0,(('Business Case'!D11*$C1078*'Business Case'!D12*$B1078)-'Business Case'!D11*$C1078*'Business Case'!D13*$D1078-'Business Case'!D14*$E1078))*'Business Case'!$B$7-'Business Case'!$B$8*(('Business Case'!D11*$C1078*'Business Case'!D12*$B1078)-('Business Case'!C11*$C1078*'Business Case'!C12*$B1078))-'Business Case'!D15*$F1078</f>
        <v>375674581.700891</v>
      </c>
      <c r="K1078" s="39" t="n">
        <f aca="false">(('Business Case'!E11*$C1078*'Business Case'!E12*$B1078)-'Business Case'!E11*$C1078*'Business Case'!E13*$D1078-'Business Case'!E14*$E1078)-MAX(0,(('Business Case'!E11*$C1078*'Business Case'!E12*$B1078)-'Business Case'!E11*$C1078*'Business Case'!E13*$D1078-'Business Case'!E14*$E1078))*'Business Case'!$B$7-'Business Case'!$B$8*(('Business Case'!E11*$C1078*'Business Case'!E12*$B1078)-('Business Case'!D11*$C1078*'Business Case'!D12*$B1078))-'Business Case'!E15*$F1078</f>
        <v>765071122.027422</v>
      </c>
      <c r="L1078" s="39" t="n">
        <f aca="false">(('Business Case'!F11*$C1078*'Business Case'!F12*$B1078)-'Business Case'!F11*$C1078*'Business Case'!F13*$D1078-'Business Case'!F14*$E1078)-MAX(0,(('Business Case'!F11*$C1078*'Business Case'!F12*$B1078)-'Business Case'!F11*$C1078*'Business Case'!F13*$D1078-'Business Case'!F14*$E1078))*'Business Case'!$B$7-'Business Case'!$B$8*(('Business Case'!F11*$C1078*'Business Case'!F12*$B1078)-('Business Case'!E11*$C1078*'Business Case'!E12*$B1078))-'Business Case'!F15*$F1078</f>
        <v>913160668.625404</v>
      </c>
      <c r="M1078" s="39" t="n">
        <f aca="false">(('Business Case'!G11*$C1078*'Business Case'!G12*$B1078)-'Business Case'!G11*$C1078*'Business Case'!G13*$D1078-'Business Case'!G14*$E1078)-MAX(0,(('Business Case'!G11*$C1078*'Business Case'!G12*$B1078)-'Business Case'!G11*$C1078*'Business Case'!G13*$D1078-'Business Case'!G14*$E1078))*'Business Case'!$B$7-'Business Case'!$B$8*(('Business Case'!G11*$C1078*'Business Case'!G12*$B1078)-('Business Case'!F11*$C1078*'Business Case'!F12*$B1078))-'Business Case'!G15*$F1078+'Business Case'!$B$8*('Business Case'!G11*$C1078*'Business Case'!G12*$B1078)</f>
        <v>1106727736.77649</v>
      </c>
      <c r="N1078" s="39" t="n">
        <f aca="false">IF(COUNT('Business Case'!B11:G11)=0,"",H1078+NPV(G1078,I1078:M1078))</f>
        <v>230384540.167036</v>
      </c>
      <c r="P1078" s="40" t="n">
        <f aca="true">RAND()</f>
        <v>0.954788817860081</v>
      </c>
      <c r="Q1078" s="40" t="n">
        <f aca="true">RAND()</f>
        <v>0.53349302736466</v>
      </c>
      <c r="R1078" s="40" t="n">
        <f aca="true">RAND()</f>
        <v>0.09107777165681</v>
      </c>
      <c r="S1078" s="40" t="n">
        <f aca="true">RAND()</f>
        <v>0.736953046010982</v>
      </c>
      <c r="T1078" s="40" t="n">
        <f aca="true">RAND()</f>
        <v>0.309557940574027</v>
      </c>
      <c r="U1078" s="40" t="n">
        <f aca="true">RAND()</f>
        <v>0.128013753041884</v>
      </c>
    </row>
    <row r="1079" customFormat="false" ht="15" hidden="false" customHeight="false" outlineLevel="0" collapsed="false">
      <c r="A1079" s="36" t="n">
        <v>999</v>
      </c>
      <c r="B1079" s="37" t="n">
        <f aca="false">1+IF($G$6=$E$6,$F$6,IF(P1079&lt;($F$6-$E$6)/($G$6-$E$6),$E$6+SQRT(P1079*($G$6-$E$6)*($F$6-$E$6)),$G$6-SQRT((1-P1079)*($G$6-$E$6)*($G$6-$F$6))))</f>
        <v>0.947706037498178</v>
      </c>
      <c r="C1079" s="37" t="n">
        <f aca="false">1+IF($G$7=$E$7,$F$7,IF(Q1079&lt;($F$7-$E$7)/($G$7-$E$7),$E$7+SQRT(Q1079*($G$7-$E$7)*($F$7-$E$7)),$G$7-SQRT((1-Q1079)*($G$7-$E$7)*($G$7-$F$7))))</f>
        <v>1.05057371843252</v>
      </c>
      <c r="D1079" s="37" t="n">
        <f aca="false">1+IF($G$8=$E$8,$F$8,IF(R1079&lt;($F$8-$E$8)/($G$8-$E$8),$E$8+SQRT(R1079*($G$8-$E$8)*($F$8-$E$8)),$G$8-SQRT((1-R1079)*($G$8-$E$8)*($G$8-$F$8))))</f>
        <v>1.01230208303117</v>
      </c>
      <c r="E1079" s="37" t="n">
        <f aca="false">1+IF($G$9=$E$9,$F$9,IF(S1079&lt;($F$9-$E$9)/($G$9-$E$9),$E$9+SQRT(S1079*($G$9-$E$9)*($F$9-$E$9)),$G$9-SQRT((1-S1079)*($G$9-$E$9)*($G$9-$F$9))))</f>
        <v>0.973972803082553</v>
      </c>
      <c r="F1079" s="37" t="n">
        <f aca="false">1+IF($G$10=$E$10,$F$10,IF(T1079&lt;($F$10-$E$10)/($G$10-$E$10),$E$10+SQRT(T1079*($G$10-$E$10)*($F$10-$E$10)),$G$10-SQRT((1-T1079)*($G$10-$E$10)*($G$10-$F$10))))</f>
        <v>1.00266140046486</v>
      </c>
      <c r="G1079" s="38" t="n">
        <f aca="false">IF($G$11=$E$11,$F$11,IF(U1079&lt;($F$11-$E$11)/($G$11-$E$11),$E$11+SQRT(U1079*($G$11-$E$11)*($F$11-$E$11)),$G$11-SQRT((1-U1079)*($G$11-$E$11)*($G$11-$F$11))))</f>
        <v>0.100399049551572</v>
      </c>
      <c r="H1079" s="39" t="n">
        <f aca="false">(('Business Case'!B11*$C1079*'Business Case'!B12*$B1079)-'Business Case'!B11*$C1079*'Business Case'!B13*$D1079-'Business Case'!B14*$E1079)-MAX(0,(('Business Case'!B11*$C1079*'Business Case'!B12*$B1079)-'Business Case'!B11*$C1079*'Business Case'!B13*$D1079-'Business Case'!B14*$E1079))*'Business Case'!$B$7-'Business Case'!$B$8*('Business Case'!B11*$C1079*'Business Case'!B12*$B1079)-'Business Case'!B15*$F1079</f>
        <v>-2005322800.92973</v>
      </c>
      <c r="I1079" s="39" t="n">
        <f aca="false">(('Business Case'!C11*$C1079*'Business Case'!C12*$B1079)-'Business Case'!C11*$C1079*'Business Case'!C13*$D1079-'Business Case'!C14*$E1079)-MAX(0,(('Business Case'!C11*$C1079*'Business Case'!C12*$B1079)-'Business Case'!C11*$C1079*'Business Case'!C13*$D1079-'Business Case'!C14*$E1079))*'Business Case'!$B$7-'Business Case'!$B$8*(('Business Case'!C11*$C1079*'Business Case'!C12*$B1079)-('Business Case'!B11*$C1079*'Business Case'!B12*$B1079))-'Business Case'!C15*$F1079</f>
        <v>-19307875.0158042</v>
      </c>
      <c r="J1079" s="39" t="n">
        <f aca="false">(('Business Case'!D11*$C1079*'Business Case'!D12*$B1079)-'Business Case'!D11*$C1079*'Business Case'!D13*$D1079-'Business Case'!D14*$E1079)-MAX(0,(('Business Case'!D11*$C1079*'Business Case'!D12*$B1079)-'Business Case'!D11*$C1079*'Business Case'!D13*$D1079-'Business Case'!D14*$E1079))*'Business Case'!$B$7-'Business Case'!$B$8*(('Business Case'!D11*$C1079*'Business Case'!D12*$B1079)-('Business Case'!C11*$C1079*'Business Case'!C12*$B1079))-'Business Case'!D15*$F1079</f>
        <v>251763043.905651</v>
      </c>
      <c r="K1079" s="39" t="n">
        <f aca="false">(('Business Case'!E11*$C1079*'Business Case'!E12*$B1079)-'Business Case'!E11*$C1079*'Business Case'!E13*$D1079-'Business Case'!E14*$E1079)-MAX(0,(('Business Case'!E11*$C1079*'Business Case'!E12*$B1079)-'Business Case'!E11*$C1079*'Business Case'!E13*$D1079-'Business Case'!E14*$E1079))*'Business Case'!$B$7-'Business Case'!$B$8*(('Business Case'!E11*$C1079*'Business Case'!E12*$B1079)-('Business Case'!D11*$C1079*'Business Case'!D12*$B1079))-'Business Case'!E15*$F1079</f>
        <v>572967032.85035</v>
      </c>
      <c r="L1079" s="39" t="n">
        <f aca="false">(('Business Case'!F11*$C1079*'Business Case'!F12*$B1079)-'Business Case'!F11*$C1079*'Business Case'!F13*$D1079-'Business Case'!F14*$E1079)-MAX(0,(('Business Case'!F11*$C1079*'Business Case'!F12*$B1079)-'Business Case'!F11*$C1079*'Business Case'!F13*$D1079-'Business Case'!F14*$E1079))*'Business Case'!$B$7-'Business Case'!$B$8*(('Business Case'!F11*$C1079*'Business Case'!F12*$B1079)-('Business Case'!E11*$C1079*'Business Case'!E12*$B1079))-'Business Case'!F15*$F1079</f>
        <v>697733153.352458</v>
      </c>
      <c r="M1079" s="39" t="n">
        <f aca="false">(('Business Case'!G11*$C1079*'Business Case'!G12*$B1079)-'Business Case'!G11*$C1079*'Business Case'!G13*$D1079-'Business Case'!G14*$E1079)-MAX(0,(('Business Case'!G11*$C1079*'Business Case'!G12*$B1079)-'Business Case'!G11*$C1079*'Business Case'!G13*$D1079-'Business Case'!G14*$E1079))*'Business Case'!$B$7-'Business Case'!$B$8*(('Business Case'!G11*$C1079*'Business Case'!G12*$B1079)-('Business Case'!F11*$C1079*'Business Case'!F12*$B1079))-'Business Case'!G15*$F1079+'Business Case'!$B$8*('Business Case'!G11*$C1079*'Business Case'!G12*$B1079)</f>
        <v>886983464.75805</v>
      </c>
      <c r="N1079" s="39" t="n">
        <f aca="false">IF(COUNT('Business Case'!B11:G11)=0,"",H1079+NPV(G1079,I1079:M1079))</f>
        <v>-359321564.205866</v>
      </c>
      <c r="P1079" s="40" t="n">
        <f aca="true">RAND()</f>
        <v>0.0799608868594192</v>
      </c>
      <c r="Q1079" s="40" t="n">
        <f aca="true">RAND()</f>
        <v>0.811703133974571</v>
      </c>
      <c r="R1079" s="40" t="n">
        <f aca="true">RAND()</f>
        <v>0.559326157507865</v>
      </c>
      <c r="S1079" s="40" t="n">
        <f aca="true">RAND()</f>
        <v>0.0766260383513154</v>
      </c>
      <c r="T1079" s="40" t="n">
        <f aca="true">RAND()</f>
        <v>0.221149542670225</v>
      </c>
      <c r="U1079" s="40" t="n">
        <f aca="true">RAND()</f>
        <v>0.35967123586376</v>
      </c>
    </row>
    <row r="1080" customFormat="false" ht="15" hidden="false" customHeight="false" outlineLevel="0" collapsed="false">
      <c r="A1080" s="36" t="n">
        <v>1000</v>
      </c>
      <c r="B1080" s="37" t="n">
        <f aca="false">1+IF($G$6=$E$6,$F$6,IF(P1080&lt;($F$6-$E$6)/($G$6-$E$6),$E$6+SQRT(P1080*($G$6-$E$6)*($F$6-$E$6)),$G$6-SQRT((1-P1080)*($G$6-$E$6)*($G$6-$F$6))))</f>
        <v>0.941158772340189</v>
      </c>
      <c r="C1080" s="37" t="n">
        <f aca="false">1+IF($G$7=$E$7,$F$7,IF(Q1080&lt;($F$7-$E$7)/($G$7-$E$7),$E$7+SQRT(Q1080*($G$7-$E$7)*($F$7-$E$7)),$G$7-SQRT((1-Q1080)*($G$7-$E$7)*($G$7-$F$7))))</f>
        <v>1.05962233604693</v>
      </c>
      <c r="D1080" s="37" t="n">
        <f aca="false">1+IF($G$8=$E$8,$F$8,IF(R1080&lt;($F$8-$E$8)/($G$8-$E$8),$E$8+SQRT(R1080*($G$8-$E$8)*($F$8-$E$8)),$G$8-SQRT((1-R1080)*($G$8-$E$8)*($G$8-$F$8))))</f>
        <v>1.04360488955072</v>
      </c>
      <c r="E1080" s="37" t="n">
        <f aca="false">1+IF($G$9=$E$9,$F$9,IF(S1080&lt;($F$9-$E$9)/($G$9-$E$9),$E$9+SQRT(S1080*($G$9-$E$9)*($F$9-$E$9)),$G$9-SQRT((1-S1080)*($G$9-$E$9)*($G$9-$F$9))))</f>
        <v>1.00001709767803</v>
      </c>
      <c r="F1080" s="37" t="n">
        <f aca="false">1+IF($G$10=$E$10,$F$10,IF(T1080&lt;($F$10-$E$10)/($G$10-$E$10),$E$10+SQRT(T1080*($G$10-$E$10)*($F$10-$E$10)),$G$10-SQRT((1-T1080)*($G$10-$E$10)*($G$10-$F$10))))</f>
        <v>0.997633116842128</v>
      </c>
      <c r="G1080" s="38" t="n">
        <f aca="false">IF($G$11=$E$11,$F$11,IF(U1080&lt;($F$11-$E$11)/($G$11-$E$11),$E$11+SQRT(U1080*($G$11-$E$11)*($F$11-$E$11)),$G$11-SQRT((1-U1080)*($G$11-$E$11)*($G$11-$F$11))))</f>
        <v>0.102041185735866</v>
      </c>
      <c r="H1080" s="39" t="n">
        <f aca="false">(('Business Case'!B11*$C1080*'Business Case'!B12*$B1080)-'Business Case'!B11*$C1080*'Business Case'!B13*$D1080-'Business Case'!B14*$E1080)-MAX(0,(('Business Case'!B11*$C1080*'Business Case'!B12*$B1080)-'Business Case'!B11*$C1080*'Business Case'!B13*$D1080-'Business Case'!B14*$E1080))*'Business Case'!$B$7-'Business Case'!$B$8*('Business Case'!B11*$C1080*'Business Case'!B12*$B1080)-'Business Case'!B15*$F1080</f>
        <v>-1995266233.68426</v>
      </c>
      <c r="I1080" s="39" t="n">
        <f aca="false">(('Business Case'!C11*$C1080*'Business Case'!C12*$B1080)-'Business Case'!C11*$C1080*'Business Case'!C13*$D1080-'Business Case'!C14*$E1080)-MAX(0,(('Business Case'!C11*$C1080*'Business Case'!C12*$B1080)-'Business Case'!C11*$C1080*'Business Case'!C13*$D1080-'Business Case'!C14*$E1080))*'Business Case'!$B$7-'Business Case'!$B$8*(('Business Case'!C11*$C1080*'Business Case'!C12*$B1080)-('Business Case'!B11*$C1080*'Business Case'!B12*$B1080))-'Business Case'!C15*$F1080</f>
        <v>-42921078.3351403</v>
      </c>
      <c r="J1080" s="39" t="n">
        <f aca="false">(('Business Case'!D11*$C1080*'Business Case'!D12*$B1080)-'Business Case'!D11*$C1080*'Business Case'!D13*$D1080-'Business Case'!D14*$E1080)-MAX(0,(('Business Case'!D11*$C1080*'Business Case'!D12*$B1080)-'Business Case'!D11*$C1080*'Business Case'!D13*$D1080-'Business Case'!D14*$E1080))*'Business Case'!$B$7-'Business Case'!$B$8*(('Business Case'!D11*$C1080*'Business Case'!D12*$B1080)-('Business Case'!C11*$C1080*'Business Case'!C12*$B1080))-'Business Case'!D15*$F1080</f>
        <v>207822211.207422</v>
      </c>
      <c r="K1080" s="39" t="n">
        <f aca="false">(('Business Case'!E11*$C1080*'Business Case'!E12*$B1080)-'Business Case'!E11*$C1080*'Business Case'!E13*$D1080-'Business Case'!E14*$E1080)-MAX(0,(('Business Case'!E11*$C1080*'Business Case'!E12*$B1080)-'Business Case'!E11*$C1080*'Business Case'!E13*$D1080-'Business Case'!E14*$E1080))*'Business Case'!$B$7-'Business Case'!$B$8*(('Business Case'!E11*$C1080*'Business Case'!E12*$B1080)-('Business Case'!D11*$C1080*'Business Case'!D12*$B1080))-'Business Case'!E15*$F1080</f>
        <v>508447156.592091</v>
      </c>
      <c r="L1080" s="39" t="n">
        <f aca="false">(('Business Case'!F11*$C1080*'Business Case'!F12*$B1080)-'Business Case'!F11*$C1080*'Business Case'!F13*$D1080-'Business Case'!F14*$E1080)-MAX(0,(('Business Case'!F11*$C1080*'Business Case'!F12*$B1080)-'Business Case'!F11*$C1080*'Business Case'!F13*$D1080-'Business Case'!F14*$E1080))*'Business Case'!$B$7-'Business Case'!$B$8*(('Business Case'!F11*$C1080*'Business Case'!F12*$B1080)-('Business Case'!E11*$C1080*'Business Case'!E12*$B1080))-'Business Case'!F15*$F1080</f>
        <v>626494003.042062</v>
      </c>
      <c r="M1080" s="39" t="n">
        <f aca="false">(('Business Case'!G11*$C1080*'Business Case'!G12*$B1080)-'Business Case'!G11*$C1080*'Business Case'!G13*$D1080-'Business Case'!G14*$E1080)-MAX(0,(('Business Case'!G11*$C1080*'Business Case'!G12*$B1080)-'Business Case'!G11*$C1080*'Business Case'!G13*$D1080-'Business Case'!G14*$E1080))*'Business Case'!$B$7-'Business Case'!$B$8*(('Business Case'!G11*$C1080*'Business Case'!G12*$B1080)-('Business Case'!F11*$C1080*'Business Case'!F12*$B1080))-'Business Case'!G15*$F1080+'Business Case'!$B$8*('Business Case'!G11*$C1080*'Business Case'!G12*$B1080)</f>
        <v>816055627.688869</v>
      </c>
      <c r="N1080" s="39" t="n">
        <f aca="false">IF(COUNT('Business Case'!B11:G11)=0,"",H1080+NPV(G1080,I1080:M1080))</f>
        <v>-556436188.763813</v>
      </c>
      <c r="P1080" s="40" t="n">
        <f aca="true">RAND()</f>
        <v>0.0466347548899945</v>
      </c>
      <c r="Q1080" s="40" t="n">
        <f aca="true">RAND()</f>
        <v>0.844416721112108</v>
      </c>
      <c r="R1080" s="40" t="n">
        <f aca="true">RAND()</f>
        <v>0.872634224556251</v>
      </c>
      <c r="S1080" s="40" t="n">
        <f aca="true">RAND()</f>
        <v>0.333561282884998</v>
      </c>
      <c r="T1080" s="40" t="n">
        <f aca="true">RAND()</f>
        <v>0.181513105607668</v>
      </c>
      <c r="U1080" s="40" t="n">
        <f aca="true">RAND()</f>
        <v>0.462468317043892</v>
      </c>
    </row>
  </sheetData>
  <mergeCells count="3">
    <mergeCell ref="B12:D12"/>
    <mergeCell ref="A48:N48"/>
    <mergeCell ref="A56:H56"/>
  </mergeCells>
  <conditionalFormatting sqref="B12">
    <cfRule type="expression" priority="2" aboveAverage="0" equalAverage="0" bottom="0" percent="0" rank="0" text="" dxfId="0">
      <formula>B12="OK"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B12&lt;&gt;"OK"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L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19.7" hidden="false" customHeight="false" outlineLevel="0" collapsed="false">
      <c r="A1" s="6" t="s">
        <v>25</v>
      </c>
    </row>
    <row r="2" customFormat="false" ht="15" hidden="false" customHeight="false" outlineLevel="0" collapsed="false">
      <c r="A2" s="3" t="s">
        <v>382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383</v>
      </c>
      <c r="B5" s="8" t="s">
        <v>384</v>
      </c>
      <c r="C5" s="8" t="s">
        <v>385</v>
      </c>
      <c r="D5" s="8" t="s">
        <v>386</v>
      </c>
      <c r="E5" s="8" t="s">
        <v>387</v>
      </c>
      <c r="F5" s="8" t="s">
        <v>388</v>
      </c>
      <c r="G5" s="8" t="s">
        <v>389</v>
      </c>
      <c r="H5" s="8" t="s">
        <v>390</v>
      </c>
      <c r="I5" s="8" t="s">
        <v>391</v>
      </c>
      <c r="J5" s="8" t="s">
        <v>392</v>
      </c>
      <c r="K5" s="8" t="s">
        <v>393</v>
      </c>
      <c r="L5" s="8" t="s">
        <v>394</v>
      </c>
    </row>
    <row r="6" customFormat="false" ht="15" hidden="false" customHeight="false" outlineLevel="0" collapsed="false">
      <c r="A6" s="9" t="s">
        <v>395</v>
      </c>
      <c r="B6" s="9" t="s">
        <v>396</v>
      </c>
      <c r="C6" s="9" t="s">
        <v>397</v>
      </c>
      <c r="D6" s="9" t="s">
        <v>398</v>
      </c>
      <c r="E6" s="9" t="s">
        <v>399</v>
      </c>
      <c r="F6" s="41" t="n">
        <v>0.08</v>
      </c>
      <c r="G6" s="41" t="n">
        <v>0.06</v>
      </c>
      <c r="H6" s="22" t="n">
        <f aca="false">IF(AND(ISNUMBER(F6),ISNUMBER(G6),F6&lt;&gt;0,G6&lt;&gt;0),IF(E6="Lower",F6/G6,G6/F6),"")</f>
        <v>0.75</v>
      </c>
      <c r="I6" s="14" t="str">
        <f aca="false">IF(H6="",IF(C6="","","No actual yet"),IF(H6&gt;=1,"On target",IF(H6&gt;=0.9,"Caution","Below plan")))</f>
        <v>Below plan</v>
      </c>
      <c r="J6" s="9" t="s">
        <v>400</v>
      </c>
      <c r="K6" s="9"/>
      <c r="L6" s="9"/>
    </row>
    <row r="7" customFormat="false" ht="15" hidden="false" customHeight="false" outlineLevel="0" collapsed="false">
      <c r="A7" s="9" t="s">
        <v>401</v>
      </c>
      <c r="B7" s="9" t="s">
        <v>402</v>
      </c>
      <c r="C7" s="9" t="s">
        <v>403</v>
      </c>
      <c r="D7" s="9" t="s">
        <v>398</v>
      </c>
      <c r="E7" s="9" t="s">
        <v>399</v>
      </c>
      <c r="F7" s="41" t="n">
        <v>90</v>
      </c>
      <c r="G7" s="41" t="n">
        <v>74</v>
      </c>
      <c r="H7" s="22" t="n">
        <f aca="false">IF(AND(ISNUMBER(F7),ISNUMBER(G7),F7&lt;&gt;0,G7&lt;&gt;0),IF(E7="Lower",F7/G7,G7/F7),"")</f>
        <v>0.822222222222222</v>
      </c>
      <c r="I7" s="14" t="str">
        <f aca="false">IF(H7="",IF(C7="","","No actual yet"),IF(H7&gt;=1,"On target",IF(H7&gt;=0.9,"Caution","Below plan")))</f>
        <v>Below plan</v>
      </c>
      <c r="J7" s="9" t="s">
        <v>404</v>
      </c>
      <c r="K7" s="9"/>
      <c r="L7" s="9"/>
    </row>
    <row r="8" customFormat="false" ht="15" hidden="false" customHeight="false" outlineLevel="0" collapsed="false">
      <c r="A8" s="9" t="s">
        <v>405</v>
      </c>
      <c r="B8" s="9" t="s">
        <v>406</v>
      </c>
      <c r="C8" s="9" t="s">
        <v>407</v>
      </c>
      <c r="D8" s="9" t="s">
        <v>408</v>
      </c>
      <c r="E8" s="9" t="s">
        <v>399</v>
      </c>
      <c r="F8" s="41" t="n">
        <v>0.5</v>
      </c>
      <c r="G8" s="41" t="n">
        <v>0.55</v>
      </c>
      <c r="H8" s="22" t="n">
        <f aca="false">IF(AND(ISNUMBER(F8),ISNUMBER(G8),F8&lt;&gt;0,G8&lt;&gt;0),IF(E8="Lower",F8/G8,G8/F8),"")</f>
        <v>1.1</v>
      </c>
      <c r="I8" s="14" t="str">
        <f aca="false">IF(H8="",IF(C8="","","No actual yet"),IF(H8&gt;=1,"On target",IF(H8&gt;=0.9,"Caution","Below plan")))</f>
        <v>On target</v>
      </c>
      <c r="J8" s="9" t="s">
        <v>409</v>
      </c>
      <c r="K8" s="9"/>
      <c r="L8" s="9"/>
    </row>
    <row r="9" customFormat="false" ht="15" hidden="false" customHeight="false" outlineLevel="0" collapsed="false">
      <c r="A9" s="9" t="s">
        <v>410</v>
      </c>
      <c r="B9" s="9" t="s">
        <v>411</v>
      </c>
      <c r="C9" s="9" t="s">
        <v>412</v>
      </c>
      <c r="D9" s="9" t="s">
        <v>408</v>
      </c>
      <c r="E9" s="9" t="s">
        <v>399</v>
      </c>
      <c r="F9" s="41" t="n">
        <v>1200</v>
      </c>
      <c r="G9" s="41" t="n">
        <v>900</v>
      </c>
      <c r="H9" s="22" t="n">
        <f aca="false">IF(AND(ISNUMBER(F9),ISNUMBER(G9),F9&lt;&gt;0,G9&lt;&gt;0),IF(E9="Lower",F9/G9,G9/F9),"")</f>
        <v>0.75</v>
      </c>
      <c r="I9" s="14" t="str">
        <f aca="false">IF(H9="",IF(C9="","","No actual yet"),IF(H9&gt;=1,"On target",IF(H9&gt;=0.9,"Caution","Below plan")))</f>
        <v>Below plan</v>
      </c>
      <c r="J9" s="9" t="s">
        <v>413</v>
      </c>
      <c r="K9" s="9"/>
      <c r="L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41"/>
      <c r="G10" s="41"/>
      <c r="H10" s="22" t="str">
        <f aca="false">IF(AND(ISNUMBER(F10),ISNUMBER(G10),F10&lt;&gt;0,G10&lt;&gt;0),IF(E10="Lower",F10/G10,G10/F10),"")</f>
        <v/>
      </c>
      <c r="I10" s="14" t="str">
        <f aca="false">IF(H10="",IF(C10="","","No actual yet"),IF(H10&gt;=1,"On target",IF(H10&gt;=0.9,"Caution","Below plan")))</f>
        <v/>
      </c>
      <c r="J10" s="9"/>
      <c r="K10" s="9"/>
      <c r="L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41"/>
      <c r="G11" s="41"/>
      <c r="H11" s="22" t="str">
        <f aca="false">IF(AND(ISNUMBER(F11),ISNUMBER(G11),F11&lt;&gt;0,G11&lt;&gt;0),IF(E11="Lower",F11/G11,G11/F11),"")</f>
        <v/>
      </c>
      <c r="I11" s="14" t="str">
        <f aca="false">IF(H11="",IF(C11="","","No actual yet"),IF(H11&gt;=1,"On target",IF(H11&gt;=0.9,"Caution","Below plan")))</f>
        <v/>
      </c>
      <c r="J11" s="9"/>
      <c r="K11" s="9"/>
      <c r="L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41"/>
      <c r="G12" s="41"/>
      <c r="H12" s="22" t="str">
        <f aca="false">IF(AND(ISNUMBER(F12),ISNUMBER(G12),F12&lt;&gt;0,G12&lt;&gt;0),IF(E12="Lower",F12/G12,G12/F12),"")</f>
        <v/>
      </c>
      <c r="I12" s="14" t="str">
        <f aca="false">IF(H12="",IF(C12="","","No actual yet"),IF(H12&gt;=1,"On target",IF(H12&gt;=0.9,"Caution","Below plan")))</f>
        <v/>
      </c>
      <c r="J12" s="9"/>
      <c r="K12" s="9"/>
      <c r="L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41"/>
      <c r="G13" s="41"/>
      <c r="H13" s="22" t="str">
        <f aca="false">IF(AND(ISNUMBER(F13),ISNUMBER(G13),F13&lt;&gt;0,G13&lt;&gt;0),IF(E13="Lower",F13/G13,G13/F13),"")</f>
        <v/>
      </c>
      <c r="I13" s="14" t="str">
        <f aca="false">IF(H13="",IF(C13="","","No actual yet"),IF(H13&gt;=1,"On target",IF(H13&gt;=0.9,"Caution","Below plan")))</f>
        <v/>
      </c>
      <c r="J13" s="9"/>
      <c r="K13" s="9"/>
      <c r="L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41"/>
      <c r="G14" s="41"/>
      <c r="H14" s="22" t="str">
        <f aca="false">IF(AND(ISNUMBER(F14),ISNUMBER(G14),F14&lt;&gt;0,G14&lt;&gt;0),IF(E14="Lower",F14/G14,G14/F14),"")</f>
        <v/>
      </c>
      <c r="I14" s="14" t="str">
        <f aca="false">IF(H14="",IF(C14="","","No actual yet"),IF(H14&gt;=1,"On target",IF(H14&gt;=0.9,"Caution","Below plan")))</f>
        <v/>
      </c>
      <c r="J14" s="9"/>
      <c r="K14" s="9"/>
      <c r="L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41"/>
      <c r="G15" s="41"/>
      <c r="H15" s="22" t="str">
        <f aca="false">IF(AND(ISNUMBER(F15),ISNUMBER(G15),F15&lt;&gt;0,G15&lt;&gt;0),IF(E15="Lower",F15/G15,G15/F15),"")</f>
        <v/>
      </c>
      <c r="I15" s="14" t="str">
        <f aca="false">IF(H15="",IF(C15="","","No actual yet"),IF(H15&gt;=1,"On target",IF(H15&gt;=0.9,"Caution","Below plan")))</f>
        <v/>
      </c>
      <c r="J15" s="9"/>
      <c r="K15" s="9"/>
      <c r="L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41"/>
      <c r="G16" s="41"/>
      <c r="H16" s="22" t="str">
        <f aca="false">IF(AND(ISNUMBER(F16),ISNUMBER(G16),F16&lt;&gt;0,G16&lt;&gt;0),IF(E16="Lower",F16/G16,G16/F16),"")</f>
        <v/>
      </c>
      <c r="I16" s="14" t="str">
        <f aca="false">IF(H16="",IF(C16="","","No actual yet"),IF(H16&gt;=1,"On target",IF(H16&gt;=0.9,"Caution","Below plan")))</f>
        <v/>
      </c>
      <c r="J16" s="9"/>
      <c r="K16" s="9"/>
      <c r="L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41"/>
      <c r="G17" s="41"/>
      <c r="H17" s="22" t="str">
        <f aca="false">IF(AND(ISNUMBER(F17),ISNUMBER(G17),F17&lt;&gt;0,G17&lt;&gt;0),IF(E17="Lower",F17/G17,G17/F17),"")</f>
        <v/>
      </c>
      <c r="I17" s="14" t="str">
        <f aca="false">IF(H17="",IF(C17="","","No actual yet"),IF(H17&gt;=1,"On target",IF(H17&gt;=0.9,"Caution","Below plan")))</f>
        <v/>
      </c>
      <c r="J17" s="9"/>
      <c r="K17" s="9"/>
      <c r="L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41"/>
      <c r="G18" s="41"/>
      <c r="H18" s="22" t="str">
        <f aca="false">IF(AND(ISNUMBER(F18),ISNUMBER(G18),F18&lt;&gt;0,G18&lt;&gt;0),IF(E18="Lower",F18/G18,G18/F18),"")</f>
        <v/>
      </c>
      <c r="I18" s="14" t="str">
        <f aca="false">IF(H18="",IF(C18="","","No actual yet"),IF(H18&gt;=1,"On target",IF(H18&gt;=0.9,"Caution","Below plan")))</f>
        <v/>
      </c>
      <c r="J18" s="9"/>
      <c r="K18" s="9"/>
      <c r="L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41"/>
      <c r="G19" s="41"/>
      <c r="H19" s="22" t="str">
        <f aca="false">IF(AND(ISNUMBER(F19),ISNUMBER(G19),F19&lt;&gt;0,G19&lt;&gt;0),IF(E19="Lower",F19/G19,G19/F19),"")</f>
        <v/>
      </c>
      <c r="I19" s="14" t="str">
        <f aca="false">IF(H19="",IF(C19="","","No actual yet"),IF(H19&gt;=1,"On target",IF(H19&gt;=0.9,"Caution","Below plan")))</f>
        <v/>
      </c>
      <c r="J19" s="9"/>
      <c r="K19" s="9"/>
      <c r="L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41"/>
      <c r="G20" s="41"/>
      <c r="H20" s="22" t="str">
        <f aca="false">IF(AND(ISNUMBER(F20),ISNUMBER(G20),F20&lt;&gt;0,G20&lt;&gt;0),IF(E20="Lower",F20/G20,G20/F20),"")</f>
        <v/>
      </c>
      <c r="I20" s="14" t="str">
        <f aca="false">IF(H20="",IF(C20="","","No actual yet"),IF(H20&gt;=1,"On target",IF(H20&gt;=0.9,"Caution","Below plan")))</f>
        <v/>
      </c>
      <c r="J20" s="9"/>
      <c r="K20" s="9"/>
      <c r="L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41"/>
      <c r="G21" s="41"/>
      <c r="H21" s="22" t="str">
        <f aca="false">IF(AND(ISNUMBER(F21),ISNUMBER(G21),F21&lt;&gt;0,G21&lt;&gt;0),IF(E21="Lower",F21/G21,G21/F21),"")</f>
        <v/>
      </c>
      <c r="I21" s="14" t="str">
        <f aca="false">IF(H21="",IF(C21="","","No actual yet"),IF(H21&gt;=1,"On target",IF(H21&gt;=0.9,"Caution","Below plan")))</f>
        <v/>
      </c>
      <c r="J21" s="9"/>
      <c r="K21" s="9"/>
      <c r="L21" s="9"/>
    </row>
    <row r="23" customFormat="false" ht="15" hidden="false" customHeight="false" outlineLevel="0" collapsed="false">
      <c r="A23" s="11" t="s">
        <v>414</v>
      </c>
    </row>
    <row r="24" customFormat="false" ht="15" hidden="false" customHeight="false" outlineLevel="0" collapsed="false">
      <c r="B24" s="5" t="s">
        <v>395</v>
      </c>
      <c r="C24" s="10" t="n">
        <f aca="false">COUNTIFS($A$6:$A$21,B24,$C$6:$C$21,"&lt;&gt;")</f>
        <v>1</v>
      </c>
      <c r="D24" s="14" t="str">
        <f aca="false">IF(C24=0,"Add a measure","OK")</f>
        <v>OK</v>
      </c>
    </row>
    <row r="25" customFormat="false" ht="15" hidden="false" customHeight="false" outlineLevel="0" collapsed="false">
      <c r="B25" s="5" t="s">
        <v>401</v>
      </c>
      <c r="C25" s="10" t="n">
        <f aca="false">COUNTIFS($A$6:$A$21,B25,$C$6:$C$21,"&lt;&gt;")</f>
        <v>1</v>
      </c>
      <c r="D25" s="14" t="str">
        <f aca="false">IF(C25=0,"Add a measure","OK")</f>
        <v>OK</v>
      </c>
    </row>
    <row r="26" customFormat="false" ht="15" hidden="false" customHeight="false" outlineLevel="0" collapsed="false">
      <c r="B26" s="5" t="s">
        <v>405</v>
      </c>
      <c r="C26" s="10" t="n">
        <f aca="false">COUNTIFS($A$6:$A$21,B26,$C$6:$C$21,"&lt;&gt;")</f>
        <v>1</v>
      </c>
      <c r="D26" s="14" t="str">
        <f aca="false">IF(C26=0,"Add a measure","OK")</f>
        <v>OK</v>
      </c>
    </row>
    <row r="27" customFormat="false" ht="15" hidden="false" customHeight="false" outlineLevel="0" collapsed="false">
      <c r="B27" s="5" t="s">
        <v>410</v>
      </c>
      <c r="C27" s="10" t="n">
        <f aca="false">COUNTIFS($A$6:$A$21,B27,$C$6:$C$21,"&lt;&gt;")</f>
        <v>1</v>
      </c>
      <c r="D27" s="14" t="str">
        <f aca="false">IF(C27=0,"Add a measure","OK")</f>
        <v>OK</v>
      </c>
    </row>
    <row r="29" customFormat="false" ht="15" hidden="false" customHeight="false" outlineLevel="0" collapsed="false">
      <c r="B29" s="5" t="s">
        <v>415</v>
      </c>
      <c r="C29" s="10" t="n">
        <f aca="false">COUNTA(C6:C21)</f>
        <v>4</v>
      </c>
    </row>
    <row r="30" customFormat="false" ht="15" hidden="false" customHeight="false" outlineLevel="0" collapsed="false">
      <c r="B30" s="5" t="s">
        <v>416</v>
      </c>
      <c r="C30" s="22" t="n">
        <f aca="false">IF(C29=0,"",COUNTIFS(D6:D21,"Leading",C6:C21,"&lt;&gt;")/C29)</f>
        <v>0.5</v>
      </c>
      <c r="D30" s="14" t="str">
        <f aca="false">IF(C30="","",IF(C30&gt;=1/3,"OK","Add leading measures"))</f>
        <v>OK</v>
      </c>
    </row>
    <row r="31" customFormat="false" ht="15" hidden="false" customHeight="false" outlineLevel="0" collapsed="false">
      <c r="B31" s="5" t="s">
        <v>417</v>
      </c>
      <c r="C31" s="10" t="n">
        <f aca="false">SUMPRODUCT((C6:C21&lt;&gt;"")*(J6:J21=""))</f>
        <v>0</v>
      </c>
    </row>
  </sheetData>
  <conditionalFormatting sqref="I6:I21">
    <cfRule type="expression" priority="2" aboveAverage="0" equalAverage="0" bottom="0" percent="0" rank="0" text="" dxfId="0">
      <formula>I6="On target"</formula>
    </cfRule>
    <cfRule type="expression" priority="3" aboveAverage="0" equalAverage="0" bottom="0" percent="0" rank="0" text="" dxfId="1">
      <formula>I6="Caution"</formula>
    </cfRule>
    <cfRule type="expression" priority="4" aboveAverage="0" equalAverage="0" bottom="0" percent="0" rank="0" text="" dxfId="2">
      <formula>I6="Below plan"</formula>
    </cfRule>
  </conditionalFormatting>
  <conditionalFormatting sqref="D24">
    <cfRule type="expression" priority="5" aboveAverage="0" equalAverage="0" bottom="0" percent="0" rank="0" text="" dxfId="0">
      <formula>D24="OK"</formula>
    </cfRule>
    <cfRule type="expression" priority="6" aboveAverage="0" equalAverage="0" bottom="0" percent="0" rank="0" text="" dxfId="1">
      <formula>0</formula>
    </cfRule>
    <cfRule type="expression" priority="7" aboveAverage="0" equalAverage="0" bottom="0" percent="0" rank="0" text="" dxfId="2">
      <formula>D24="Add a measure"</formula>
    </cfRule>
  </conditionalFormatting>
  <conditionalFormatting sqref="D25">
    <cfRule type="expression" priority="8" aboveAverage="0" equalAverage="0" bottom="0" percent="0" rank="0" text="" dxfId="0">
      <formula>D25="OK"</formula>
    </cfRule>
    <cfRule type="expression" priority="9" aboveAverage="0" equalAverage="0" bottom="0" percent="0" rank="0" text="" dxfId="1">
      <formula>0</formula>
    </cfRule>
    <cfRule type="expression" priority="10" aboveAverage="0" equalAverage="0" bottom="0" percent="0" rank="0" text="" dxfId="2">
      <formula>D25="Add a measure"</formula>
    </cfRule>
  </conditionalFormatting>
  <conditionalFormatting sqref="D26">
    <cfRule type="expression" priority="11" aboveAverage="0" equalAverage="0" bottom="0" percent="0" rank="0" text="" dxfId="0">
      <formula>D26="OK"</formula>
    </cfRule>
    <cfRule type="expression" priority="12" aboveAverage="0" equalAverage="0" bottom="0" percent="0" rank="0" text="" dxfId="1">
      <formula>0</formula>
    </cfRule>
    <cfRule type="expression" priority="13" aboveAverage="0" equalAverage="0" bottom="0" percent="0" rank="0" text="" dxfId="2">
      <formula>D26="Add a measure"</formula>
    </cfRule>
  </conditionalFormatting>
  <conditionalFormatting sqref="D27">
    <cfRule type="expression" priority="14" aboveAverage="0" equalAverage="0" bottom="0" percent="0" rank="0" text="" dxfId="0">
      <formula>D27="OK"</formula>
    </cfRule>
    <cfRule type="expression" priority="15" aboveAverage="0" equalAverage="0" bottom="0" percent="0" rank="0" text="" dxfId="1">
      <formula>0</formula>
    </cfRule>
    <cfRule type="expression" priority="16" aboveAverage="0" equalAverage="0" bottom="0" percent="0" rank="0" text="" dxfId="2">
      <formula>D27="Add a measure"</formula>
    </cfRule>
  </conditionalFormatting>
  <conditionalFormatting sqref="D30">
    <cfRule type="expression" priority="17" aboveAverage="0" equalAverage="0" bottom="0" percent="0" rank="0" text="" dxfId="0">
      <formula>D30="OK"</formula>
    </cfRule>
    <cfRule type="expression" priority="18" aboveAverage="0" equalAverage="0" bottom="0" percent="0" rank="0" text="" dxfId="1">
      <formula>0</formula>
    </cfRule>
    <cfRule type="expression" priority="19" aboveAverage="0" equalAverage="0" bottom="0" percent="0" rank="0" text="" dxfId="2">
      <formula>D30="Add leading measures"</formula>
    </cfRule>
  </conditionalFormatting>
  <dataValidations count="3">
    <dataValidation allowBlank="true" errorStyle="stop" operator="between" showDropDown="false" showErrorMessage="false" showInputMessage="false" sqref="A6:A21" type="list">
      <formula1>"Financial,Customer,Internal process,Learning and growth"</formula1>
      <formula2>0</formula2>
    </dataValidation>
    <dataValidation allowBlank="true" errorStyle="stop" operator="between" showDropDown="false" showErrorMessage="false" showInputMessage="false" sqref="D6:D21" type="list">
      <formula1>"Leading,Lagging"</formula1>
      <formula2>0</formula2>
    </dataValidation>
    <dataValidation allowBlank="true" errorStyle="stop" operator="between" showDropDown="false" showErrorMessage="false" showInputMessage="false" sqref="E6:E21" type="list">
      <formula1>"Higher,Lower"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3557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9.7" hidden="false" customHeight="false" outlineLevel="0" collapsed="false">
      <c r="A1" s="6" t="s">
        <v>27</v>
      </c>
    </row>
    <row r="2" customFormat="false" ht="15" hidden="false" customHeight="false" outlineLevel="0" collapsed="false">
      <c r="A2" s="3" t="s">
        <v>418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45</v>
      </c>
      <c r="B5" s="8" t="s">
        <v>383</v>
      </c>
      <c r="C5" s="8" t="s">
        <v>384</v>
      </c>
      <c r="D5" s="8" t="s">
        <v>419</v>
      </c>
      <c r="E5" s="8" t="s">
        <v>420</v>
      </c>
    </row>
    <row r="6" customFormat="false" ht="15" hidden="false" customHeight="false" outlineLevel="0" collapsed="false">
      <c r="A6" s="9" t="s">
        <v>421</v>
      </c>
      <c r="B6" s="9" t="s">
        <v>395</v>
      </c>
      <c r="C6" s="9" t="s">
        <v>396</v>
      </c>
      <c r="D6" s="9"/>
      <c r="E6" s="14" t="str">
        <f aca="false">IF(A6="","",IF(AND(B6&lt;&gt;"Financial",D6=""),"Drives nothing",IF(AND(B6&lt;&gt;"Learning and growth",COUNTIF($D$6:$D$21,"*"&amp;A6&amp;"*")=0),"Nothing drives it","OK")))</f>
        <v>OK</v>
      </c>
    </row>
    <row r="7" customFormat="false" ht="15" hidden="false" customHeight="false" outlineLevel="0" collapsed="false">
      <c r="A7" s="9" t="s">
        <v>185</v>
      </c>
      <c r="B7" s="9" t="s">
        <v>401</v>
      </c>
      <c r="C7" s="9" t="s">
        <v>402</v>
      </c>
      <c r="D7" s="9" t="s">
        <v>421</v>
      </c>
      <c r="E7" s="14" t="str">
        <f aca="false">IF(A7="","",IF(AND(B7&lt;&gt;"Financial",D7=""),"Drives nothing",IF(AND(B7&lt;&gt;"Learning and growth",COUNTIF($D$6:$D$21,"*"&amp;A7&amp;"*")=0),"Nothing drives it","OK")))</f>
        <v>OK</v>
      </c>
    </row>
    <row r="8" customFormat="false" ht="15" hidden="false" customHeight="false" outlineLevel="0" collapsed="false">
      <c r="A8" s="9" t="s">
        <v>422</v>
      </c>
      <c r="B8" s="9" t="s">
        <v>405</v>
      </c>
      <c r="C8" s="9" t="s">
        <v>406</v>
      </c>
      <c r="D8" s="9" t="s">
        <v>185</v>
      </c>
      <c r="E8" s="14" t="str">
        <f aca="false">IF(A8="","",IF(AND(B8&lt;&gt;"Financial",D8=""),"Drives nothing",IF(AND(B8&lt;&gt;"Learning and growth",COUNTIF($D$6:$D$21,"*"&amp;A8&amp;"*")=0),"Nothing drives it","OK")))</f>
        <v>OK</v>
      </c>
    </row>
    <row r="9" customFormat="false" ht="15" hidden="false" customHeight="false" outlineLevel="0" collapsed="false">
      <c r="A9" s="9" t="s">
        <v>423</v>
      </c>
      <c r="B9" s="9" t="s">
        <v>410</v>
      </c>
      <c r="C9" s="9" t="s">
        <v>411</v>
      </c>
      <c r="D9" s="9" t="s">
        <v>422</v>
      </c>
      <c r="E9" s="14" t="str">
        <f aca="false">IF(A9="","",IF(AND(B9&lt;&gt;"Financial",D9=""),"Drives nothing",IF(AND(B9&lt;&gt;"Learning and growth",COUNTIF($D$6:$D$21,"*"&amp;A9&amp;"*")=0),"Nothing drives it","OK")))</f>
        <v>OK</v>
      </c>
    </row>
    <row r="10" customFormat="false" ht="15" hidden="false" customHeight="false" outlineLevel="0" collapsed="false">
      <c r="A10" s="9"/>
      <c r="B10" s="9"/>
      <c r="C10" s="9"/>
      <c r="D10" s="9"/>
      <c r="E10" s="14" t="str">
        <f aca="false">IF(A10="","",IF(AND(B10&lt;&gt;"Financial",D10=""),"Drives nothing",IF(AND(B10&lt;&gt;"Learning and growth",COUNTIF($D$6:$D$21,"*"&amp;A10&amp;"*")=0),"Nothing drives it","OK")))</f>
        <v/>
      </c>
    </row>
    <row r="11" customFormat="false" ht="15" hidden="false" customHeight="false" outlineLevel="0" collapsed="false">
      <c r="A11" s="9"/>
      <c r="B11" s="9"/>
      <c r="C11" s="9"/>
      <c r="D11" s="9"/>
      <c r="E11" s="14" t="str">
        <f aca="false">IF(A11="","",IF(AND(B11&lt;&gt;"Financial",D11=""),"Drives nothing",IF(AND(B11&lt;&gt;"Learning and growth",COUNTIF($D$6:$D$21,"*"&amp;A11&amp;"*")=0),"Nothing drives it","OK")))</f>
        <v/>
      </c>
    </row>
    <row r="12" customFormat="false" ht="15" hidden="false" customHeight="false" outlineLevel="0" collapsed="false">
      <c r="A12" s="9"/>
      <c r="B12" s="9"/>
      <c r="C12" s="9"/>
      <c r="D12" s="9"/>
      <c r="E12" s="14" t="str">
        <f aca="false">IF(A12="","",IF(AND(B12&lt;&gt;"Financial",D12=""),"Drives nothing",IF(AND(B12&lt;&gt;"Learning and growth",COUNTIF($D$6:$D$21,"*"&amp;A12&amp;"*")=0),"Nothing drives it","OK")))</f>
        <v/>
      </c>
    </row>
    <row r="13" customFormat="false" ht="15" hidden="false" customHeight="false" outlineLevel="0" collapsed="false">
      <c r="A13" s="9"/>
      <c r="B13" s="9"/>
      <c r="C13" s="9"/>
      <c r="D13" s="9"/>
      <c r="E13" s="14" t="str">
        <f aca="false">IF(A13="","",IF(AND(B13&lt;&gt;"Financial",D13=""),"Drives nothing",IF(AND(B13&lt;&gt;"Learning and growth",COUNTIF($D$6:$D$21,"*"&amp;A13&amp;"*")=0),"Nothing drives it","OK")))</f>
        <v/>
      </c>
    </row>
    <row r="14" customFormat="false" ht="15" hidden="false" customHeight="false" outlineLevel="0" collapsed="false">
      <c r="A14" s="9"/>
      <c r="B14" s="9"/>
      <c r="C14" s="9"/>
      <c r="D14" s="9"/>
      <c r="E14" s="14" t="str">
        <f aca="false">IF(A14="","",IF(AND(B14&lt;&gt;"Financial",D14=""),"Drives nothing",IF(AND(B14&lt;&gt;"Learning and growth",COUNTIF($D$6:$D$21,"*"&amp;A14&amp;"*")=0),"Nothing drives it","OK")))</f>
        <v/>
      </c>
    </row>
    <row r="15" customFormat="false" ht="15" hidden="false" customHeight="false" outlineLevel="0" collapsed="false">
      <c r="A15" s="9"/>
      <c r="B15" s="9"/>
      <c r="C15" s="9"/>
      <c r="D15" s="9"/>
      <c r="E15" s="14" t="str">
        <f aca="false">IF(A15="","",IF(AND(B15&lt;&gt;"Financial",D15=""),"Drives nothing",IF(AND(B15&lt;&gt;"Learning and growth",COUNTIF($D$6:$D$21,"*"&amp;A15&amp;"*")=0),"Nothing drives it","OK")))</f>
        <v/>
      </c>
    </row>
    <row r="16" customFormat="false" ht="15" hidden="false" customHeight="false" outlineLevel="0" collapsed="false">
      <c r="A16" s="9"/>
      <c r="B16" s="9"/>
      <c r="C16" s="9"/>
      <c r="D16" s="9"/>
      <c r="E16" s="14" t="str">
        <f aca="false">IF(A16="","",IF(AND(B16&lt;&gt;"Financial",D16=""),"Drives nothing",IF(AND(B16&lt;&gt;"Learning and growth",COUNTIF($D$6:$D$21,"*"&amp;A16&amp;"*")=0),"Nothing drives it","OK")))</f>
        <v/>
      </c>
    </row>
    <row r="17" customFormat="false" ht="15" hidden="false" customHeight="false" outlineLevel="0" collapsed="false">
      <c r="A17" s="9"/>
      <c r="B17" s="9"/>
      <c r="C17" s="9"/>
      <c r="D17" s="9"/>
      <c r="E17" s="14" t="str">
        <f aca="false">IF(A17="","",IF(AND(B17&lt;&gt;"Financial",D17=""),"Drives nothing",IF(AND(B17&lt;&gt;"Learning and growth",COUNTIF($D$6:$D$21,"*"&amp;A17&amp;"*")=0),"Nothing drives it","OK")))</f>
        <v/>
      </c>
    </row>
    <row r="18" customFormat="false" ht="15" hidden="false" customHeight="false" outlineLevel="0" collapsed="false">
      <c r="A18" s="9"/>
      <c r="B18" s="9"/>
      <c r="C18" s="9"/>
      <c r="D18" s="9"/>
      <c r="E18" s="14" t="str">
        <f aca="false">IF(A18="","",IF(AND(B18&lt;&gt;"Financial",D18=""),"Drives nothing",IF(AND(B18&lt;&gt;"Learning and growth",COUNTIF($D$6:$D$21,"*"&amp;A18&amp;"*")=0),"Nothing drives it","OK")))</f>
        <v/>
      </c>
    </row>
    <row r="19" customFormat="false" ht="15" hidden="false" customHeight="false" outlineLevel="0" collapsed="false">
      <c r="A19" s="9"/>
      <c r="B19" s="9"/>
      <c r="C19" s="9"/>
      <c r="D19" s="9"/>
      <c r="E19" s="14" t="str">
        <f aca="false">IF(A19="","",IF(AND(B19&lt;&gt;"Financial",D19=""),"Drives nothing",IF(AND(B19&lt;&gt;"Learning and growth",COUNTIF($D$6:$D$21,"*"&amp;A19&amp;"*")=0),"Nothing drives it","OK")))</f>
        <v/>
      </c>
    </row>
    <row r="20" customFormat="false" ht="15" hidden="false" customHeight="false" outlineLevel="0" collapsed="false">
      <c r="A20" s="9"/>
      <c r="B20" s="9"/>
      <c r="C20" s="9"/>
      <c r="D20" s="9"/>
      <c r="E20" s="14" t="str">
        <f aca="false">IF(A20="","",IF(AND(B20&lt;&gt;"Financial",D20=""),"Drives nothing",IF(AND(B20&lt;&gt;"Learning and growth",COUNTIF($D$6:$D$21,"*"&amp;A20&amp;"*")=0),"Nothing drives it","OK")))</f>
        <v/>
      </c>
    </row>
    <row r="21" customFormat="false" ht="15" hidden="false" customHeight="false" outlineLevel="0" collapsed="false">
      <c r="A21" s="9"/>
      <c r="B21" s="9"/>
      <c r="C21" s="9"/>
      <c r="D21" s="9"/>
      <c r="E21" s="14" t="str">
        <f aca="false">IF(A21="","",IF(AND(B21&lt;&gt;"Financial",D21=""),"Drives nothing",IF(AND(B21&lt;&gt;"Learning and growth",COUNTIF($D$6:$D$21,"*"&amp;A21&amp;"*")=0),"Nothing drives it","OK")))</f>
        <v/>
      </c>
    </row>
  </sheetData>
  <conditionalFormatting sqref="E6:E21">
    <cfRule type="expression" priority="2" aboveAverage="0" equalAverage="0" bottom="0" percent="0" rank="0" text="" dxfId="0">
      <formula>E6="OK"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OR(E6="Drives nothing",E6="Nothing drives it")</formula>
    </cfRule>
  </conditionalFormatting>
  <dataValidations count="1">
    <dataValidation allowBlank="true" errorStyle="stop" operator="between" showDropDown="false" showErrorMessage="false" showInputMessage="false" sqref="B6:B21" type="list">
      <formula1>"Financial,Customer,Internal process,Learning and growth"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6" t="s">
        <v>424</v>
      </c>
    </row>
    <row r="2" customFormat="false" ht="15" hidden="false" customHeight="false" outlineLevel="0" collapsed="false">
      <c r="A2" s="3" t="s">
        <v>425</v>
      </c>
    </row>
    <row r="3" customFormat="false" ht="15" hidden="false" customHeight="false" outlineLevel="0" collapsed="false">
      <c r="A3" s="7" t="s">
        <v>44</v>
      </c>
    </row>
    <row r="4" customFormat="false" ht="15" hidden="false" customHeight="false" outlineLevel="0" collapsed="false">
      <c r="A4" s="3" t="s">
        <v>426</v>
      </c>
    </row>
    <row r="5" customFormat="false" ht="30" hidden="false" customHeight="true" outlineLevel="0" collapsed="false">
      <c r="A5" s="8" t="s">
        <v>427</v>
      </c>
      <c r="B5" s="8" t="s">
        <v>428</v>
      </c>
      <c r="C5" s="8" t="s">
        <v>429</v>
      </c>
      <c r="D5" s="8" t="s">
        <v>430</v>
      </c>
      <c r="E5" s="8" t="s">
        <v>431</v>
      </c>
      <c r="F5" s="8" t="s">
        <v>432</v>
      </c>
      <c r="G5" s="8" t="s">
        <v>433</v>
      </c>
    </row>
    <row r="6" customFormat="false" ht="15" hidden="false" customHeight="false" outlineLevel="0" collapsed="false">
      <c r="A6" s="9"/>
      <c r="B6" s="9"/>
      <c r="C6" s="29"/>
      <c r="D6" s="13"/>
      <c r="E6" s="13"/>
      <c r="F6" s="42"/>
      <c r="G6" s="14" t="str">
        <f aca="false">IF(OR(A6="",B6="",C6="",D6="",E6=""),"",IFERROR(IF(C6&gt;SUMPRODUCT(($B$6:$B$29=B6)*$C$6:$C$29*$E$6:$E$29)/SUMIF($B$6:$B$29,B6,$E$6:$E$29),IF(D6&gt;=SUMPRODUCT(($B$6:$B$29=B6)*$D$6:$D$29*$E$6:$E$29)/SUMIF($B$6:$B$29,B6,$E$6:$E$29),"Premium differentiator","Stuck in the middle"),IF(D6&gt;=SUMPRODUCT(($B$6:$B$29=B6)*$D$6:$D$29*$E$6:$E$29)/SUMIF($B$6:$B$29,B6,$E$6:$E$29),"Value leader","Low-cost / economy")),""))</f>
        <v/>
      </c>
    </row>
    <row r="7" customFormat="false" ht="15" hidden="false" customHeight="false" outlineLevel="0" collapsed="false">
      <c r="A7" s="9"/>
      <c r="B7" s="9"/>
      <c r="C7" s="29"/>
      <c r="D7" s="13"/>
      <c r="E7" s="13"/>
      <c r="F7" s="42"/>
      <c r="G7" s="14" t="str">
        <f aca="false">IF(OR(A7="",B7="",C7="",D7="",E7=""),"",IFERROR(IF(C7&gt;SUMPRODUCT(($B$6:$B$29=B7)*$C$6:$C$29*$E$6:$E$29)/SUMIF($B$6:$B$29,B7,$E$6:$E$29),IF(D7&gt;=SUMPRODUCT(($B$6:$B$29=B7)*$D$6:$D$29*$E$6:$E$29)/SUMIF($B$6:$B$29,B7,$E$6:$E$29),"Premium differentiator","Stuck in the middle"),IF(D7&gt;=SUMPRODUCT(($B$6:$B$29=B7)*$D$6:$D$29*$E$6:$E$29)/SUMIF($B$6:$B$29,B7,$E$6:$E$29),"Value leader","Low-cost / economy")),""))</f>
        <v/>
      </c>
    </row>
    <row r="8" customFormat="false" ht="15" hidden="false" customHeight="false" outlineLevel="0" collapsed="false">
      <c r="A8" s="9"/>
      <c r="B8" s="9"/>
      <c r="C8" s="29"/>
      <c r="D8" s="13"/>
      <c r="E8" s="13"/>
      <c r="F8" s="42"/>
      <c r="G8" s="14" t="str">
        <f aca="false">IF(OR(A8="",B8="",C8="",D8="",E8=""),"",IFERROR(IF(C8&gt;SUMPRODUCT(($B$6:$B$29=B8)*$C$6:$C$29*$E$6:$E$29)/SUMIF($B$6:$B$29,B8,$E$6:$E$29),IF(D8&gt;=SUMPRODUCT(($B$6:$B$29=B8)*$D$6:$D$29*$E$6:$E$29)/SUMIF($B$6:$B$29,B8,$E$6:$E$29),"Premium differentiator","Stuck in the middle"),IF(D8&gt;=SUMPRODUCT(($B$6:$B$29=B8)*$D$6:$D$29*$E$6:$E$29)/SUMIF($B$6:$B$29,B8,$E$6:$E$29),"Value leader","Low-cost / economy")),""))</f>
        <v/>
      </c>
    </row>
    <row r="9" customFormat="false" ht="15" hidden="false" customHeight="false" outlineLevel="0" collapsed="false">
      <c r="A9" s="9"/>
      <c r="B9" s="9"/>
      <c r="C9" s="29"/>
      <c r="D9" s="13"/>
      <c r="E9" s="13"/>
      <c r="F9" s="42"/>
      <c r="G9" s="14" t="str">
        <f aca="false">IF(OR(A9="",B9="",C9="",D9="",E9=""),"",IFERROR(IF(C9&gt;SUMPRODUCT(($B$6:$B$29=B9)*$C$6:$C$29*$E$6:$E$29)/SUMIF($B$6:$B$29,B9,$E$6:$E$29),IF(D9&gt;=SUMPRODUCT(($B$6:$B$29=B9)*$D$6:$D$29*$E$6:$E$29)/SUMIF($B$6:$B$29,B9,$E$6:$E$29),"Premium differentiator","Stuck in the middle"),IF(D9&gt;=SUMPRODUCT(($B$6:$B$29=B9)*$D$6:$D$29*$E$6:$E$29)/SUMIF($B$6:$B$29,B9,$E$6:$E$29),"Value leader","Low-cost / economy")),""))</f>
        <v/>
      </c>
    </row>
    <row r="10" customFormat="false" ht="15" hidden="false" customHeight="false" outlineLevel="0" collapsed="false">
      <c r="A10" s="9"/>
      <c r="B10" s="9"/>
      <c r="C10" s="29"/>
      <c r="D10" s="13"/>
      <c r="E10" s="13"/>
      <c r="F10" s="42"/>
      <c r="G10" s="14" t="str">
        <f aca="false">IF(OR(A10="",B10="",C10="",D10="",E10=""),"",IFERROR(IF(C10&gt;SUMPRODUCT(($B$6:$B$29=B10)*$C$6:$C$29*$E$6:$E$29)/SUMIF($B$6:$B$29,B10,$E$6:$E$29),IF(D10&gt;=SUMPRODUCT(($B$6:$B$29=B10)*$D$6:$D$29*$E$6:$E$29)/SUMIF($B$6:$B$29,B10,$E$6:$E$29),"Premium differentiator","Stuck in the middle"),IF(D10&gt;=SUMPRODUCT(($B$6:$B$29=B10)*$D$6:$D$29*$E$6:$E$29)/SUMIF($B$6:$B$29,B10,$E$6:$E$29),"Value leader","Low-cost / economy")),""))</f>
        <v/>
      </c>
    </row>
    <row r="11" customFormat="false" ht="15" hidden="false" customHeight="false" outlineLevel="0" collapsed="false">
      <c r="A11" s="9"/>
      <c r="B11" s="9"/>
      <c r="C11" s="29"/>
      <c r="D11" s="13"/>
      <c r="E11" s="13"/>
      <c r="F11" s="42"/>
      <c r="G11" s="14" t="str">
        <f aca="false">IF(OR(A11="",B11="",C11="",D11="",E11=""),"",IFERROR(IF(C11&gt;SUMPRODUCT(($B$6:$B$29=B11)*$C$6:$C$29*$E$6:$E$29)/SUMIF($B$6:$B$29,B11,$E$6:$E$29),IF(D11&gt;=SUMPRODUCT(($B$6:$B$29=B11)*$D$6:$D$29*$E$6:$E$29)/SUMIF($B$6:$B$29,B11,$E$6:$E$29),"Premium differentiator","Stuck in the middle"),IF(D11&gt;=SUMPRODUCT(($B$6:$B$29=B11)*$D$6:$D$29*$E$6:$E$29)/SUMIF($B$6:$B$29,B11,$E$6:$E$29),"Value leader","Low-cost / economy")),""))</f>
        <v/>
      </c>
    </row>
    <row r="12" customFormat="false" ht="15" hidden="false" customHeight="false" outlineLevel="0" collapsed="false">
      <c r="A12" s="9"/>
      <c r="B12" s="9"/>
      <c r="C12" s="29"/>
      <c r="D12" s="13"/>
      <c r="E12" s="13"/>
      <c r="F12" s="42"/>
      <c r="G12" s="14" t="str">
        <f aca="false">IF(OR(A12="",B12="",C12="",D12="",E12=""),"",IFERROR(IF(C12&gt;SUMPRODUCT(($B$6:$B$29=B12)*$C$6:$C$29*$E$6:$E$29)/SUMIF($B$6:$B$29,B12,$E$6:$E$29),IF(D12&gt;=SUMPRODUCT(($B$6:$B$29=B12)*$D$6:$D$29*$E$6:$E$29)/SUMIF($B$6:$B$29,B12,$E$6:$E$29),"Premium differentiator","Stuck in the middle"),IF(D12&gt;=SUMPRODUCT(($B$6:$B$29=B12)*$D$6:$D$29*$E$6:$E$29)/SUMIF($B$6:$B$29,B12,$E$6:$E$29),"Value leader","Low-cost / economy")),""))</f>
        <v/>
      </c>
    </row>
    <row r="13" customFormat="false" ht="15" hidden="false" customHeight="false" outlineLevel="0" collapsed="false">
      <c r="A13" s="9"/>
      <c r="B13" s="9"/>
      <c r="C13" s="29"/>
      <c r="D13" s="13"/>
      <c r="E13" s="13"/>
      <c r="F13" s="42"/>
      <c r="G13" s="14" t="str">
        <f aca="false">IF(OR(A13="",B13="",C13="",D13="",E13=""),"",IFERROR(IF(C13&gt;SUMPRODUCT(($B$6:$B$29=B13)*$C$6:$C$29*$E$6:$E$29)/SUMIF($B$6:$B$29,B13,$E$6:$E$29),IF(D13&gt;=SUMPRODUCT(($B$6:$B$29=B13)*$D$6:$D$29*$E$6:$E$29)/SUMIF($B$6:$B$29,B13,$E$6:$E$29),"Premium differentiator","Stuck in the middle"),IF(D13&gt;=SUMPRODUCT(($B$6:$B$29=B13)*$D$6:$D$29*$E$6:$E$29)/SUMIF($B$6:$B$29,B13,$E$6:$E$29),"Value leader","Low-cost / economy")),""))</f>
        <v/>
      </c>
    </row>
    <row r="14" customFormat="false" ht="15" hidden="false" customHeight="false" outlineLevel="0" collapsed="false">
      <c r="A14" s="9"/>
      <c r="B14" s="9"/>
      <c r="C14" s="29"/>
      <c r="D14" s="13"/>
      <c r="E14" s="13"/>
      <c r="F14" s="42"/>
      <c r="G14" s="14" t="str">
        <f aca="false">IF(OR(A14="",B14="",C14="",D14="",E14=""),"",IFERROR(IF(C14&gt;SUMPRODUCT(($B$6:$B$29=B14)*$C$6:$C$29*$E$6:$E$29)/SUMIF($B$6:$B$29,B14,$E$6:$E$29),IF(D14&gt;=SUMPRODUCT(($B$6:$B$29=B14)*$D$6:$D$29*$E$6:$E$29)/SUMIF($B$6:$B$29,B14,$E$6:$E$29),"Premium differentiator","Stuck in the middle"),IF(D14&gt;=SUMPRODUCT(($B$6:$B$29=B14)*$D$6:$D$29*$E$6:$E$29)/SUMIF($B$6:$B$29,B14,$E$6:$E$29),"Value leader","Low-cost / economy")),""))</f>
        <v/>
      </c>
    </row>
    <row r="15" customFormat="false" ht="15" hidden="false" customHeight="false" outlineLevel="0" collapsed="false">
      <c r="A15" s="9"/>
      <c r="B15" s="9"/>
      <c r="C15" s="29"/>
      <c r="D15" s="13"/>
      <c r="E15" s="13"/>
      <c r="F15" s="42"/>
      <c r="G15" s="14" t="str">
        <f aca="false">IF(OR(A15="",B15="",C15="",D15="",E15=""),"",IFERROR(IF(C15&gt;SUMPRODUCT(($B$6:$B$29=B15)*$C$6:$C$29*$E$6:$E$29)/SUMIF($B$6:$B$29,B15,$E$6:$E$29),IF(D15&gt;=SUMPRODUCT(($B$6:$B$29=B15)*$D$6:$D$29*$E$6:$E$29)/SUMIF($B$6:$B$29,B15,$E$6:$E$29),"Premium differentiator","Stuck in the middle"),IF(D15&gt;=SUMPRODUCT(($B$6:$B$29=B15)*$D$6:$D$29*$E$6:$E$29)/SUMIF($B$6:$B$29,B15,$E$6:$E$29),"Value leader","Low-cost / economy")),""))</f>
        <v/>
      </c>
    </row>
    <row r="16" customFormat="false" ht="15" hidden="false" customHeight="false" outlineLevel="0" collapsed="false">
      <c r="A16" s="9"/>
      <c r="B16" s="9"/>
      <c r="C16" s="29"/>
      <c r="D16" s="13"/>
      <c r="E16" s="13"/>
      <c r="F16" s="42"/>
      <c r="G16" s="14" t="str">
        <f aca="false">IF(OR(A16="",B16="",C16="",D16="",E16=""),"",IFERROR(IF(C16&gt;SUMPRODUCT(($B$6:$B$29=B16)*$C$6:$C$29*$E$6:$E$29)/SUMIF($B$6:$B$29,B16,$E$6:$E$29),IF(D16&gt;=SUMPRODUCT(($B$6:$B$29=B16)*$D$6:$D$29*$E$6:$E$29)/SUMIF($B$6:$B$29,B16,$E$6:$E$29),"Premium differentiator","Stuck in the middle"),IF(D16&gt;=SUMPRODUCT(($B$6:$B$29=B16)*$D$6:$D$29*$E$6:$E$29)/SUMIF($B$6:$B$29,B16,$E$6:$E$29),"Value leader","Low-cost / economy")),""))</f>
        <v/>
      </c>
    </row>
    <row r="17" customFormat="false" ht="15" hidden="false" customHeight="false" outlineLevel="0" collapsed="false">
      <c r="A17" s="9"/>
      <c r="B17" s="9"/>
      <c r="C17" s="29"/>
      <c r="D17" s="13"/>
      <c r="E17" s="13"/>
      <c r="F17" s="42"/>
      <c r="G17" s="14" t="str">
        <f aca="false">IF(OR(A17="",B17="",C17="",D17="",E17=""),"",IFERROR(IF(C17&gt;SUMPRODUCT(($B$6:$B$29=B17)*$C$6:$C$29*$E$6:$E$29)/SUMIF($B$6:$B$29,B17,$E$6:$E$29),IF(D17&gt;=SUMPRODUCT(($B$6:$B$29=B17)*$D$6:$D$29*$E$6:$E$29)/SUMIF($B$6:$B$29,B17,$E$6:$E$29),"Premium differentiator","Stuck in the middle"),IF(D17&gt;=SUMPRODUCT(($B$6:$B$29=B17)*$D$6:$D$29*$E$6:$E$29)/SUMIF($B$6:$B$29,B17,$E$6:$E$29),"Value leader","Low-cost / economy")),""))</f>
        <v/>
      </c>
    </row>
    <row r="18" customFormat="false" ht="15" hidden="false" customHeight="false" outlineLevel="0" collapsed="false">
      <c r="A18" s="9"/>
      <c r="B18" s="9"/>
      <c r="C18" s="29"/>
      <c r="D18" s="13"/>
      <c r="E18" s="13"/>
      <c r="F18" s="42"/>
      <c r="G18" s="14" t="str">
        <f aca="false">IF(OR(A18="",B18="",C18="",D18="",E18=""),"",IFERROR(IF(C18&gt;SUMPRODUCT(($B$6:$B$29=B18)*$C$6:$C$29*$E$6:$E$29)/SUMIF($B$6:$B$29,B18,$E$6:$E$29),IF(D18&gt;=SUMPRODUCT(($B$6:$B$29=B18)*$D$6:$D$29*$E$6:$E$29)/SUMIF($B$6:$B$29,B18,$E$6:$E$29),"Premium differentiator","Stuck in the middle"),IF(D18&gt;=SUMPRODUCT(($B$6:$B$29=B18)*$D$6:$D$29*$E$6:$E$29)/SUMIF($B$6:$B$29,B18,$E$6:$E$29),"Value leader","Low-cost / economy")),""))</f>
        <v/>
      </c>
    </row>
    <row r="19" customFormat="false" ht="15" hidden="false" customHeight="false" outlineLevel="0" collapsed="false">
      <c r="A19" s="9"/>
      <c r="B19" s="9"/>
      <c r="C19" s="29"/>
      <c r="D19" s="13"/>
      <c r="E19" s="13"/>
      <c r="F19" s="42"/>
      <c r="G19" s="14" t="str">
        <f aca="false">IF(OR(A19="",B19="",C19="",D19="",E19=""),"",IFERROR(IF(C19&gt;SUMPRODUCT(($B$6:$B$29=B19)*$C$6:$C$29*$E$6:$E$29)/SUMIF($B$6:$B$29,B19,$E$6:$E$29),IF(D19&gt;=SUMPRODUCT(($B$6:$B$29=B19)*$D$6:$D$29*$E$6:$E$29)/SUMIF($B$6:$B$29,B19,$E$6:$E$29),"Premium differentiator","Stuck in the middle"),IF(D19&gt;=SUMPRODUCT(($B$6:$B$29=B19)*$D$6:$D$29*$E$6:$E$29)/SUMIF($B$6:$B$29,B19,$E$6:$E$29),"Value leader","Low-cost / economy")),""))</f>
        <v/>
      </c>
    </row>
    <row r="20" customFormat="false" ht="15" hidden="false" customHeight="false" outlineLevel="0" collapsed="false">
      <c r="A20" s="9"/>
      <c r="B20" s="9"/>
      <c r="C20" s="29"/>
      <c r="D20" s="13"/>
      <c r="E20" s="13"/>
      <c r="F20" s="42"/>
      <c r="G20" s="14" t="str">
        <f aca="false">IF(OR(A20="",B20="",C20="",D20="",E20=""),"",IFERROR(IF(C20&gt;SUMPRODUCT(($B$6:$B$29=B20)*$C$6:$C$29*$E$6:$E$29)/SUMIF($B$6:$B$29,B20,$E$6:$E$29),IF(D20&gt;=SUMPRODUCT(($B$6:$B$29=B20)*$D$6:$D$29*$E$6:$E$29)/SUMIF($B$6:$B$29,B20,$E$6:$E$29),"Premium differentiator","Stuck in the middle"),IF(D20&gt;=SUMPRODUCT(($B$6:$B$29=B20)*$D$6:$D$29*$E$6:$E$29)/SUMIF($B$6:$B$29,B20,$E$6:$E$29),"Value leader","Low-cost / economy")),""))</f>
        <v/>
      </c>
    </row>
    <row r="21" customFormat="false" ht="15" hidden="false" customHeight="false" outlineLevel="0" collapsed="false">
      <c r="A21" s="9"/>
      <c r="B21" s="9"/>
      <c r="C21" s="29"/>
      <c r="D21" s="13"/>
      <c r="E21" s="13"/>
      <c r="F21" s="42"/>
      <c r="G21" s="14" t="str">
        <f aca="false">IF(OR(A21="",B21="",C21="",D21="",E21=""),"",IFERROR(IF(C21&gt;SUMPRODUCT(($B$6:$B$29=B21)*$C$6:$C$29*$E$6:$E$29)/SUMIF($B$6:$B$29,B21,$E$6:$E$29),IF(D21&gt;=SUMPRODUCT(($B$6:$B$29=B21)*$D$6:$D$29*$E$6:$E$29)/SUMIF($B$6:$B$29,B21,$E$6:$E$29),"Premium differentiator","Stuck in the middle"),IF(D21&gt;=SUMPRODUCT(($B$6:$B$29=B21)*$D$6:$D$29*$E$6:$E$29)/SUMIF($B$6:$B$29,B21,$E$6:$E$29),"Value leader","Low-cost / economy")),""))</f>
        <v/>
      </c>
    </row>
    <row r="22" customFormat="false" ht="15" hidden="false" customHeight="false" outlineLevel="0" collapsed="false">
      <c r="A22" s="9"/>
      <c r="B22" s="9"/>
      <c r="C22" s="29"/>
      <c r="D22" s="13"/>
      <c r="E22" s="13"/>
      <c r="F22" s="42"/>
      <c r="G22" s="14" t="str">
        <f aca="false">IF(OR(A22="",B22="",C22="",D22="",E22=""),"",IFERROR(IF(C22&gt;SUMPRODUCT(($B$6:$B$29=B22)*$C$6:$C$29*$E$6:$E$29)/SUMIF($B$6:$B$29,B22,$E$6:$E$29),IF(D22&gt;=SUMPRODUCT(($B$6:$B$29=B22)*$D$6:$D$29*$E$6:$E$29)/SUMIF($B$6:$B$29,B22,$E$6:$E$29),"Premium differentiator","Stuck in the middle"),IF(D22&gt;=SUMPRODUCT(($B$6:$B$29=B22)*$D$6:$D$29*$E$6:$E$29)/SUMIF($B$6:$B$29,B22,$E$6:$E$29),"Value leader","Low-cost / economy")),""))</f>
        <v/>
      </c>
    </row>
    <row r="23" customFormat="false" ht="15" hidden="false" customHeight="false" outlineLevel="0" collapsed="false">
      <c r="A23" s="9"/>
      <c r="B23" s="9"/>
      <c r="C23" s="29"/>
      <c r="D23" s="13"/>
      <c r="E23" s="13"/>
      <c r="F23" s="42"/>
      <c r="G23" s="14" t="str">
        <f aca="false">IF(OR(A23="",B23="",C23="",D23="",E23=""),"",IFERROR(IF(C23&gt;SUMPRODUCT(($B$6:$B$29=B23)*$C$6:$C$29*$E$6:$E$29)/SUMIF($B$6:$B$29,B23,$E$6:$E$29),IF(D23&gt;=SUMPRODUCT(($B$6:$B$29=B23)*$D$6:$D$29*$E$6:$E$29)/SUMIF($B$6:$B$29,B23,$E$6:$E$29),"Premium differentiator","Stuck in the middle"),IF(D23&gt;=SUMPRODUCT(($B$6:$B$29=B23)*$D$6:$D$29*$E$6:$E$29)/SUMIF($B$6:$B$29,B23,$E$6:$E$29),"Value leader","Low-cost / economy")),""))</f>
        <v/>
      </c>
    </row>
    <row r="24" customFormat="false" ht="15" hidden="false" customHeight="false" outlineLevel="0" collapsed="false">
      <c r="A24" s="9"/>
      <c r="B24" s="9"/>
      <c r="C24" s="29"/>
      <c r="D24" s="13"/>
      <c r="E24" s="13"/>
      <c r="F24" s="42"/>
      <c r="G24" s="14" t="str">
        <f aca="false">IF(OR(A24="",B24="",C24="",D24="",E24=""),"",IFERROR(IF(C24&gt;SUMPRODUCT(($B$6:$B$29=B24)*$C$6:$C$29*$E$6:$E$29)/SUMIF($B$6:$B$29,B24,$E$6:$E$29),IF(D24&gt;=SUMPRODUCT(($B$6:$B$29=B24)*$D$6:$D$29*$E$6:$E$29)/SUMIF($B$6:$B$29,B24,$E$6:$E$29),"Premium differentiator","Stuck in the middle"),IF(D24&gt;=SUMPRODUCT(($B$6:$B$29=B24)*$D$6:$D$29*$E$6:$E$29)/SUMIF($B$6:$B$29,B24,$E$6:$E$29),"Value leader","Low-cost / economy")),""))</f>
        <v/>
      </c>
    </row>
    <row r="25" customFormat="false" ht="15" hidden="false" customHeight="false" outlineLevel="0" collapsed="false">
      <c r="A25" s="9"/>
      <c r="B25" s="9"/>
      <c r="C25" s="29"/>
      <c r="D25" s="13"/>
      <c r="E25" s="13"/>
      <c r="F25" s="42"/>
      <c r="G25" s="14" t="str">
        <f aca="false">IF(OR(A25="",B25="",C25="",D25="",E25=""),"",IFERROR(IF(C25&gt;SUMPRODUCT(($B$6:$B$29=B25)*$C$6:$C$29*$E$6:$E$29)/SUMIF($B$6:$B$29,B25,$E$6:$E$29),IF(D25&gt;=SUMPRODUCT(($B$6:$B$29=B25)*$D$6:$D$29*$E$6:$E$29)/SUMIF($B$6:$B$29,B25,$E$6:$E$29),"Premium differentiator","Stuck in the middle"),IF(D25&gt;=SUMPRODUCT(($B$6:$B$29=B25)*$D$6:$D$29*$E$6:$E$29)/SUMIF($B$6:$B$29,B25,$E$6:$E$29),"Value leader","Low-cost / economy")),""))</f>
        <v/>
      </c>
    </row>
    <row r="26" customFormat="false" ht="15" hidden="false" customHeight="false" outlineLevel="0" collapsed="false">
      <c r="A26" s="9"/>
      <c r="B26" s="9"/>
      <c r="C26" s="29"/>
      <c r="D26" s="13"/>
      <c r="E26" s="13"/>
      <c r="F26" s="42"/>
      <c r="G26" s="14" t="str">
        <f aca="false">IF(OR(A26="",B26="",C26="",D26="",E26=""),"",IFERROR(IF(C26&gt;SUMPRODUCT(($B$6:$B$29=B26)*$C$6:$C$29*$E$6:$E$29)/SUMIF($B$6:$B$29,B26,$E$6:$E$29),IF(D26&gt;=SUMPRODUCT(($B$6:$B$29=B26)*$D$6:$D$29*$E$6:$E$29)/SUMIF($B$6:$B$29,B26,$E$6:$E$29),"Premium differentiator","Stuck in the middle"),IF(D26&gt;=SUMPRODUCT(($B$6:$B$29=B26)*$D$6:$D$29*$E$6:$E$29)/SUMIF($B$6:$B$29,B26,$E$6:$E$29),"Value leader","Low-cost / economy")),""))</f>
        <v/>
      </c>
    </row>
    <row r="27" customFormat="false" ht="15" hidden="false" customHeight="false" outlineLevel="0" collapsed="false">
      <c r="A27" s="9"/>
      <c r="B27" s="9"/>
      <c r="C27" s="29"/>
      <c r="D27" s="13"/>
      <c r="E27" s="13"/>
      <c r="F27" s="42"/>
      <c r="G27" s="14" t="str">
        <f aca="false">IF(OR(A27="",B27="",C27="",D27="",E27=""),"",IFERROR(IF(C27&gt;SUMPRODUCT(($B$6:$B$29=B27)*$C$6:$C$29*$E$6:$E$29)/SUMIF($B$6:$B$29,B27,$E$6:$E$29),IF(D27&gt;=SUMPRODUCT(($B$6:$B$29=B27)*$D$6:$D$29*$E$6:$E$29)/SUMIF($B$6:$B$29,B27,$E$6:$E$29),"Premium differentiator","Stuck in the middle"),IF(D27&gt;=SUMPRODUCT(($B$6:$B$29=B27)*$D$6:$D$29*$E$6:$E$29)/SUMIF($B$6:$B$29,B27,$E$6:$E$29),"Value leader","Low-cost / economy")),""))</f>
        <v/>
      </c>
    </row>
    <row r="28" customFormat="false" ht="15" hidden="false" customHeight="false" outlineLevel="0" collapsed="false">
      <c r="A28" s="9"/>
      <c r="B28" s="9"/>
      <c r="C28" s="29"/>
      <c r="D28" s="13"/>
      <c r="E28" s="13"/>
      <c r="F28" s="42"/>
      <c r="G28" s="14" t="str">
        <f aca="false">IF(OR(A28="",B28="",C28="",D28="",E28=""),"",IFERROR(IF(C28&gt;SUMPRODUCT(($B$6:$B$29=B28)*$C$6:$C$29*$E$6:$E$29)/SUMIF($B$6:$B$29,B28,$E$6:$E$29),IF(D28&gt;=SUMPRODUCT(($B$6:$B$29=B28)*$D$6:$D$29*$E$6:$E$29)/SUMIF($B$6:$B$29,B28,$E$6:$E$29),"Premium differentiator","Stuck in the middle"),IF(D28&gt;=SUMPRODUCT(($B$6:$B$29=B28)*$D$6:$D$29*$E$6:$E$29)/SUMIF($B$6:$B$29,B28,$E$6:$E$29),"Value leader","Low-cost / economy")),""))</f>
        <v/>
      </c>
    </row>
    <row r="29" customFormat="false" ht="15" hidden="false" customHeight="false" outlineLevel="0" collapsed="false">
      <c r="A29" s="9"/>
      <c r="B29" s="9"/>
      <c r="C29" s="29"/>
      <c r="D29" s="13"/>
      <c r="E29" s="13"/>
      <c r="F29" s="42"/>
      <c r="G29" s="14" t="str">
        <f aca="false">IF(OR(A29="",B29="",C29="",D29="",E29=""),"",IFERROR(IF(C29&gt;SUMPRODUCT(($B$6:$B$29=B29)*$C$6:$C$29*$E$6:$E$29)/SUMIF($B$6:$B$29,B29,$E$6:$E$29),IF(D29&gt;=SUMPRODUCT(($B$6:$B$29=B29)*$D$6:$D$29*$E$6:$E$29)/SUMIF($B$6:$B$29,B29,$E$6:$E$29),"Premium differentiator","Stuck in the middle"),IF(D29&gt;=SUMPRODUCT(($B$6:$B$29=B29)*$D$6:$D$29*$E$6:$E$29)/SUMIF($B$6:$B$29,B29,$E$6:$E$29),"Value leader","Low-cost / economy")),""))</f>
        <v/>
      </c>
    </row>
    <row r="31" customFormat="false" ht="46.25" hidden="false" customHeight="false" outlineLevel="0" collapsed="false">
      <c r="A31" s="11" t="s">
        <v>434</v>
      </c>
      <c r="C31" s="11" t="s">
        <v>435</v>
      </c>
      <c r="D31" s="11" t="s">
        <v>436</v>
      </c>
    </row>
    <row r="32" customFormat="false" ht="15" hidden="false" customHeight="false" outlineLevel="0" collapsed="false">
      <c r="A32" s="5" t="s">
        <v>437</v>
      </c>
      <c r="C32" s="33" t="str">
        <f aca="false">IFERROR(SUMPRODUCT(($B$6:$B$29="Camera")*$C$6:$C$29*$E$6:$E$29)/SUMIF($B$6:$B$29,"Camera",$E$6:$E$29),"")</f>
        <v/>
      </c>
      <c r="D32" s="25" t="str">
        <f aca="false">IFERROR(SUMPRODUCT(($B$6:$B$29="Camera")*$D$6:$D$29*$E$6:$E$29)/SUMIF($B$6:$B$29,"Camera",$E$6:$E$29),"")</f>
        <v/>
      </c>
    </row>
    <row r="33" customFormat="false" ht="15" hidden="false" customHeight="false" outlineLevel="0" collapsed="false">
      <c r="A33" s="5" t="s">
        <v>438</v>
      </c>
      <c r="C33" s="33" t="str">
        <f aca="false">IFERROR(SUMPRODUCT(($B$6:$B$29="Drone")*$C$6:$C$29*$E$6:$E$29)/SUMIF($B$6:$B$29,"Drone",$E$6:$E$29),"")</f>
        <v/>
      </c>
      <c r="D33" s="25" t="str">
        <f aca="false">IFERROR(SUMPRODUCT(($B$6:$B$29="Drone")*$D$6:$D$29*$E$6:$E$29)/SUMIF($B$6:$B$29,"Drone",$E$6:$E$29),"")</f>
        <v/>
      </c>
    </row>
  </sheetData>
  <conditionalFormatting sqref="G6:G29">
    <cfRule type="expression" priority="2" aboveAverage="0" equalAverage="0" bottom="0" percent="0" rank="0" text="" dxfId="0">
      <formula>OR(G6="Premium differentiator",G6="Value leader")</formula>
    </cfRule>
    <cfRule type="expression" priority="3" aboveAverage="0" equalAverage="0" bottom="0" percent="0" rank="0" text="" dxfId="1">
      <formula>G6="Low-cost / economy"</formula>
    </cfRule>
    <cfRule type="expression" priority="4" aboveAverage="0" equalAverage="0" bottom="0" percent="0" rank="0" text="" dxfId="2">
      <formula>G6="Stuck in the middle"</formula>
    </cfRule>
  </conditionalFormatting>
  <dataValidations count="1">
    <dataValidation allowBlank="true" errorStyle="stop" operator="between" showDropDown="false" showErrorMessage="false" showInputMessage="false" sqref="B6:B29" type="list">
      <formula1>"Camera,Drone"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N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14" min="4" style="0" width="12"/>
  </cols>
  <sheetData>
    <row r="1" customFormat="false" ht="19.7" hidden="false" customHeight="false" outlineLevel="0" collapsed="false">
      <c r="A1" s="6" t="s">
        <v>439</v>
      </c>
    </row>
    <row r="2" customFormat="false" ht="15" hidden="false" customHeight="false" outlineLevel="0" collapsed="false">
      <c r="A2" s="3" t="s">
        <v>440</v>
      </c>
    </row>
    <row r="3" customFormat="false" ht="15" hidden="false" customHeight="false" outlineLevel="0" collapsed="false">
      <c r="A3" s="7" t="s">
        <v>44</v>
      </c>
    </row>
    <row r="4" customFormat="false" ht="15" hidden="false" customHeight="false" outlineLevel="0" collapsed="false">
      <c r="A4" s="4" t="s">
        <v>441</v>
      </c>
      <c r="D4" s="17" t="n">
        <v>0.15</v>
      </c>
    </row>
    <row r="5" customFormat="false" ht="30" hidden="false" customHeight="true" outlineLevel="0" collapsed="false">
      <c r="A5" s="8" t="s">
        <v>442</v>
      </c>
      <c r="B5" s="8" t="s">
        <v>443</v>
      </c>
      <c r="C5" s="8" t="s">
        <v>444</v>
      </c>
      <c r="D5" s="8" t="s">
        <v>445</v>
      </c>
      <c r="E5" s="8" t="s">
        <v>446</v>
      </c>
      <c r="F5" s="8" t="s">
        <v>447</v>
      </c>
      <c r="G5" s="8" t="s">
        <v>448</v>
      </c>
      <c r="H5" s="8" t="s">
        <v>449</v>
      </c>
      <c r="I5" s="8" t="s">
        <v>450</v>
      </c>
      <c r="J5" s="8" t="s">
        <v>451</v>
      </c>
      <c r="K5" s="8" t="s">
        <v>452</v>
      </c>
      <c r="L5" s="8" t="s">
        <v>453</v>
      </c>
      <c r="M5" s="8" t="s">
        <v>454</v>
      </c>
      <c r="N5" s="8" t="s">
        <v>455</v>
      </c>
    </row>
    <row r="6" customFormat="false" ht="15" hidden="false" customHeight="false" outlineLevel="0" collapsed="false">
      <c r="A6" s="43" t="s">
        <v>456</v>
      </c>
      <c r="B6" s="11" t="s">
        <v>457</v>
      </c>
      <c r="C6" s="5" t="s">
        <v>458</v>
      </c>
      <c r="D6" s="5" t="s">
        <v>459</v>
      </c>
      <c r="E6" s="9" t="s">
        <v>460</v>
      </c>
      <c r="F6" s="9" t="s">
        <v>460</v>
      </c>
      <c r="G6" s="9" t="s">
        <v>460</v>
      </c>
      <c r="H6" s="9"/>
      <c r="I6" s="9"/>
      <c r="J6" s="9"/>
      <c r="K6" s="9"/>
      <c r="L6" s="9"/>
      <c r="M6" s="9"/>
      <c r="N6" s="9"/>
    </row>
    <row r="7" customFormat="false" ht="23.85" hidden="false" customHeight="false" outlineLevel="0" collapsed="false">
      <c r="A7" s="43" t="s">
        <v>461</v>
      </c>
      <c r="B7" s="11"/>
      <c r="C7" s="5" t="s">
        <v>462</v>
      </c>
      <c r="D7" s="5" t="s">
        <v>459</v>
      </c>
      <c r="E7" s="9" t="s">
        <v>463</v>
      </c>
      <c r="F7" s="9" t="s">
        <v>463</v>
      </c>
      <c r="G7" s="9" t="s">
        <v>463</v>
      </c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43" t="s">
        <v>464</v>
      </c>
      <c r="B8" s="11" t="s">
        <v>465</v>
      </c>
      <c r="C8" s="5" t="s">
        <v>466</v>
      </c>
      <c r="D8" s="5" t="s">
        <v>467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customFormat="false" ht="15" hidden="false" customHeight="false" outlineLevel="0" collapsed="false">
      <c r="A9" s="43" t="s">
        <v>468</v>
      </c>
      <c r="B9" s="11"/>
      <c r="C9" s="5" t="s">
        <v>469</v>
      </c>
      <c r="D9" s="5" t="s">
        <v>467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customFormat="false" ht="15" hidden="false" customHeight="false" outlineLevel="0" collapsed="false">
      <c r="A10" s="43" t="s">
        <v>470</v>
      </c>
      <c r="B10" s="11"/>
      <c r="C10" s="5" t="s">
        <v>471</v>
      </c>
      <c r="D10" s="5" t="s">
        <v>472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</row>
    <row r="11" customFormat="false" ht="15" hidden="false" customHeight="false" outlineLevel="0" collapsed="false">
      <c r="A11" s="43" t="s">
        <v>473</v>
      </c>
      <c r="B11" s="11"/>
      <c r="C11" s="5" t="s">
        <v>474</v>
      </c>
      <c r="D11" s="5" t="s">
        <v>472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</row>
    <row r="12" customFormat="false" ht="15" hidden="false" customHeight="false" outlineLevel="0" collapsed="false">
      <c r="A12" s="43" t="s">
        <v>475</v>
      </c>
      <c r="B12" s="11"/>
      <c r="C12" s="5" t="s">
        <v>476</v>
      </c>
      <c r="D12" s="5" t="s">
        <v>477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15" hidden="false" customHeight="false" outlineLevel="0" collapsed="false">
      <c r="A13" s="43" t="s">
        <v>478</v>
      </c>
      <c r="B13" s="11"/>
      <c r="C13" s="5" t="s">
        <v>479</v>
      </c>
      <c r="D13" s="5" t="s">
        <v>477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5" hidden="false" customHeight="false" outlineLevel="0" collapsed="false">
      <c r="A14" s="43" t="s">
        <v>480</v>
      </c>
      <c r="B14" s="11" t="s">
        <v>481</v>
      </c>
      <c r="C14" s="5" t="s">
        <v>482</v>
      </c>
      <c r="D14" s="5" t="s">
        <v>293</v>
      </c>
      <c r="E14" s="44" t="n">
        <v>264</v>
      </c>
      <c r="F14" s="44" t="n">
        <v>239</v>
      </c>
      <c r="G14" s="44" t="n">
        <v>239</v>
      </c>
      <c r="H14" s="44"/>
      <c r="I14" s="44"/>
      <c r="J14" s="44"/>
      <c r="K14" s="44"/>
      <c r="L14" s="44"/>
      <c r="M14" s="44"/>
      <c r="N14" s="44"/>
    </row>
    <row r="15" customFormat="false" ht="15" hidden="false" customHeight="false" outlineLevel="0" collapsed="false">
      <c r="A15" s="43" t="s">
        <v>483</v>
      </c>
      <c r="B15" s="11"/>
      <c r="C15" s="5" t="s">
        <v>484</v>
      </c>
      <c r="D15" s="5" t="s">
        <v>293</v>
      </c>
      <c r="E15" s="44" t="n">
        <v>270</v>
      </c>
      <c r="F15" s="44" t="n">
        <v>272</v>
      </c>
      <c r="G15" s="44" t="n">
        <v>262</v>
      </c>
      <c r="H15" s="44"/>
      <c r="I15" s="44"/>
      <c r="J15" s="44"/>
      <c r="K15" s="44"/>
      <c r="L15" s="44"/>
      <c r="M15" s="44"/>
      <c r="N15" s="44"/>
    </row>
    <row r="16" customFormat="false" ht="15" hidden="false" customHeight="false" outlineLevel="0" collapsed="false">
      <c r="A16" s="43" t="s">
        <v>485</v>
      </c>
      <c r="B16" s="11"/>
      <c r="C16" s="5" t="s">
        <v>486</v>
      </c>
      <c r="D16" s="5" t="s">
        <v>293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customFormat="false" ht="15" hidden="false" customHeight="false" outlineLevel="0" collapsed="false">
      <c r="A17" s="43" t="s">
        <v>487</v>
      </c>
      <c r="B17" s="11"/>
      <c r="C17" s="5" t="s">
        <v>488</v>
      </c>
      <c r="D17" s="5" t="s">
        <v>293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customFormat="false" ht="15" hidden="false" customHeight="false" outlineLevel="0" collapsed="false">
      <c r="A18" s="43" t="s">
        <v>489</v>
      </c>
      <c r="B18" s="11"/>
      <c r="C18" s="5" t="s">
        <v>490</v>
      </c>
      <c r="D18" s="5" t="s">
        <v>293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customFormat="false" ht="15" hidden="false" customHeight="false" outlineLevel="0" collapsed="false">
      <c r="A19" s="43" t="s">
        <v>491</v>
      </c>
      <c r="B19" s="11"/>
      <c r="C19" s="5" t="s">
        <v>492</v>
      </c>
      <c r="D19" s="5" t="s">
        <v>293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customFormat="false" ht="15" hidden="false" customHeight="false" outlineLevel="0" collapsed="false">
      <c r="A20" s="43" t="s">
        <v>493</v>
      </c>
      <c r="B20" s="11"/>
      <c r="C20" s="5" t="s">
        <v>494</v>
      </c>
      <c r="D20" s="5" t="s">
        <v>293</v>
      </c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customFormat="false" ht="15" hidden="false" customHeight="false" outlineLevel="0" collapsed="false">
      <c r="A21" s="43" t="s">
        <v>495</v>
      </c>
      <c r="B21" s="11"/>
      <c r="C21" s="5" t="s">
        <v>496</v>
      </c>
      <c r="D21" s="5" t="s">
        <v>293</v>
      </c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customFormat="false" ht="15" hidden="false" customHeight="false" outlineLevel="0" collapsed="false">
      <c r="A22" s="43" t="s">
        <v>497</v>
      </c>
      <c r="B22" s="11"/>
      <c r="C22" s="5" t="s">
        <v>498</v>
      </c>
      <c r="D22" s="5" t="s">
        <v>477</v>
      </c>
      <c r="E22" s="28" t="n">
        <v>7500</v>
      </c>
      <c r="F22" s="28" t="n">
        <v>6500</v>
      </c>
      <c r="G22" s="28" t="n">
        <v>6800</v>
      </c>
      <c r="H22" s="28"/>
      <c r="I22" s="28"/>
      <c r="J22" s="28"/>
      <c r="K22" s="28"/>
      <c r="L22" s="28"/>
      <c r="M22" s="28"/>
      <c r="N22" s="28"/>
    </row>
    <row r="23" customFormat="false" ht="15" hidden="false" customHeight="false" outlineLevel="0" collapsed="false">
      <c r="A23" s="43" t="s">
        <v>499</v>
      </c>
      <c r="B23" s="11"/>
      <c r="C23" s="5" t="s">
        <v>500</v>
      </c>
      <c r="D23" s="5" t="s">
        <v>477</v>
      </c>
      <c r="E23" s="28" t="n">
        <v>6000</v>
      </c>
      <c r="F23" s="28" t="n">
        <v>6100</v>
      </c>
      <c r="G23" s="28" t="n">
        <v>6200</v>
      </c>
      <c r="H23" s="28"/>
      <c r="I23" s="28"/>
      <c r="J23" s="28"/>
      <c r="K23" s="28"/>
      <c r="L23" s="28"/>
      <c r="M23" s="28"/>
      <c r="N23" s="28"/>
    </row>
    <row r="24" customFormat="false" ht="15" hidden="false" customHeight="false" outlineLevel="0" collapsed="false">
      <c r="A24" s="43" t="s">
        <v>501</v>
      </c>
      <c r="B24" s="11"/>
      <c r="C24" s="5" t="s">
        <v>502</v>
      </c>
      <c r="D24" s="5" t="s">
        <v>477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customFormat="false" ht="15" hidden="false" customHeight="false" outlineLevel="0" collapsed="false">
      <c r="A25" s="43" t="s">
        <v>503</v>
      </c>
      <c r="B25" s="11"/>
      <c r="C25" s="5" t="s">
        <v>504</v>
      </c>
      <c r="D25" s="5" t="s">
        <v>477</v>
      </c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customFormat="false" ht="15" hidden="false" customHeight="false" outlineLevel="0" collapsed="false">
      <c r="A26" s="43" t="s">
        <v>505</v>
      </c>
      <c r="B26" s="11"/>
      <c r="C26" s="5" t="s">
        <v>506</v>
      </c>
      <c r="D26" s="5" t="s">
        <v>477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customFormat="false" ht="15" hidden="false" customHeight="false" outlineLevel="0" collapsed="false">
      <c r="A27" s="43" t="s">
        <v>507</v>
      </c>
      <c r="B27" s="11"/>
      <c r="C27" s="5" t="s">
        <v>508</v>
      </c>
      <c r="D27" s="5" t="s">
        <v>477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customFormat="false" ht="15" hidden="false" customHeight="false" outlineLevel="0" collapsed="false">
      <c r="A28" s="43" t="s">
        <v>509</v>
      </c>
      <c r="B28" s="11"/>
      <c r="C28" s="5" t="s">
        <v>510</v>
      </c>
      <c r="D28" s="5" t="s">
        <v>477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customFormat="false" ht="15" hidden="false" customHeight="false" outlineLevel="0" collapsed="false">
      <c r="A29" s="43" t="s">
        <v>511</v>
      </c>
      <c r="B29" s="11"/>
      <c r="C29" s="5" t="s">
        <v>512</v>
      </c>
      <c r="D29" s="5" t="s">
        <v>477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customFormat="false" ht="23.85" hidden="false" customHeight="false" outlineLevel="0" collapsed="false">
      <c r="A30" s="43" t="s">
        <v>513</v>
      </c>
      <c r="B30" s="11"/>
      <c r="C30" s="5" t="s">
        <v>514</v>
      </c>
      <c r="D30" s="5" t="s">
        <v>515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23.85" hidden="false" customHeight="false" outlineLevel="0" collapsed="false">
      <c r="A31" s="43" t="s">
        <v>516</v>
      </c>
      <c r="B31" s="11"/>
      <c r="C31" s="5" t="s">
        <v>517</v>
      </c>
      <c r="D31" s="5" t="s">
        <v>515</v>
      </c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23.85" hidden="false" customHeight="false" outlineLevel="0" collapsed="false">
      <c r="A32" s="43" t="s">
        <v>518</v>
      </c>
      <c r="B32" s="11"/>
      <c r="C32" s="5" t="s">
        <v>519</v>
      </c>
      <c r="D32" s="5" t="s">
        <v>515</v>
      </c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23.85" hidden="false" customHeight="false" outlineLevel="0" collapsed="false">
      <c r="A33" s="43" t="s">
        <v>520</v>
      </c>
      <c r="B33" s="11"/>
      <c r="C33" s="5" t="s">
        <v>521</v>
      </c>
      <c r="D33" s="5" t="s">
        <v>515</v>
      </c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23.85" hidden="false" customHeight="false" outlineLevel="0" collapsed="false">
      <c r="A34" s="43" t="s">
        <v>522</v>
      </c>
      <c r="B34" s="11"/>
      <c r="C34" s="5" t="s">
        <v>523</v>
      </c>
      <c r="D34" s="5" t="s">
        <v>515</v>
      </c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23.85" hidden="false" customHeight="false" outlineLevel="0" collapsed="false">
      <c r="A35" s="43" t="s">
        <v>524</v>
      </c>
      <c r="B35" s="11"/>
      <c r="C35" s="5" t="s">
        <v>525</v>
      </c>
      <c r="D35" s="5" t="s">
        <v>515</v>
      </c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23.85" hidden="false" customHeight="false" outlineLevel="0" collapsed="false">
      <c r="A36" s="43" t="s">
        <v>526</v>
      </c>
      <c r="B36" s="11"/>
      <c r="C36" s="5" t="s">
        <v>527</v>
      </c>
      <c r="D36" s="5" t="s">
        <v>515</v>
      </c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23.85" hidden="false" customHeight="false" outlineLevel="0" collapsed="false">
      <c r="A37" s="43" t="s">
        <v>528</v>
      </c>
      <c r="B37" s="11"/>
      <c r="C37" s="5" t="s">
        <v>529</v>
      </c>
      <c r="D37" s="5" t="s">
        <v>515</v>
      </c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false" outlineLevel="0" collapsed="false">
      <c r="A38" s="43" t="s">
        <v>530</v>
      </c>
      <c r="B38" s="11"/>
      <c r="C38" s="5" t="s">
        <v>531</v>
      </c>
      <c r="D38" s="5" t="s">
        <v>532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</row>
    <row r="39" customFormat="false" ht="15" hidden="false" customHeight="false" outlineLevel="0" collapsed="false">
      <c r="A39" s="43" t="s">
        <v>533</v>
      </c>
      <c r="B39" s="11"/>
      <c r="C39" s="5" t="s">
        <v>534</v>
      </c>
      <c r="D39" s="5" t="s">
        <v>532</v>
      </c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customFormat="false" ht="15" hidden="false" customHeight="false" outlineLevel="0" collapsed="false">
      <c r="A40" s="43" t="s">
        <v>535</v>
      </c>
      <c r="B40" s="11"/>
      <c r="C40" s="5" t="s">
        <v>536</v>
      </c>
      <c r="D40" s="5" t="s">
        <v>532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customFormat="false" ht="15" hidden="false" customHeight="false" outlineLevel="0" collapsed="false">
      <c r="A41" s="43" t="s">
        <v>537</v>
      </c>
      <c r="B41" s="11"/>
      <c r="C41" s="5" t="s">
        <v>538</v>
      </c>
      <c r="D41" s="5" t="s">
        <v>532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</row>
    <row r="42" customFormat="false" ht="15" hidden="false" customHeight="false" outlineLevel="0" collapsed="false">
      <c r="A42" s="43" t="s">
        <v>539</v>
      </c>
      <c r="B42" s="11"/>
      <c r="C42" s="5" t="s">
        <v>540</v>
      </c>
      <c r="D42" s="5" t="s">
        <v>532</v>
      </c>
      <c r="E42" s="42"/>
      <c r="F42" s="42"/>
      <c r="G42" s="42"/>
      <c r="H42" s="42"/>
      <c r="I42" s="42"/>
      <c r="J42" s="42"/>
      <c r="K42" s="42"/>
      <c r="L42" s="42"/>
      <c r="M42" s="42"/>
      <c r="N42" s="42"/>
    </row>
    <row r="43" customFormat="false" ht="15" hidden="false" customHeight="false" outlineLevel="0" collapsed="false">
      <c r="A43" s="43" t="s">
        <v>541</v>
      </c>
      <c r="B43" s="11"/>
      <c r="C43" s="5" t="s">
        <v>542</v>
      </c>
      <c r="D43" s="5" t="s">
        <v>532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</row>
    <row r="44" customFormat="false" ht="15" hidden="false" customHeight="false" outlineLevel="0" collapsed="false">
      <c r="A44" s="43" t="s">
        <v>543</v>
      </c>
      <c r="B44" s="11"/>
      <c r="C44" s="5" t="s">
        <v>544</v>
      </c>
      <c r="D44" s="5" t="s">
        <v>532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</row>
    <row r="45" customFormat="false" ht="15" hidden="false" customHeight="false" outlineLevel="0" collapsed="false">
      <c r="A45" s="43" t="s">
        <v>545</v>
      </c>
      <c r="B45" s="11"/>
      <c r="C45" s="5" t="s">
        <v>546</v>
      </c>
      <c r="D45" s="5" t="s">
        <v>532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</row>
    <row r="46" customFormat="false" ht="15" hidden="false" customHeight="false" outlineLevel="0" collapsed="false">
      <c r="A46" s="43" t="s">
        <v>547</v>
      </c>
      <c r="B46" s="11" t="s">
        <v>548</v>
      </c>
      <c r="C46" s="5" t="s">
        <v>549</v>
      </c>
      <c r="D46" s="5" t="s">
        <v>472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</row>
    <row r="47" customFormat="false" ht="15" hidden="false" customHeight="false" outlineLevel="0" collapsed="false">
      <c r="A47" s="43" t="s">
        <v>550</v>
      </c>
      <c r="B47" s="11"/>
      <c r="C47" s="5" t="s">
        <v>551</v>
      </c>
      <c r="D47" s="5" t="s">
        <v>472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</row>
    <row r="48" customFormat="false" ht="15" hidden="false" customHeight="false" outlineLevel="0" collapsed="false">
      <c r="A48" s="43" t="s">
        <v>552</v>
      </c>
      <c r="B48" s="11"/>
      <c r="C48" s="5" t="s">
        <v>553</v>
      </c>
      <c r="D48" s="5" t="s">
        <v>554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customFormat="false" ht="15" hidden="false" customHeight="false" outlineLevel="0" collapsed="false">
      <c r="A49" s="43" t="s">
        <v>555</v>
      </c>
      <c r="B49" s="11"/>
      <c r="C49" s="5" t="s">
        <v>556</v>
      </c>
      <c r="D49" s="5" t="s">
        <v>554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customFormat="false" ht="15" hidden="false" customHeight="false" outlineLevel="0" collapsed="false">
      <c r="A50" s="43" t="s">
        <v>557</v>
      </c>
      <c r="B50" s="11"/>
      <c r="C50" s="5" t="s">
        <v>558</v>
      </c>
      <c r="D50" s="5" t="s">
        <v>559</v>
      </c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false" outlineLevel="0" collapsed="false">
      <c r="A51" s="43" t="s">
        <v>560</v>
      </c>
      <c r="B51" s="11"/>
      <c r="C51" s="5" t="s">
        <v>561</v>
      </c>
      <c r="D51" s="5" t="s">
        <v>559</v>
      </c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false" outlineLevel="0" collapsed="false">
      <c r="A52" s="43" t="s">
        <v>562</v>
      </c>
      <c r="B52" s="11" t="s">
        <v>563</v>
      </c>
      <c r="C52" s="5" t="s">
        <v>564</v>
      </c>
      <c r="D52" s="5" t="s">
        <v>559</v>
      </c>
      <c r="E52" s="9" t="n">
        <v>21000</v>
      </c>
      <c r="F52" s="9" t="n">
        <v>21500</v>
      </c>
      <c r="G52" s="9" t="n">
        <v>22000</v>
      </c>
      <c r="H52" s="9"/>
      <c r="I52" s="9"/>
      <c r="J52" s="9"/>
      <c r="K52" s="9"/>
      <c r="L52" s="9"/>
      <c r="M52" s="9"/>
      <c r="N52" s="9"/>
    </row>
    <row r="53" customFormat="false" ht="15" hidden="false" customHeight="false" outlineLevel="0" collapsed="false">
      <c r="A53" s="43" t="s">
        <v>565</v>
      </c>
      <c r="B53" s="11"/>
      <c r="C53" s="5" t="s">
        <v>566</v>
      </c>
      <c r="D53" s="5" t="s">
        <v>567</v>
      </c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false" outlineLevel="0" collapsed="false">
      <c r="A54" s="43" t="s">
        <v>568</v>
      </c>
      <c r="B54" s="11"/>
      <c r="C54" s="5" t="s">
        <v>569</v>
      </c>
      <c r="D54" s="5" t="s">
        <v>559</v>
      </c>
      <c r="E54" s="9"/>
      <c r="F54" s="9"/>
      <c r="G54" s="9"/>
      <c r="H54" s="9"/>
      <c r="I54" s="9"/>
      <c r="J54" s="9"/>
      <c r="K54" s="9"/>
      <c r="L54" s="9"/>
      <c r="M54" s="9"/>
      <c r="N54" s="9"/>
    </row>
    <row r="55" customFormat="false" ht="15" hidden="false" customHeight="false" outlineLevel="0" collapsed="false">
      <c r="A55" s="43" t="s">
        <v>570</v>
      </c>
      <c r="B55" s="11" t="s">
        <v>571</v>
      </c>
      <c r="C55" s="5" t="s">
        <v>572</v>
      </c>
      <c r="D55" s="5" t="s">
        <v>477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</row>
    <row r="56" customFormat="false" ht="15" hidden="false" customHeight="false" outlineLevel="0" collapsed="false">
      <c r="A56" s="43" t="s">
        <v>573</v>
      </c>
      <c r="B56" s="11"/>
      <c r="C56" s="5" t="s">
        <v>574</v>
      </c>
      <c r="D56" s="5" t="s">
        <v>459</v>
      </c>
      <c r="E56" s="9"/>
      <c r="F56" s="9"/>
      <c r="G56" s="9"/>
      <c r="H56" s="9"/>
      <c r="I56" s="9"/>
      <c r="J56" s="9"/>
      <c r="K56" s="9"/>
      <c r="L56" s="9"/>
      <c r="M56" s="9"/>
      <c r="N56" s="9"/>
    </row>
    <row r="57" customFormat="false" ht="15" hidden="false" customHeight="false" outlineLevel="0" collapsed="false">
      <c r="A57" s="43" t="s">
        <v>575</v>
      </c>
      <c r="B57" s="11" t="s">
        <v>576</v>
      </c>
      <c r="C57" s="5" t="s">
        <v>577</v>
      </c>
      <c r="D57" s="5" t="s">
        <v>477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customFormat="false" ht="15" hidden="false" customHeight="false" outlineLevel="0" collapsed="false">
      <c r="A58" s="43" t="s">
        <v>578</v>
      </c>
      <c r="B58" s="11"/>
      <c r="C58" s="5" t="s">
        <v>579</v>
      </c>
      <c r="D58" s="5" t="s">
        <v>477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customFormat="false" ht="15" hidden="false" customHeight="false" outlineLevel="0" collapsed="false">
      <c r="A59" s="43" t="s">
        <v>580</v>
      </c>
      <c r="B59" s="11"/>
      <c r="C59" s="5" t="s">
        <v>581</v>
      </c>
      <c r="D59" s="5" t="s">
        <v>582</v>
      </c>
      <c r="E59" s="9"/>
      <c r="F59" s="9"/>
      <c r="G59" s="9"/>
      <c r="H59" s="9"/>
      <c r="I59" s="9"/>
      <c r="J59" s="9"/>
      <c r="K59" s="9"/>
      <c r="L59" s="9"/>
      <c r="M59" s="9"/>
      <c r="N59" s="9"/>
    </row>
    <row r="60" customFormat="false" ht="15" hidden="false" customHeight="false" outlineLevel="0" collapsed="false">
      <c r="A60" s="43" t="s">
        <v>583</v>
      </c>
      <c r="B60" s="11"/>
      <c r="C60" s="5" t="s">
        <v>584</v>
      </c>
      <c r="D60" s="5" t="s">
        <v>582</v>
      </c>
      <c r="E60" s="9"/>
      <c r="F60" s="9"/>
      <c r="G60" s="9"/>
      <c r="H60" s="9"/>
      <c r="I60" s="9"/>
      <c r="J60" s="9"/>
      <c r="K60" s="9"/>
      <c r="L60" s="9"/>
      <c r="M60" s="9"/>
      <c r="N60" s="9"/>
    </row>
    <row r="61" customFormat="false" ht="15" hidden="false" customHeight="false" outlineLevel="0" collapsed="false">
      <c r="A61" s="43" t="s">
        <v>585</v>
      </c>
      <c r="B61" s="11"/>
      <c r="C61" s="5" t="s">
        <v>586</v>
      </c>
      <c r="D61" s="5" t="s">
        <v>293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customFormat="false" ht="23.85" hidden="false" customHeight="false" outlineLevel="0" collapsed="false">
      <c r="A62" s="43" t="s">
        <v>587</v>
      </c>
      <c r="B62" s="11" t="s">
        <v>588</v>
      </c>
      <c r="C62" s="5" t="s">
        <v>589</v>
      </c>
      <c r="D62" s="5" t="s">
        <v>293</v>
      </c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customFormat="false" ht="15" hidden="false" customHeight="false" outlineLevel="0" collapsed="false">
      <c r="A63" s="43" t="s">
        <v>590</v>
      </c>
      <c r="B63" s="11"/>
      <c r="C63" s="5" t="s">
        <v>591</v>
      </c>
      <c r="D63" s="5" t="s">
        <v>554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customFormat="false" ht="15" hidden="false" customHeight="false" outlineLevel="0" collapsed="false">
      <c r="A64" s="43" t="s">
        <v>592</v>
      </c>
      <c r="B64" s="11"/>
      <c r="C64" s="5" t="s">
        <v>593</v>
      </c>
      <c r="D64" s="5" t="s">
        <v>293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customFormat="false" ht="15" hidden="false" customHeight="false" outlineLevel="0" collapsed="false">
      <c r="A65" s="43" t="s">
        <v>594</v>
      </c>
      <c r="B65" s="11"/>
      <c r="C65" s="5" t="s">
        <v>595</v>
      </c>
      <c r="D65" s="5" t="s">
        <v>459</v>
      </c>
      <c r="E65" s="9"/>
      <c r="F65" s="9"/>
      <c r="G65" s="9"/>
      <c r="H65" s="9"/>
      <c r="I65" s="9"/>
      <c r="J65" s="9"/>
      <c r="K65" s="9"/>
      <c r="L65" s="9"/>
      <c r="M65" s="9"/>
      <c r="N65" s="9"/>
    </row>
    <row r="66" customFormat="false" ht="15" hidden="false" customHeight="false" outlineLevel="0" collapsed="false">
      <c r="A66" s="43" t="s">
        <v>596</v>
      </c>
      <c r="B66" s="11"/>
      <c r="C66" s="5" t="s">
        <v>597</v>
      </c>
      <c r="D66" s="5" t="s">
        <v>598</v>
      </c>
      <c r="E66" s="9"/>
      <c r="F66" s="9"/>
      <c r="G66" s="9"/>
      <c r="H66" s="9"/>
      <c r="I66" s="9"/>
      <c r="J66" s="9"/>
      <c r="K66" s="9"/>
      <c r="L66" s="9"/>
      <c r="M66" s="9"/>
      <c r="N66" s="9"/>
    </row>
    <row r="68" customFormat="false" ht="35.05" hidden="false" customHeight="false" outlineLevel="0" collapsed="false">
      <c r="B68" s="11" t="s">
        <v>599</v>
      </c>
    </row>
    <row r="69" customFormat="false" ht="15" hidden="false" customHeight="false" outlineLevel="0" collapsed="false">
      <c r="A69" s="8" t="s">
        <v>600</v>
      </c>
      <c r="B69" s="8" t="s">
        <v>443</v>
      </c>
      <c r="C69" s="8" t="s">
        <v>444</v>
      </c>
      <c r="D69" s="8" t="s">
        <v>445</v>
      </c>
      <c r="E69" s="8" t="s">
        <v>446</v>
      </c>
      <c r="F69" s="8" t="s">
        <v>447</v>
      </c>
      <c r="G69" s="8" t="s">
        <v>448</v>
      </c>
      <c r="H69" s="8" t="s">
        <v>449</v>
      </c>
      <c r="I69" s="8" t="s">
        <v>450</v>
      </c>
      <c r="J69" s="8" t="s">
        <v>451</v>
      </c>
      <c r="K69" s="8" t="s">
        <v>452</v>
      </c>
      <c r="L69" s="8" t="s">
        <v>453</v>
      </c>
      <c r="M69" s="8" t="s">
        <v>454</v>
      </c>
      <c r="N69" s="8" t="s">
        <v>455</v>
      </c>
    </row>
    <row r="70" customFormat="false" ht="15" hidden="false" customHeight="false" outlineLevel="0" collapsed="false">
      <c r="A70" s="43" t="s">
        <v>456</v>
      </c>
      <c r="C70" s="5" t="s">
        <v>458</v>
      </c>
      <c r="F70" s="22" t="str">
        <f aca="false">IF(AND(ISNUMBER(F6),ISNUMBER(E6),E6&lt;&gt;0),F6/E6-1,"")</f>
        <v/>
      </c>
      <c r="G70" s="22" t="str">
        <f aca="false">IF(AND(ISNUMBER(G6),ISNUMBER(F6),F6&lt;&gt;0),G6/F6-1,"")</f>
        <v/>
      </c>
      <c r="H70" s="22" t="str">
        <f aca="false">IF(AND(ISNUMBER(H6),ISNUMBER(G6),G6&lt;&gt;0),H6/G6-1,"")</f>
        <v/>
      </c>
      <c r="I70" s="22" t="str">
        <f aca="false">IF(AND(ISNUMBER(I6),ISNUMBER(H6),H6&lt;&gt;0),I6/H6-1,"")</f>
        <v/>
      </c>
      <c r="J70" s="22" t="str">
        <f aca="false">IF(AND(ISNUMBER(J6),ISNUMBER(I6),I6&lt;&gt;0),J6/I6-1,"")</f>
        <v/>
      </c>
      <c r="K70" s="22" t="str">
        <f aca="false">IF(AND(ISNUMBER(K6),ISNUMBER(J6),J6&lt;&gt;0),K6/J6-1,"")</f>
        <v/>
      </c>
      <c r="L70" s="22" t="str">
        <f aca="false">IF(AND(ISNUMBER(L6),ISNUMBER(K6),K6&lt;&gt;0),L6/K6-1,"")</f>
        <v/>
      </c>
      <c r="M70" s="22" t="str">
        <f aca="false">IF(AND(ISNUMBER(M6),ISNUMBER(L6),L6&lt;&gt;0),M6/L6-1,"")</f>
        <v/>
      </c>
      <c r="N70" s="22" t="str">
        <f aca="false">IF(AND(ISNUMBER(N6),ISNUMBER(M6),M6&lt;&gt;0),N6/M6-1,"")</f>
        <v/>
      </c>
    </row>
    <row r="71" customFormat="false" ht="15" hidden="false" customHeight="false" outlineLevel="0" collapsed="false">
      <c r="A71" s="43" t="s">
        <v>461</v>
      </c>
      <c r="C71" s="5" t="s">
        <v>462</v>
      </c>
      <c r="F71" s="22" t="str">
        <f aca="false">IF(AND(ISNUMBER(F7),ISNUMBER(E7),E7&lt;&gt;0),F7/E7-1,"")</f>
        <v/>
      </c>
      <c r="G71" s="22" t="str">
        <f aca="false">IF(AND(ISNUMBER(G7),ISNUMBER(F7),F7&lt;&gt;0),G7/F7-1,"")</f>
        <v/>
      </c>
      <c r="H71" s="22" t="str">
        <f aca="false">IF(AND(ISNUMBER(H7),ISNUMBER(G7),G7&lt;&gt;0),H7/G7-1,"")</f>
        <v/>
      </c>
      <c r="I71" s="22" t="str">
        <f aca="false">IF(AND(ISNUMBER(I7),ISNUMBER(H7),H7&lt;&gt;0),I7/H7-1,"")</f>
        <v/>
      </c>
      <c r="J71" s="22" t="str">
        <f aca="false">IF(AND(ISNUMBER(J7),ISNUMBER(I7),I7&lt;&gt;0),J7/I7-1,"")</f>
        <v/>
      </c>
      <c r="K71" s="22" t="str">
        <f aca="false">IF(AND(ISNUMBER(K7),ISNUMBER(J7),J7&lt;&gt;0),K7/J7-1,"")</f>
        <v/>
      </c>
      <c r="L71" s="22" t="str">
        <f aca="false">IF(AND(ISNUMBER(L7),ISNUMBER(K7),K7&lt;&gt;0),L7/K7-1,"")</f>
        <v/>
      </c>
      <c r="M71" s="22" t="str">
        <f aca="false">IF(AND(ISNUMBER(M7),ISNUMBER(L7),L7&lt;&gt;0),M7/L7-1,"")</f>
        <v/>
      </c>
      <c r="N71" s="22" t="str">
        <f aca="false">IF(AND(ISNUMBER(N7),ISNUMBER(M7),M7&lt;&gt;0),N7/M7-1,"")</f>
        <v/>
      </c>
    </row>
    <row r="72" customFormat="false" ht="15" hidden="false" customHeight="false" outlineLevel="0" collapsed="false">
      <c r="A72" s="43" t="s">
        <v>464</v>
      </c>
      <c r="C72" s="5" t="s">
        <v>466</v>
      </c>
      <c r="F72" s="22" t="str">
        <f aca="false">IF(AND(ISNUMBER(F8),ISNUMBER(E8),E8&lt;&gt;0),F8/E8-1,"")</f>
        <v/>
      </c>
      <c r="G72" s="22" t="str">
        <f aca="false">IF(AND(ISNUMBER(G8),ISNUMBER(F8),F8&lt;&gt;0),G8/F8-1,"")</f>
        <v/>
      </c>
      <c r="H72" s="22" t="str">
        <f aca="false">IF(AND(ISNUMBER(H8),ISNUMBER(G8),G8&lt;&gt;0),H8/G8-1,"")</f>
        <v/>
      </c>
      <c r="I72" s="22" t="str">
        <f aca="false">IF(AND(ISNUMBER(I8),ISNUMBER(H8),H8&lt;&gt;0),I8/H8-1,"")</f>
        <v/>
      </c>
      <c r="J72" s="22" t="str">
        <f aca="false">IF(AND(ISNUMBER(J8),ISNUMBER(I8),I8&lt;&gt;0),J8/I8-1,"")</f>
        <v/>
      </c>
      <c r="K72" s="22" t="str">
        <f aca="false">IF(AND(ISNUMBER(K8),ISNUMBER(J8),J8&lt;&gt;0),K8/J8-1,"")</f>
        <v/>
      </c>
      <c r="L72" s="22" t="str">
        <f aca="false">IF(AND(ISNUMBER(L8),ISNUMBER(K8),K8&lt;&gt;0),L8/K8-1,"")</f>
        <v/>
      </c>
      <c r="M72" s="22" t="str">
        <f aca="false">IF(AND(ISNUMBER(M8),ISNUMBER(L8),L8&lt;&gt;0),M8/L8-1,"")</f>
        <v/>
      </c>
      <c r="N72" s="22" t="str">
        <f aca="false">IF(AND(ISNUMBER(N8),ISNUMBER(M8),M8&lt;&gt;0),N8/M8-1,"")</f>
        <v/>
      </c>
    </row>
    <row r="73" customFormat="false" ht="15" hidden="false" customHeight="false" outlineLevel="0" collapsed="false">
      <c r="A73" s="43" t="s">
        <v>468</v>
      </c>
      <c r="C73" s="5" t="s">
        <v>469</v>
      </c>
      <c r="F73" s="22" t="str">
        <f aca="false">IF(AND(ISNUMBER(F9),ISNUMBER(E9),E9&lt;&gt;0),F9/E9-1,"")</f>
        <v/>
      </c>
      <c r="G73" s="22" t="str">
        <f aca="false">IF(AND(ISNUMBER(G9),ISNUMBER(F9),F9&lt;&gt;0),G9/F9-1,"")</f>
        <v/>
      </c>
      <c r="H73" s="22" t="str">
        <f aca="false">IF(AND(ISNUMBER(H9),ISNUMBER(G9),G9&lt;&gt;0),H9/G9-1,"")</f>
        <v/>
      </c>
      <c r="I73" s="22" t="str">
        <f aca="false">IF(AND(ISNUMBER(I9),ISNUMBER(H9),H9&lt;&gt;0),I9/H9-1,"")</f>
        <v/>
      </c>
      <c r="J73" s="22" t="str">
        <f aca="false">IF(AND(ISNUMBER(J9),ISNUMBER(I9),I9&lt;&gt;0),J9/I9-1,"")</f>
        <v/>
      </c>
      <c r="K73" s="22" t="str">
        <f aca="false">IF(AND(ISNUMBER(K9),ISNUMBER(J9),J9&lt;&gt;0),K9/J9-1,"")</f>
        <v/>
      </c>
      <c r="L73" s="22" t="str">
        <f aca="false">IF(AND(ISNUMBER(L9),ISNUMBER(K9),K9&lt;&gt;0),L9/K9-1,"")</f>
        <v/>
      </c>
      <c r="M73" s="22" t="str">
        <f aca="false">IF(AND(ISNUMBER(M9),ISNUMBER(L9),L9&lt;&gt;0),M9/L9-1,"")</f>
        <v/>
      </c>
      <c r="N73" s="22" t="str">
        <f aca="false">IF(AND(ISNUMBER(N9),ISNUMBER(M9),M9&lt;&gt;0),N9/M9-1,"")</f>
        <v/>
      </c>
    </row>
    <row r="74" customFormat="false" ht="15" hidden="false" customHeight="false" outlineLevel="0" collapsed="false">
      <c r="A74" s="43" t="s">
        <v>470</v>
      </c>
      <c r="C74" s="5" t="s">
        <v>471</v>
      </c>
      <c r="F74" s="22" t="str">
        <f aca="false">IF(AND(ISNUMBER(F10),ISNUMBER(E10),E10&lt;&gt;0),F10/E10-1,"")</f>
        <v/>
      </c>
      <c r="G74" s="22" t="str">
        <f aca="false">IF(AND(ISNUMBER(G10),ISNUMBER(F10),F10&lt;&gt;0),G10/F10-1,"")</f>
        <v/>
      </c>
      <c r="H74" s="22" t="str">
        <f aca="false">IF(AND(ISNUMBER(H10),ISNUMBER(G10),G10&lt;&gt;0),H10/G10-1,"")</f>
        <v/>
      </c>
      <c r="I74" s="22" t="str">
        <f aca="false">IF(AND(ISNUMBER(I10),ISNUMBER(H10),H10&lt;&gt;0),I10/H10-1,"")</f>
        <v/>
      </c>
      <c r="J74" s="22" t="str">
        <f aca="false">IF(AND(ISNUMBER(J10),ISNUMBER(I10),I10&lt;&gt;0),J10/I10-1,"")</f>
        <v/>
      </c>
      <c r="K74" s="22" t="str">
        <f aca="false">IF(AND(ISNUMBER(K10),ISNUMBER(J10),J10&lt;&gt;0),K10/J10-1,"")</f>
        <v/>
      </c>
      <c r="L74" s="22" t="str">
        <f aca="false">IF(AND(ISNUMBER(L10),ISNUMBER(K10),K10&lt;&gt;0),L10/K10-1,"")</f>
        <v/>
      </c>
      <c r="M74" s="22" t="str">
        <f aca="false">IF(AND(ISNUMBER(M10),ISNUMBER(L10),L10&lt;&gt;0),M10/L10-1,"")</f>
        <v/>
      </c>
      <c r="N74" s="22" t="str">
        <f aca="false">IF(AND(ISNUMBER(N10),ISNUMBER(M10),M10&lt;&gt;0),N10/M10-1,"")</f>
        <v/>
      </c>
    </row>
    <row r="75" customFormat="false" ht="15" hidden="false" customHeight="false" outlineLevel="0" collapsed="false">
      <c r="A75" s="43" t="s">
        <v>473</v>
      </c>
      <c r="C75" s="5" t="s">
        <v>474</v>
      </c>
      <c r="F75" s="22" t="str">
        <f aca="false">IF(AND(ISNUMBER(F11),ISNUMBER(E11),E11&lt;&gt;0),F11/E11-1,"")</f>
        <v/>
      </c>
      <c r="G75" s="22" t="str">
        <f aca="false">IF(AND(ISNUMBER(G11),ISNUMBER(F11),F11&lt;&gt;0),G11/F11-1,"")</f>
        <v/>
      </c>
      <c r="H75" s="22" t="str">
        <f aca="false">IF(AND(ISNUMBER(H11),ISNUMBER(G11),G11&lt;&gt;0),H11/G11-1,"")</f>
        <v/>
      </c>
      <c r="I75" s="22" t="str">
        <f aca="false">IF(AND(ISNUMBER(I11),ISNUMBER(H11),H11&lt;&gt;0),I11/H11-1,"")</f>
        <v/>
      </c>
      <c r="J75" s="22" t="str">
        <f aca="false">IF(AND(ISNUMBER(J11),ISNUMBER(I11),I11&lt;&gt;0),J11/I11-1,"")</f>
        <v/>
      </c>
      <c r="K75" s="22" t="str">
        <f aca="false">IF(AND(ISNUMBER(K11),ISNUMBER(J11),J11&lt;&gt;0),K11/J11-1,"")</f>
        <v/>
      </c>
      <c r="L75" s="22" t="str">
        <f aca="false">IF(AND(ISNUMBER(L11),ISNUMBER(K11),K11&lt;&gt;0),L11/K11-1,"")</f>
        <v/>
      </c>
      <c r="M75" s="22" t="str">
        <f aca="false">IF(AND(ISNUMBER(M11),ISNUMBER(L11),L11&lt;&gt;0),M11/L11-1,"")</f>
        <v/>
      </c>
      <c r="N75" s="22" t="str">
        <f aca="false">IF(AND(ISNUMBER(N11),ISNUMBER(M11),M11&lt;&gt;0),N11/M11-1,"")</f>
        <v/>
      </c>
    </row>
    <row r="76" customFormat="false" ht="15" hidden="false" customHeight="false" outlineLevel="0" collapsed="false">
      <c r="A76" s="43" t="s">
        <v>475</v>
      </c>
      <c r="C76" s="5" t="s">
        <v>476</v>
      </c>
      <c r="F76" s="22" t="str">
        <f aca="false">IF(AND(ISNUMBER(F12),ISNUMBER(E12),E12&lt;&gt;0),F12/E12-1,"")</f>
        <v/>
      </c>
      <c r="G76" s="22" t="str">
        <f aca="false">IF(AND(ISNUMBER(G12),ISNUMBER(F12),F12&lt;&gt;0),G12/F12-1,"")</f>
        <v/>
      </c>
      <c r="H76" s="22" t="str">
        <f aca="false">IF(AND(ISNUMBER(H12),ISNUMBER(G12),G12&lt;&gt;0),H12/G12-1,"")</f>
        <v/>
      </c>
      <c r="I76" s="22" t="str">
        <f aca="false">IF(AND(ISNUMBER(I12),ISNUMBER(H12),H12&lt;&gt;0),I12/H12-1,"")</f>
        <v/>
      </c>
      <c r="J76" s="22" t="str">
        <f aca="false">IF(AND(ISNUMBER(J12),ISNUMBER(I12),I12&lt;&gt;0),J12/I12-1,"")</f>
        <v/>
      </c>
      <c r="K76" s="22" t="str">
        <f aca="false">IF(AND(ISNUMBER(K12),ISNUMBER(J12),J12&lt;&gt;0),K12/J12-1,"")</f>
        <v/>
      </c>
      <c r="L76" s="22" t="str">
        <f aca="false">IF(AND(ISNUMBER(L12),ISNUMBER(K12),K12&lt;&gt;0),L12/K12-1,"")</f>
        <v/>
      </c>
      <c r="M76" s="22" t="str">
        <f aca="false">IF(AND(ISNUMBER(M12),ISNUMBER(L12),L12&lt;&gt;0),M12/L12-1,"")</f>
        <v/>
      </c>
      <c r="N76" s="22" t="str">
        <f aca="false">IF(AND(ISNUMBER(N12),ISNUMBER(M12),M12&lt;&gt;0),N12/M12-1,"")</f>
        <v/>
      </c>
    </row>
    <row r="77" customFormat="false" ht="15" hidden="false" customHeight="false" outlineLevel="0" collapsed="false">
      <c r="A77" s="43" t="s">
        <v>478</v>
      </c>
      <c r="C77" s="5" t="s">
        <v>479</v>
      </c>
      <c r="F77" s="22" t="str">
        <f aca="false">IF(AND(ISNUMBER(F13),ISNUMBER(E13),E13&lt;&gt;0),F13/E13-1,"")</f>
        <v/>
      </c>
      <c r="G77" s="22" t="str">
        <f aca="false">IF(AND(ISNUMBER(G13),ISNUMBER(F13),F13&lt;&gt;0),G13/F13-1,"")</f>
        <v/>
      </c>
      <c r="H77" s="22" t="str">
        <f aca="false">IF(AND(ISNUMBER(H13),ISNUMBER(G13),G13&lt;&gt;0),H13/G13-1,"")</f>
        <v/>
      </c>
      <c r="I77" s="22" t="str">
        <f aca="false">IF(AND(ISNUMBER(I13),ISNUMBER(H13),H13&lt;&gt;0),I13/H13-1,"")</f>
        <v/>
      </c>
      <c r="J77" s="22" t="str">
        <f aca="false">IF(AND(ISNUMBER(J13),ISNUMBER(I13),I13&lt;&gt;0),J13/I13-1,"")</f>
        <v/>
      </c>
      <c r="K77" s="22" t="str">
        <f aca="false">IF(AND(ISNUMBER(K13),ISNUMBER(J13),J13&lt;&gt;0),K13/J13-1,"")</f>
        <v/>
      </c>
      <c r="L77" s="22" t="str">
        <f aca="false">IF(AND(ISNUMBER(L13),ISNUMBER(K13),K13&lt;&gt;0),L13/K13-1,"")</f>
        <v/>
      </c>
      <c r="M77" s="22" t="str">
        <f aca="false">IF(AND(ISNUMBER(M13),ISNUMBER(L13),L13&lt;&gt;0),M13/L13-1,"")</f>
        <v/>
      </c>
      <c r="N77" s="22" t="str">
        <f aca="false">IF(AND(ISNUMBER(N13),ISNUMBER(M13),M13&lt;&gt;0),N13/M13-1,"")</f>
        <v/>
      </c>
    </row>
    <row r="78" customFormat="false" ht="15" hidden="false" customHeight="false" outlineLevel="0" collapsed="false">
      <c r="A78" s="43" t="s">
        <v>480</v>
      </c>
      <c r="C78" s="5" t="s">
        <v>482</v>
      </c>
      <c r="F78" s="22" t="n">
        <f aca="false">IF(AND(ISNUMBER(F14),ISNUMBER(E14),E14&lt;&gt;0),F14/E14-1,"")</f>
        <v>-0.0946969696969697</v>
      </c>
      <c r="G78" s="22" t="n">
        <f aca="false">IF(AND(ISNUMBER(G14),ISNUMBER(F14),F14&lt;&gt;0),G14/F14-1,"")</f>
        <v>0</v>
      </c>
      <c r="H78" s="22" t="str">
        <f aca="false">IF(AND(ISNUMBER(H14),ISNUMBER(G14),G14&lt;&gt;0),H14/G14-1,"")</f>
        <v/>
      </c>
      <c r="I78" s="22" t="str">
        <f aca="false">IF(AND(ISNUMBER(I14),ISNUMBER(H14),H14&lt;&gt;0),I14/H14-1,"")</f>
        <v/>
      </c>
      <c r="J78" s="22" t="str">
        <f aca="false">IF(AND(ISNUMBER(J14),ISNUMBER(I14),I14&lt;&gt;0),J14/I14-1,"")</f>
        <v/>
      </c>
      <c r="K78" s="22" t="str">
        <f aca="false">IF(AND(ISNUMBER(K14),ISNUMBER(J14),J14&lt;&gt;0),K14/J14-1,"")</f>
        <v/>
      </c>
      <c r="L78" s="22" t="str">
        <f aca="false">IF(AND(ISNUMBER(L14),ISNUMBER(K14),K14&lt;&gt;0),L14/K14-1,"")</f>
        <v/>
      </c>
      <c r="M78" s="22" t="str">
        <f aca="false">IF(AND(ISNUMBER(M14),ISNUMBER(L14),L14&lt;&gt;0),M14/L14-1,"")</f>
        <v/>
      </c>
      <c r="N78" s="22" t="str">
        <f aca="false">IF(AND(ISNUMBER(N14),ISNUMBER(M14),M14&lt;&gt;0),N14/M14-1,"")</f>
        <v/>
      </c>
    </row>
    <row r="79" customFormat="false" ht="15" hidden="false" customHeight="false" outlineLevel="0" collapsed="false">
      <c r="A79" s="43" t="s">
        <v>483</v>
      </c>
      <c r="C79" s="5" t="s">
        <v>484</v>
      </c>
      <c r="F79" s="22" t="n">
        <f aca="false">IF(AND(ISNUMBER(F15),ISNUMBER(E15),E15&lt;&gt;0),F15/E15-1,"")</f>
        <v>0.00740740740740731</v>
      </c>
      <c r="G79" s="22" t="n">
        <f aca="false">IF(AND(ISNUMBER(G15),ISNUMBER(F15),F15&lt;&gt;0),G15/F15-1,"")</f>
        <v>-0.0367647058823529</v>
      </c>
      <c r="H79" s="22" t="str">
        <f aca="false">IF(AND(ISNUMBER(H15),ISNUMBER(G15),G15&lt;&gt;0),H15/G15-1,"")</f>
        <v/>
      </c>
      <c r="I79" s="22" t="str">
        <f aca="false">IF(AND(ISNUMBER(I15),ISNUMBER(H15),H15&lt;&gt;0),I15/H15-1,"")</f>
        <v/>
      </c>
      <c r="J79" s="22" t="str">
        <f aca="false">IF(AND(ISNUMBER(J15),ISNUMBER(I15),I15&lt;&gt;0),J15/I15-1,"")</f>
        <v/>
      </c>
      <c r="K79" s="22" t="str">
        <f aca="false">IF(AND(ISNUMBER(K15),ISNUMBER(J15),J15&lt;&gt;0),K15/J15-1,"")</f>
        <v/>
      </c>
      <c r="L79" s="22" t="str">
        <f aca="false">IF(AND(ISNUMBER(L15),ISNUMBER(K15),K15&lt;&gt;0),L15/K15-1,"")</f>
        <v/>
      </c>
      <c r="M79" s="22" t="str">
        <f aca="false">IF(AND(ISNUMBER(M15),ISNUMBER(L15),L15&lt;&gt;0),M15/L15-1,"")</f>
        <v/>
      </c>
      <c r="N79" s="22" t="str">
        <f aca="false">IF(AND(ISNUMBER(N15),ISNUMBER(M15),M15&lt;&gt;0),N15/M15-1,"")</f>
        <v/>
      </c>
    </row>
    <row r="80" customFormat="false" ht="15" hidden="false" customHeight="false" outlineLevel="0" collapsed="false">
      <c r="A80" s="43" t="s">
        <v>485</v>
      </c>
      <c r="C80" s="5" t="s">
        <v>486</v>
      </c>
      <c r="F80" s="22" t="str">
        <f aca="false">IF(AND(ISNUMBER(F16),ISNUMBER(E16),E16&lt;&gt;0),F16/E16-1,"")</f>
        <v/>
      </c>
      <c r="G80" s="22" t="str">
        <f aca="false">IF(AND(ISNUMBER(G16),ISNUMBER(F16),F16&lt;&gt;0),G16/F16-1,"")</f>
        <v/>
      </c>
      <c r="H80" s="22" t="str">
        <f aca="false">IF(AND(ISNUMBER(H16),ISNUMBER(G16),G16&lt;&gt;0),H16/G16-1,"")</f>
        <v/>
      </c>
      <c r="I80" s="22" t="str">
        <f aca="false">IF(AND(ISNUMBER(I16),ISNUMBER(H16),H16&lt;&gt;0),I16/H16-1,"")</f>
        <v/>
      </c>
      <c r="J80" s="22" t="str">
        <f aca="false">IF(AND(ISNUMBER(J16),ISNUMBER(I16),I16&lt;&gt;0),J16/I16-1,"")</f>
        <v/>
      </c>
      <c r="K80" s="22" t="str">
        <f aca="false">IF(AND(ISNUMBER(K16),ISNUMBER(J16),J16&lt;&gt;0),K16/J16-1,"")</f>
        <v/>
      </c>
      <c r="L80" s="22" t="str">
        <f aca="false">IF(AND(ISNUMBER(L16),ISNUMBER(K16),K16&lt;&gt;0),L16/K16-1,"")</f>
        <v/>
      </c>
      <c r="M80" s="22" t="str">
        <f aca="false">IF(AND(ISNUMBER(M16),ISNUMBER(L16),L16&lt;&gt;0),M16/L16-1,"")</f>
        <v/>
      </c>
      <c r="N80" s="22" t="str">
        <f aca="false">IF(AND(ISNUMBER(N16),ISNUMBER(M16),M16&lt;&gt;0),N16/M16-1,"")</f>
        <v/>
      </c>
    </row>
    <row r="81" customFormat="false" ht="15" hidden="false" customHeight="false" outlineLevel="0" collapsed="false">
      <c r="A81" s="43" t="s">
        <v>487</v>
      </c>
      <c r="C81" s="5" t="s">
        <v>488</v>
      </c>
      <c r="F81" s="22" t="str">
        <f aca="false">IF(AND(ISNUMBER(F17),ISNUMBER(E17),E17&lt;&gt;0),F17/E17-1,"")</f>
        <v/>
      </c>
      <c r="G81" s="22" t="str">
        <f aca="false">IF(AND(ISNUMBER(G17),ISNUMBER(F17),F17&lt;&gt;0),G17/F17-1,"")</f>
        <v/>
      </c>
      <c r="H81" s="22" t="str">
        <f aca="false">IF(AND(ISNUMBER(H17),ISNUMBER(G17),G17&lt;&gt;0),H17/G17-1,"")</f>
        <v/>
      </c>
      <c r="I81" s="22" t="str">
        <f aca="false">IF(AND(ISNUMBER(I17),ISNUMBER(H17),H17&lt;&gt;0),I17/H17-1,"")</f>
        <v/>
      </c>
      <c r="J81" s="22" t="str">
        <f aca="false">IF(AND(ISNUMBER(J17),ISNUMBER(I17),I17&lt;&gt;0),J17/I17-1,"")</f>
        <v/>
      </c>
      <c r="K81" s="22" t="str">
        <f aca="false">IF(AND(ISNUMBER(K17),ISNUMBER(J17),J17&lt;&gt;0),K17/J17-1,"")</f>
        <v/>
      </c>
      <c r="L81" s="22" t="str">
        <f aca="false">IF(AND(ISNUMBER(L17),ISNUMBER(K17),K17&lt;&gt;0),L17/K17-1,"")</f>
        <v/>
      </c>
      <c r="M81" s="22" t="str">
        <f aca="false">IF(AND(ISNUMBER(M17),ISNUMBER(L17),L17&lt;&gt;0),M17/L17-1,"")</f>
        <v/>
      </c>
      <c r="N81" s="22" t="str">
        <f aca="false">IF(AND(ISNUMBER(N17),ISNUMBER(M17),M17&lt;&gt;0),N17/M17-1,"")</f>
        <v/>
      </c>
    </row>
    <row r="82" customFormat="false" ht="15" hidden="false" customHeight="false" outlineLevel="0" collapsed="false">
      <c r="A82" s="43" t="s">
        <v>489</v>
      </c>
      <c r="C82" s="5" t="s">
        <v>490</v>
      </c>
      <c r="F82" s="22" t="str">
        <f aca="false">IF(AND(ISNUMBER(F18),ISNUMBER(E18),E18&lt;&gt;0),F18/E18-1,"")</f>
        <v/>
      </c>
      <c r="G82" s="22" t="str">
        <f aca="false">IF(AND(ISNUMBER(G18),ISNUMBER(F18),F18&lt;&gt;0),G18/F18-1,"")</f>
        <v/>
      </c>
      <c r="H82" s="22" t="str">
        <f aca="false">IF(AND(ISNUMBER(H18),ISNUMBER(G18),G18&lt;&gt;0),H18/G18-1,"")</f>
        <v/>
      </c>
      <c r="I82" s="22" t="str">
        <f aca="false">IF(AND(ISNUMBER(I18),ISNUMBER(H18),H18&lt;&gt;0),I18/H18-1,"")</f>
        <v/>
      </c>
      <c r="J82" s="22" t="str">
        <f aca="false">IF(AND(ISNUMBER(J18),ISNUMBER(I18),I18&lt;&gt;0),J18/I18-1,"")</f>
        <v/>
      </c>
      <c r="K82" s="22" t="str">
        <f aca="false">IF(AND(ISNUMBER(K18),ISNUMBER(J18),J18&lt;&gt;0),K18/J18-1,"")</f>
        <v/>
      </c>
      <c r="L82" s="22" t="str">
        <f aca="false">IF(AND(ISNUMBER(L18),ISNUMBER(K18),K18&lt;&gt;0),L18/K18-1,"")</f>
        <v/>
      </c>
      <c r="M82" s="22" t="str">
        <f aca="false">IF(AND(ISNUMBER(M18),ISNUMBER(L18),L18&lt;&gt;0),M18/L18-1,"")</f>
        <v/>
      </c>
      <c r="N82" s="22" t="str">
        <f aca="false">IF(AND(ISNUMBER(N18),ISNUMBER(M18),M18&lt;&gt;0),N18/M18-1,"")</f>
        <v/>
      </c>
    </row>
    <row r="83" customFormat="false" ht="15" hidden="false" customHeight="false" outlineLevel="0" collapsed="false">
      <c r="A83" s="43" t="s">
        <v>491</v>
      </c>
      <c r="C83" s="5" t="s">
        <v>492</v>
      </c>
      <c r="F83" s="22" t="str">
        <f aca="false">IF(AND(ISNUMBER(F19),ISNUMBER(E19),E19&lt;&gt;0),F19/E19-1,"")</f>
        <v/>
      </c>
      <c r="G83" s="22" t="str">
        <f aca="false">IF(AND(ISNUMBER(G19),ISNUMBER(F19),F19&lt;&gt;0),G19/F19-1,"")</f>
        <v/>
      </c>
      <c r="H83" s="22" t="str">
        <f aca="false">IF(AND(ISNUMBER(H19),ISNUMBER(G19),G19&lt;&gt;0),H19/G19-1,"")</f>
        <v/>
      </c>
      <c r="I83" s="22" t="str">
        <f aca="false">IF(AND(ISNUMBER(I19),ISNUMBER(H19),H19&lt;&gt;0),I19/H19-1,"")</f>
        <v/>
      </c>
      <c r="J83" s="22" t="str">
        <f aca="false">IF(AND(ISNUMBER(J19),ISNUMBER(I19),I19&lt;&gt;0),J19/I19-1,"")</f>
        <v/>
      </c>
      <c r="K83" s="22" t="str">
        <f aca="false">IF(AND(ISNUMBER(K19),ISNUMBER(J19),J19&lt;&gt;0),K19/J19-1,"")</f>
        <v/>
      </c>
      <c r="L83" s="22" t="str">
        <f aca="false">IF(AND(ISNUMBER(L19),ISNUMBER(K19),K19&lt;&gt;0),L19/K19-1,"")</f>
        <v/>
      </c>
      <c r="M83" s="22" t="str">
        <f aca="false">IF(AND(ISNUMBER(M19),ISNUMBER(L19),L19&lt;&gt;0),M19/L19-1,"")</f>
        <v/>
      </c>
      <c r="N83" s="22" t="str">
        <f aca="false">IF(AND(ISNUMBER(N19),ISNUMBER(M19),M19&lt;&gt;0),N19/M19-1,"")</f>
        <v/>
      </c>
    </row>
    <row r="84" customFormat="false" ht="15" hidden="false" customHeight="false" outlineLevel="0" collapsed="false">
      <c r="A84" s="43" t="s">
        <v>493</v>
      </c>
      <c r="C84" s="5" t="s">
        <v>494</v>
      </c>
      <c r="F84" s="22" t="str">
        <f aca="false">IF(AND(ISNUMBER(F20),ISNUMBER(E20),E20&lt;&gt;0),F20/E20-1,"")</f>
        <v/>
      </c>
      <c r="G84" s="22" t="str">
        <f aca="false">IF(AND(ISNUMBER(G20),ISNUMBER(F20),F20&lt;&gt;0),G20/F20-1,"")</f>
        <v/>
      </c>
      <c r="H84" s="22" t="str">
        <f aca="false">IF(AND(ISNUMBER(H20),ISNUMBER(G20),G20&lt;&gt;0),H20/G20-1,"")</f>
        <v/>
      </c>
      <c r="I84" s="22" t="str">
        <f aca="false">IF(AND(ISNUMBER(I20),ISNUMBER(H20),H20&lt;&gt;0),I20/H20-1,"")</f>
        <v/>
      </c>
      <c r="J84" s="22" t="str">
        <f aca="false">IF(AND(ISNUMBER(J20),ISNUMBER(I20),I20&lt;&gt;0),J20/I20-1,"")</f>
        <v/>
      </c>
      <c r="K84" s="22" t="str">
        <f aca="false">IF(AND(ISNUMBER(K20),ISNUMBER(J20),J20&lt;&gt;0),K20/J20-1,"")</f>
        <v/>
      </c>
      <c r="L84" s="22" t="str">
        <f aca="false">IF(AND(ISNUMBER(L20),ISNUMBER(K20),K20&lt;&gt;0),L20/K20-1,"")</f>
        <v/>
      </c>
      <c r="M84" s="22" t="str">
        <f aca="false">IF(AND(ISNUMBER(M20),ISNUMBER(L20),L20&lt;&gt;0),M20/L20-1,"")</f>
        <v/>
      </c>
      <c r="N84" s="22" t="str">
        <f aca="false">IF(AND(ISNUMBER(N20),ISNUMBER(M20),M20&lt;&gt;0),N20/M20-1,"")</f>
        <v/>
      </c>
    </row>
    <row r="85" customFormat="false" ht="15" hidden="false" customHeight="false" outlineLevel="0" collapsed="false">
      <c r="A85" s="43" t="s">
        <v>495</v>
      </c>
      <c r="C85" s="5" t="s">
        <v>496</v>
      </c>
      <c r="F85" s="22" t="str">
        <f aca="false">IF(AND(ISNUMBER(F21),ISNUMBER(E21),E21&lt;&gt;0),F21/E21-1,"")</f>
        <v/>
      </c>
      <c r="G85" s="22" t="str">
        <f aca="false">IF(AND(ISNUMBER(G21),ISNUMBER(F21),F21&lt;&gt;0),G21/F21-1,"")</f>
        <v/>
      </c>
      <c r="H85" s="22" t="str">
        <f aca="false">IF(AND(ISNUMBER(H21),ISNUMBER(G21),G21&lt;&gt;0),H21/G21-1,"")</f>
        <v/>
      </c>
      <c r="I85" s="22" t="str">
        <f aca="false">IF(AND(ISNUMBER(I21),ISNUMBER(H21),H21&lt;&gt;0),I21/H21-1,"")</f>
        <v/>
      </c>
      <c r="J85" s="22" t="str">
        <f aca="false">IF(AND(ISNUMBER(J21),ISNUMBER(I21),I21&lt;&gt;0),J21/I21-1,"")</f>
        <v/>
      </c>
      <c r="K85" s="22" t="str">
        <f aca="false">IF(AND(ISNUMBER(K21),ISNUMBER(J21),J21&lt;&gt;0),K21/J21-1,"")</f>
        <v/>
      </c>
      <c r="L85" s="22" t="str">
        <f aca="false">IF(AND(ISNUMBER(L21),ISNUMBER(K21),K21&lt;&gt;0),L21/K21-1,"")</f>
        <v/>
      </c>
      <c r="M85" s="22" t="str">
        <f aca="false">IF(AND(ISNUMBER(M21),ISNUMBER(L21),L21&lt;&gt;0),M21/L21-1,"")</f>
        <v/>
      </c>
      <c r="N85" s="22" t="str">
        <f aca="false">IF(AND(ISNUMBER(N21),ISNUMBER(M21),M21&lt;&gt;0),N21/M21-1,"")</f>
        <v/>
      </c>
    </row>
    <row r="86" customFormat="false" ht="15" hidden="false" customHeight="false" outlineLevel="0" collapsed="false">
      <c r="A86" s="43" t="s">
        <v>497</v>
      </c>
      <c r="C86" s="5" t="s">
        <v>498</v>
      </c>
      <c r="F86" s="22" t="n">
        <f aca="false">IF(AND(ISNUMBER(F22),ISNUMBER(E22),E22&lt;&gt;0),F22/E22-1,"")</f>
        <v>-0.133333333333333</v>
      </c>
      <c r="G86" s="22" t="n">
        <f aca="false">IF(AND(ISNUMBER(G22),ISNUMBER(F22),F22&lt;&gt;0),G22/F22-1,"")</f>
        <v>0.0461538461538462</v>
      </c>
      <c r="H86" s="22" t="str">
        <f aca="false">IF(AND(ISNUMBER(H22),ISNUMBER(G22),G22&lt;&gt;0),H22/G22-1,"")</f>
        <v/>
      </c>
      <c r="I86" s="22" t="str">
        <f aca="false">IF(AND(ISNUMBER(I22),ISNUMBER(H22),H22&lt;&gt;0),I22/H22-1,"")</f>
        <v/>
      </c>
      <c r="J86" s="22" t="str">
        <f aca="false">IF(AND(ISNUMBER(J22),ISNUMBER(I22),I22&lt;&gt;0),J22/I22-1,"")</f>
        <v/>
      </c>
      <c r="K86" s="22" t="str">
        <f aca="false">IF(AND(ISNUMBER(K22),ISNUMBER(J22),J22&lt;&gt;0),K22/J22-1,"")</f>
        <v/>
      </c>
      <c r="L86" s="22" t="str">
        <f aca="false">IF(AND(ISNUMBER(L22),ISNUMBER(K22),K22&lt;&gt;0),L22/K22-1,"")</f>
        <v/>
      </c>
      <c r="M86" s="22" t="str">
        <f aca="false">IF(AND(ISNUMBER(M22),ISNUMBER(L22),L22&lt;&gt;0),M22/L22-1,"")</f>
        <v/>
      </c>
      <c r="N86" s="22" t="str">
        <f aca="false">IF(AND(ISNUMBER(N22),ISNUMBER(M22),M22&lt;&gt;0),N22/M22-1,"")</f>
        <v/>
      </c>
    </row>
    <row r="87" customFormat="false" ht="15" hidden="false" customHeight="false" outlineLevel="0" collapsed="false">
      <c r="A87" s="43" t="s">
        <v>499</v>
      </c>
      <c r="C87" s="5" t="s">
        <v>500</v>
      </c>
      <c r="F87" s="22" t="n">
        <f aca="false">IF(AND(ISNUMBER(F23),ISNUMBER(E23),E23&lt;&gt;0),F23/E23-1,"")</f>
        <v>0.0166666666666666</v>
      </c>
      <c r="G87" s="22" t="n">
        <f aca="false">IF(AND(ISNUMBER(G23),ISNUMBER(F23),F23&lt;&gt;0),G23/F23-1,"")</f>
        <v>0.0163934426229508</v>
      </c>
      <c r="H87" s="22" t="str">
        <f aca="false">IF(AND(ISNUMBER(H23),ISNUMBER(G23),G23&lt;&gt;0),H23/G23-1,"")</f>
        <v/>
      </c>
      <c r="I87" s="22" t="str">
        <f aca="false">IF(AND(ISNUMBER(I23),ISNUMBER(H23),H23&lt;&gt;0),I23/H23-1,"")</f>
        <v/>
      </c>
      <c r="J87" s="22" t="str">
        <f aca="false">IF(AND(ISNUMBER(J23),ISNUMBER(I23),I23&lt;&gt;0),J23/I23-1,"")</f>
        <v/>
      </c>
      <c r="K87" s="22" t="str">
        <f aca="false">IF(AND(ISNUMBER(K23),ISNUMBER(J23),J23&lt;&gt;0),K23/J23-1,"")</f>
        <v/>
      </c>
      <c r="L87" s="22" t="str">
        <f aca="false">IF(AND(ISNUMBER(L23),ISNUMBER(K23),K23&lt;&gt;0),L23/K23-1,"")</f>
        <v/>
      </c>
      <c r="M87" s="22" t="str">
        <f aca="false">IF(AND(ISNUMBER(M23),ISNUMBER(L23),L23&lt;&gt;0),M23/L23-1,"")</f>
        <v/>
      </c>
      <c r="N87" s="22" t="str">
        <f aca="false">IF(AND(ISNUMBER(N23),ISNUMBER(M23),M23&lt;&gt;0),N23/M23-1,"")</f>
        <v/>
      </c>
    </row>
    <row r="88" customFormat="false" ht="15" hidden="false" customHeight="false" outlineLevel="0" collapsed="false">
      <c r="A88" s="43" t="s">
        <v>501</v>
      </c>
      <c r="C88" s="5" t="s">
        <v>502</v>
      </c>
      <c r="F88" s="22" t="str">
        <f aca="false">IF(AND(ISNUMBER(F24),ISNUMBER(E24),E24&lt;&gt;0),F24/E24-1,"")</f>
        <v/>
      </c>
      <c r="G88" s="22" t="str">
        <f aca="false">IF(AND(ISNUMBER(G24),ISNUMBER(F24),F24&lt;&gt;0),G24/F24-1,"")</f>
        <v/>
      </c>
      <c r="H88" s="22" t="str">
        <f aca="false">IF(AND(ISNUMBER(H24),ISNUMBER(G24),G24&lt;&gt;0),H24/G24-1,"")</f>
        <v/>
      </c>
      <c r="I88" s="22" t="str">
        <f aca="false">IF(AND(ISNUMBER(I24),ISNUMBER(H24),H24&lt;&gt;0),I24/H24-1,"")</f>
        <v/>
      </c>
      <c r="J88" s="22" t="str">
        <f aca="false">IF(AND(ISNUMBER(J24),ISNUMBER(I24),I24&lt;&gt;0),J24/I24-1,"")</f>
        <v/>
      </c>
      <c r="K88" s="22" t="str">
        <f aca="false">IF(AND(ISNUMBER(K24),ISNUMBER(J24),J24&lt;&gt;0),K24/J24-1,"")</f>
        <v/>
      </c>
      <c r="L88" s="22" t="str">
        <f aca="false">IF(AND(ISNUMBER(L24),ISNUMBER(K24),K24&lt;&gt;0),L24/K24-1,"")</f>
        <v/>
      </c>
      <c r="M88" s="22" t="str">
        <f aca="false">IF(AND(ISNUMBER(M24),ISNUMBER(L24),L24&lt;&gt;0),M24/L24-1,"")</f>
        <v/>
      </c>
      <c r="N88" s="22" t="str">
        <f aca="false">IF(AND(ISNUMBER(N24),ISNUMBER(M24),M24&lt;&gt;0),N24/M24-1,"")</f>
        <v/>
      </c>
    </row>
    <row r="89" customFormat="false" ht="15" hidden="false" customHeight="false" outlineLevel="0" collapsed="false">
      <c r="A89" s="43" t="s">
        <v>503</v>
      </c>
      <c r="C89" s="5" t="s">
        <v>504</v>
      </c>
      <c r="F89" s="22" t="str">
        <f aca="false">IF(AND(ISNUMBER(F25),ISNUMBER(E25),E25&lt;&gt;0),F25/E25-1,"")</f>
        <v/>
      </c>
      <c r="G89" s="22" t="str">
        <f aca="false">IF(AND(ISNUMBER(G25),ISNUMBER(F25),F25&lt;&gt;0),G25/F25-1,"")</f>
        <v/>
      </c>
      <c r="H89" s="22" t="str">
        <f aca="false">IF(AND(ISNUMBER(H25),ISNUMBER(G25),G25&lt;&gt;0),H25/G25-1,"")</f>
        <v/>
      </c>
      <c r="I89" s="22" t="str">
        <f aca="false">IF(AND(ISNUMBER(I25),ISNUMBER(H25),H25&lt;&gt;0),I25/H25-1,"")</f>
        <v/>
      </c>
      <c r="J89" s="22" t="str">
        <f aca="false">IF(AND(ISNUMBER(J25),ISNUMBER(I25),I25&lt;&gt;0),J25/I25-1,"")</f>
        <v/>
      </c>
      <c r="K89" s="22" t="str">
        <f aca="false">IF(AND(ISNUMBER(K25),ISNUMBER(J25),J25&lt;&gt;0),K25/J25-1,"")</f>
        <v/>
      </c>
      <c r="L89" s="22" t="str">
        <f aca="false">IF(AND(ISNUMBER(L25),ISNUMBER(K25),K25&lt;&gt;0),L25/K25-1,"")</f>
        <v/>
      </c>
      <c r="M89" s="22" t="str">
        <f aca="false">IF(AND(ISNUMBER(M25),ISNUMBER(L25),L25&lt;&gt;0),M25/L25-1,"")</f>
        <v/>
      </c>
      <c r="N89" s="22" t="str">
        <f aca="false">IF(AND(ISNUMBER(N25),ISNUMBER(M25),M25&lt;&gt;0),N25/M25-1,"")</f>
        <v/>
      </c>
    </row>
    <row r="90" customFormat="false" ht="15" hidden="false" customHeight="false" outlineLevel="0" collapsed="false">
      <c r="A90" s="43" t="s">
        <v>505</v>
      </c>
      <c r="C90" s="5" t="s">
        <v>506</v>
      </c>
      <c r="F90" s="22" t="str">
        <f aca="false">IF(AND(ISNUMBER(F26),ISNUMBER(E26),E26&lt;&gt;0),F26/E26-1,"")</f>
        <v/>
      </c>
      <c r="G90" s="22" t="str">
        <f aca="false">IF(AND(ISNUMBER(G26),ISNUMBER(F26),F26&lt;&gt;0),G26/F26-1,"")</f>
        <v/>
      </c>
      <c r="H90" s="22" t="str">
        <f aca="false">IF(AND(ISNUMBER(H26),ISNUMBER(G26),G26&lt;&gt;0),H26/G26-1,"")</f>
        <v/>
      </c>
      <c r="I90" s="22" t="str">
        <f aca="false">IF(AND(ISNUMBER(I26),ISNUMBER(H26),H26&lt;&gt;0),I26/H26-1,"")</f>
        <v/>
      </c>
      <c r="J90" s="22" t="str">
        <f aca="false">IF(AND(ISNUMBER(J26),ISNUMBER(I26),I26&lt;&gt;0),J26/I26-1,"")</f>
        <v/>
      </c>
      <c r="K90" s="22" t="str">
        <f aca="false">IF(AND(ISNUMBER(K26),ISNUMBER(J26),J26&lt;&gt;0),K26/J26-1,"")</f>
        <v/>
      </c>
      <c r="L90" s="22" t="str">
        <f aca="false">IF(AND(ISNUMBER(L26),ISNUMBER(K26),K26&lt;&gt;0),L26/K26-1,"")</f>
        <v/>
      </c>
      <c r="M90" s="22" t="str">
        <f aca="false">IF(AND(ISNUMBER(M26),ISNUMBER(L26),L26&lt;&gt;0),M26/L26-1,"")</f>
        <v/>
      </c>
      <c r="N90" s="22" t="str">
        <f aca="false">IF(AND(ISNUMBER(N26),ISNUMBER(M26),M26&lt;&gt;0),N26/M26-1,"")</f>
        <v/>
      </c>
    </row>
    <row r="91" customFormat="false" ht="15" hidden="false" customHeight="false" outlineLevel="0" collapsed="false">
      <c r="A91" s="43" t="s">
        <v>507</v>
      </c>
      <c r="C91" s="5" t="s">
        <v>508</v>
      </c>
      <c r="F91" s="22" t="str">
        <f aca="false">IF(AND(ISNUMBER(F27),ISNUMBER(E27),E27&lt;&gt;0),F27/E27-1,"")</f>
        <v/>
      </c>
      <c r="G91" s="22" t="str">
        <f aca="false">IF(AND(ISNUMBER(G27),ISNUMBER(F27),F27&lt;&gt;0),G27/F27-1,"")</f>
        <v/>
      </c>
      <c r="H91" s="22" t="str">
        <f aca="false">IF(AND(ISNUMBER(H27),ISNUMBER(G27),G27&lt;&gt;0),H27/G27-1,"")</f>
        <v/>
      </c>
      <c r="I91" s="22" t="str">
        <f aca="false">IF(AND(ISNUMBER(I27),ISNUMBER(H27),H27&lt;&gt;0),I27/H27-1,"")</f>
        <v/>
      </c>
      <c r="J91" s="22" t="str">
        <f aca="false">IF(AND(ISNUMBER(J27),ISNUMBER(I27),I27&lt;&gt;0),J27/I27-1,"")</f>
        <v/>
      </c>
      <c r="K91" s="22" t="str">
        <f aca="false">IF(AND(ISNUMBER(K27),ISNUMBER(J27),J27&lt;&gt;0),K27/J27-1,"")</f>
        <v/>
      </c>
      <c r="L91" s="22" t="str">
        <f aca="false">IF(AND(ISNUMBER(L27),ISNUMBER(K27),K27&lt;&gt;0),L27/K27-1,"")</f>
        <v/>
      </c>
      <c r="M91" s="22" t="str">
        <f aca="false">IF(AND(ISNUMBER(M27),ISNUMBER(L27),L27&lt;&gt;0),M27/L27-1,"")</f>
        <v/>
      </c>
      <c r="N91" s="22" t="str">
        <f aca="false">IF(AND(ISNUMBER(N27),ISNUMBER(M27),M27&lt;&gt;0),N27/M27-1,"")</f>
        <v/>
      </c>
    </row>
    <row r="92" customFormat="false" ht="15" hidden="false" customHeight="false" outlineLevel="0" collapsed="false">
      <c r="A92" s="43" t="s">
        <v>509</v>
      </c>
      <c r="C92" s="5" t="s">
        <v>510</v>
      </c>
      <c r="F92" s="22" t="str">
        <f aca="false">IF(AND(ISNUMBER(F28),ISNUMBER(E28),E28&lt;&gt;0),F28/E28-1,"")</f>
        <v/>
      </c>
      <c r="G92" s="22" t="str">
        <f aca="false">IF(AND(ISNUMBER(G28),ISNUMBER(F28),F28&lt;&gt;0),G28/F28-1,"")</f>
        <v/>
      </c>
      <c r="H92" s="22" t="str">
        <f aca="false">IF(AND(ISNUMBER(H28),ISNUMBER(G28),G28&lt;&gt;0),H28/G28-1,"")</f>
        <v/>
      </c>
      <c r="I92" s="22" t="str">
        <f aca="false">IF(AND(ISNUMBER(I28),ISNUMBER(H28),H28&lt;&gt;0),I28/H28-1,"")</f>
        <v/>
      </c>
      <c r="J92" s="22" t="str">
        <f aca="false">IF(AND(ISNUMBER(J28),ISNUMBER(I28),I28&lt;&gt;0),J28/I28-1,"")</f>
        <v/>
      </c>
      <c r="K92" s="22" t="str">
        <f aca="false">IF(AND(ISNUMBER(K28),ISNUMBER(J28),J28&lt;&gt;0),K28/J28-1,"")</f>
        <v/>
      </c>
      <c r="L92" s="22" t="str">
        <f aca="false">IF(AND(ISNUMBER(L28),ISNUMBER(K28),K28&lt;&gt;0),L28/K28-1,"")</f>
        <v/>
      </c>
      <c r="M92" s="22" t="str">
        <f aca="false">IF(AND(ISNUMBER(M28),ISNUMBER(L28),L28&lt;&gt;0),M28/L28-1,"")</f>
        <v/>
      </c>
      <c r="N92" s="22" t="str">
        <f aca="false">IF(AND(ISNUMBER(N28),ISNUMBER(M28),M28&lt;&gt;0),N28/M28-1,"")</f>
        <v/>
      </c>
    </row>
    <row r="93" customFormat="false" ht="15" hidden="false" customHeight="false" outlineLevel="0" collapsed="false">
      <c r="A93" s="43" t="s">
        <v>511</v>
      </c>
      <c r="C93" s="5" t="s">
        <v>512</v>
      </c>
      <c r="F93" s="22" t="str">
        <f aca="false">IF(AND(ISNUMBER(F29),ISNUMBER(E29),E29&lt;&gt;0),F29/E29-1,"")</f>
        <v/>
      </c>
      <c r="G93" s="22" t="str">
        <f aca="false">IF(AND(ISNUMBER(G29),ISNUMBER(F29),F29&lt;&gt;0),G29/F29-1,"")</f>
        <v/>
      </c>
      <c r="H93" s="22" t="str">
        <f aca="false">IF(AND(ISNUMBER(H29),ISNUMBER(G29),G29&lt;&gt;0),H29/G29-1,"")</f>
        <v/>
      </c>
      <c r="I93" s="22" t="str">
        <f aca="false">IF(AND(ISNUMBER(I29),ISNUMBER(H29),H29&lt;&gt;0),I29/H29-1,"")</f>
        <v/>
      </c>
      <c r="J93" s="22" t="str">
        <f aca="false">IF(AND(ISNUMBER(J29),ISNUMBER(I29),I29&lt;&gt;0),J29/I29-1,"")</f>
        <v/>
      </c>
      <c r="K93" s="22" t="str">
        <f aca="false">IF(AND(ISNUMBER(K29),ISNUMBER(J29),J29&lt;&gt;0),K29/J29-1,"")</f>
        <v/>
      </c>
      <c r="L93" s="22" t="str">
        <f aca="false">IF(AND(ISNUMBER(L29),ISNUMBER(K29),K29&lt;&gt;0),L29/K29-1,"")</f>
        <v/>
      </c>
      <c r="M93" s="22" t="str">
        <f aca="false">IF(AND(ISNUMBER(M29),ISNUMBER(L29),L29&lt;&gt;0),M29/L29-1,"")</f>
        <v/>
      </c>
      <c r="N93" s="22" t="str">
        <f aca="false">IF(AND(ISNUMBER(N29),ISNUMBER(M29),M29&lt;&gt;0),N29/M29-1,"")</f>
        <v/>
      </c>
    </row>
    <row r="94" customFormat="false" ht="23.85" hidden="false" customHeight="false" outlineLevel="0" collapsed="false">
      <c r="A94" s="43" t="s">
        <v>513</v>
      </c>
      <c r="C94" s="5" t="s">
        <v>514</v>
      </c>
      <c r="F94" s="22" t="str">
        <f aca="false">IF(AND(ISNUMBER(F30),ISNUMBER(E30),E30&lt;&gt;0),F30/E30-1,"")</f>
        <v/>
      </c>
      <c r="G94" s="22" t="str">
        <f aca="false">IF(AND(ISNUMBER(G30),ISNUMBER(F30),F30&lt;&gt;0),G30/F30-1,"")</f>
        <v/>
      </c>
      <c r="H94" s="22" t="str">
        <f aca="false">IF(AND(ISNUMBER(H30),ISNUMBER(G30),G30&lt;&gt;0),H30/G30-1,"")</f>
        <v/>
      </c>
      <c r="I94" s="22" t="str">
        <f aca="false">IF(AND(ISNUMBER(I30),ISNUMBER(H30),H30&lt;&gt;0),I30/H30-1,"")</f>
        <v/>
      </c>
      <c r="J94" s="22" t="str">
        <f aca="false">IF(AND(ISNUMBER(J30),ISNUMBER(I30),I30&lt;&gt;0),J30/I30-1,"")</f>
        <v/>
      </c>
      <c r="K94" s="22" t="str">
        <f aca="false">IF(AND(ISNUMBER(K30),ISNUMBER(J30),J30&lt;&gt;0),K30/J30-1,"")</f>
        <v/>
      </c>
      <c r="L94" s="22" t="str">
        <f aca="false">IF(AND(ISNUMBER(L30),ISNUMBER(K30),K30&lt;&gt;0),L30/K30-1,"")</f>
        <v/>
      </c>
      <c r="M94" s="22" t="str">
        <f aca="false">IF(AND(ISNUMBER(M30),ISNUMBER(L30),L30&lt;&gt;0),M30/L30-1,"")</f>
        <v/>
      </c>
      <c r="N94" s="22" t="str">
        <f aca="false">IF(AND(ISNUMBER(N30),ISNUMBER(M30),M30&lt;&gt;0),N30/M30-1,"")</f>
        <v/>
      </c>
    </row>
    <row r="95" customFormat="false" ht="23.85" hidden="false" customHeight="false" outlineLevel="0" collapsed="false">
      <c r="A95" s="43" t="s">
        <v>516</v>
      </c>
      <c r="C95" s="5" t="s">
        <v>517</v>
      </c>
      <c r="F95" s="22" t="str">
        <f aca="false">IF(AND(ISNUMBER(F31),ISNUMBER(E31),E31&lt;&gt;0),F31/E31-1,"")</f>
        <v/>
      </c>
      <c r="G95" s="22" t="str">
        <f aca="false">IF(AND(ISNUMBER(G31),ISNUMBER(F31),F31&lt;&gt;0),G31/F31-1,"")</f>
        <v/>
      </c>
      <c r="H95" s="22" t="str">
        <f aca="false">IF(AND(ISNUMBER(H31),ISNUMBER(G31),G31&lt;&gt;0),H31/G31-1,"")</f>
        <v/>
      </c>
      <c r="I95" s="22" t="str">
        <f aca="false">IF(AND(ISNUMBER(I31),ISNUMBER(H31),H31&lt;&gt;0),I31/H31-1,"")</f>
        <v/>
      </c>
      <c r="J95" s="22" t="str">
        <f aca="false">IF(AND(ISNUMBER(J31),ISNUMBER(I31),I31&lt;&gt;0),J31/I31-1,"")</f>
        <v/>
      </c>
      <c r="K95" s="22" t="str">
        <f aca="false">IF(AND(ISNUMBER(K31),ISNUMBER(J31),J31&lt;&gt;0),K31/J31-1,"")</f>
        <v/>
      </c>
      <c r="L95" s="22" t="str">
        <f aca="false">IF(AND(ISNUMBER(L31),ISNUMBER(K31),K31&lt;&gt;0),L31/K31-1,"")</f>
        <v/>
      </c>
      <c r="M95" s="22" t="str">
        <f aca="false">IF(AND(ISNUMBER(M31),ISNUMBER(L31),L31&lt;&gt;0),M31/L31-1,"")</f>
        <v/>
      </c>
      <c r="N95" s="22" t="str">
        <f aca="false">IF(AND(ISNUMBER(N31),ISNUMBER(M31),M31&lt;&gt;0),N31/M31-1,"")</f>
        <v/>
      </c>
    </row>
    <row r="96" customFormat="false" ht="23.85" hidden="false" customHeight="false" outlineLevel="0" collapsed="false">
      <c r="A96" s="43" t="s">
        <v>518</v>
      </c>
      <c r="C96" s="5" t="s">
        <v>519</v>
      </c>
      <c r="F96" s="22" t="str">
        <f aca="false">IF(AND(ISNUMBER(F32),ISNUMBER(E32),E32&lt;&gt;0),F32/E32-1,"")</f>
        <v/>
      </c>
      <c r="G96" s="22" t="str">
        <f aca="false">IF(AND(ISNUMBER(G32),ISNUMBER(F32),F32&lt;&gt;0),G32/F32-1,"")</f>
        <v/>
      </c>
      <c r="H96" s="22" t="str">
        <f aca="false">IF(AND(ISNUMBER(H32),ISNUMBER(G32),G32&lt;&gt;0),H32/G32-1,"")</f>
        <v/>
      </c>
      <c r="I96" s="22" t="str">
        <f aca="false">IF(AND(ISNUMBER(I32),ISNUMBER(H32),H32&lt;&gt;0),I32/H32-1,"")</f>
        <v/>
      </c>
      <c r="J96" s="22" t="str">
        <f aca="false">IF(AND(ISNUMBER(J32),ISNUMBER(I32),I32&lt;&gt;0),J32/I32-1,"")</f>
        <v/>
      </c>
      <c r="K96" s="22" t="str">
        <f aca="false">IF(AND(ISNUMBER(K32),ISNUMBER(J32),J32&lt;&gt;0),K32/J32-1,"")</f>
        <v/>
      </c>
      <c r="L96" s="22" t="str">
        <f aca="false">IF(AND(ISNUMBER(L32),ISNUMBER(K32),K32&lt;&gt;0),L32/K32-1,"")</f>
        <v/>
      </c>
      <c r="M96" s="22" t="str">
        <f aca="false">IF(AND(ISNUMBER(M32),ISNUMBER(L32),L32&lt;&gt;0),M32/L32-1,"")</f>
        <v/>
      </c>
      <c r="N96" s="22" t="str">
        <f aca="false">IF(AND(ISNUMBER(N32),ISNUMBER(M32),M32&lt;&gt;0),N32/M32-1,"")</f>
        <v/>
      </c>
    </row>
    <row r="97" customFormat="false" ht="23.85" hidden="false" customHeight="false" outlineLevel="0" collapsed="false">
      <c r="A97" s="43" t="s">
        <v>520</v>
      </c>
      <c r="C97" s="5" t="s">
        <v>521</v>
      </c>
      <c r="F97" s="22" t="str">
        <f aca="false">IF(AND(ISNUMBER(F33),ISNUMBER(E33),E33&lt;&gt;0),F33/E33-1,"")</f>
        <v/>
      </c>
      <c r="G97" s="22" t="str">
        <f aca="false">IF(AND(ISNUMBER(G33),ISNUMBER(F33),F33&lt;&gt;0),G33/F33-1,"")</f>
        <v/>
      </c>
      <c r="H97" s="22" t="str">
        <f aca="false">IF(AND(ISNUMBER(H33),ISNUMBER(G33),G33&lt;&gt;0),H33/G33-1,"")</f>
        <v/>
      </c>
      <c r="I97" s="22" t="str">
        <f aca="false">IF(AND(ISNUMBER(I33),ISNUMBER(H33),H33&lt;&gt;0),I33/H33-1,"")</f>
        <v/>
      </c>
      <c r="J97" s="22" t="str">
        <f aca="false">IF(AND(ISNUMBER(J33),ISNUMBER(I33),I33&lt;&gt;0),J33/I33-1,"")</f>
        <v/>
      </c>
      <c r="K97" s="22" t="str">
        <f aca="false">IF(AND(ISNUMBER(K33),ISNUMBER(J33),J33&lt;&gt;0),K33/J33-1,"")</f>
        <v/>
      </c>
      <c r="L97" s="22" t="str">
        <f aca="false">IF(AND(ISNUMBER(L33),ISNUMBER(K33),K33&lt;&gt;0),L33/K33-1,"")</f>
        <v/>
      </c>
      <c r="M97" s="22" t="str">
        <f aca="false">IF(AND(ISNUMBER(M33),ISNUMBER(L33),L33&lt;&gt;0),M33/L33-1,"")</f>
        <v/>
      </c>
      <c r="N97" s="22" t="str">
        <f aca="false">IF(AND(ISNUMBER(N33),ISNUMBER(M33),M33&lt;&gt;0),N33/M33-1,"")</f>
        <v/>
      </c>
    </row>
    <row r="98" customFormat="false" ht="23.85" hidden="false" customHeight="false" outlineLevel="0" collapsed="false">
      <c r="A98" s="43" t="s">
        <v>522</v>
      </c>
      <c r="C98" s="5" t="s">
        <v>523</v>
      </c>
      <c r="F98" s="22" t="str">
        <f aca="false">IF(AND(ISNUMBER(F34),ISNUMBER(E34),E34&lt;&gt;0),F34/E34-1,"")</f>
        <v/>
      </c>
      <c r="G98" s="22" t="str">
        <f aca="false">IF(AND(ISNUMBER(G34),ISNUMBER(F34),F34&lt;&gt;0),G34/F34-1,"")</f>
        <v/>
      </c>
      <c r="H98" s="22" t="str">
        <f aca="false">IF(AND(ISNUMBER(H34),ISNUMBER(G34),G34&lt;&gt;0),H34/G34-1,"")</f>
        <v/>
      </c>
      <c r="I98" s="22" t="str">
        <f aca="false">IF(AND(ISNUMBER(I34),ISNUMBER(H34),H34&lt;&gt;0),I34/H34-1,"")</f>
        <v/>
      </c>
      <c r="J98" s="22" t="str">
        <f aca="false">IF(AND(ISNUMBER(J34),ISNUMBER(I34),I34&lt;&gt;0),J34/I34-1,"")</f>
        <v/>
      </c>
      <c r="K98" s="22" t="str">
        <f aca="false">IF(AND(ISNUMBER(K34),ISNUMBER(J34),J34&lt;&gt;0),K34/J34-1,"")</f>
        <v/>
      </c>
      <c r="L98" s="22" t="str">
        <f aca="false">IF(AND(ISNUMBER(L34),ISNUMBER(K34),K34&lt;&gt;0),L34/K34-1,"")</f>
        <v/>
      </c>
      <c r="M98" s="22" t="str">
        <f aca="false">IF(AND(ISNUMBER(M34),ISNUMBER(L34),L34&lt;&gt;0),M34/L34-1,"")</f>
        <v/>
      </c>
      <c r="N98" s="22" t="str">
        <f aca="false">IF(AND(ISNUMBER(N34),ISNUMBER(M34),M34&lt;&gt;0),N34/M34-1,"")</f>
        <v/>
      </c>
    </row>
    <row r="99" customFormat="false" ht="23.85" hidden="false" customHeight="false" outlineLevel="0" collapsed="false">
      <c r="A99" s="43" t="s">
        <v>524</v>
      </c>
      <c r="C99" s="5" t="s">
        <v>525</v>
      </c>
      <c r="F99" s="22" t="str">
        <f aca="false">IF(AND(ISNUMBER(F35),ISNUMBER(E35),E35&lt;&gt;0),F35/E35-1,"")</f>
        <v/>
      </c>
      <c r="G99" s="22" t="str">
        <f aca="false">IF(AND(ISNUMBER(G35),ISNUMBER(F35),F35&lt;&gt;0),G35/F35-1,"")</f>
        <v/>
      </c>
      <c r="H99" s="22" t="str">
        <f aca="false">IF(AND(ISNUMBER(H35),ISNUMBER(G35),G35&lt;&gt;0),H35/G35-1,"")</f>
        <v/>
      </c>
      <c r="I99" s="22" t="str">
        <f aca="false">IF(AND(ISNUMBER(I35),ISNUMBER(H35),H35&lt;&gt;0),I35/H35-1,"")</f>
        <v/>
      </c>
      <c r="J99" s="22" t="str">
        <f aca="false">IF(AND(ISNUMBER(J35),ISNUMBER(I35),I35&lt;&gt;0),J35/I35-1,"")</f>
        <v/>
      </c>
      <c r="K99" s="22" t="str">
        <f aca="false">IF(AND(ISNUMBER(K35),ISNUMBER(J35),J35&lt;&gt;0),K35/J35-1,"")</f>
        <v/>
      </c>
      <c r="L99" s="22" t="str">
        <f aca="false">IF(AND(ISNUMBER(L35),ISNUMBER(K35),K35&lt;&gt;0),L35/K35-1,"")</f>
        <v/>
      </c>
      <c r="M99" s="22" t="str">
        <f aca="false">IF(AND(ISNUMBER(M35),ISNUMBER(L35),L35&lt;&gt;0),M35/L35-1,"")</f>
        <v/>
      </c>
      <c r="N99" s="22" t="str">
        <f aca="false">IF(AND(ISNUMBER(N35),ISNUMBER(M35),M35&lt;&gt;0),N35/M35-1,"")</f>
        <v/>
      </c>
    </row>
    <row r="100" customFormat="false" ht="23.85" hidden="false" customHeight="false" outlineLevel="0" collapsed="false">
      <c r="A100" s="43" t="s">
        <v>526</v>
      </c>
      <c r="C100" s="5" t="s">
        <v>527</v>
      </c>
      <c r="F100" s="22" t="str">
        <f aca="false">IF(AND(ISNUMBER(F36),ISNUMBER(E36),E36&lt;&gt;0),F36/E36-1,"")</f>
        <v/>
      </c>
      <c r="G100" s="22" t="str">
        <f aca="false">IF(AND(ISNUMBER(G36),ISNUMBER(F36),F36&lt;&gt;0),G36/F36-1,"")</f>
        <v/>
      </c>
      <c r="H100" s="22" t="str">
        <f aca="false">IF(AND(ISNUMBER(H36),ISNUMBER(G36),G36&lt;&gt;0),H36/G36-1,"")</f>
        <v/>
      </c>
      <c r="I100" s="22" t="str">
        <f aca="false">IF(AND(ISNUMBER(I36),ISNUMBER(H36),H36&lt;&gt;0),I36/H36-1,"")</f>
        <v/>
      </c>
      <c r="J100" s="22" t="str">
        <f aca="false">IF(AND(ISNUMBER(J36),ISNUMBER(I36),I36&lt;&gt;0),J36/I36-1,"")</f>
        <v/>
      </c>
      <c r="K100" s="22" t="str">
        <f aca="false">IF(AND(ISNUMBER(K36),ISNUMBER(J36),J36&lt;&gt;0),K36/J36-1,"")</f>
        <v/>
      </c>
      <c r="L100" s="22" t="str">
        <f aca="false">IF(AND(ISNUMBER(L36),ISNUMBER(K36),K36&lt;&gt;0),L36/K36-1,"")</f>
        <v/>
      </c>
      <c r="M100" s="22" t="str">
        <f aca="false">IF(AND(ISNUMBER(M36),ISNUMBER(L36),L36&lt;&gt;0),M36/L36-1,"")</f>
        <v/>
      </c>
      <c r="N100" s="22" t="str">
        <f aca="false">IF(AND(ISNUMBER(N36),ISNUMBER(M36),M36&lt;&gt;0),N36/M36-1,"")</f>
        <v/>
      </c>
    </row>
    <row r="101" customFormat="false" ht="23.85" hidden="false" customHeight="false" outlineLevel="0" collapsed="false">
      <c r="A101" s="43" t="s">
        <v>528</v>
      </c>
      <c r="C101" s="5" t="s">
        <v>529</v>
      </c>
      <c r="F101" s="22" t="str">
        <f aca="false">IF(AND(ISNUMBER(F37),ISNUMBER(E37),E37&lt;&gt;0),F37/E37-1,"")</f>
        <v/>
      </c>
      <c r="G101" s="22" t="str">
        <f aca="false">IF(AND(ISNUMBER(G37),ISNUMBER(F37),F37&lt;&gt;0),G37/F37-1,"")</f>
        <v/>
      </c>
      <c r="H101" s="22" t="str">
        <f aca="false">IF(AND(ISNUMBER(H37),ISNUMBER(G37),G37&lt;&gt;0),H37/G37-1,"")</f>
        <v/>
      </c>
      <c r="I101" s="22" t="str">
        <f aca="false">IF(AND(ISNUMBER(I37),ISNUMBER(H37),H37&lt;&gt;0),I37/H37-1,"")</f>
        <v/>
      </c>
      <c r="J101" s="22" t="str">
        <f aca="false">IF(AND(ISNUMBER(J37),ISNUMBER(I37),I37&lt;&gt;0),J37/I37-1,"")</f>
        <v/>
      </c>
      <c r="K101" s="22" t="str">
        <f aca="false">IF(AND(ISNUMBER(K37),ISNUMBER(J37),J37&lt;&gt;0),K37/J37-1,"")</f>
        <v/>
      </c>
      <c r="L101" s="22" t="str">
        <f aca="false">IF(AND(ISNUMBER(L37),ISNUMBER(K37),K37&lt;&gt;0),L37/K37-1,"")</f>
        <v/>
      </c>
      <c r="M101" s="22" t="str">
        <f aca="false">IF(AND(ISNUMBER(M37),ISNUMBER(L37),L37&lt;&gt;0),M37/L37-1,"")</f>
        <v/>
      </c>
      <c r="N101" s="22" t="str">
        <f aca="false">IF(AND(ISNUMBER(N37),ISNUMBER(M37),M37&lt;&gt;0),N37/M37-1,"")</f>
        <v/>
      </c>
    </row>
    <row r="102" customFormat="false" ht="15" hidden="false" customHeight="false" outlineLevel="0" collapsed="false">
      <c r="A102" s="43" t="s">
        <v>530</v>
      </c>
      <c r="C102" s="5" t="s">
        <v>531</v>
      </c>
      <c r="F102" s="22" t="str">
        <f aca="false">IF(AND(ISNUMBER(F38),ISNUMBER(E38),E38&lt;&gt;0),F38/E38-1,"")</f>
        <v/>
      </c>
      <c r="G102" s="22" t="str">
        <f aca="false">IF(AND(ISNUMBER(G38),ISNUMBER(F38),F38&lt;&gt;0),G38/F38-1,"")</f>
        <v/>
      </c>
      <c r="H102" s="22" t="str">
        <f aca="false">IF(AND(ISNUMBER(H38),ISNUMBER(G38),G38&lt;&gt;0),H38/G38-1,"")</f>
        <v/>
      </c>
      <c r="I102" s="22" t="str">
        <f aca="false">IF(AND(ISNUMBER(I38),ISNUMBER(H38),H38&lt;&gt;0),I38/H38-1,"")</f>
        <v/>
      </c>
      <c r="J102" s="22" t="str">
        <f aca="false">IF(AND(ISNUMBER(J38),ISNUMBER(I38),I38&lt;&gt;0),J38/I38-1,"")</f>
        <v/>
      </c>
      <c r="K102" s="22" t="str">
        <f aca="false">IF(AND(ISNUMBER(K38),ISNUMBER(J38),J38&lt;&gt;0),K38/J38-1,"")</f>
        <v/>
      </c>
      <c r="L102" s="22" t="str">
        <f aca="false">IF(AND(ISNUMBER(L38),ISNUMBER(K38),K38&lt;&gt;0),L38/K38-1,"")</f>
        <v/>
      </c>
      <c r="M102" s="22" t="str">
        <f aca="false">IF(AND(ISNUMBER(M38),ISNUMBER(L38),L38&lt;&gt;0),M38/L38-1,"")</f>
        <v/>
      </c>
      <c r="N102" s="22" t="str">
        <f aca="false">IF(AND(ISNUMBER(N38),ISNUMBER(M38),M38&lt;&gt;0),N38/M38-1,"")</f>
        <v/>
      </c>
    </row>
    <row r="103" customFormat="false" ht="15" hidden="false" customHeight="false" outlineLevel="0" collapsed="false">
      <c r="A103" s="43" t="s">
        <v>533</v>
      </c>
      <c r="C103" s="5" t="s">
        <v>534</v>
      </c>
      <c r="F103" s="22" t="str">
        <f aca="false">IF(AND(ISNUMBER(F39),ISNUMBER(E39),E39&lt;&gt;0),F39/E39-1,"")</f>
        <v/>
      </c>
      <c r="G103" s="22" t="str">
        <f aca="false">IF(AND(ISNUMBER(G39),ISNUMBER(F39),F39&lt;&gt;0),G39/F39-1,"")</f>
        <v/>
      </c>
      <c r="H103" s="22" t="str">
        <f aca="false">IF(AND(ISNUMBER(H39),ISNUMBER(G39),G39&lt;&gt;0),H39/G39-1,"")</f>
        <v/>
      </c>
      <c r="I103" s="22" t="str">
        <f aca="false">IF(AND(ISNUMBER(I39),ISNUMBER(H39),H39&lt;&gt;0),I39/H39-1,"")</f>
        <v/>
      </c>
      <c r="J103" s="22" t="str">
        <f aca="false">IF(AND(ISNUMBER(J39),ISNUMBER(I39),I39&lt;&gt;0),J39/I39-1,"")</f>
        <v/>
      </c>
      <c r="K103" s="22" t="str">
        <f aca="false">IF(AND(ISNUMBER(K39),ISNUMBER(J39),J39&lt;&gt;0),K39/J39-1,"")</f>
        <v/>
      </c>
      <c r="L103" s="22" t="str">
        <f aca="false">IF(AND(ISNUMBER(L39),ISNUMBER(K39),K39&lt;&gt;0),L39/K39-1,"")</f>
        <v/>
      </c>
      <c r="M103" s="22" t="str">
        <f aca="false">IF(AND(ISNUMBER(M39),ISNUMBER(L39),L39&lt;&gt;0),M39/L39-1,"")</f>
        <v/>
      </c>
      <c r="N103" s="22" t="str">
        <f aca="false">IF(AND(ISNUMBER(N39),ISNUMBER(M39),M39&lt;&gt;0),N39/M39-1,"")</f>
        <v/>
      </c>
    </row>
    <row r="104" customFormat="false" ht="15" hidden="false" customHeight="false" outlineLevel="0" collapsed="false">
      <c r="A104" s="43" t="s">
        <v>535</v>
      </c>
      <c r="C104" s="5" t="s">
        <v>536</v>
      </c>
      <c r="F104" s="22" t="str">
        <f aca="false">IF(AND(ISNUMBER(F40),ISNUMBER(E40),E40&lt;&gt;0),F40/E40-1,"")</f>
        <v/>
      </c>
      <c r="G104" s="22" t="str">
        <f aca="false">IF(AND(ISNUMBER(G40),ISNUMBER(F40),F40&lt;&gt;0),G40/F40-1,"")</f>
        <v/>
      </c>
      <c r="H104" s="22" t="str">
        <f aca="false">IF(AND(ISNUMBER(H40),ISNUMBER(G40),G40&lt;&gt;0),H40/G40-1,"")</f>
        <v/>
      </c>
      <c r="I104" s="22" t="str">
        <f aca="false">IF(AND(ISNUMBER(I40),ISNUMBER(H40),H40&lt;&gt;0),I40/H40-1,"")</f>
        <v/>
      </c>
      <c r="J104" s="22" t="str">
        <f aca="false">IF(AND(ISNUMBER(J40),ISNUMBER(I40),I40&lt;&gt;0),J40/I40-1,"")</f>
        <v/>
      </c>
      <c r="K104" s="22" t="str">
        <f aca="false">IF(AND(ISNUMBER(K40),ISNUMBER(J40),J40&lt;&gt;0),K40/J40-1,"")</f>
        <v/>
      </c>
      <c r="L104" s="22" t="str">
        <f aca="false">IF(AND(ISNUMBER(L40),ISNUMBER(K40),K40&lt;&gt;0),L40/K40-1,"")</f>
        <v/>
      </c>
      <c r="M104" s="22" t="str">
        <f aca="false">IF(AND(ISNUMBER(M40),ISNUMBER(L40),L40&lt;&gt;0),M40/L40-1,"")</f>
        <v/>
      </c>
      <c r="N104" s="22" t="str">
        <f aca="false">IF(AND(ISNUMBER(N40),ISNUMBER(M40),M40&lt;&gt;0),N40/M40-1,"")</f>
        <v/>
      </c>
    </row>
    <row r="105" customFormat="false" ht="15" hidden="false" customHeight="false" outlineLevel="0" collapsed="false">
      <c r="A105" s="43" t="s">
        <v>537</v>
      </c>
      <c r="C105" s="5" t="s">
        <v>538</v>
      </c>
      <c r="F105" s="22" t="str">
        <f aca="false">IF(AND(ISNUMBER(F41),ISNUMBER(E41),E41&lt;&gt;0),F41/E41-1,"")</f>
        <v/>
      </c>
      <c r="G105" s="22" t="str">
        <f aca="false">IF(AND(ISNUMBER(G41),ISNUMBER(F41),F41&lt;&gt;0),G41/F41-1,"")</f>
        <v/>
      </c>
      <c r="H105" s="22" t="str">
        <f aca="false">IF(AND(ISNUMBER(H41),ISNUMBER(G41),G41&lt;&gt;0),H41/G41-1,"")</f>
        <v/>
      </c>
      <c r="I105" s="22" t="str">
        <f aca="false">IF(AND(ISNUMBER(I41),ISNUMBER(H41),H41&lt;&gt;0),I41/H41-1,"")</f>
        <v/>
      </c>
      <c r="J105" s="22" t="str">
        <f aca="false">IF(AND(ISNUMBER(J41),ISNUMBER(I41),I41&lt;&gt;0),J41/I41-1,"")</f>
        <v/>
      </c>
      <c r="K105" s="22" t="str">
        <f aca="false">IF(AND(ISNUMBER(K41),ISNUMBER(J41),J41&lt;&gt;0),K41/J41-1,"")</f>
        <v/>
      </c>
      <c r="L105" s="22" t="str">
        <f aca="false">IF(AND(ISNUMBER(L41),ISNUMBER(K41),K41&lt;&gt;0),L41/K41-1,"")</f>
        <v/>
      </c>
      <c r="M105" s="22" t="str">
        <f aca="false">IF(AND(ISNUMBER(M41),ISNUMBER(L41),L41&lt;&gt;0),M41/L41-1,"")</f>
        <v/>
      </c>
      <c r="N105" s="22" t="str">
        <f aca="false">IF(AND(ISNUMBER(N41),ISNUMBER(M41),M41&lt;&gt;0),N41/M41-1,"")</f>
        <v/>
      </c>
    </row>
    <row r="106" customFormat="false" ht="15" hidden="false" customHeight="false" outlineLevel="0" collapsed="false">
      <c r="A106" s="43" t="s">
        <v>539</v>
      </c>
      <c r="C106" s="5" t="s">
        <v>540</v>
      </c>
      <c r="F106" s="22" t="str">
        <f aca="false">IF(AND(ISNUMBER(F42),ISNUMBER(E42),E42&lt;&gt;0),F42/E42-1,"")</f>
        <v/>
      </c>
      <c r="G106" s="22" t="str">
        <f aca="false">IF(AND(ISNUMBER(G42),ISNUMBER(F42),F42&lt;&gt;0),G42/F42-1,"")</f>
        <v/>
      </c>
      <c r="H106" s="22" t="str">
        <f aca="false">IF(AND(ISNUMBER(H42),ISNUMBER(G42),G42&lt;&gt;0),H42/G42-1,"")</f>
        <v/>
      </c>
      <c r="I106" s="22" t="str">
        <f aca="false">IF(AND(ISNUMBER(I42),ISNUMBER(H42),H42&lt;&gt;0),I42/H42-1,"")</f>
        <v/>
      </c>
      <c r="J106" s="22" t="str">
        <f aca="false">IF(AND(ISNUMBER(J42),ISNUMBER(I42),I42&lt;&gt;0),J42/I42-1,"")</f>
        <v/>
      </c>
      <c r="K106" s="22" t="str">
        <f aca="false">IF(AND(ISNUMBER(K42),ISNUMBER(J42),J42&lt;&gt;0),K42/J42-1,"")</f>
        <v/>
      </c>
      <c r="L106" s="22" t="str">
        <f aca="false">IF(AND(ISNUMBER(L42),ISNUMBER(K42),K42&lt;&gt;0),L42/K42-1,"")</f>
        <v/>
      </c>
      <c r="M106" s="22" t="str">
        <f aca="false">IF(AND(ISNUMBER(M42),ISNUMBER(L42),L42&lt;&gt;0),M42/L42-1,"")</f>
        <v/>
      </c>
      <c r="N106" s="22" t="str">
        <f aca="false">IF(AND(ISNUMBER(N42),ISNUMBER(M42),M42&lt;&gt;0),N42/M42-1,"")</f>
        <v/>
      </c>
    </row>
    <row r="107" customFormat="false" ht="15" hidden="false" customHeight="false" outlineLevel="0" collapsed="false">
      <c r="A107" s="43" t="s">
        <v>541</v>
      </c>
      <c r="C107" s="5" t="s">
        <v>542</v>
      </c>
      <c r="F107" s="22" t="str">
        <f aca="false">IF(AND(ISNUMBER(F43),ISNUMBER(E43),E43&lt;&gt;0),F43/E43-1,"")</f>
        <v/>
      </c>
      <c r="G107" s="22" t="str">
        <f aca="false">IF(AND(ISNUMBER(G43),ISNUMBER(F43),F43&lt;&gt;0),G43/F43-1,"")</f>
        <v/>
      </c>
      <c r="H107" s="22" t="str">
        <f aca="false">IF(AND(ISNUMBER(H43),ISNUMBER(G43),G43&lt;&gt;0),H43/G43-1,"")</f>
        <v/>
      </c>
      <c r="I107" s="22" t="str">
        <f aca="false">IF(AND(ISNUMBER(I43),ISNUMBER(H43),H43&lt;&gt;0),I43/H43-1,"")</f>
        <v/>
      </c>
      <c r="J107" s="22" t="str">
        <f aca="false">IF(AND(ISNUMBER(J43),ISNUMBER(I43),I43&lt;&gt;0),J43/I43-1,"")</f>
        <v/>
      </c>
      <c r="K107" s="22" t="str">
        <f aca="false">IF(AND(ISNUMBER(K43),ISNUMBER(J43),J43&lt;&gt;0),K43/J43-1,"")</f>
        <v/>
      </c>
      <c r="L107" s="22" t="str">
        <f aca="false">IF(AND(ISNUMBER(L43),ISNUMBER(K43),K43&lt;&gt;0),L43/K43-1,"")</f>
        <v/>
      </c>
      <c r="M107" s="22" t="str">
        <f aca="false">IF(AND(ISNUMBER(M43),ISNUMBER(L43),L43&lt;&gt;0),M43/L43-1,"")</f>
        <v/>
      </c>
      <c r="N107" s="22" t="str">
        <f aca="false">IF(AND(ISNUMBER(N43),ISNUMBER(M43),M43&lt;&gt;0),N43/M43-1,"")</f>
        <v/>
      </c>
    </row>
    <row r="108" customFormat="false" ht="15" hidden="false" customHeight="false" outlineLevel="0" collapsed="false">
      <c r="A108" s="43" t="s">
        <v>543</v>
      </c>
      <c r="C108" s="5" t="s">
        <v>544</v>
      </c>
      <c r="F108" s="22" t="str">
        <f aca="false">IF(AND(ISNUMBER(F44),ISNUMBER(E44),E44&lt;&gt;0),F44/E44-1,"")</f>
        <v/>
      </c>
      <c r="G108" s="22" t="str">
        <f aca="false">IF(AND(ISNUMBER(G44),ISNUMBER(F44),F44&lt;&gt;0),G44/F44-1,"")</f>
        <v/>
      </c>
      <c r="H108" s="22" t="str">
        <f aca="false">IF(AND(ISNUMBER(H44),ISNUMBER(G44),G44&lt;&gt;0),H44/G44-1,"")</f>
        <v/>
      </c>
      <c r="I108" s="22" t="str">
        <f aca="false">IF(AND(ISNUMBER(I44),ISNUMBER(H44),H44&lt;&gt;0),I44/H44-1,"")</f>
        <v/>
      </c>
      <c r="J108" s="22" t="str">
        <f aca="false">IF(AND(ISNUMBER(J44),ISNUMBER(I44),I44&lt;&gt;0),J44/I44-1,"")</f>
        <v/>
      </c>
      <c r="K108" s="22" t="str">
        <f aca="false">IF(AND(ISNUMBER(K44),ISNUMBER(J44),J44&lt;&gt;0),K44/J44-1,"")</f>
        <v/>
      </c>
      <c r="L108" s="22" t="str">
        <f aca="false">IF(AND(ISNUMBER(L44),ISNUMBER(K44),K44&lt;&gt;0),L44/K44-1,"")</f>
        <v/>
      </c>
      <c r="M108" s="22" t="str">
        <f aca="false">IF(AND(ISNUMBER(M44),ISNUMBER(L44),L44&lt;&gt;0),M44/L44-1,"")</f>
        <v/>
      </c>
      <c r="N108" s="22" t="str">
        <f aca="false">IF(AND(ISNUMBER(N44),ISNUMBER(M44),M44&lt;&gt;0),N44/M44-1,"")</f>
        <v/>
      </c>
    </row>
    <row r="109" customFormat="false" ht="15" hidden="false" customHeight="false" outlineLevel="0" collapsed="false">
      <c r="A109" s="43" t="s">
        <v>545</v>
      </c>
      <c r="C109" s="5" t="s">
        <v>546</v>
      </c>
      <c r="F109" s="22" t="str">
        <f aca="false">IF(AND(ISNUMBER(F45),ISNUMBER(E45),E45&lt;&gt;0),F45/E45-1,"")</f>
        <v/>
      </c>
      <c r="G109" s="22" t="str">
        <f aca="false">IF(AND(ISNUMBER(G45),ISNUMBER(F45),F45&lt;&gt;0),G45/F45-1,"")</f>
        <v/>
      </c>
      <c r="H109" s="22" t="str">
        <f aca="false">IF(AND(ISNUMBER(H45),ISNUMBER(G45),G45&lt;&gt;0),H45/G45-1,"")</f>
        <v/>
      </c>
      <c r="I109" s="22" t="str">
        <f aca="false">IF(AND(ISNUMBER(I45),ISNUMBER(H45),H45&lt;&gt;0),I45/H45-1,"")</f>
        <v/>
      </c>
      <c r="J109" s="22" t="str">
        <f aca="false">IF(AND(ISNUMBER(J45),ISNUMBER(I45),I45&lt;&gt;0),J45/I45-1,"")</f>
        <v/>
      </c>
      <c r="K109" s="22" t="str">
        <f aca="false">IF(AND(ISNUMBER(K45),ISNUMBER(J45),J45&lt;&gt;0),K45/J45-1,"")</f>
        <v/>
      </c>
      <c r="L109" s="22" t="str">
        <f aca="false">IF(AND(ISNUMBER(L45),ISNUMBER(K45),K45&lt;&gt;0),L45/K45-1,"")</f>
        <v/>
      </c>
      <c r="M109" s="22" t="str">
        <f aca="false">IF(AND(ISNUMBER(M45),ISNUMBER(L45),L45&lt;&gt;0),M45/L45-1,"")</f>
        <v/>
      </c>
      <c r="N109" s="22" t="str">
        <f aca="false">IF(AND(ISNUMBER(N45),ISNUMBER(M45),M45&lt;&gt;0),N45/M45-1,"")</f>
        <v/>
      </c>
    </row>
    <row r="110" customFormat="false" ht="15" hidden="false" customHeight="false" outlineLevel="0" collapsed="false">
      <c r="A110" s="43" t="s">
        <v>547</v>
      </c>
      <c r="C110" s="5" t="s">
        <v>549</v>
      </c>
      <c r="F110" s="22" t="str">
        <f aca="false">IF(AND(ISNUMBER(F46),ISNUMBER(E46),E46&lt;&gt;0),F46/E46-1,"")</f>
        <v/>
      </c>
      <c r="G110" s="22" t="str">
        <f aca="false">IF(AND(ISNUMBER(G46),ISNUMBER(F46),F46&lt;&gt;0),G46/F46-1,"")</f>
        <v/>
      </c>
      <c r="H110" s="22" t="str">
        <f aca="false">IF(AND(ISNUMBER(H46),ISNUMBER(G46),G46&lt;&gt;0),H46/G46-1,"")</f>
        <v/>
      </c>
      <c r="I110" s="22" t="str">
        <f aca="false">IF(AND(ISNUMBER(I46),ISNUMBER(H46),H46&lt;&gt;0),I46/H46-1,"")</f>
        <v/>
      </c>
      <c r="J110" s="22" t="str">
        <f aca="false">IF(AND(ISNUMBER(J46),ISNUMBER(I46),I46&lt;&gt;0),J46/I46-1,"")</f>
        <v/>
      </c>
      <c r="K110" s="22" t="str">
        <f aca="false">IF(AND(ISNUMBER(K46),ISNUMBER(J46),J46&lt;&gt;0),K46/J46-1,"")</f>
        <v/>
      </c>
      <c r="L110" s="22" t="str">
        <f aca="false">IF(AND(ISNUMBER(L46),ISNUMBER(K46),K46&lt;&gt;0),L46/K46-1,"")</f>
        <v/>
      </c>
      <c r="M110" s="22" t="str">
        <f aca="false">IF(AND(ISNUMBER(M46),ISNUMBER(L46),L46&lt;&gt;0),M46/L46-1,"")</f>
        <v/>
      </c>
      <c r="N110" s="22" t="str">
        <f aca="false">IF(AND(ISNUMBER(N46),ISNUMBER(M46),M46&lt;&gt;0),N46/M46-1,"")</f>
        <v/>
      </c>
    </row>
    <row r="111" customFormat="false" ht="15" hidden="false" customHeight="false" outlineLevel="0" collapsed="false">
      <c r="A111" s="43" t="s">
        <v>550</v>
      </c>
      <c r="C111" s="5" t="s">
        <v>551</v>
      </c>
      <c r="F111" s="22" t="str">
        <f aca="false">IF(AND(ISNUMBER(F47),ISNUMBER(E47),E47&lt;&gt;0),F47/E47-1,"")</f>
        <v/>
      </c>
      <c r="G111" s="22" t="str">
        <f aca="false">IF(AND(ISNUMBER(G47),ISNUMBER(F47),F47&lt;&gt;0),G47/F47-1,"")</f>
        <v/>
      </c>
      <c r="H111" s="22" t="str">
        <f aca="false">IF(AND(ISNUMBER(H47),ISNUMBER(G47),G47&lt;&gt;0),H47/G47-1,"")</f>
        <v/>
      </c>
      <c r="I111" s="22" t="str">
        <f aca="false">IF(AND(ISNUMBER(I47),ISNUMBER(H47),H47&lt;&gt;0),I47/H47-1,"")</f>
        <v/>
      </c>
      <c r="J111" s="22" t="str">
        <f aca="false">IF(AND(ISNUMBER(J47),ISNUMBER(I47),I47&lt;&gt;0),J47/I47-1,"")</f>
        <v/>
      </c>
      <c r="K111" s="22" t="str">
        <f aca="false">IF(AND(ISNUMBER(K47),ISNUMBER(J47),J47&lt;&gt;0),K47/J47-1,"")</f>
        <v/>
      </c>
      <c r="L111" s="22" t="str">
        <f aca="false">IF(AND(ISNUMBER(L47),ISNUMBER(K47),K47&lt;&gt;0),L47/K47-1,"")</f>
        <v/>
      </c>
      <c r="M111" s="22" t="str">
        <f aca="false">IF(AND(ISNUMBER(M47),ISNUMBER(L47),L47&lt;&gt;0),M47/L47-1,"")</f>
        <v/>
      </c>
      <c r="N111" s="22" t="str">
        <f aca="false">IF(AND(ISNUMBER(N47),ISNUMBER(M47),M47&lt;&gt;0),N47/M47-1,"")</f>
        <v/>
      </c>
    </row>
    <row r="112" customFormat="false" ht="15" hidden="false" customHeight="false" outlineLevel="0" collapsed="false">
      <c r="A112" s="43" t="s">
        <v>552</v>
      </c>
      <c r="C112" s="5" t="s">
        <v>553</v>
      </c>
      <c r="F112" s="22" t="str">
        <f aca="false">IF(AND(ISNUMBER(F48),ISNUMBER(E48),E48&lt;&gt;0),F48/E48-1,"")</f>
        <v/>
      </c>
      <c r="G112" s="22" t="str">
        <f aca="false">IF(AND(ISNUMBER(G48),ISNUMBER(F48),F48&lt;&gt;0),G48/F48-1,"")</f>
        <v/>
      </c>
      <c r="H112" s="22" t="str">
        <f aca="false">IF(AND(ISNUMBER(H48),ISNUMBER(G48),G48&lt;&gt;0),H48/G48-1,"")</f>
        <v/>
      </c>
      <c r="I112" s="22" t="str">
        <f aca="false">IF(AND(ISNUMBER(I48),ISNUMBER(H48),H48&lt;&gt;0),I48/H48-1,"")</f>
        <v/>
      </c>
      <c r="J112" s="22" t="str">
        <f aca="false">IF(AND(ISNUMBER(J48),ISNUMBER(I48),I48&lt;&gt;0),J48/I48-1,"")</f>
        <v/>
      </c>
      <c r="K112" s="22" t="str">
        <f aca="false">IF(AND(ISNUMBER(K48),ISNUMBER(J48),J48&lt;&gt;0),K48/J48-1,"")</f>
        <v/>
      </c>
      <c r="L112" s="22" t="str">
        <f aca="false">IF(AND(ISNUMBER(L48),ISNUMBER(K48),K48&lt;&gt;0),L48/K48-1,"")</f>
        <v/>
      </c>
      <c r="M112" s="22" t="str">
        <f aca="false">IF(AND(ISNUMBER(M48),ISNUMBER(L48),L48&lt;&gt;0),M48/L48-1,"")</f>
        <v/>
      </c>
      <c r="N112" s="22" t="str">
        <f aca="false">IF(AND(ISNUMBER(N48),ISNUMBER(M48),M48&lt;&gt;0),N48/M48-1,"")</f>
        <v/>
      </c>
    </row>
    <row r="113" customFormat="false" ht="15" hidden="false" customHeight="false" outlineLevel="0" collapsed="false">
      <c r="A113" s="43" t="s">
        <v>555</v>
      </c>
      <c r="C113" s="5" t="s">
        <v>556</v>
      </c>
      <c r="F113" s="22" t="str">
        <f aca="false">IF(AND(ISNUMBER(F49),ISNUMBER(E49),E49&lt;&gt;0),F49/E49-1,"")</f>
        <v/>
      </c>
      <c r="G113" s="22" t="str">
        <f aca="false">IF(AND(ISNUMBER(G49),ISNUMBER(F49),F49&lt;&gt;0),G49/F49-1,"")</f>
        <v/>
      </c>
      <c r="H113" s="22" t="str">
        <f aca="false">IF(AND(ISNUMBER(H49),ISNUMBER(G49),G49&lt;&gt;0),H49/G49-1,"")</f>
        <v/>
      </c>
      <c r="I113" s="22" t="str">
        <f aca="false">IF(AND(ISNUMBER(I49),ISNUMBER(H49),H49&lt;&gt;0),I49/H49-1,"")</f>
        <v/>
      </c>
      <c r="J113" s="22" t="str">
        <f aca="false">IF(AND(ISNUMBER(J49),ISNUMBER(I49),I49&lt;&gt;0),J49/I49-1,"")</f>
        <v/>
      </c>
      <c r="K113" s="22" t="str">
        <f aca="false">IF(AND(ISNUMBER(K49),ISNUMBER(J49),J49&lt;&gt;0),K49/J49-1,"")</f>
        <v/>
      </c>
      <c r="L113" s="22" t="str">
        <f aca="false">IF(AND(ISNUMBER(L49),ISNUMBER(K49),K49&lt;&gt;0),L49/K49-1,"")</f>
        <v/>
      </c>
      <c r="M113" s="22" t="str">
        <f aca="false">IF(AND(ISNUMBER(M49),ISNUMBER(L49),L49&lt;&gt;0),M49/L49-1,"")</f>
        <v/>
      </c>
      <c r="N113" s="22" t="str">
        <f aca="false">IF(AND(ISNUMBER(N49),ISNUMBER(M49),M49&lt;&gt;0),N49/M49-1,"")</f>
        <v/>
      </c>
    </row>
    <row r="114" customFormat="false" ht="15" hidden="false" customHeight="false" outlineLevel="0" collapsed="false">
      <c r="A114" s="43" t="s">
        <v>557</v>
      </c>
      <c r="C114" s="5" t="s">
        <v>558</v>
      </c>
      <c r="F114" s="22" t="str">
        <f aca="false">IF(AND(ISNUMBER(F50),ISNUMBER(E50),E50&lt;&gt;0),F50/E50-1,"")</f>
        <v/>
      </c>
      <c r="G114" s="22" t="str">
        <f aca="false">IF(AND(ISNUMBER(G50),ISNUMBER(F50),F50&lt;&gt;0),G50/F50-1,"")</f>
        <v/>
      </c>
      <c r="H114" s="22" t="str">
        <f aca="false">IF(AND(ISNUMBER(H50),ISNUMBER(G50),G50&lt;&gt;0),H50/G50-1,"")</f>
        <v/>
      </c>
      <c r="I114" s="22" t="str">
        <f aca="false">IF(AND(ISNUMBER(I50),ISNUMBER(H50),H50&lt;&gt;0),I50/H50-1,"")</f>
        <v/>
      </c>
      <c r="J114" s="22" t="str">
        <f aca="false">IF(AND(ISNUMBER(J50),ISNUMBER(I50),I50&lt;&gt;0),J50/I50-1,"")</f>
        <v/>
      </c>
      <c r="K114" s="22" t="str">
        <f aca="false">IF(AND(ISNUMBER(K50),ISNUMBER(J50),J50&lt;&gt;0),K50/J50-1,"")</f>
        <v/>
      </c>
      <c r="L114" s="22" t="str">
        <f aca="false">IF(AND(ISNUMBER(L50),ISNUMBER(K50),K50&lt;&gt;0),L50/K50-1,"")</f>
        <v/>
      </c>
      <c r="M114" s="22" t="str">
        <f aca="false">IF(AND(ISNUMBER(M50),ISNUMBER(L50),L50&lt;&gt;0),M50/L50-1,"")</f>
        <v/>
      </c>
      <c r="N114" s="22" t="str">
        <f aca="false">IF(AND(ISNUMBER(N50),ISNUMBER(M50),M50&lt;&gt;0),N50/M50-1,"")</f>
        <v/>
      </c>
    </row>
    <row r="115" customFormat="false" ht="15" hidden="false" customHeight="false" outlineLevel="0" collapsed="false">
      <c r="A115" s="43" t="s">
        <v>560</v>
      </c>
      <c r="C115" s="5" t="s">
        <v>561</v>
      </c>
      <c r="F115" s="22" t="str">
        <f aca="false">IF(AND(ISNUMBER(F51),ISNUMBER(E51),E51&lt;&gt;0),F51/E51-1,"")</f>
        <v/>
      </c>
      <c r="G115" s="22" t="str">
        <f aca="false">IF(AND(ISNUMBER(G51),ISNUMBER(F51),F51&lt;&gt;0),G51/F51-1,"")</f>
        <v/>
      </c>
      <c r="H115" s="22" t="str">
        <f aca="false">IF(AND(ISNUMBER(H51),ISNUMBER(G51),G51&lt;&gt;0),H51/G51-1,"")</f>
        <v/>
      </c>
      <c r="I115" s="22" t="str">
        <f aca="false">IF(AND(ISNUMBER(I51),ISNUMBER(H51),H51&lt;&gt;0),I51/H51-1,"")</f>
        <v/>
      </c>
      <c r="J115" s="22" t="str">
        <f aca="false">IF(AND(ISNUMBER(J51),ISNUMBER(I51),I51&lt;&gt;0),J51/I51-1,"")</f>
        <v/>
      </c>
      <c r="K115" s="22" t="str">
        <f aca="false">IF(AND(ISNUMBER(K51),ISNUMBER(J51),J51&lt;&gt;0),K51/J51-1,"")</f>
        <v/>
      </c>
      <c r="L115" s="22" t="str">
        <f aca="false">IF(AND(ISNUMBER(L51),ISNUMBER(K51),K51&lt;&gt;0),L51/K51-1,"")</f>
        <v/>
      </c>
      <c r="M115" s="22" t="str">
        <f aca="false">IF(AND(ISNUMBER(M51),ISNUMBER(L51),L51&lt;&gt;0),M51/L51-1,"")</f>
        <v/>
      </c>
      <c r="N115" s="22" t="str">
        <f aca="false">IF(AND(ISNUMBER(N51),ISNUMBER(M51),M51&lt;&gt;0),N51/M51-1,"")</f>
        <v/>
      </c>
    </row>
    <row r="116" customFormat="false" ht="15" hidden="false" customHeight="false" outlineLevel="0" collapsed="false">
      <c r="A116" s="43" t="s">
        <v>562</v>
      </c>
      <c r="C116" s="5" t="s">
        <v>564</v>
      </c>
      <c r="F116" s="22" t="n">
        <f aca="false">IF(AND(ISNUMBER(F52),ISNUMBER(E52),E52&lt;&gt;0),F52/E52-1,"")</f>
        <v>0.0238095238095237</v>
      </c>
      <c r="G116" s="22" t="n">
        <f aca="false">IF(AND(ISNUMBER(G52),ISNUMBER(F52),F52&lt;&gt;0),G52/F52-1,"")</f>
        <v>0.0232558139534884</v>
      </c>
      <c r="H116" s="22" t="str">
        <f aca="false">IF(AND(ISNUMBER(H52),ISNUMBER(G52),G52&lt;&gt;0),H52/G52-1,"")</f>
        <v/>
      </c>
      <c r="I116" s="22" t="str">
        <f aca="false">IF(AND(ISNUMBER(I52),ISNUMBER(H52),H52&lt;&gt;0),I52/H52-1,"")</f>
        <v/>
      </c>
      <c r="J116" s="22" t="str">
        <f aca="false">IF(AND(ISNUMBER(J52),ISNUMBER(I52),I52&lt;&gt;0),J52/I52-1,"")</f>
        <v/>
      </c>
      <c r="K116" s="22" t="str">
        <f aca="false">IF(AND(ISNUMBER(K52),ISNUMBER(J52),J52&lt;&gt;0),K52/J52-1,"")</f>
        <v/>
      </c>
      <c r="L116" s="22" t="str">
        <f aca="false">IF(AND(ISNUMBER(L52),ISNUMBER(K52),K52&lt;&gt;0),L52/K52-1,"")</f>
        <v/>
      </c>
      <c r="M116" s="22" t="str">
        <f aca="false">IF(AND(ISNUMBER(M52),ISNUMBER(L52),L52&lt;&gt;0),M52/L52-1,"")</f>
        <v/>
      </c>
      <c r="N116" s="22" t="str">
        <f aca="false">IF(AND(ISNUMBER(N52),ISNUMBER(M52),M52&lt;&gt;0),N52/M52-1,"")</f>
        <v/>
      </c>
    </row>
    <row r="117" customFormat="false" ht="15" hidden="false" customHeight="false" outlineLevel="0" collapsed="false">
      <c r="A117" s="43" t="s">
        <v>565</v>
      </c>
      <c r="C117" s="5" t="s">
        <v>566</v>
      </c>
      <c r="F117" s="22" t="str">
        <f aca="false">IF(AND(ISNUMBER(F53),ISNUMBER(E53),E53&lt;&gt;0),F53/E53-1,"")</f>
        <v/>
      </c>
      <c r="G117" s="22" t="str">
        <f aca="false">IF(AND(ISNUMBER(G53),ISNUMBER(F53),F53&lt;&gt;0),G53/F53-1,"")</f>
        <v/>
      </c>
      <c r="H117" s="22" t="str">
        <f aca="false">IF(AND(ISNUMBER(H53),ISNUMBER(G53),G53&lt;&gt;0),H53/G53-1,"")</f>
        <v/>
      </c>
      <c r="I117" s="22" t="str">
        <f aca="false">IF(AND(ISNUMBER(I53),ISNUMBER(H53),H53&lt;&gt;0),I53/H53-1,"")</f>
        <v/>
      </c>
      <c r="J117" s="22" t="str">
        <f aca="false">IF(AND(ISNUMBER(J53),ISNUMBER(I53),I53&lt;&gt;0),J53/I53-1,"")</f>
        <v/>
      </c>
      <c r="K117" s="22" t="str">
        <f aca="false">IF(AND(ISNUMBER(K53),ISNUMBER(J53),J53&lt;&gt;0),K53/J53-1,"")</f>
        <v/>
      </c>
      <c r="L117" s="22" t="str">
        <f aca="false">IF(AND(ISNUMBER(L53),ISNUMBER(K53),K53&lt;&gt;0),L53/K53-1,"")</f>
        <v/>
      </c>
      <c r="M117" s="22" t="str">
        <f aca="false">IF(AND(ISNUMBER(M53),ISNUMBER(L53),L53&lt;&gt;0),M53/L53-1,"")</f>
        <v/>
      </c>
      <c r="N117" s="22" t="str">
        <f aca="false">IF(AND(ISNUMBER(N53),ISNUMBER(M53),M53&lt;&gt;0),N53/M53-1,"")</f>
        <v/>
      </c>
    </row>
    <row r="118" customFormat="false" ht="15" hidden="false" customHeight="false" outlineLevel="0" collapsed="false">
      <c r="A118" s="43" t="s">
        <v>568</v>
      </c>
      <c r="C118" s="5" t="s">
        <v>569</v>
      </c>
      <c r="F118" s="22" t="str">
        <f aca="false">IF(AND(ISNUMBER(F54),ISNUMBER(E54),E54&lt;&gt;0),F54/E54-1,"")</f>
        <v/>
      </c>
      <c r="G118" s="22" t="str">
        <f aca="false">IF(AND(ISNUMBER(G54),ISNUMBER(F54),F54&lt;&gt;0),G54/F54-1,"")</f>
        <v/>
      </c>
      <c r="H118" s="22" t="str">
        <f aca="false">IF(AND(ISNUMBER(H54),ISNUMBER(G54),G54&lt;&gt;0),H54/G54-1,"")</f>
        <v/>
      </c>
      <c r="I118" s="22" t="str">
        <f aca="false">IF(AND(ISNUMBER(I54),ISNUMBER(H54),H54&lt;&gt;0),I54/H54-1,"")</f>
        <v/>
      </c>
      <c r="J118" s="22" t="str">
        <f aca="false">IF(AND(ISNUMBER(J54),ISNUMBER(I54),I54&lt;&gt;0),J54/I54-1,"")</f>
        <v/>
      </c>
      <c r="K118" s="22" t="str">
        <f aca="false">IF(AND(ISNUMBER(K54),ISNUMBER(J54),J54&lt;&gt;0),K54/J54-1,"")</f>
        <v/>
      </c>
      <c r="L118" s="22" t="str">
        <f aca="false">IF(AND(ISNUMBER(L54),ISNUMBER(K54),K54&lt;&gt;0),L54/K54-1,"")</f>
        <v/>
      </c>
      <c r="M118" s="22" t="str">
        <f aca="false">IF(AND(ISNUMBER(M54),ISNUMBER(L54),L54&lt;&gt;0),M54/L54-1,"")</f>
        <v/>
      </c>
      <c r="N118" s="22" t="str">
        <f aca="false">IF(AND(ISNUMBER(N54),ISNUMBER(M54),M54&lt;&gt;0),N54/M54-1,"")</f>
        <v/>
      </c>
    </row>
    <row r="119" customFormat="false" ht="15" hidden="false" customHeight="false" outlineLevel="0" collapsed="false">
      <c r="A119" s="43" t="s">
        <v>570</v>
      </c>
      <c r="C119" s="5" t="s">
        <v>572</v>
      </c>
      <c r="F119" s="22" t="str">
        <f aca="false">IF(AND(ISNUMBER(F55),ISNUMBER(E55),E55&lt;&gt;0),F55/E55-1,"")</f>
        <v/>
      </c>
      <c r="G119" s="22" t="str">
        <f aca="false">IF(AND(ISNUMBER(G55),ISNUMBER(F55),F55&lt;&gt;0),G55/F55-1,"")</f>
        <v/>
      </c>
      <c r="H119" s="22" t="str">
        <f aca="false">IF(AND(ISNUMBER(H55),ISNUMBER(G55),G55&lt;&gt;0),H55/G55-1,"")</f>
        <v/>
      </c>
      <c r="I119" s="22" t="str">
        <f aca="false">IF(AND(ISNUMBER(I55),ISNUMBER(H55),H55&lt;&gt;0),I55/H55-1,"")</f>
        <v/>
      </c>
      <c r="J119" s="22" t="str">
        <f aca="false">IF(AND(ISNUMBER(J55),ISNUMBER(I55),I55&lt;&gt;0),J55/I55-1,"")</f>
        <v/>
      </c>
      <c r="K119" s="22" t="str">
        <f aca="false">IF(AND(ISNUMBER(K55),ISNUMBER(J55),J55&lt;&gt;0),K55/J55-1,"")</f>
        <v/>
      </c>
      <c r="L119" s="22" t="str">
        <f aca="false">IF(AND(ISNUMBER(L55),ISNUMBER(K55),K55&lt;&gt;0),L55/K55-1,"")</f>
        <v/>
      </c>
      <c r="M119" s="22" t="str">
        <f aca="false">IF(AND(ISNUMBER(M55),ISNUMBER(L55),L55&lt;&gt;0),M55/L55-1,"")</f>
        <v/>
      </c>
      <c r="N119" s="22" t="str">
        <f aca="false">IF(AND(ISNUMBER(N55),ISNUMBER(M55),M55&lt;&gt;0),N55/M55-1,"")</f>
        <v/>
      </c>
    </row>
    <row r="120" customFormat="false" ht="15" hidden="false" customHeight="false" outlineLevel="0" collapsed="false">
      <c r="A120" s="43" t="s">
        <v>573</v>
      </c>
      <c r="C120" s="5" t="s">
        <v>574</v>
      </c>
      <c r="F120" s="22" t="str">
        <f aca="false">IF(AND(ISNUMBER(F56),ISNUMBER(E56),E56&lt;&gt;0),F56/E56-1,"")</f>
        <v/>
      </c>
      <c r="G120" s="22" t="str">
        <f aca="false">IF(AND(ISNUMBER(G56),ISNUMBER(F56),F56&lt;&gt;0),G56/F56-1,"")</f>
        <v/>
      </c>
      <c r="H120" s="22" t="str">
        <f aca="false">IF(AND(ISNUMBER(H56),ISNUMBER(G56),G56&lt;&gt;0),H56/G56-1,"")</f>
        <v/>
      </c>
      <c r="I120" s="22" t="str">
        <f aca="false">IF(AND(ISNUMBER(I56),ISNUMBER(H56),H56&lt;&gt;0),I56/H56-1,"")</f>
        <v/>
      </c>
      <c r="J120" s="22" t="str">
        <f aca="false">IF(AND(ISNUMBER(J56),ISNUMBER(I56),I56&lt;&gt;0),J56/I56-1,"")</f>
        <v/>
      </c>
      <c r="K120" s="22" t="str">
        <f aca="false">IF(AND(ISNUMBER(K56),ISNUMBER(J56),J56&lt;&gt;0),K56/J56-1,"")</f>
        <v/>
      </c>
      <c r="L120" s="22" t="str">
        <f aca="false">IF(AND(ISNUMBER(L56),ISNUMBER(K56),K56&lt;&gt;0),L56/K56-1,"")</f>
        <v/>
      </c>
      <c r="M120" s="22" t="str">
        <f aca="false">IF(AND(ISNUMBER(M56),ISNUMBER(L56),L56&lt;&gt;0),M56/L56-1,"")</f>
        <v/>
      </c>
      <c r="N120" s="22" t="str">
        <f aca="false">IF(AND(ISNUMBER(N56),ISNUMBER(M56),M56&lt;&gt;0),N56/M56-1,"")</f>
        <v/>
      </c>
    </row>
    <row r="121" customFormat="false" ht="15" hidden="false" customHeight="false" outlineLevel="0" collapsed="false">
      <c r="A121" s="43" t="s">
        <v>575</v>
      </c>
      <c r="C121" s="5" t="s">
        <v>577</v>
      </c>
      <c r="F121" s="22" t="str">
        <f aca="false">IF(AND(ISNUMBER(F57),ISNUMBER(E57),E57&lt;&gt;0),F57/E57-1,"")</f>
        <v/>
      </c>
      <c r="G121" s="22" t="str">
        <f aca="false">IF(AND(ISNUMBER(G57),ISNUMBER(F57),F57&lt;&gt;0),G57/F57-1,"")</f>
        <v/>
      </c>
      <c r="H121" s="22" t="str">
        <f aca="false">IF(AND(ISNUMBER(H57),ISNUMBER(G57),G57&lt;&gt;0),H57/G57-1,"")</f>
        <v/>
      </c>
      <c r="I121" s="22" t="str">
        <f aca="false">IF(AND(ISNUMBER(I57),ISNUMBER(H57),H57&lt;&gt;0),I57/H57-1,"")</f>
        <v/>
      </c>
      <c r="J121" s="22" t="str">
        <f aca="false">IF(AND(ISNUMBER(J57),ISNUMBER(I57),I57&lt;&gt;0),J57/I57-1,"")</f>
        <v/>
      </c>
      <c r="K121" s="22" t="str">
        <f aca="false">IF(AND(ISNUMBER(K57),ISNUMBER(J57),J57&lt;&gt;0),K57/J57-1,"")</f>
        <v/>
      </c>
      <c r="L121" s="22" t="str">
        <f aca="false">IF(AND(ISNUMBER(L57),ISNUMBER(K57),K57&lt;&gt;0),L57/K57-1,"")</f>
        <v/>
      </c>
      <c r="M121" s="22" t="str">
        <f aca="false">IF(AND(ISNUMBER(M57),ISNUMBER(L57),L57&lt;&gt;0),M57/L57-1,"")</f>
        <v/>
      </c>
      <c r="N121" s="22" t="str">
        <f aca="false">IF(AND(ISNUMBER(N57),ISNUMBER(M57),M57&lt;&gt;0),N57/M57-1,"")</f>
        <v/>
      </c>
    </row>
    <row r="122" customFormat="false" ht="15" hidden="false" customHeight="false" outlineLevel="0" collapsed="false">
      <c r="A122" s="43" t="s">
        <v>578</v>
      </c>
      <c r="C122" s="5" t="s">
        <v>579</v>
      </c>
      <c r="F122" s="22" t="str">
        <f aca="false">IF(AND(ISNUMBER(F58),ISNUMBER(E58),E58&lt;&gt;0),F58/E58-1,"")</f>
        <v/>
      </c>
      <c r="G122" s="22" t="str">
        <f aca="false">IF(AND(ISNUMBER(G58),ISNUMBER(F58),F58&lt;&gt;0),G58/F58-1,"")</f>
        <v/>
      </c>
      <c r="H122" s="22" t="str">
        <f aca="false">IF(AND(ISNUMBER(H58),ISNUMBER(G58),G58&lt;&gt;0),H58/G58-1,"")</f>
        <v/>
      </c>
      <c r="I122" s="22" t="str">
        <f aca="false">IF(AND(ISNUMBER(I58),ISNUMBER(H58),H58&lt;&gt;0),I58/H58-1,"")</f>
        <v/>
      </c>
      <c r="J122" s="22" t="str">
        <f aca="false">IF(AND(ISNUMBER(J58),ISNUMBER(I58),I58&lt;&gt;0),J58/I58-1,"")</f>
        <v/>
      </c>
      <c r="K122" s="22" t="str">
        <f aca="false">IF(AND(ISNUMBER(K58),ISNUMBER(J58),J58&lt;&gt;0),K58/J58-1,"")</f>
        <v/>
      </c>
      <c r="L122" s="22" t="str">
        <f aca="false">IF(AND(ISNUMBER(L58),ISNUMBER(K58),K58&lt;&gt;0),L58/K58-1,"")</f>
        <v/>
      </c>
      <c r="M122" s="22" t="str">
        <f aca="false">IF(AND(ISNUMBER(M58),ISNUMBER(L58),L58&lt;&gt;0),M58/L58-1,"")</f>
        <v/>
      </c>
      <c r="N122" s="22" t="str">
        <f aca="false">IF(AND(ISNUMBER(N58),ISNUMBER(M58),M58&lt;&gt;0),N58/M58-1,"")</f>
        <v/>
      </c>
    </row>
    <row r="123" customFormat="false" ht="15" hidden="false" customHeight="false" outlineLevel="0" collapsed="false">
      <c r="A123" s="43" t="s">
        <v>580</v>
      </c>
      <c r="C123" s="5" t="s">
        <v>581</v>
      </c>
      <c r="F123" s="22" t="str">
        <f aca="false">IF(AND(ISNUMBER(F59),ISNUMBER(E59),E59&lt;&gt;0),F59/E59-1,"")</f>
        <v/>
      </c>
      <c r="G123" s="22" t="str">
        <f aca="false">IF(AND(ISNUMBER(G59),ISNUMBER(F59),F59&lt;&gt;0),G59/F59-1,"")</f>
        <v/>
      </c>
      <c r="H123" s="22" t="str">
        <f aca="false">IF(AND(ISNUMBER(H59),ISNUMBER(G59),G59&lt;&gt;0),H59/G59-1,"")</f>
        <v/>
      </c>
      <c r="I123" s="22" t="str">
        <f aca="false">IF(AND(ISNUMBER(I59),ISNUMBER(H59),H59&lt;&gt;0),I59/H59-1,"")</f>
        <v/>
      </c>
      <c r="J123" s="22" t="str">
        <f aca="false">IF(AND(ISNUMBER(J59),ISNUMBER(I59),I59&lt;&gt;0),J59/I59-1,"")</f>
        <v/>
      </c>
      <c r="K123" s="22" t="str">
        <f aca="false">IF(AND(ISNUMBER(K59),ISNUMBER(J59),J59&lt;&gt;0),K59/J59-1,"")</f>
        <v/>
      </c>
      <c r="L123" s="22" t="str">
        <f aca="false">IF(AND(ISNUMBER(L59),ISNUMBER(K59),K59&lt;&gt;0),L59/K59-1,"")</f>
        <v/>
      </c>
      <c r="M123" s="22" t="str">
        <f aca="false">IF(AND(ISNUMBER(M59),ISNUMBER(L59),L59&lt;&gt;0),M59/L59-1,"")</f>
        <v/>
      </c>
      <c r="N123" s="22" t="str">
        <f aca="false">IF(AND(ISNUMBER(N59),ISNUMBER(M59),M59&lt;&gt;0),N59/M59-1,"")</f>
        <v/>
      </c>
    </row>
    <row r="124" customFormat="false" ht="15" hidden="false" customHeight="false" outlineLevel="0" collapsed="false">
      <c r="A124" s="43" t="s">
        <v>583</v>
      </c>
      <c r="C124" s="5" t="s">
        <v>584</v>
      </c>
      <c r="F124" s="22" t="str">
        <f aca="false">IF(AND(ISNUMBER(F60),ISNUMBER(E60),E60&lt;&gt;0),F60/E60-1,"")</f>
        <v/>
      </c>
      <c r="G124" s="22" t="str">
        <f aca="false">IF(AND(ISNUMBER(G60),ISNUMBER(F60),F60&lt;&gt;0),G60/F60-1,"")</f>
        <v/>
      </c>
      <c r="H124" s="22" t="str">
        <f aca="false">IF(AND(ISNUMBER(H60),ISNUMBER(G60),G60&lt;&gt;0),H60/G60-1,"")</f>
        <v/>
      </c>
      <c r="I124" s="22" t="str">
        <f aca="false">IF(AND(ISNUMBER(I60),ISNUMBER(H60),H60&lt;&gt;0),I60/H60-1,"")</f>
        <v/>
      </c>
      <c r="J124" s="22" t="str">
        <f aca="false">IF(AND(ISNUMBER(J60),ISNUMBER(I60),I60&lt;&gt;0),J60/I60-1,"")</f>
        <v/>
      </c>
      <c r="K124" s="22" t="str">
        <f aca="false">IF(AND(ISNUMBER(K60),ISNUMBER(J60),J60&lt;&gt;0),K60/J60-1,"")</f>
        <v/>
      </c>
      <c r="L124" s="22" t="str">
        <f aca="false">IF(AND(ISNUMBER(L60),ISNUMBER(K60),K60&lt;&gt;0),L60/K60-1,"")</f>
        <v/>
      </c>
      <c r="M124" s="22" t="str">
        <f aca="false">IF(AND(ISNUMBER(M60),ISNUMBER(L60),L60&lt;&gt;0),M60/L60-1,"")</f>
        <v/>
      </c>
      <c r="N124" s="22" t="str">
        <f aca="false">IF(AND(ISNUMBER(N60),ISNUMBER(M60),M60&lt;&gt;0),N60/M60-1,"")</f>
        <v/>
      </c>
    </row>
    <row r="125" customFormat="false" ht="15" hidden="false" customHeight="false" outlineLevel="0" collapsed="false">
      <c r="A125" s="43" t="s">
        <v>585</v>
      </c>
      <c r="C125" s="5" t="s">
        <v>586</v>
      </c>
      <c r="F125" s="22" t="str">
        <f aca="false">IF(AND(ISNUMBER(F61),ISNUMBER(E61),E61&lt;&gt;0),F61/E61-1,"")</f>
        <v/>
      </c>
      <c r="G125" s="22" t="str">
        <f aca="false">IF(AND(ISNUMBER(G61),ISNUMBER(F61),F61&lt;&gt;0),G61/F61-1,"")</f>
        <v/>
      </c>
      <c r="H125" s="22" t="str">
        <f aca="false">IF(AND(ISNUMBER(H61),ISNUMBER(G61),G61&lt;&gt;0),H61/G61-1,"")</f>
        <v/>
      </c>
      <c r="I125" s="22" t="str">
        <f aca="false">IF(AND(ISNUMBER(I61),ISNUMBER(H61),H61&lt;&gt;0),I61/H61-1,"")</f>
        <v/>
      </c>
      <c r="J125" s="22" t="str">
        <f aca="false">IF(AND(ISNUMBER(J61),ISNUMBER(I61),I61&lt;&gt;0),J61/I61-1,"")</f>
        <v/>
      </c>
      <c r="K125" s="22" t="str">
        <f aca="false">IF(AND(ISNUMBER(K61),ISNUMBER(J61),J61&lt;&gt;0),K61/J61-1,"")</f>
        <v/>
      </c>
      <c r="L125" s="22" t="str">
        <f aca="false">IF(AND(ISNUMBER(L61),ISNUMBER(K61),K61&lt;&gt;0),L61/K61-1,"")</f>
        <v/>
      </c>
      <c r="M125" s="22" t="str">
        <f aca="false">IF(AND(ISNUMBER(M61),ISNUMBER(L61),L61&lt;&gt;0),M61/L61-1,"")</f>
        <v/>
      </c>
      <c r="N125" s="22" t="str">
        <f aca="false">IF(AND(ISNUMBER(N61),ISNUMBER(M61),M61&lt;&gt;0),N61/M61-1,"")</f>
        <v/>
      </c>
    </row>
    <row r="126" customFormat="false" ht="15" hidden="false" customHeight="false" outlineLevel="0" collapsed="false">
      <c r="A126" s="43" t="s">
        <v>587</v>
      </c>
      <c r="C126" s="5" t="s">
        <v>589</v>
      </c>
      <c r="F126" s="22" t="str">
        <f aca="false">IF(AND(ISNUMBER(F62),ISNUMBER(E62),E62&lt;&gt;0),F62/E62-1,"")</f>
        <v/>
      </c>
      <c r="G126" s="22" t="str">
        <f aca="false">IF(AND(ISNUMBER(G62),ISNUMBER(F62),F62&lt;&gt;0),G62/F62-1,"")</f>
        <v/>
      </c>
      <c r="H126" s="22" t="str">
        <f aca="false">IF(AND(ISNUMBER(H62),ISNUMBER(G62),G62&lt;&gt;0),H62/G62-1,"")</f>
        <v/>
      </c>
      <c r="I126" s="22" t="str">
        <f aca="false">IF(AND(ISNUMBER(I62),ISNUMBER(H62),H62&lt;&gt;0),I62/H62-1,"")</f>
        <v/>
      </c>
      <c r="J126" s="22" t="str">
        <f aca="false">IF(AND(ISNUMBER(J62),ISNUMBER(I62),I62&lt;&gt;0),J62/I62-1,"")</f>
        <v/>
      </c>
      <c r="K126" s="22" t="str">
        <f aca="false">IF(AND(ISNUMBER(K62),ISNUMBER(J62),J62&lt;&gt;0),K62/J62-1,"")</f>
        <v/>
      </c>
      <c r="L126" s="22" t="str">
        <f aca="false">IF(AND(ISNUMBER(L62),ISNUMBER(K62),K62&lt;&gt;0),L62/K62-1,"")</f>
        <v/>
      </c>
      <c r="M126" s="22" t="str">
        <f aca="false">IF(AND(ISNUMBER(M62),ISNUMBER(L62),L62&lt;&gt;0),M62/L62-1,"")</f>
        <v/>
      </c>
      <c r="N126" s="22" t="str">
        <f aca="false">IF(AND(ISNUMBER(N62),ISNUMBER(M62),M62&lt;&gt;0),N62/M62-1,"")</f>
        <v/>
      </c>
    </row>
    <row r="127" customFormat="false" ht="15" hidden="false" customHeight="false" outlineLevel="0" collapsed="false">
      <c r="A127" s="43" t="s">
        <v>590</v>
      </c>
      <c r="C127" s="5" t="s">
        <v>591</v>
      </c>
      <c r="F127" s="22" t="str">
        <f aca="false">IF(AND(ISNUMBER(F63),ISNUMBER(E63),E63&lt;&gt;0),F63/E63-1,"")</f>
        <v/>
      </c>
      <c r="G127" s="22" t="str">
        <f aca="false">IF(AND(ISNUMBER(G63),ISNUMBER(F63),F63&lt;&gt;0),G63/F63-1,"")</f>
        <v/>
      </c>
      <c r="H127" s="22" t="str">
        <f aca="false">IF(AND(ISNUMBER(H63),ISNUMBER(G63),G63&lt;&gt;0),H63/G63-1,"")</f>
        <v/>
      </c>
      <c r="I127" s="22" t="str">
        <f aca="false">IF(AND(ISNUMBER(I63),ISNUMBER(H63),H63&lt;&gt;0),I63/H63-1,"")</f>
        <v/>
      </c>
      <c r="J127" s="22" t="str">
        <f aca="false">IF(AND(ISNUMBER(J63),ISNUMBER(I63),I63&lt;&gt;0),J63/I63-1,"")</f>
        <v/>
      </c>
      <c r="K127" s="22" t="str">
        <f aca="false">IF(AND(ISNUMBER(K63),ISNUMBER(J63),J63&lt;&gt;0),K63/J63-1,"")</f>
        <v/>
      </c>
      <c r="L127" s="22" t="str">
        <f aca="false">IF(AND(ISNUMBER(L63),ISNUMBER(K63),K63&lt;&gt;0),L63/K63-1,"")</f>
        <v/>
      </c>
      <c r="M127" s="22" t="str">
        <f aca="false">IF(AND(ISNUMBER(M63),ISNUMBER(L63),L63&lt;&gt;0),M63/L63-1,"")</f>
        <v/>
      </c>
      <c r="N127" s="22" t="str">
        <f aca="false">IF(AND(ISNUMBER(N63),ISNUMBER(M63),M63&lt;&gt;0),N63/M63-1,"")</f>
        <v/>
      </c>
    </row>
    <row r="128" customFormat="false" ht="15" hidden="false" customHeight="false" outlineLevel="0" collapsed="false">
      <c r="A128" s="43" t="s">
        <v>592</v>
      </c>
      <c r="C128" s="5" t="s">
        <v>593</v>
      </c>
      <c r="F128" s="22" t="str">
        <f aca="false">IF(AND(ISNUMBER(F64),ISNUMBER(E64),E64&lt;&gt;0),F64/E64-1,"")</f>
        <v/>
      </c>
      <c r="G128" s="22" t="str">
        <f aca="false">IF(AND(ISNUMBER(G64),ISNUMBER(F64),F64&lt;&gt;0),G64/F64-1,"")</f>
        <v/>
      </c>
      <c r="H128" s="22" t="str">
        <f aca="false">IF(AND(ISNUMBER(H64),ISNUMBER(G64),G64&lt;&gt;0),H64/G64-1,"")</f>
        <v/>
      </c>
      <c r="I128" s="22" t="str">
        <f aca="false">IF(AND(ISNUMBER(I64),ISNUMBER(H64),H64&lt;&gt;0),I64/H64-1,"")</f>
        <v/>
      </c>
      <c r="J128" s="22" t="str">
        <f aca="false">IF(AND(ISNUMBER(J64),ISNUMBER(I64),I64&lt;&gt;0),J64/I64-1,"")</f>
        <v/>
      </c>
      <c r="K128" s="22" t="str">
        <f aca="false">IF(AND(ISNUMBER(K64),ISNUMBER(J64),J64&lt;&gt;0),K64/J64-1,"")</f>
        <v/>
      </c>
      <c r="L128" s="22" t="str">
        <f aca="false">IF(AND(ISNUMBER(L64),ISNUMBER(K64),K64&lt;&gt;0),L64/K64-1,"")</f>
        <v/>
      </c>
      <c r="M128" s="22" t="str">
        <f aca="false">IF(AND(ISNUMBER(M64),ISNUMBER(L64),L64&lt;&gt;0),M64/L64-1,"")</f>
        <v/>
      </c>
      <c r="N128" s="22" t="str">
        <f aca="false">IF(AND(ISNUMBER(N64),ISNUMBER(M64),M64&lt;&gt;0),N64/M64-1,"")</f>
        <v/>
      </c>
    </row>
    <row r="129" customFormat="false" ht="15" hidden="false" customHeight="false" outlineLevel="0" collapsed="false">
      <c r="A129" s="43" t="s">
        <v>594</v>
      </c>
      <c r="C129" s="5" t="s">
        <v>595</v>
      </c>
      <c r="F129" s="22" t="str">
        <f aca="false">IF(AND(ISNUMBER(F65),ISNUMBER(E65),E65&lt;&gt;0),F65/E65-1,"")</f>
        <v/>
      </c>
      <c r="G129" s="22" t="str">
        <f aca="false">IF(AND(ISNUMBER(G65),ISNUMBER(F65),F65&lt;&gt;0),G65/F65-1,"")</f>
        <v/>
      </c>
      <c r="H129" s="22" t="str">
        <f aca="false">IF(AND(ISNUMBER(H65),ISNUMBER(G65),G65&lt;&gt;0),H65/G65-1,"")</f>
        <v/>
      </c>
      <c r="I129" s="22" t="str">
        <f aca="false">IF(AND(ISNUMBER(I65),ISNUMBER(H65),H65&lt;&gt;0),I65/H65-1,"")</f>
        <v/>
      </c>
      <c r="J129" s="22" t="str">
        <f aca="false">IF(AND(ISNUMBER(J65),ISNUMBER(I65),I65&lt;&gt;0),J65/I65-1,"")</f>
        <v/>
      </c>
      <c r="K129" s="22" t="str">
        <f aca="false">IF(AND(ISNUMBER(K65),ISNUMBER(J65),J65&lt;&gt;0),K65/J65-1,"")</f>
        <v/>
      </c>
      <c r="L129" s="22" t="str">
        <f aca="false">IF(AND(ISNUMBER(L65),ISNUMBER(K65),K65&lt;&gt;0),L65/K65-1,"")</f>
        <v/>
      </c>
      <c r="M129" s="22" t="str">
        <f aca="false">IF(AND(ISNUMBER(M65),ISNUMBER(L65),L65&lt;&gt;0),M65/L65-1,"")</f>
        <v/>
      </c>
      <c r="N129" s="22" t="str">
        <f aca="false">IF(AND(ISNUMBER(N65),ISNUMBER(M65),M65&lt;&gt;0),N65/M65-1,"")</f>
        <v/>
      </c>
    </row>
    <row r="130" customFormat="false" ht="15" hidden="false" customHeight="false" outlineLevel="0" collapsed="false">
      <c r="A130" s="43" t="s">
        <v>596</v>
      </c>
      <c r="C130" s="5" t="s">
        <v>597</v>
      </c>
      <c r="F130" s="22" t="str">
        <f aca="false">IF(AND(ISNUMBER(F66),ISNUMBER(E66),E66&lt;&gt;0),F66/E66-1,"")</f>
        <v/>
      </c>
      <c r="G130" s="22" t="str">
        <f aca="false">IF(AND(ISNUMBER(G66),ISNUMBER(F66),F66&lt;&gt;0),G66/F66-1,"")</f>
        <v/>
      </c>
      <c r="H130" s="22" t="str">
        <f aca="false">IF(AND(ISNUMBER(H66),ISNUMBER(G66),G66&lt;&gt;0),H66/G66-1,"")</f>
        <v/>
      </c>
      <c r="I130" s="22" t="str">
        <f aca="false">IF(AND(ISNUMBER(I66),ISNUMBER(H66),H66&lt;&gt;0),I66/H66-1,"")</f>
        <v/>
      </c>
      <c r="J130" s="22" t="str">
        <f aca="false">IF(AND(ISNUMBER(J66),ISNUMBER(I66),I66&lt;&gt;0),J66/I66-1,"")</f>
        <v/>
      </c>
      <c r="K130" s="22" t="str">
        <f aca="false">IF(AND(ISNUMBER(K66),ISNUMBER(J66),J66&lt;&gt;0),K66/J66-1,"")</f>
        <v/>
      </c>
      <c r="L130" s="22" t="str">
        <f aca="false">IF(AND(ISNUMBER(L66),ISNUMBER(K66),K66&lt;&gt;0),L66/K66-1,"")</f>
        <v/>
      </c>
      <c r="M130" s="22" t="str">
        <f aca="false">IF(AND(ISNUMBER(M66),ISNUMBER(L66),L66&lt;&gt;0),M66/L66-1,"")</f>
        <v/>
      </c>
      <c r="N130" s="22" t="str">
        <f aca="false">IF(AND(ISNUMBER(N66),ISNUMBER(M66),M66&lt;&gt;0),N66/M66-1,"")</f>
        <v/>
      </c>
    </row>
    <row r="132" customFormat="false" ht="46.25" hidden="false" customHeight="false" outlineLevel="0" collapsed="false">
      <c r="B132" s="11" t="s">
        <v>601</v>
      </c>
    </row>
    <row r="133" customFormat="false" ht="15" hidden="false" customHeight="false" outlineLevel="0" collapsed="false">
      <c r="A133" s="8"/>
      <c r="B133" s="8" t="s">
        <v>602</v>
      </c>
      <c r="C133" s="8"/>
      <c r="D133" s="8"/>
      <c r="E133" s="8" t="s">
        <v>446</v>
      </c>
      <c r="F133" s="8" t="s">
        <v>447</v>
      </c>
      <c r="G133" s="8" t="s">
        <v>448</v>
      </c>
      <c r="H133" s="8" t="s">
        <v>449</v>
      </c>
      <c r="I133" s="8" t="s">
        <v>450</v>
      </c>
      <c r="J133" s="8" t="s">
        <v>451</v>
      </c>
      <c r="K133" s="8" t="s">
        <v>452</v>
      </c>
      <c r="L133" s="8" t="s">
        <v>453</v>
      </c>
      <c r="M133" s="8" t="s">
        <v>454</v>
      </c>
      <c r="N133" s="8" t="s">
        <v>455</v>
      </c>
    </row>
    <row r="134" customFormat="false" ht="15" hidden="false" customHeight="false" outlineLevel="0" collapsed="false">
      <c r="B134" s="5" t="s">
        <v>603</v>
      </c>
      <c r="F134" s="14" t="str">
        <f aca="false">IF(AND(ISNUMBER(F78),ISNUMBER(F86)),IF(AND(F78&lt;0,F86&lt;0),"Both cut",""),"")</f>
        <v>Both cut</v>
      </c>
      <c r="G134" s="14" t="str">
        <f aca="false">IF(AND(ISNUMBER(G78),ISNUMBER(G86)),IF(AND(G78&lt;0,G86&lt;0),"Both cut",""),"")</f>
        <v/>
      </c>
      <c r="H134" s="14" t="str">
        <f aca="false">IF(AND(ISNUMBER(H78),ISNUMBER(H86)),IF(AND(H78&lt;0,H86&lt;0),"Both cut",""),"")</f>
        <v/>
      </c>
      <c r="I134" s="14" t="str">
        <f aca="false">IF(AND(ISNUMBER(I78),ISNUMBER(I86)),IF(AND(I78&lt;0,I86&lt;0),"Both cut",""),"")</f>
        <v/>
      </c>
      <c r="J134" s="14" t="str">
        <f aca="false">IF(AND(ISNUMBER(J78),ISNUMBER(J86)),IF(AND(J78&lt;0,J86&lt;0),"Both cut",""),"")</f>
        <v/>
      </c>
      <c r="K134" s="14" t="str">
        <f aca="false">IF(AND(ISNUMBER(K78),ISNUMBER(K86)),IF(AND(K78&lt;0,K86&lt;0),"Both cut",""),"")</f>
        <v/>
      </c>
      <c r="L134" s="14" t="str">
        <f aca="false">IF(AND(ISNUMBER(L78),ISNUMBER(L86)),IF(AND(L78&lt;0,L86&lt;0),"Both cut",""),"")</f>
        <v/>
      </c>
      <c r="M134" s="14" t="str">
        <f aca="false">IF(AND(ISNUMBER(M78),ISNUMBER(M86)),IF(AND(M78&lt;0,M86&lt;0),"Both cut",""),"")</f>
        <v/>
      </c>
      <c r="N134" s="14" t="str">
        <f aca="false">IF(AND(ISNUMBER(N78),ISNUMBER(N86)),IF(AND(N78&lt;0,N86&lt;0),"Both cut",""),"")</f>
        <v/>
      </c>
    </row>
    <row r="135" customFormat="false" ht="15" hidden="false" customHeight="false" outlineLevel="0" collapsed="false">
      <c r="B135" s="5" t="s">
        <v>604</v>
      </c>
      <c r="F135" s="14" t="str">
        <f aca="false">IF(AND(ISNUMBER(F79),ISNUMBER(F87)),IF(AND(F79&lt;0,F87&lt;0),"Both cut",""),"")</f>
        <v/>
      </c>
      <c r="G135" s="14" t="str">
        <f aca="false">IF(AND(ISNUMBER(G79),ISNUMBER(G87)),IF(AND(G79&lt;0,G87&lt;0),"Both cut",""),"")</f>
        <v/>
      </c>
      <c r="H135" s="14" t="str">
        <f aca="false">IF(AND(ISNUMBER(H79),ISNUMBER(H87)),IF(AND(H79&lt;0,H87&lt;0),"Both cut",""),"")</f>
        <v/>
      </c>
      <c r="I135" s="14" t="str">
        <f aca="false">IF(AND(ISNUMBER(I79),ISNUMBER(I87)),IF(AND(I79&lt;0,I87&lt;0),"Both cut",""),"")</f>
        <v/>
      </c>
      <c r="J135" s="14" t="str">
        <f aca="false">IF(AND(ISNUMBER(J79),ISNUMBER(J87)),IF(AND(J79&lt;0,J87&lt;0),"Both cut",""),"")</f>
        <v/>
      </c>
      <c r="K135" s="14" t="str">
        <f aca="false">IF(AND(ISNUMBER(K79),ISNUMBER(K87)),IF(AND(K79&lt;0,K87&lt;0),"Both cut",""),"")</f>
        <v/>
      </c>
      <c r="L135" s="14" t="str">
        <f aca="false">IF(AND(ISNUMBER(L79),ISNUMBER(L87)),IF(AND(L79&lt;0,L87&lt;0),"Both cut",""),"")</f>
        <v/>
      </c>
      <c r="M135" s="14" t="str">
        <f aca="false">IF(AND(ISNUMBER(M79),ISNUMBER(M87)),IF(AND(M79&lt;0,M87&lt;0),"Both cut",""),"")</f>
        <v/>
      </c>
      <c r="N135" s="14" t="str">
        <f aca="false">IF(AND(ISNUMBER(N79),ISNUMBER(N87)),IF(AND(N79&lt;0,N87&lt;0),"Both cut",""),"")</f>
        <v/>
      </c>
    </row>
    <row r="136" customFormat="false" ht="15" hidden="false" customHeight="false" outlineLevel="0" collapsed="false">
      <c r="B136" s="5" t="s">
        <v>605</v>
      </c>
      <c r="F136" s="14" t="str">
        <f aca="false">IF(AND(ISNUMBER(F80),ISNUMBER(F88)),IF(AND(F80&lt;0,F88&lt;0),"Both cut",""),"")</f>
        <v/>
      </c>
      <c r="G136" s="14" t="str">
        <f aca="false">IF(AND(ISNUMBER(G80),ISNUMBER(G88)),IF(AND(G80&lt;0,G88&lt;0),"Both cut",""),"")</f>
        <v/>
      </c>
      <c r="H136" s="14" t="str">
        <f aca="false">IF(AND(ISNUMBER(H80),ISNUMBER(H88)),IF(AND(H80&lt;0,H88&lt;0),"Both cut",""),"")</f>
        <v/>
      </c>
      <c r="I136" s="14" t="str">
        <f aca="false">IF(AND(ISNUMBER(I80),ISNUMBER(I88)),IF(AND(I80&lt;0,I88&lt;0),"Both cut",""),"")</f>
        <v/>
      </c>
      <c r="J136" s="14" t="str">
        <f aca="false">IF(AND(ISNUMBER(J80),ISNUMBER(J88)),IF(AND(J80&lt;0,J88&lt;0),"Both cut",""),"")</f>
        <v/>
      </c>
      <c r="K136" s="14" t="str">
        <f aca="false">IF(AND(ISNUMBER(K80),ISNUMBER(K88)),IF(AND(K80&lt;0,K88&lt;0),"Both cut",""),"")</f>
        <v/>
      </c>
      <c r="L136" s="14" t="str">
        <f aca="false">IF(AND(ISNUMBER(L80),ISNUMBER(L88)),IF(AND(L80&lt;0,L88&lt;0),"Both cut",""),"")</f>
        <v/>
      </c>
      <c r="M136" s="14" t="str">
        <f aca="false">IF(AND(ISNUMBER(M80),ISNUMBER(M88)),IF(AND(M80&lt;0,M88&lt;0),"Both cut",""),"")</f>
        <v/>
      </c>
      <c r="N136" s="14" t="str">
        <f aca="false">IF(AND(ISNUMBER(N80),ISNUMBER(N88)),IF(AND(N80&lt;0,N88&lt;0),"Both cut",""),"")</f>
        <v/>
      </c>
    </row>
    <row r="137" customFormat="false" ht="15" hidden="false" customHeight="false" outlineLevel="0" collapsed="false">
      <c r="B137" s="5" t="s">
        <v>606</v>
      </c>
      <c r="F137" s="14" t="str">
        <f aca="false">IF(AND(ISNUMBER(F81),ISNUMBER(F89)),IF(AND(F81&lt;0,F89&lt;0),"Both cut",""),"")</f>
        <v/>
      </c>
      <c r="G137" s="14" t="str">
        <f aca="false">IF(AND(ISNUMBER(G81),ISNUMBER(G89)),IF(AND(G81&lt;0,G89&lt;0),"Both cut",""),"")</f>
        <v/>
      </c>
      <c r="H137" s="14" t="str">
        <f aca="false">IF(AND(ISNUMBER(H81),ISNUMBER(H89)),IF(AND(H81&lt;0,H89&lt;0),"Both cut",""),"")</f>
        <v/>
      </c>
      <c r="I137" s="14" t="str">
        <f aca="false">IF(AND(ISNUMBER(I81),ISNUMBER(I89)),IF(AND(I81&lt;0,I89&lt;0),"Both cut",""),"")</f>
        <v/>
      </c>
      <c r="J137" s="14" t="str">
        <f aca="false">IF(AND(ISNUMBER(J81),ISNUMBER(J89)),IF(AND(J81&lt;0,J89&lt;0),"Both cut",""),"")</f>
        <v/>
      </c>
      <c r="K137" s="14" t="str">
        <f aca="false">IF(AND(ISNUMBER(K81),ISNUMBER(K89)),IF(AND(K81&lt;0,K89&lt;0),"Both cut",""),"")</f>
        <v/>
      </c>
      <c r="L137" s="14" t="str">
        <f aca="false">IF(AND(ISNUMBER(L81),ISNUMBER(L89)),IF(AND(L81&lt;0,L89&lt;0),"Both cut",""),"")</f>
        <v/>
      </c>
      <c r="M137" s="14" t="str">
        <f aca="false">IF(AND(ISNUMBER(M81),ISNUMBER(M89)),IF(AND(M81&lt;0,M89&lt;0),"Both cut",""),"")</f>
        <v/>
      </c>
      <c r="N137" s="14" t="str">
        <f aca="false">IF(AND(ISNUMBER(N81),ISNUMBER(N89)),IF(AND(N81&lt;0,N89&lt;0),"Both cut",""),"")</f>
        <v/>
      </c>
    </row>
    <row r="138" customFormat="false" ht="15" hidden="false" customHeight="false" outlineLevel="0" collapsed="false">
      <c r="B138" s="5" t="s">
        <v>607</v>
      </c>
      <c r="F138" s="14" t="str">
        <f aca="false">IF(AND(ISNUMBER(F82),ISNUMBER(F90)),IF(AND(F82&lt;0,F90&lt;0),"Both cut",""),"")</f>
        <v/>
      </c>
      <c r="G138" s="14" t="str">
        <f aca="false">IF(AND(ISNUMBER(G82),ISNUMBER(G90)),IF(AND(G82&lt;0,G90&lt;0),"Both cut",""),"")</f>
        <v/>
      </c>
      <c r="H138" s="14" t="str">
        <f aca="false">IF(AND(ISNUMBER(H82),ISNUMBER(H90)),IF(AND(H82&lt;0,H90&lt;0),"Both cut",""),"")</f>
        <v/>
      </c>
      <c r="I138" s="14" t="str">
        <f aca="false">IF(AND(ISNUMBER(I82),ISNUMBER(I90)),IF(AND(I82&lt;0,I90&lt;0),"Both cut",""),"")</f>
        <v/>
      </c>
      <c r="J138" s="14" t="str">
        <f aca="false">IF(AND(ISNUMBER(J82),ISNUMBER(J90)),IF(AND(J82&lt;0,J90&lt;0),"Both cut",""),"")</f>
        <v/>
      </c>
      <c r="K138" s="14" t="str">
        <f aca="false">IF(AND(ISNUMBER(K82),ISNUMBER(K90)),IF(AND(K82&lt;0,K90&lt;0),"Both cut",""),"")</f>
        <v/>
      </c>
      <c r="L138" s="14" t="str">
        <f aca="false">IF(AND(ISNUMBER(L82),ISNUMBER(L90)),IF(AND(L82&lt;0,L90&lt;0),"Both cut",""),"")</f>
        <v/>
      </c>
      <c r="M138" s="14" t="str">
        <f aca="false">IF(AND(ISNUMBER(M82),ISNUMBER(M90)),IF(AND(M82&lt;0,M90&lt;0),"Both cut",""),"")</f>
        <v/>
      </c>
      <c r="N138" s="14" t="str">
        <f aca="false">IF(AND(ISNUMBER(N82),ISNUMBER(N90)),IF(AND(N82&lt;0,N90&lt;0),"Both cut",""),"")</f>
        <v/>
      </c>
    </row>
    <row r="139" customFormat="false" ht="15" hidden="false" customHeight="false" outlineLevel="0" collapsed="false">
      <c r="B139" s="5" t="s">
        <v>608</v>
      </c>
      <c r="F139" s="14" t="str">
        <f aca="false">IF(AND(ISNUMBER(F83),ISNUMBER(F91)),IF(AND(F83&lt;0,F91&lt;0),"Both cut",""),"")</f>
        <v/>
      </c>
      <c r="G139" s="14" t="str">
        <f aca="false">IF(AND(ISNUMBER(G83),ISNUMBER(G91)),IF(AND(G83&lt;0,G91&lt;0),"Both cut",""),"")</f>
        <v/>
      </c>
      <c r="H139" s="14" t="str">
        <f aca="false">IF(AND(ISNUMBER(H83),ISNUMBER(H91)),IF(AND(H83&lt;0,H91&lt;0),"Both cut",""),"")</f>
        <v/>
      </c>
      <c r="I139" s="14" t="str">
        <f aca="false">IF(AND(ISNUMBER(I83),ISNUMBER(I91)),IF(AND(I83&lt;0,I91&lt;0),"Both cut",""),"")</f>
        <v/>
      </c>
      <c r="J139" s="14" t="str">
        <f aca="false">IF(AND(ISNUMBER(J83),ISNUMBER(J91)),IF(AND(J83&lt;0,J91&lt;0),"Both cut",""),"")</f>
        <v/>
      </c>
      <c r="K139" s="14" t="str">
        <f aca="false">IF(AND(ISNUMBER(K83),ISNUMBER(K91)),IF(AND(K83&lt;0,K91&lt;0),"Both cut",""),"")</f>
        <v/>
      </c>
      <c r="L139" s="14" t="str">
        <f aca="false">IF(AND(ISNUMBER(L83),ISNUMBER(L91)),IF(AND(L83&lt;0,L91&lt;0),"Both cut",""),"")</f>
        <v/>
      </c>
      <c r="M139" s="14" t="str">
        <f aca="false">IF(AND(ISNUMBER(M83),ISNUMBER(M91)),IF(AND(M83&lt;0,M91&lt;0),"Both cut",""),"")</f>
        <v/>
      </c>
      <c r="N139" s="14" t="str">
        <f aca="false">IF(AND(ISNUMBER(N83),ISNUMBER(N91)),IF(AND(N83&lt;0,N91&lt;0),"Both cut",""),"")</f>
        <v/>
      </c>
    </row>
    <row r="140" customFormat="false" ht="15" hidden="false" customHeight="false" outlineLevel="0" collapsed="false">
      <c r="B140" s="5" t="s">
        <v>609</v>
      </c>
      <c r="F140" s="14" t="str">
        <f aca="false">IF(AND(ISNUMBER(F84),ISNUMBER(F92)),IF(AND(F84&lt;0,F92&lt;0),"Both cut",""),"")</f>
        <v/>
      </c>
      <c r="G140" s="14" t="str">
        <f aca="false">IF(AND(ISNUMBER(G84),ISNUMBER(G92)),IF(AND(G84&lt;0,G92&lt;0),"Both cut",""),"")</f>
        <v/>
      </c>
      <c r="H140" s="14" t="str">
        <f aca="false">IF(AND(ISNUMBER(H84),ISNUMBER(H92)),IF(AND(H84&lt;0,H92&lt;0),"Both cut",""),"")</f>
        <v/>
      </c>
      <c r="I140" s="14" t="str">
        <f aca="false">IF(AND(ISNUMBER(I84),ISNUMBER(I92)),IF(AND(I84&lt;0,I92&lt;0),"Both cut",""),"")</f>
        <v/>
      </c>
      <c r="J140" s="14" t="str">
        <f aca="false">IF(AND(ISNUMBER(J84),ISNUMBER(J92)),IF(AND(J84&lt;0,J92&lt;0),"Both cut",""),"")</f>
        <v/>
      </c>
      <c r="K140" s="14" t="str">
        <f aca="false">IF(AND(ISNUMBER(K84),ISNUMBER(K92)),IF(AND(K84&lt;0,K92&lt;0),"Both cut",""),"")</f>
        <v/>
      </c>
      <c r="L140" s="14" t="str">
        <f aca="false">IF(AND(ISNUMBER(L84),ISNUMBER(L92)),IF(AND(L84&lt;0,L92&lt;0),"Both cut",""),"")</f>
        <v/>
      </c>
      <c r="M140" s="14" t="str">
        <f aca="false">IF(AND(ISNUMBER(M84),ISNUMBER(M92)),IF(AND(M84&lt;0,M92&lt;0),"Both cut",""),"")</f>
        <v/>
      </c>
      <c r="N140" s="14" t="str">
        <f aca="false">IF(AND(ISNUMBER(N84),ISNUMBER(N92)),IF(AND(N84&lt;0,N92&lt;0),"Both cut",""),"")</f>
        <v/>
      </c>
    </row>
    <row r="141" customFormat="false" ht="15" hidden="false" customHeight="false" outlineLevel="0" collapsed="false">
      <c r="B141" s="5" t="s">
        <v>610</v>
      </c>
      <c r="F141" s="14" t="str">
        <f aca="false">IF(AND(ISNUMBER(F85),ISNUMBER(F93)),IF(AND(F85&lt;0,F93&lt;0),"Both cut",""),"")</f>
        <v/>
      </c>
      <c r="G141" s="14" t="str">
        <f aca="false">IF(AND(ISNUMBER(G85),ISNUMBER(G93)),IF(AND(G85&lt;0,G93&lt;0),"Both cut",""),"")</f>
        <v/>
      </c>
      <c r="H141" s="14" t="str">
        <f aca="false">IF(AND(ISNUMBER(H85),ISNUMBER(H93)),IF(AND(H85&lt;0,H93&lt;0),"Both cut",""),"")</f>
        <v/>
      </c>
      <c r="I141" s="14" t="str">
        <f aca="false">IF(AND(ISNUMBER(I85),ISNUMBER(I93)),IF(AND(I85&lt;0,I93&lt;0),"Both cut",""),"")</f>
        <v/>
      </c>
      <c r="J141" s="14" t="str">
        <f aca="false">IF(AND(ISNUMBER(J85),ISNUMBER(J93)),IF(AND(J85&lt;0,J93&lt;0),"Both cut",""),"")</f>
        <v/>
      </c>
      <c r="K141" s="14" t="str">
        <f aca="false">IF(AND(ISNUMBER(K85),ISNUMBER(K93)),IF(AND(K85&lt;0,K93&lt;0),"Both cut",""),"")</f>
        <v/>
      </c>
      <c r="L141" s="14" t="str">
        <f aca="false">IF(AND(ISNUMBER(L85),ISNUMBER(L93)),IF(AND(L85&lt;0,L93&lt;0),"Both cut",""),"")</f>
        <v/>
      </c>
      <c r="M141" s="14" t="str">
        <f aca="false">IF(AND(ISNUMBER(M85),ISNUMBER(M93)),IF(AND(M85&lt;0,M93&lt;0),"Both cut",""),"")</f>
        <v/>
      </c>
      <c r="N141" s="14" t="str">
        <f aca="false">IF(AND(ISNUMBER(N85),ISNUMBER(N93)),IF(AND(N85&lt;0,N93&lt;0),"Both cut",""),"")</f>
        <v/>
      </c>
    </row>
    <row r="143" customFormat="false" ht="15" hidden="false" customHeight="false" outlineLevel="0" collapsed="false">
      <c r="B143" s="45" t="s">
        <v>611</v>
      </c>
    </row>
    <row r="144" customFormat="false" ht="15" hidden="false" customHeight="false" outlineLevel="0" collapsed="false">
      <c r="B144" s="45" t="s">
        <v>612</v>
      </c>
    </row>
  </sheetData>
  <conditionalFormatting sqref="F70:N130">
    <cfRule type="expression" priority="2" aboveAverage="0" equalAverage="0" bottom="0" percent="0" rank="0" text="" dxfId="1">
      <formula>AND(ISNUMBER(F70),ABS(F70)&gt;$D$4)</formula>
    </cfRule>
  </conditionalFormatting>
  <conditionalFormatting sqref="F134:N141">
    <cfRule type="expression" priority="3" aboveAverage="0" equalAverage="0" bottom="0" percent="0" rank="0" text="" dxfId="2">
      <formula>F134="Both cut"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E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7" topLeftCell="A4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6" t="s">
        <v>613</v>
      </c>
    </row>
    <row r="2" customFormat="false" ht="15" hidden="false" customHeight="false" outlineLevel="0" collapsed="false">
      <c r="A2" s="3" t="s">
        <v>614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615</v>
      </c>
      <c r="B5" s="8" t="s">
        <v>389</v>
      </c>
      <c r="C5" s="8" t="s">
        <v>616</v>
      </c>
      <c r="D5" s="8" t="s">
        <v>617</v>
      </c>
      <c r="E5" s="8" t="s">
        <v>618</v>
      </c>
    </row>
    <row r="6" customFormat="false" ht="15" hidden="false" customHeight="false" outlineLevel="0" collapsed="false">
      <c r="A6" s="5" t="s">
        <v>619</v>
      </c>
      <c r="B6" s="46" t="n">
        <v>1.85</v>
      </c>
      <c r="C6" s="46" t="n">
        <v>2</v>
      </c>
      <c r="D6" s="47" t="n">
        <f aca="false">IF(AND(ISNUMBER(B6),ISNUMBER(C6)),B6-C6,"")</f>
        <v>-0.15</v>
      </c>
      <c r="E6" s="14" t="str">
        <f aca="false">IF(D6="","",IF(D6&gt;=0,"Yes","No"))</f>
        <v>No</v>
      </c>
    </row>
    <row r="7" customFormat="false" ht="15" hidden="false" customHeight="false" outlineLevel="0" collapsed="false">
      <c r="A7" s="5" t="s">
        <v>620</v>
      </c>
      <c r="B7" s="27" t="n">
        <v>0.142</v>
      </c>
      <c r="C7" s="27" t="n">
        <v>0.15</v>
      </c>
      <c r="D7" s="23" t="n">
        <f aca="false">IF(AND(ISNUMBER(B7),ISNUMBER(C7)),B7-C7,"")</f>
        <v>-0.00800000000000001</v>
      </c>
      <c r="E7" s="14" t="str">
        <f aca="false">IF(D7="","",IF(D7&gt;=0,"Yes","No"))</f>
        <v>No</v>
      </c>
    </row>
    <row r="8" customFormat="false" ht="15" hidden="false" customHeight="false" outlineLevel="0" collapsed="false">
      <c r="A8" s="5" t="s">
        <v>621</v>
      </c>
      <c r="B8" s="46" t="n">
        <v>22.4</v>
      </c>
      <c r="C8" s="46" t="n">
        <v>25</v>
      </c>
      <c r="D8" s="47" t="n">
        <f aca="false">IF(AND(ISNUMBER(B8),ISNUMBER(C8)),B8-C8,"")</f>
        <v>-2.6</v>
      </c>
      <c r="E8" s="14" t="str">
        <f aca="false">IF(D8="","",IF(D8&gt;=0,"Yes","No"))</f>
        <v>No</v>
      </c>
    </row>
    <row r="9" customFormat="false" ht="15" hidden="false" customHeight="false" outlineLevel="0" collapsed="false">
      <c r="A9" s="5" t="s">
        <v>622</v>
      </c>
      <c r="B9" s="9" t="s">
        <v>623</v>
      </c>
      <c r="C9" s="9" t="s">
        <v>624</v>
      </c>
      <c r="D9" s="48" t="n">
        <f aca="false">IF(OR(B9="",C9=""),"",IFERROR(MATCH(C9,CreditScale,0)-MATCH(B9,CreditScale,0),""))</f>
        <v>-2</v>
      </c>
      <c r="E9" s="14" t="str">
        <f aca="false">IF(D9="","",IF(D9&gt;=0,"Yes","No"))</f>
        <v>No</v>
      </c>
    </row>
    <row r="10" customFormat="false" ht="15" hidden="false" customHeight="false" outlineLevel="0" collapsed="false">
      <c r="A10" s="5" t="s">
        <v>625</v>
      </c>
      <c r="B10" s="42" t="n">
        <v>68</v>
      </c>
      <c r="C10" s="42" t="n">
        <v>70</v>
      </c>
      <c r="D10" s="10" t="n">
        <f aca="false">IF(AND(ISNUMBER(B10),ISNUMBER(C10)),B10-C10,"")</f>
        <v>-2</v>
      </c>
      <c r="E10" s="14" t="str">
        <f aca="false">IF(D10="","",IF(D10&gt;=0,"Yes","No"))</f>
        <v>No</v>
      </c>
    </row>
    <row r="12" customFormat="false" ht="30" hidden="false" customHeight="true" outlineLevel="0" collapsed="false">
      <c r="A12" s="8" t="s">
        <v>626</v>
      </c>
      <c r="B12" s="8" t="s">
        <v>627</v>
      </c>
    </row>
    <row r="13" customFormat="false" ht="15" hidden="false" customHeight="false" outlineLevel="0" collapsed="false">
      <c r="A13" s="5" t="s">
        <v>628</v>
      </c>
      <c r="B13" s="42" t="n">
        <v>78</v>
      </c>
    </row>
    <row r="14" customFormat="false" ht="15" hidden="false" customHeight="false" outlineLevel="0" collapsed="false">
      <c r="A14" s="5" t="s">
        <v>629</v>
      </c>
      <c r="B14" s="42" t="n">
        <v>3</v>
      </c>
    </row>
    <row r="15" customFormat="false" ht="15" hidden="false" customHeight="false" outlineLevel="0" collapsed="false">
      <c r="A15" s="5" t="s">
        <v>630</v>
      </c>
      <c r="B15" s="28" t="n">
        <v>412000</v>
      </c>
    </row>
    <row r="16" customFormat="false" ht="15" hidden="false" customHeight="false" outlineLevel="0" collapsed="false">
      <c r="A16" s="5" t="s">
        <v>631</v>
      </c>
      <c r="B16" s="28" t="n">
        <v>18500</v>
      </c>
    </row>
    <row r="17" customFormat="false" ht="15" hidden="false" customHeight="false" outlineLevel="0" collapsed="false">
      <c r="A17" s="5" t="s">
        <v>632</v>
      </c>
      <c r="B17" s="28" t="n">
        <v>14200</v>
      </c>
    </row>
    <row r="19" customFormat="false" ht="30" hidden="false" customHeight="true" outlineLevel="0" collapsed="false">
      <c r="A19" s="8" t="s">
        <v>633</v>
      </c>
      <c r="B19" s="8" t="s">
        <v>634</v>
      </c>
      <c r="C19" s="8" t="s">
        <v>635</v>
      </c>
    </row>
    <row r="20" customFormat="false" ht="15" hidden="false" customHeight="false" outlineLevel="0" collapsed="false">
      <c r="A20" s="5" t="s">
        <v>636</v>
      </c>
      <c r="B20" s="28" t="n">
        <v>1450</v>
      </c>
      <c r="C20" s="28" t="n">
        <v>120</v>
      </c>
    </row>
    <row r="21" customFormat="false" ht="15" hidden="false" customHeight="false" outlineLevel="0" collapsed="false">
      <c r="A21" s="5" t="s">
        <v>637</v>
      </c>
      <c r="B21" s="29" t="n">
        <v>264</v>
      </c>
      <c r="C21" s="29" t="n">
        <v>1237</v>
      </c>
    </row>
    <row r="22" customFormat="false" ht="15" hidden="false" customHeight="false" outlineLevel="0" collapsed="false">
      <c r="A22" s="5" t="s">
        <v>638</v>
      </c>
      <c r="B22" s="13" t="n">
        <v>4</v>
      </c>
      <c r="C22" s="13" t="n">
        <v>4.2</v>
      </c>
    </row>
    <row r="23" customFormat="false" ht="15" hidden="false" customHeight="false" outlineLevel="0" collapsed="false">
      <c r="A23" s="5" t="s">
        <v>639</v>
      </c>
      <c r="B23" s="29" t="n">
        <v>182</v>
      </c>
      <c r="C23" s="29" t="n">
        <v>905</v>
      </c>
    </row>
    <row r="24" customFormat="false" ht="15" hidden="false" customHeight="false" outlineLevel="0" collapsed="false">
      <c r="A24" s="5" t="s">
        <v>640</v>
      </c>
      <c r="B24" s="27" t="n">
        <v>0.11</v>
      </c>
      <c r="C24" s="27" t="n">
        <v>0.09</v>
      </c>
    </row>
    <row r="25" customFormat="false" ht="15" hidden="false" customHeight="false" outlineLevel="0" collapsed="false">
      <c r="A25" s="5" t="s">
        <v>641</v>
      </c>
      <c r="B25" s="29" t="n">
        <v>276</v>
      </c>
      <c r="C25" s="29" t="n">
        <v>1195</v>
      </c>
    </row>
    <row r="26" customFormat="false" ht="15" hidden="false" customHeight="false" outlineLevel="0" collapsed="false">
      <c r="A26" s="5" t="s">
        <v>642</v>
      </c>
      <c r="B26" s="13" t="n">
        <v>4</v>
      </c>
      <c r="C26" s="13" t="n">
        <v>4.1</v>
      </c>
    </row>
    <row r="27" customFormat="false" ht="15" hidden="false" customHeight="false" outlineLevel="0" collapsed="false">
      <c r="A27" s="5" t="s">
        <v>643</v>
      </c>
      <c r="B27" s="29" t="n">
        <v>186</v>
      </c>
      <c r="C27" s="29" t="n">
        <v>890</v>
      </c>
    </row>
    <row r="28" customFormat="false" ht="15" hidden="false" customHeight="false" outlineLevel="0" collapsed="false">
      <c r="A28" s="11" t="s">
        <v>644</v>
      </c>
      <c r="B28" s="49" t="n">
        <f aca="false">IF(AND(ISNUMBER(B21),ISNUMBER(B25)),B21/B25-1,"")</f>
        <v>-0.0434782608695652</v>
      </c>
      <c r="C28" s="49" t="n">
        <f aca="false">IF(AND(ISNUMBER(C21),ISNUMBER(C25)),C21/C25-1,"")</f>
        <v>0.0351464435146442</v>
      </c>
    </row>
    <row r="29" customFormat="false" ht="15" hidden="false" customHeight="false" outlineLevel="0" collapsed="false">
      <c r="A29" s="11" t="s">
        <v>645</v>
      </c>
      <c r="B29" s="49" t="n">
        <f aca="false">IF(AND(ISNUMBER(B23),ISNUMBER(B27)),B23/B27-1,"")</f>
        <v>-0.021505376344086</v>
      </c>
      <c r="C29" s="49" t="n">
        <f aca="false">IF(AND(ISNUMBER(C23),ISNUMBER(C27)),C23/C27-1,"")</f>
        <v>0.0168539325842696</v>
      </c>
    </row>
    <row r="31" customFormat="false" ht="30" hidden="false" customHeight="true" outlineLevel="0" collapsed="false">
      <c r="A31" s="8" t="s">
        <v>646</v>
      </c>
      <c r="B31" s="8" t="s">
        <v>634</v>
      </c>
      <c r="C31" s="8" t="s">
        <v>635</v>
      </c>
    </row>
    <row r="32" customFormat="false" ht="15" hidden="false" customHeight="false" outlineLevel="0" collapsed="false">
      <c r="A32" s="5" t="s">
        <v>647</v>
      </c>
      <c r="B32" s="13" t="n">
        <v>12</v>
      </c>
      <c r="C32" s="13" t="n">
        <v>12</v>
      </c>
    </row>
    <row r="33" customFormat="false" ht="15" hidden="false" customHeight="false" outlineLevel="0" collapsed="false">
      <c r="A33" s="5" t="s">
        <v>648</v>
      </c>
      <c r="B33" s="13" t="n">
        <v>11.5</v>
      </c>
      <c r="C33" s="13" t="n">
        <v>12.6</v>
      </c>
    </row>
    <row r="34" customFormat="false" ht="15" hidden="false" customHeight="false" outlineLevel="0" collapsed="false">
      <c r="A34" s="5" t="s">
        <v>649</v>
      </c>
      <c r="B34" s="13" t="n">
        <v>12.4</v>
      </c>
      <c r="C34" s="13" t="n">
        <v>11.1</v>
      </c>
    </row>
    <row r="35" customFormat="false" ht="15" hidden="false" customHeight="false" outlineLevel="0" collapsed="false">
      <c r="A35" s="5" t="s">
        <v>650</v>
      </c>
      <c r="B35" s="13" t="n">
        <v>13</v>
      </c>
      <c r="C35" s="13" t="n">
        <v>12.2</v>
      </c>
    </row>
    <row r="36" customFormat="false" ht="15" hidden="false" customHeight="false" outlineLevel="0" collapsed="false">
      <c r="A36" s="11" t="s">
        <v>651</v>
      </c>
      <c r="B36" s="12" t="n">
        <f aca="false">IF(COUNT(B32:B35)=0,"",AVERAGE(B32:B35))</f>
        <v>12.225</v>
      </c>
      <c r="C36" s="12" t="n">
        <f aca="false">IF(COUNT(C32:C35)=0,"",AVERAGE(C32:C35))</f>
        <v>11.975</v>
      </c>
    </row>
    <row r="38" customFormat="false" ht="30" hidden="false" customHeight="true" outlineLevel="0" collapsed="false">
      <c r="A38" s="8" t="s">
        <v>652</v>
      </c>
      <c r="B38" s="8" t="s">
        <v>627</v>
      </c>
      <c r="C38" s="8" t="s">
        <v>600</v>
      </c>
    </row>
    <row r="39" customFormat="false" ht="15" hidden="false" customHeight="false" outlineLevel="0" collapsed="false">
      <c r="A39" s="5" t="s">
        <v>458</v>
      </c>
      <c r="B39" s="9" t="s">
        <v>460</v>
      </c>
      <c r="C39" s="43" t="s">
        <v>456</v>
      </c>
    </row>
    <row r="40" customFormat="false" ht="15" hidden="false" customHeight="false" outlineLevel="0" collapsed="false">
      <c r="A40" s="5" t="s">
        <v>482</v>
      </c>
      <c r="B40" s="9" t="n">
        <v>264</v>
      </c>
      <c r="C40" s="43" t="s">
        <v>480</v>
      </c>
    </row>
    <row r="41" customFormat="false" ht="15" hidden="false" customHeight="false" outlineLevel="0" collapsed="false">
      <c r="A41" s="5" t="s">
        <v>498</v>
      </c>
      <c r="B41" s="9" t="n">
        <v>7500</v>
      </c>
      <c r="C41" s="43" t="s">
        <v>497</v>
      </c>
    </row>
    <row r="42" customFormat="false" ht="15" hidden="false" customHeight="false" outlineLevel="0" collapsed="false">
      <c r="A42" s="5" t="s">
        <v>484</v>
      </c>
      <c r="B42" s="9" t="n">
        <v>270</v>
      </c>
      <c r="C42" s="43" t="s">
        <v>483</v>
      </c>
    </row>
    <row r="43" customFormat="false" ht="15" hidden="false" customHeight="false" outlineLevel="0" collapsed="false">
      <c r="A43" s="5" t="s">
        <v>500</v>
      </c>
      <c r="B43" s="9" t="n">
        <v>6000</v>
      </c>
      <c r="C43" s="43" t="s">
        <v>499</v>
      </c>
    </row>
    <row r="44" customFormat="false" ht="15" hidden="false" customHeight="false" outlineLevel="0" collapsed="false">
      <c r="A44" s="5" t="s">
        <v>564</v>
      </c>
      <c r="B44" s="9" t="n">
        <v>21000</v>
      </c>
      <c r="C44" s="43" t="s">
        <v>562</v>
      </c>
    </row>
    <row r="45" customFormat="false" ht="23.85" hidden="false" customHeight="false" outlineLevel="0" collapsed="false">
      <c r="A45" s="5" t="s">
        <v>462</v>
      </c>
      <c r="B45" s="9" t="s">
        <v>463</v>
      </c>
      <c r="C45" s="43" t="s">
        <v>461</v>
      </c>
    </row>
    <row r="47" customFormat="false" ht="30" hidden="false" customHeight="true" outlineLevel="0" collapsed="false">
      <c r="A47" s="8" t="s">
        <v>653</v>
      </c>
      <c r="B47" s="8" t="s">
        <v>428</v>
      </c>
      <c r="C47" s="8" t="s">
        <v>435</v>
      </c>
      <c r="D47" s="8" t="s">
        <v>436</v>
      </c>
      <c r="E47" s="8" t="s">
        <v>431</v>
      </c>
    </row>
    <row r="48" customFormat="false" ht="15" hidden="false" customHeight="false" outlineLevel="0" collapsed="false">
      <c r="A48" s="9" t="s">
        <v>654</v>
      </c>
      <c r="B48" s="9" t="s">
        <v>437</v>
      </c>
      <c r="C48" s="9" t="n">
        <v>299</v>
      </c>
      <c r="D48" s="9" t="n">
        <v>4.3</v>
      </c>
      <c r="E48" s="9" t="n">
        <v>12.3</v>
      </c>
    </row>
    <row r="49" customFormat="false" ht="15" hidden="false" customHeight="false" outlineLevel="0" collapsed="false">
      <c r="A49" s="9" t="s">
        <v>654</v>
      </c>
      <c r="B49" s="9" t="s">
        <v>437</v>
      </c>
      <c r="C49" s="9" t="n">
        <v>298</v>
      </c>
      <c r="D49" s="9" t="n">
        <v>4.4</v>
      </c>
      <c r="E49" s="9" t="n">
        <v>14.9</v>
      </c>
    </row>
    <row r="50" customFormat="false" ht="15" hidden="false" customHeight="false" outlineLevel="0" collapsed="false">
      <c r="A50" s="9" t="s">
        <v>654</v>
      </c>
      <c r="B50" s="9" t="s">
        <v>437</v>
      </c>
      <c r="C50" s="9" t="n">
        <v>282</v>
      </c>
      <c r="D50" s="9" t="n">
        <v>4.3</v>
      </c>
      <c r="E50" s="9" t="n">
        <v>12.9</v>
      </c>
    </row>
    <row r="51" customFormat="false" ht="15" hidden="false" customHeight="false" outlineLevel="0" collapsed="false">
      <c r="A51" s="9" t="s">
        <v>654</v>
      </c>
      <c r="B51" s="9" t="s">
        <v>437</v>
      </c>
      <c r="C51" s="9" t="n">
        <v>273</v>
      </c>
      <c r="D51" s="9" t="n">
        <v>4.4</v>
      </c>
      <c r="E51" s="9" t="n">
        <v>14.3</v>
      </c>
    </row>
    <row r="52" customFormat="false" ht="15" hidden="false" customHeight="false" outlineLevel="0" collapsed="false">
      <c r="A52" s="9" t="s">
        <v>654</v>
      </c>
      <c r="B52" s="9" t="s">
        <v>438</v>
      </c>
      <c r="C52" s="9" t="n">
        <v>1336</v>
      </c>
      <c r="D52" s="9" t="n">
        <v>4.6</v>
      </c>
      <c r="E52" s="9" t="n">
        <v>12.2</v>
      </c>
    </row>
    <row r="53" customFormat="false" ht="15" hidden="false" customHeight="false" outlineLevel="0" collapsed="false">
      <c r="A53" s="9" t="s">
        <v>654</v>
      </c>
      <c r="B53" s="9" t="s">
        <v>438</v>
      </c>
      <c r="C53" s="9" t="n">
        <v>1287</v>
      </c>
      <c r="D53" s="9" t="n">
        <v>4.5</v>
      </c>
      <c r="E53" s="9" t="n">
        <v>14.2</v>
      </c>
    </row>
    <row r="54" customFormat="false" ht="15" hidden="false" customHeight="false" outlineLevel="0" collapsed="false">
      <c r="A54" s="9" t="s">
        <v>654</v>
      </c>
      <c r="B54" s="9" t="s">
        <v>438</v>
      </c>
      <c r="C54" s="9" t="n">
        <v>1242</v>
      </c>
      <c r="D54" s="9" t="n">
        <v>4.4</v>
      </c>
      <c r="E54" s="9" t="n">
        <v>13</v>
      </c>
    </row>
    <row r="55" customFormat="false" ht="15" hidden="false" customHeight="false" outlineLevel="0" collapsed="false">
      <c r="A55" s="9" t="s">
        <v>654</v>
      </c>
      <c r="B55" s="9" t="s">
        <v>438</v>
      </c>
      <c r="C55" s="9" t="n">
        <v>1208</v>
      </c>
      <c r="D55" s="9" t="n">
        <v>4.4</v>
      </c>
      <c r="E55" s="9" t="n">
        <v>12.6</v>
      </c>
    </row>
    <row r="56" customFormat="false" ht="15" hidden="false" customHeight="false" outlineLevel="0" collapsed="false">
      <c r="A56" s="9" t="s">
        <v>655</v>
      </c>
      <c r="B56" s="9" t="s">
        <v>437</v>
      </c>
      <c r="C56" s="9" t="n">
        <v>240</v>
      </c>
      <c r="D56" s="9" t="n">
        <v>3.5</v>
      </c>
      <c r="E56" s="9" t="n">
        <v>13.1</v>
      </c>
    </row>
    <row r="57" customFormat="false" ht="15" hidden="false" customHeight="false" outlineLevel="0" collapsed="false">
      <c r="A57" s="9" t="s">
        <v>655</v>
      </c>
      <c r="B57" s="9" t="s">
        <v>437</v>
      </c>
      <c r="C57" s="9" t="n">
        <v>239</v>
      </c>
      <c r="D57" s="9" t="n">
        <v>3.4</v>
      </c>
      <c r="E57" s="9" t="n">
        <v>14</v>
      </c>
    </row>
    <row r="58" customFormat="false" ht="15" hidden="false" customHeight="false" outlineLevel="0" collapsed="false">
      <c r="A58" s="9" t="s">
        <v>655</v>
      </c>
      <c r="B58" s="9" t="s">
        <v>437</v>
      </c>
      <c r="C58" s="9" t="n">
        <v>229</v>
      </c>
      <c r="D58" s="9" t="n">
        <v>3.4</v>
      </c>
      <c r="E58" s="9" t="n">
        <v>13.9</v>
      </c>
    </row>
    <row r="59" customFormat="false" ht="15" hidden="false" customHeight="false" outlineLevel="0" collapsed="false">
      <c r="A59" s="9" t="s">
        <v>655</v>
      </c>
      <c r="B59" s="9" t="s">
        <v>437</v>
      </c>
      <c r="C59" s="9" t="n">
        <v>225</v>
      </c>
      <c r="D59" s="9" t="n">
        <v>3.3</v>
      </c>
      <c r="E59" s="9" t="n">
        <v>13.1</v>
      </c>
    </row>
    <row r="60" customFormat="false" ht="15" hidden="false" customHeight="false" outlineLevel="0" collapsed="false">
      <c r="A60" s="9" t="s">
        <v>655</v>
      </c>
      <c r="B60" s="9" t="s">
        <v>438</v>
      </c>
      <c r="C60" s="9" t="n">
        <v>1037</v>
      </c>
      <c r="D60" s="9" t="n">
        <v>3.5</v>
      </c>
      <c r="E60" s="9" t="n">
        <v>12.7</v>
      </c>
    </row>
    <row r="61" customFormat="false" ht="15" hidden="false" customHeight="false" outlineLevel="0" collapsed="false">
      <c r="A61" s="9" t="s">
        <v>655</v>
      </c>
      <c r="B61" s="9" t="s">
        <v>438</v>
      </c>
      <c r="C61" s="9" t="n">
        <v>1057</v>
      </c>
      <c r="D61" s="9" t="n">
        <v>3.5</v>
      </c>
      <c r="E61" s="9" t="n">
        <v>13.6</v>
      </c>
    </row>
    <row r="62" customFormat="false" ht="15" hidden="false" customHeight="false" outlineLevel="0" collapsed="false">
      <c r="A62" s="9" t="s">
        <v>655</v>
      </c>
      <c r="B62" s="9" t="s">
        <v>438</v>
      </c>
      <c r="C62" s="9" t="n">
        <v>981</v>
      </c>
      <c r="D62" s="9" t="n">
        <v>3.4</v>
      </c>
      <c r="E62" s="9" t="n">
        <v>11.7</v>
      </c>
    </row>
    <row r="63" customFormat="false" ht="15" hidden="false" customHeight="false" outlineLevel="0" collapsed="false">
      <c r="A63" s="9" t="s">
        <v>655</v>
      </c>
      <c r="B63" s="9" t="s">
        <v>438</v>
      </c>
      <c r="C63" s="9" t="n">
        <v>991</v>
      </c>
      <c r="D63" s="9" t="n">
        <v>3.5</v>
      </c>
      <c r="E63" s="9" t="n">
        <v>13.7</v>
      </c>
    </row>
    <row r="64" customFormat="false" ht="15" hidden="false" customHeight="false" outlineLevel="0" collapsed="false">
      <c r="A64" s="9" t="s">
        <v>656</v>
      </c>
      <c r="B64" s="9" t="s">
        <v>437</v>
      </c>
      <c r="C64" s="9" t="n">
        <v>272</v>
      </c>
      <c r="D64" s="9" t="n">
        <v>3.8</v>
      </c>
      <c r="E64" s="9" t="n">
        <v>15.4</v>
      </c>
    </row>
    <row r="65" customFormat="false" ht="15" hidden="false" customHeight="false" outlineLevel="0" collapsed="false">
      <c r="A65" s="9" t="s">
        <v>656</v>
      </c>
      <c r="B65" s="9" t="s">
        <v>437</v>
      </c>
      <c r="C65" s="9" t="n">
        <v>272</v>
      </c>
      <c r="D65" s="9" t="n">
        <v>4</v>
      </c>
      <c r="E65" s="9" t="n">
        <v>15</v>
      </c>
    </row>
    <row r="66" customFormat="false" ht="15" hidden="false" customHeight="false" outlineLevel="0" collapsed="false">
      <c r="A66" s="9" t="s">
        <v>656</v>
      </c>
      <c r="B66" s="9" t="s">
        <v>437</v>
      </c>
      <c r="C66" s="9" t="n">
        <v>255</v>
      </c>
      <c r="D66" s="9" t="n">
        <v>3.9</v>
      </c>
      <c r="E66" s="9" t="n">
        <v>14.7</v>
      </c>
    </row>
    <row r="67" customFormat="false" ht="15" hidden="false" customHeight="false" outlineLevel="0" collapsed="false">
      <c r="A67" s="9" t="s">
        <v>656</v>
      </c>
      <c r="B67" s="9" t="s">
        <v>437</v>
      </c>
      <c r="C67" s="9" t="n">
        <v>249</v>
      </c>
      <c r="D67" s="9" t="n">
        <v>3.9</v>
      </c>
      <c r="E67" s="9" t="n">
        <v>13.6</v>
      </c>
    </row>
    <row r="68" customFormat="false" ht="15" hidden="false" customHeight="false" outlineLevel="0" collapsed="false">
      <c r="A68" s="9" t="s">
        <v>656</v>
      </c>
      <c r="B68" s="9" t="s">
        <v>438</v>
      </c>
      <c r="C68" s="9" t="n">
        <v>1329</v>
      </c>
      <c r="D68" s="9" t="n">
        <v>4.7</v>
      </c>
      <c r="E68" s="9" t="n">
        <v>14.2</v>
      </c>
    </row>
    <row r="69" customFormat="false" ht="15" hidden="false" customHeight="false" outlineLevel="0" collapsed="false">
      <c r="A69" s="9" t="s">
        <v>656</v>
      </c>
      <c r="B69" s="9" t="s">
        <v>438</v>
      </c>
      <c r="C69" s="9" t="n">
        <v>1325</v>
      </c>
      <c r="D69" s="9" t="n">
        <v>4.7</v>
      </c>
      <c r="E69" s="9" t="n">
        <v>14.6</v>
      </c>
    </row>
    <row r="70" customFormat="false" ht="15" hidden="false" customHeight="false" outlineLevel="0" collapsed="false">
      <c r="A70" s="9" t="s">
        <v>656</v>
      </c>
      <c r="B70" s="9" t="s">
        <v>438</v>
      </c>
      <c r="C70" s="9" t="n">
        <v>1256</v>
      </c>
      <c r="D70" s="9" t="n">
        <v>4.5</v>
      </c>
      <c r="E70" s="9" t="n">
        <v>14.7</v>
      </c>
    </row>
    <row r="71" customFormat="false" ht="15" hidden="false" customHeight="false" outlineLevel="0" collapsed="false">
      <c r="A71" s="9" t="s">
        <v>656</v>
      </c>
      <c r="B71" s="9" t="s">
        <v>438</v>
      </c>
      <c r="C71" s="9" t="n">
        <v>1221</v>
      </c>
      <c r="D71" s="9" t="n">
        <v>4.7</v>
      </c>
      <c r="E71" s="9" t="n">
        <v>15.4</v>
      </c>
    </row>
    <row r="72" customFormat="false" ht="15" hidden="false" customHeight="false" outlineLevel="0" collapsed="false">
      <c r="A72" s="9" t="s">
        <v>657</v>
      </c>
      <c r="B72" s="9" t="s">
        <v>437</v>
      </c>
      <c r="C72" s="9" t="n">
        <v>323</v>
      </c>
      <c r="D72" s="9" t="n">
        <v>4.2</v>
      </c>
      <c r="E72" s="9" t="n">
        <v>10.7</v>
      </c>
    </row>
    <row r="73" customFormat="false" ht="15" hidden="false" customHeight="false" outlineLevel="0" collapsed="false">
      <c r="A73" s="9" t="s">
        <v>657</v>
      </c>
      <c r="B73" s="9" t="s">
        <v>437</v>
      </c>
      <c r="C73" s="9" t="n">
        <v>316</v>
      </c>
      <c r="D73" s="9" t="n">
        <v>4.2</v>
      </c>
      <c r="E73" s="9" t="n">
        <v>9.4</v>
      </c>
    </row>
    <row r="74" customFormat="false" ht="15" hidden="false" customHeight="false" outlineLevel="0" collapsed="false">
      <c r="A74" s="9" t="s">
        <v>657</v>
      </c>
      <c r="B74" s="9" t="s">
        <v>437</v>
      </c>
      <c r="C74" s="9" t="n">
        <v>299</v>
      </c>
      <c r="D74" s="9" t="n">
        <v>4.3</v>
      </c>
      <c r="E74" s="9" t="n">
        <v>9.3</v>
      </c>
    </row>
    <row r="75" customFormat="false" ht="15" hidden="false" customHeight="false" outlineLevel="0" collapsed="false">
      <c r="A75" s="9" t="s">
        <v>657</v>
      </c>
      <c r="B75" s="9" t="s">
        <v>437</v>
      </c>
      <c r="C75" s="9" t="n">
        <v>297</v>
      </c>
      <c r="D75" s="9" t="n">
        <v>4.1</v>
      </c>
      <c r="E75" s="9" t="n">
        <v>10.2</v>
      </c>
    </row>
    <row r="76" customFormat="false" ht="15" hidden="false" customHeight="false" outlineLevel="0" collapsed="false">
      <c r="A76" s="9" t="s">
        <v>657</v>
      </c>
      <c r="B76" s="9" t="s">
        <v>438</v>
      </c>
      <c r="C76" s="9" t="n">
        <v>1410</v>
      </c>
      <c r="D76" s="9" t="n">
        <v>4.2</v>
      </c>
      <c r="E76" s="9" t="n">
        <v>9.5</v>
      </c>
    </row>
    <row r="77" customFormat="false" ht="15" hidden="false" customHeight="false" outlineLevel="0" collapsed="false">
      <c r="A77" s="9" t="s">
        <v>657</v>
      </c>
      <c r="B77" s="9" t="s">
        <v>438</v>
      </c>
      <c r="C77" s="9" t="n">
        <v>1403</v>
      </c>
      <c r="D77" s="9" t="n">
        <v>4.4</v>
      </c>
      <c r="E77" s="9" t="n">
        <v>9.7</v>
      </c>
    </row>
    <row r="78" customFormat="false" ht="15" hidden="false" customHeight="false" outlineLevel="0" collapsed="false">
      <c r="A78" s="9" t="s">
        <v>657</v>
      </c>
      <c r="B78" s="9" t="s">
        <v>438</v>
      </c>
      <c r="C78" s="9" t="n">
        <v>1345</v>
      </c>
      <c r="D78" s="9" t="n">
        <v>4.2</v>
      </c>
      <c r="E78" s="9" t="n">
        <v>9</v>
      </c>
    </row>
    <row r="79" customFormat="false" ht="15" hidden="false" customHeight="false" outlineLevel="0" collapsed="false">
      <c r="A79" s="9" t="s">
        <v>657</v>
      </c>
      <c r="B79" s="9" t="s">
        <v>438</v>
      </c>
      <c r="C79" s="9" t="n">
        <v>1304</v>
      </c>
      <c r="D79" s="9" t="n">
        <v>4.4</v>
      </c>
      <c r="E79" s="9" t="n">
        <v>8.7</v>
      </c>
    </row>
    <row r="80" customFormat="false" ht="15" hidden="false" customHeight="false" outlineLevel="0" collapsed="false">
      <c r="A80" s="9" t="s">
        <v>658</v>
      </c>
      <c r="B80" s="9" t="s">
        <v>437</v>
      </c>
      <c r="C80" s="9" t="n">
        <v>254</v>
      </c>
      <c r="D80" s="9" t="n">
        <v>3.5</v>
      </c>
      <c r="E80" s="9" t="n">
        <v>13.6</v>
      </c>
    </row>
    <row r="81" customFormat="false" ht="15" hidden="false" customHeight="false" outlineLevel="0" collapsed="false">
      <c r="A81" s="9" t="s">
        <v>658</v>
      </c>
      <c r="B81" s="9" t="s">
        <v>437</v>
      </c>
      <c r="C81" s="9" t="n">
        <v>248</v>
      </c>
      <c r="D81" s="9" t="n">
        <v>3.6</v>
      </c>
      <c r="E81" s="9" t="n">
        <v>11.5</v>
      </c>
    </row>
    <row r="82" customFormat="false" ht="15" hidden="false" customHeight="false" outlineLevel="0" collapsed="false">
      <c r="A82" s="9" t="s">
        <v>658</v>
      </c>
      <c r="B82" s="9" t="s">
        <v>437</v>
      </c>
      <c r="C82" s="9" t="n">
        <v>236</v>
      </c>
      <c r="D82" s="9" t="n">
        <v>3.5</v>
      </c>
      <c r="E82" s="9" t="n">
        <v>13.4</v>
      </c>
    </row>
    <row r="83" customFormat="false" ht="15" hidden="false" customHeight="false" outlineLevel="0" collapsed="false">
      <c r="A83" s="9" t="s">
        <v>658</v>
      </c>
      <c r="B83" s="9" t="s">
        <v>437</v>
      </c>
      <c r="C83" s="9" t="n">
        <v>234</v>
      </c>
      <c r="D83" s="9" t="n">
        <v>3.4</v>
      </c>
      <c r="E83" s="9" t="n">
        <v>12.1</v>
      </c>
    </row>
    <row r="84" customFormat="false" ht="15" hidden="false" customHeight="false" outlineLevel="0" collapsed="false">
      <c r="A84" s="9" t="s">
        <v>658</v>
      </c>
      <c r="B84" s="9" t="s">
        <v>438</v>
      </c>
      <c r="C84" s="9" t="n">
        <v>1093</v>
      </c>
      <c r="D84" s="9" t="n">
        <v>3.6</v>
      </c>
      <c r="E84" s="9" t="n">
        <v>13.4</v>
      </c>
    </row>
    <row r="85" customFormat="false" ht="15" hidden="false" customHeight="false" outlineLevel="0" collapsed="false">
      <c r="A85" s="9" t="s">
        <v>658</v>
      </c>
      <c r="B85" s="9" t="s">
        <v>438</v>
      </c>
      <c r="C85" s="9" t="n">
        <v>1114</v>
      </c>
      <c r="D85" s="9" t="n">
        <v>3.6</v>
      </c>
      <c r="E85" s="9" t="n">
        <v>11.9</v>
      </c>
    </row>
    <row r="86" customFormat="false" ht="15" hidden="false" customHeight="false" outlineLevel="0" collapsed="false">
      <c r="A86" s="9" t="s">
        <v>658</v>
      </c>
      <c r="B86" s="9" t="s">
        <v>438</v>
      </c>
      <c r="C86" s="9" t="n">
        <v>1057</v>
      </c>
      <c r="D86" s="9" t="n">
        <v>3.6</v>
      </c>
      <c r="E86" s="9" t="n">
        <v>14.8</v>
      </c>
    </row>
    <row r="87" customFormat="false" ht="15" hidden="false" customHeight="false" outlineLevel="0" collapsed="false">
      <c r="A87" s="9" t="s">
        <v>658</v>
      </c>
      <c r="B87" s="9" t="s">
        <v>438</v>
      </c>
      <c r="C87" s="9" t="n">
        <v>1031</v>
      </c>
      <c r="D87" s="9" t="n">
        <v>3.5</v>
      </c>
      <c r="E87" s="9" t="n">
        <v>13.2</v>
      </c>
    </row>
    <row r="88" customFormat="false" ht="15" hidden="false" customHeight="false" outlineLevel="0" collapsed="false">
      <c r="A88" s="9" t="s">
        <v>659</v>
      </c>
      <c r="B88" s="9" t="s">
        <v>437</v>
      </c>
      <c r="C88" s="9" t="n">
        <v>270</v>
      </c>
      <c r="D88" s="9" t="n">
        <v>3.9</v>
      </c>
      <c r="E88" s="9" t="n">
        <v>12.9</v>
      </c>
    </row>
    <row r="89" customFormat="false" ht="15" hidden="false" customHeight="false" outlineLevel="0" collapsed="false">
      <c r="A89" s="9" t="s">
        <v>659</v>
      </c>
      <c r="B89" s="9" t="s">
        <v>437</v>
      </c>
      <c r="C89" s="9" t="n">
        <v>269</v>
      </c>
      <c r="D89" s="9" t="n">
        <v>3.9</v>
      </c>
      <c r="E89" s="9" t="n">
        <v>11.5</v>
      </c>
    </row>
    <row r="90" customFormat="false" ht="15" hidden="false" customHeight="false" outlineLevel="0" collapsed="false">
      <c r="A90" s="9" t="s">
        <v>659</v>
      </c>
      <c r="B90" s="9" t="s">
        <v>437</v>
      </c>
      <c r="C90" s="9" t="n">
        <v>250</v>
      </c>
      <c r="D90" s="9" t="n">
        <v>3.9</v>
      </c>
      <c r="E90" s="9" t="n">
        <v>12.7</v>
      </c>
    </row>
    <row r="91" customFormat="false" ht="15" hidden="false" customHeight="false" outlineLevel="0" collapsed="false">
      <c r="A91" s="9" t="s">
        <v>659</v>
      </c>
      <c r="B91" s="9" t="s">
        <v>437</v>
      </c>
      <c r="C91" s="9" t="n">
        <v>250</v>
      </c>
      <c r="D91" s="9" t="n">
        <v>3.9</v>
      </c>
      <c r="E91" s="9" t="n">
        <v>12.2</v>
      </c>
    </row>
    <row r="92" customFormat="false" ht="15" hidden="false" customHeight="false" outlineLevel="0" collapsed="false">
      <c r="A92" s="9" t="s">
        <v>659</v>
      </c>
      <c r="B92" s="9" t="s">
        <v>438</v>
      </c>
      <c r="C92" s="9" t="n">
        <v>1183</v>
      </c>
      <c r="D92" s="9" t="n">
        <v>4.1</v>
      </c>
      <c r="E92" s="9" t="n">
        <v>14.7</v>
      </c>
    </row>
    <row r="93" customFormat="false" ht="15" hidden="false" customHeight="false" outlineLevel="0" collapsed="false">
      <c r="A93" s="9" t="s">
        <v>659</v>
      </c>
      <c r="B93" s="9" t="s">
        <v>438</v>
      </c>
      <c r="C93" s="9" t="n">
        <v>1163</v>
      </c>
      <c r="D93" s="9" t="n">
        <v>4.1</v>
      </c>
      <c r="E93" s="9" t="n">
        <v>12.1</v>
      </c>
    </row>
    <row r="94" customFormat="false" ht="15" hidden="false" customHeight="false" outlineLevel="0" collapsed="false">
      <c r="A94" s="9" t="s">
        <v>659</v>
      </c>
      <c r="B94" s="9" t="s">
        <v>438</v>
      </c>
      <c r="C94" s="9" t="n">
        <v>1108</v>
      </c>
      <c r="D94" s="9" t="n">
        <v>3.9</v>
      </c>
      <c r="E94" s="9" t="n">
        <v>12</v>
      </c>
    </row>
    <row r="95" customFormat="false" ht="15" hidden="false" customHeight="false" outlineLevel="0" collapsed="false">
      <c r="A95" s="9" t="s">
        <v>659</v>
      </c>
      <c r="B95" s="9" t="s">
        <v>438</v>
      </c>
      <c r="C95" s="9" t="n">
        <v>1110</v>
      </c>
      <c r="D95" s="9" t="n">
        <v>4.1</v>
      </c>
      <c r="E95" s="9" t="n">
        <v>12.3</v>
      </c>
    </row>
    <row r="96" customFormat="false" ht="15" hidden="false" customHeight="false" outlineLevel="0" collapsed="false">
      <c r="A96" s="9" t="s">
        <v>660</v>
      </c>
      <c r="B96" s="9" t="s">
        <v>437</v>
      </c>
      <c r="C96" s="9" t="n">
        <v>332</v>
      </c>
      <c r="D96" s="9" t="n">
        <v>4.6</v>
      </c>
      <c r="E96" s="9" t="n">
        <v>11.3</v>
      </c>
    </row>
    <row r="97" customFormat="false" ht="15" hidden="false" customHeight="false" outlineLevel="0" collapsed="false">
      <c r="A97" s="9" t="s">
        <v>660</v>
      </c>
      <c r="B97" s="9" t="s">
        <v>437</v>
      </c>
      <c r="C97" s="9" t="n">
        <v>320</v>
      </c>
      <c r="D97" s="9" t="n">
        <v>4.9</v>
      </c>
      <c r="E97" s="9" t="n">
        <v>12.6</v>
      </c>
    </row>
    <row r="98" customFormat="false" ht="15" hidden="false" customHeight="false" outlineLevel="0" collapsed="false">
      <c r="A98" s="9" t="s">
        <v>660</v>
      </c>
      <c r="B98" s="9" t="s">
        <v>437</v>
      </c>
      <c r="C98" s="9" t="n">
        <v>315</v>
      </c>
      <c r="D98" s="9" t="n">
        <v>4.8</v>
      </c>
      <c r="E98" s="9" t="n">
        <v>12.3</v>
      </c>
    </row>
    <row r="99" customFormat="false" ht="15" hidden="false" customHeight="false" outlineLevel="0" collapsed="false">
      <c r="A99" s="9" t="s">
        <v>660</v>
      </c>
      <c r="B99" s="9" t="s">
        <v>437</v>
      </c>
      <c r="C99" s="9" t="n">
        <v>302</v>
      </c>
      <c r="D99" s="9" t="n">
        <v>4.7</v>
      </c>
      <c r="E99" s="9" t="n">
        <v>13.2</v>
      </c>
    </row>
    <row r="100" customFormat="false" ht="15" hidden="false" customHeight="false" outlineLevel="0" collapsed="false">
      <c r="A100" s="9" t="s">
        <v>660</v>
      </c>
      <c r="B100" s="9" t="s">
        <v>438</v>
      </c>
      <c r="C100" s="9" t="n">
        <v>1470</v>
      </c>
      <c r="D100" s="9" t="n">
        <v>4.9</v>
      </c>
      <c r="E100" s="9" t="n">
        <v>13.5</v>
      </c>
    </row>
    <row r="101" customFormat="false" ht="15" hidden="false" customHeight="false" outlineLevel="0" collapsed="false">
      <c r="A101" s="9" t="s">
        <v>660</v>
      </c>
      <c r="B101" s="9" t="s">
        <v>438</v>
      </c>
      <c r="C101" s="9" t="n">
        <v>1429</v>
      </c>
      <c r="D101" s="9" t="n">
        <v>4.8</v>
      </c>
      <c r="E101" s="9" t="n">
        <v>12.9</v>
      </c>
    </row>
    <row r="102" customFormat="false" ht="15" hidden="false" customHeight="false" outlineLevel="0" collapsed="false">
      <c r="A102" s="9" t="s">
        <v>660</v>
      </c>
      <c r="B102" s="9" t="s">
        <v>438</v>
      </c>
      <c r="C102" s="9" t="n">
        <v>1340</v>
      </c>
      <c r="D102" s="9" t="n">
        <v>4.7</v>
      </c>
      <c r="E102" s="9" t="n">
        <v>14.3</v>
      </c>
    </row>
    <row r="103" customFormat="false" ht="15" hidden="false" customHeight="false" outlineLevel="0" collapsed="false">
      <c r="A103" s="9" t="s">
        <v>660</v>
      </c>
      <c r="B103" s="9" t="s">
        <v>438</v>
      </c>
      <c r="C103" s="9" t="n">
        <v>1319</v>
      </c>
      <c r="D103" s="9" t="n">
        <v>4.7</v>
      </c>
      <c r="E103" s="9" t="n">
        <v>14.2</v>
      </c>
    </row>
    <row r="104" customFormat="false" ht="15" hidden="false" customHeight="false" outlineLevel="0" collapsed="false">
      <c r="A104" s="9" t="s">
        <v>661</v>
      </c>
      <c r="B104" s="9" t="s">
        <v>437</v>
      </c>
      <c r="C104" s="9" t="n">
        <v>288</v>
      </c>
      <c r="D104" s="9" t="n">
        <v>3.9</v>
      </c>
      <c r="E104" s="9" t="n">
        <v>10.8</v>
      </c>
    </row>
    <row r="105" customFormat="false" ht="15" hidden="false" customHeight="false" outlineLevel="0" collapsed="false">
      <c r="A105" s="9" t="s">
        <v>661</v>
      </c>
      <c r="B105" s="9" t="s">
        <v>437</v>
      </c>
      <c r="C105" s="9" t="n">
        <v>277</v>
      </c>
      <c r="D105" s="9" t="n">
        <v>3.9</v>
      </c>
      <c r="E105" s="9" t="n">
        <v>11.2</v>
      </c>
    </row>
    <row r="106" customFormat="false" ht="15" hidden="false" customHeight="false" outlineLevel="0" collapsed="false">
      <c r="A106" s="9" t="s">
        <v>661</v>
      </c>
      <c r="B106" s="9" t="s">
        <v>437</v>
      </c>
      <c r="C106" s="9" t="n">
        <v>264</v>
      </c>
      <c r="D106" s="9" t="n">
        <v>3.9</v>
      </c>
      <c r="E106" s="9" t="n">
        <v>10.8</v>
      </c>
    </row>
    <row r="107" customFormat="false" ht="15" hidden="false" customHeight="false" outlineLevel="0" collapsed="false">
      <c r="A107" s="9" t="s">
        <v>661</v>
      </c>
      <c r="B107" s="9" t="s">
        <v>437</v>
      </c>
      <c r="C107" s="9" t="n">
        <v>259</v>
      </c>
      <c r="D107" s="9" t="n">
        <v>3.8</v>
      </c>
      <c r="E107" s="9" t="n">
        <v>11.3</v>
      </c>
    </row>
    <row r="108" customFormat="false" ht="15" hidden="false" customHeight="false" outlineLevel="0" collapsed="false">
      <c r="A108" s="9" t="s">
        <v>661</v>
      </c>
      <c r="B108" s="9" t="s">
        <v>438</v>
      </c>
      <c r="C108" s="9" t="n">
        <v>1268</v>
      </c>
      <c r="D108" s="9" t="n">
        <v>4</v>
      </c>
      <c r="E108" s="9" t="n">
        <v>9.8</v>
      </c>
    </row>
    <row r="109" customFormat="false" ht="15" hidden="false" customHeight="false" outlineLevel="0" collapsed="false">
      <c r="A109" s="9" t="s">
        <v>661</v>
      </c>
      <c r="B109" s="9" t="s">
        <v>438</v>
      </c>
      <c r="C109" s="9" t="n">
        <v>1256</v>
      </c>
      <c r="D109" s="9" t="n">
        <v>3.8</v>
      </c>
      <c r="E109" s="9" t="n">
        <v>11.1</v>
      </c>
    </row>
    <row r="110" customFormat="false" ht="15" hidden="false" customHeight="false" outlineLevel="0" collapsed="false">
      <c r="A110" s="9" t="s">
        <v>661</v>
      </c>
      <c r="B110" s="9" t="s">
        <v>438</v>
      </c>
      <c r="C110" s="9" t="n">
        <v>1160</v>
      </c>
      <c r="D110" s="9" t="n">
        <v>3.9</v>
      </c>
      <c r="E110" s="9" t="n">
        <v>10.3</v>
      </c>
    </row>
    <row r="111" customFormat="false" ht="15" hidden="false" customHeight="false" outlineLevel="0" collapsed="false">
      <c r="A111" s="9" t="s">
        <v>661</v>
      </c>
      <c r="B111" s="9" t="s">
        <v>438</v>
      </c>
      <c r="C111" s="9" t="n">
        <v>1139</v>
      </c>
      <c r="D111" s="9" t="n">
        <v>3.9</v>
      </c>
      <c r="E111" s="9" t="n">
        <v>9.8</v>
      </c>
    </row>
  </sheetData>
  <conditionalFormatting sqref="E6:E10">
    <cfRule type="expression" priority="2" aboveAverage="0" equalAverage="0" bottom="0" percent="0" rank="0" text="" dxfId="0">
      <formula>E6="Yes"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E6="No"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E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7" topLeftCell="A4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6" t="s">
        <v>662</v>
      </c>
    </row>
    <row r="2" customFormat="false" ht="15" hidden="false" customHeight="false" outlineLevel="0" collapsed="false">
      <c r="A2" s="3" t="s">
        <v>614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615</v>
      </c>
      <c r="B5" s="8" t="s">
        <v>389</v>
      </c>
      <c r="C5" s="8" t="s">
        <v>616</v>
      </c>
      <c r="D5" s="8" t="s">
        <v>617</v>
      </c>
      <c r="E5" s="8" t="s">
        <v>618</v>
      </c>
    </row>
    <row r="6" customFormat="false" ht="15" hidden="false" customHeight="false" outlineLevel="0" collapsed="false">
      <c r="A6" s="5" t="s">
        <v>619</v>
      </c>
      <c r="B6" s="46" t="n">
        <v>2.1</v>
      </c>
      <c r="C6" s="46" t="n">
        <v>2.15</v>
      </c>
      <c r="D6" s="47" t="n">
        <f aca="false">IF(AND(ISNUMBER(B6),ISNUMBER(C6)),B6-C6,"")</f>
        <v>-0.0499999999999998</v>
      </c>
      <c r="E6" s="14" t="str">
        <f aca="false">IF(D6="","",IF(D6&gt;=0,"Yes","No"))</f>
        <v>No</v>
      </c>
    </row>
    <row r="7" customFormat="false" ht="15" hidden="false" customHeight="false" outlineLevel="0" collapsed="false">
      <c r="A7" s="5" t="s">
        <v>620</v>
      </c>
      <c r="B7" s="27" t="n">
        <v>0.155</v>
      </c>
      <c r="C7" s="27" t="n">
        <v>0.155</v>
      </c>
      <c r="D7" s="23" t="n">
        <f aca="false">IF(AND(ISNUMBER(B7),ISNUMBER(C7)),B7-C7,"")</f>
        <v>0</v>
      </c>
      <c r="E7" s="14" t="str">
        <f aca="false">IF(D7="","",IF(D7&gt;=0,"Yes","No"))</f>
        <v>Yes</v>
      </c>
    </row>
    <row r="8" customFormat="false" ht="15" hidden="false" customHeight="false" outlineLevel="0" collapsed="false">
      <c r="A8" s="5" t="s">
        <v>621</v>
      </c>
      <c r="B8" s="46" t="n">
        <v>26.1</v>
      </c>
      <c r="C8" s="46" t="n">
        <v>27</v>
      </c>
      <c r="D8" s="47" t="n">
        <f aca="false">IF(AND(ISNUMBER(B8),ISNUMBER(C8)),B8-C8,"")</f>
        <v>-0.899999999999999</v>
      </c>
      <c r="E8" s="14" t="str">
        <f aca="false">IF(D8="","",IF(D8&gt;=0,"Yes","No"))</f>
        <v>No</v>
      </c>
    </row>
    <row r="9" customFormat="false" ht="15" hidden="false" customHeight="false" outlineLevel="0" collapsed="false">
      <c r="A9" s="5" t="s">
        <v>622</v>
      </c>
      <c r="B9" s="9" t="s">
        <v>663</v>
      </c>
      <c r="C9" s="9" t="s">
        <v>624</v>
      </c>
      <c r="D9" s="48" t="n">
        <f aca="false">IF(OR(B9="",C9=""),"",IFERROR(MATCH(C9,CreditScale,0)-MATCH(B9,CreditScale,0),""))</f>
        <v>-1</v>
      </c>
      <c r="E9" s="14" t="str">
        <f aca="false">IF(D9="","",IF(D9&gt;=0,"Yes","No"))</f>
        <v>No</v>
      </c>
    </row>
    <row r="10" customFormat="false" ht="15" hidden="false" customHeight="false" outlineLevel="0" collapsed="false">
      <c r="A10" s="5" t="s">
        <v>625</v>
      </c>
      <c r="B10" s="42" t="n">
        <v>71</v>
      </c>
      <c r="C10" s="42" t="n">
        <v>72</v>
      </c>
      <c r="D10" s="10" t="n">
        <f aca="false">IF(AND(ISNUMBER(B10),ISNUMBER(C10)),B10-C10,"")</f>
        <v>-1</v>
      </c>
      <c r="E10" s="14" t="str">
        <f aca="false">IF(D10="","",IF(D10&gt;=0,"Yes","No"))</f>
        <v>No</v>
      </c>
    </row>
    <row r="12" customFormat="false" ht="30" hidden="false" customHeight="true" outlineLevel="0" collapsed="false">
      <c r="A12" s="8" t="s">
        <v>626</v>
      </c>
      <c r="B12" s="8" t="s">
        <v>627</v>
      </c>
    </row>
    <row r="13" customFormat="false" ht="15" hidden="false" customHeight="false" outlineLevel="0" collapsed="false">
      <c r="A13" s="5" t="s">
        <v>628</v>
      </c>
      <c r="B13" s="42" t="n">
        <v>84</v>
      </c>
    </row>
    <row r="14" customFormat="false" ht="15" hidden="false" customHeight="false" outlineLevel="0" collapsed="false">
      <c r="A14" s="5" t="s">
        <v>629</v>
      </c>
      <c r="B14" s="42" t="n">
        <v>2</v>
      </c>
    </row>
    <row r="15" customFormat="false" ht="15" hidden="false" customHeight="false" outlineLevel="0" collapsed="false">
      <c r="A15" s="5" t="s">
        <v>630</v>
      </c>
      <c r="B15" s="28" t="n">
        <v>455000</v>
      </c>
    </row>
    <row r="16" customFormat="false" ht="15" hidden="false" customHeight="false" outlineLevel="0" collapsed="false">
      <c r="A16" s="5" t="s">
        <v>631</v>
      </c>
      <c r="B16" s="28" t="n">
        <v>21900</v>
      </c>
    </row>
    <row r="17" customFormat="false" ht="15" hidden="false" customHeight="false" outlineLevel="0" collapsed="false">
      <c r="A17" s="5" t="s">
        <v>632</v>
      </c>
      <c r="B17" s="28" t="n">
        <v>19800</v>
      </c>
    </row>
    <row r="19" customFormat="false" ht="30" hidden="false" customHeight="true" outlineLevel="0" collapsed="false">
      <c r="A19" s="8" t="s">
        <v>633</v>
      </c>
      <c r="B19" s="8" t="s">
        <v>634</v>
      </c>
      <c r="C19" s="8" t="s">
        <v>635</v>
      </c>
    </row>
    <row r="20" customFormat="false" ht="15" hidden="false" customHeight="false" outlineLevel="0" collapsed="false">
      <c r="A20" s="5" t="s">
        <v>636</v>
      </c>
      <c r="B20" s="28" t="n">
        <v>1610</v>
      </c>
      <c r="C20" s="28" t="n">
        <v>131</v>
      </c>
    </row>
    <row r="21" customFormat="false" ht="15" hidden="false" customHeight="false" outlineLevel="0" collapsed="false">
      <c r="A21" s="5" t="s">
        <v>637</v>
      </c>
      <c r="B21" s="29" t="n">
        <v>259</v>
      </c>
      <c r="C21" s="29" t="n">
        <v>1229</v>
      </c>
    </row>
    <row r="22" customFormat="false" ht="15" hidden="false" customHeight="false" outlineLevel="0" collapsed="false">
      <c r="A22" s="5" t="s">
        <v>638</v>
      </c>
      <c r="B22" s="13" t="n">
        <v>4.2</v>
      </c>
      <c r="C22" s="13" t="n">
        <v>4.4</v>
      </c>
    </row>
    <row r="23" customFormat="false" ht="15" hidden="false" customHeight="false" outlineLevel="0" collapsed="false">
      <c r="A23" s="5" t="s">
        <v>639</v>
      </c>
      <c r="B23" s="29" t="n">
        <v>176</v>
      </c>
      <c r="C23" s="29" t="n">
        <v>884</v>
      </c>
    </row>
    <row r="24" customFormat="false" ht="15" hidden="false" customHeight="false" outlineLevel="0" collapsed="false">
      <c r="A24" s="5" t="s">
        <v>640</v>
      </c>
      <c r="B24" s="27" t="n">
        <v>0.125</v>
      </c>
      <c r="C24" s="27" t="n">
        <v>0.105</v>
      </c>
    </row>
    <row r="25" customFormat="false" ht="15" hidden="false" customHeight="false" outlineLevel="0" collapsed="false">
      <c r="A25" s="5" t="s">
        <v>641</v>
      </c>
      <c r="B25" s="29" t="n">
        <v>271</v>
      </c>
      <c r="C25" s="29" t="n">
        <v>1188</v>
      </c>
    </row>
    <row r="26" customFormat="false" ht="15" hidden="false" customHeight="false" outlineLevel="0" collapsed="false">
      <c r="A26" s="5" t="s">
        <v>642</v>
      </c>
      <c r="B26" s="13" t="n">
        <v>4.1</v>
      </c>
      <c r="C26" s="13" t="n">
        <v>4.2</v>
      </c>
    </row>
    <row r="27" customFormat="false" ht="15" hidden="false" customHeight="false" outlineLevel="0" collapsed="false">
      <c r="A27" s="5" t="s">
        <v>643</v>
      </c>
      <c r="B27" s="29" t="n">
        <v>184</v>
      </c>
      <c r="C27" s="29" t="n">
        <v>879</v>
      </c>
    </row>
    <row r="28" customFormat="false" ht="15" hidden="false" customHeight="false" outlineLevel="0" collapsed="false">
      <c r="A28" s="11" t="s">
        <v>644</v>
      </c>
      <c r="B28" s="49" t="n">
        <f aca="false">IF(AND(ISNUMBER(B21),ISNUMBER(B25)),B21/B25-1,"")</f>
        <v>-0.044280442804428</v>
      </c>
      <c r="C28" s="49" t="n">
        <f aca="false">IF(AND(ISNUMBER(C21),ISNUMBER(C25)),C21/C25-1,"")</f>
        <v>0.0345117845117846</v>
      </c>
    </row>
    <row r="29" customFormat="false" ht="15" hidden="false" customHeight="false" outlineLevel="0" collapsed="false">
      <c r="A29" s="11" t="s">
        <v>645</v>
      </c>
      <c r="B29" s="49" t="n">
        <f aca="false">IF(AND(ISNUMBER(B23),ISNUMBER(B27)),B23/B27-1,"")</f>
        <v>-0.0434782608695652</v>
      </c>
      <c r="C29" s="49" t="n">
        <f aca="false">IF(AND(ISNUMBER(C23),ISNUMBER(C27)),C23/C27-1,"")</f>
        <v>0.00568828213879402</v>
      </c>
    </row>
    <row r="31" customFormat="false" ht="30" hidden="false" customHeight="true" outlineLevel="0" collapsed="false">
      <c r="A31" s="8" t="s">
        <v>646</v>
      </c>
      <c r="B31" s="8" t="s">
        <v>634</v>
      </c>
      <c r="C31" s="8" t="s">
        <v>635</v>
      </c>
    </row>
    <row r="32" customFormat="false" ht="15" hidden="false" customHeight="false" outlineLevel="0" collapsed="false">
      <c r="A32" s="5" t="s">
        <v>647</v>
      </c>
      <c r="B32" s="13" t="n">
        <v>13.1</v>
      </c>
      <c r="C32" s="13" t="n">
        <v>12.8</v>
      </c>
    </row>
    <row r="33" customFormat="false" ht="15" hidden="false" customHeight="false" outlineLevel="0" collapsed="false">
      <c r="A33" s="5" t="s">
        <v>648</v>
      </c>
      <c r="B33" s="13" t="n">
        <v>12.2</v>
      </c>
      <c r="C33" s="13" t="n">
        <v>13</v>
      </c>
    </row>
    <row r="34" customFormat="false" ht="15" hidden="false" customHeight="false" outlineLevel="0" collapsed="false">
      <c r="A34" s="5" t="s">
        <v>649</v>
      </c>
      <c r="B34" s="13" t="n">
        <v>13</v>
      </c>
      <c r="C34" s="13" t="n">
        <v>11.9</v>
      </c>
    </row>
    <row r="35" customFormat="false" ht="15" hidden="false" customHeight="false" outlineLevel="0" collapsed="false">
      <c r="A35" s="5" t="s">
        <v>650</v>
      </c>
      <c r="B35" s="13" t="n">
        <v>13.6</v>
      </c>
      <c r="C35" s="13" t="n">
        <v>12.5</v>
      </c>
    </row>
    <row r="36" customFormat="false" ht="15" hidden="false" customHeight="false" outlineLevel="0" collapsed="false">
      <c r="A36" s="11" t="s">
        <v>651</v>
      </c>
      <c r="B36" s="12" t="n">
        <f aca="false">IF(COUNT(B32:B35)=0,"",AVERAGE(B32:B35))</f>
        <v>12.975</v>
      </c>
      <c r="C36" s="12" t="n">
        <f aca="false">IF(COUNT(C32:C35)=0,"",AVERAGE(C32:C35))</f>
        <v>12.55</v>
      </c>
    </row>
    <row r="38" customFormat="false" ht="30" hidden="false" customHeight="true" outlineLevel="0" collapsed="false">
      <c r="A38" s="8" t="s">
        <v>652</v>
      </c>
      <c r="B38" s="8" t="s">
        <v>627</v>
      </c>
      <c r="C38" s="8" t="s">
        <v>600</v>
      </c>
    </row>
    <row r="39" customFormat="false" ht="15" hidden="false" customHeight="false" outlineLevel="0" collapsed="false">
      <c r="A39" s="5" t="s">
        <v>458</v>
      </c>
      <c r="B39" s="9" t="s">
        <v>460</v>
      </c>
      <c r="C39" s="43" t="s">
        <v>456</v>
      </c>
    </row>
    <row r="40" customFormat="false" ht="15" hidden="false" customHeight="false" outlineLevel="0" collapsed="false">
      <c r="A40" s="5" t="s">
        <v>482</v>
      </c>
      <c r="B40" s="9" t="n">
        <v>239</v>
      </c>
      <c r="C40" s="43" t="s">
        <v>480</v>
      </c>
    </row>
    <row r="41" customFormat="false" ht="15" hidden="false" customHeight="false" outlineLevel="0" collapsed="false">
      <c r="A41" s="5" t="s">
        <v>498</v>
      </c>
      <c r="B41" s="9" t="n">
        <v>6500</v>
      </c>
      <c r="C41" s="43" t="s">
        <v>497</v>
      </c>
    </row>
    <row r="42" customFormat="false" ht="15" hidden="false" customHeight="false" outlineLevel="0" collapsed="false">
      <c r="A42" s="5" t="s">
        <v>484</v>
      </c>
      <c r="B42" s="9" t="n">
        <v>272</v>
      </c>
      <c r="C42" s="43" t="s">
        <v>483</v>
      </c>
    </row>
    <row r="43" customFormat="false" ht="15" hidden="false" customHeight="false" outlineLevel="0" collapsed="false">
      <c r="A43" s="5" t="s">
        <v>500</v>
      </c>
      <c r="B43" s="9" t="n">
        <v>6100</v>
      </c>
      <c r="C43" s="43" t="s">
        <v>499</v>
      </c>
    </row>
    <row r="44" customFormat="false" ht="15" hidden="false" customHeight="false" outlineLevel="0" collapsed="false">
      <c r="A44" s="5" t="s">
        <v>564</v>
      </c>
      <c r="B44" s="9" t="n">
        <v>21500</v>
      </c>
      <c r="C44" s="43" t="s">
        <v>562</v>
      </c>
    </row>
    <row r="45" customFormat="false" ht="23.85" hidden="false" customHeight="false" outlineLevel="0" collapsed="false">
      <c r="A45" s="5" t="s">
        <v>462</v>
      </c>
      <c r="B45" s="9" t="s">
        <v>463</v>
      </c>
      <c r="C45" s="43" t="s">
        <v>461</v>
      </c>
    </row>
    <row r="47" customFormat="false" ht="30" hidden="false" customHeight="true" outlineLevel="0" collapsed="false">
      <c r="A47" s="8" t="s">
        <v>653</v>
      </c>
      <c r="B47" s="8" t="s">
        <v>428</v>
      </c>
      <c r="C47" s="8" t="s">
        <v>435</v>
      </c>
      <c r="D47" s="8" t="s">
        <v>436</v>
      </c>
      <c r="E47" s="8" t="s">
        <v>431</v>
      </c>
    </row>
    <row r="48" customFormat="false" ht="15" hidden="false" customHeight="false" outlineLevel="0" collapsed="false">
      <c r="A48" s="9" t="s">
        <v>654</v>
      </c>
      <c r="B48" s="9" t="s">
        <v>437</v>
      </c>
      <c r="C48" s="9" t="n">
        <v>302</v>
      </c>
      <c r="D48" s="9" t="n">
        <v>4.3</v>
      </c>
      <c r="E48" s="9" t="n">
        <v>13.4</v>
      </c>
    </row>
    <row r="49" customFormat="false" ht="15" hidden="false" customHeight="false" outlineLevel="0" collapsed="false">
      <c r="A49" s="9" t="s">
        <v>654</v>
      </c>
      <c r="B49" s="9" t="s">
        <v>437</v>
      </c>
      <c r="C49" s="9" t="n">
        <v>299</v>
      </c>
      <c r="D49" s="9" t="n">
        <v>4.3</v>
      </c>
      <c r="E49" s="9" t="n">
        <v>11.8</v>
      </c>
    </row>
    <row r="50" customFormat="false" ht="15" hidden="false" customHeight="false" outlineLevel="0" collapsed="false">
      <c r="A50" s="9" t="s">
        <v>654</v>
      </c>
      <c r="B50" s="9" t="s">
        <v>437</v>
      </c>
      <c r="C50" s="9" t="n">
        <v>285</v>
      </c>
      <c r="D50" s="9" t="n">
        <v>4.5</v>
      </c>
      <c r="E50" s="9" t="n">
        <v>13.5</v>
      </c>
    </row>
    <row r="51" customFormat="false" ht="15" hidden="false" customHeight="false" outlineLevel="0" collapsed="false">
      <c r="A51" s="9" t="s">
        <v>654</v>
      </c>
      <c r="B51" s="9" t="s">
        <v>437</v>
      </c>
      <c r="C51" s="9" t="n">
        <v>279</v>
      </c>
      <c r="D51" s="9" t="n">
        <v>4.4</v>
      </c>
      <c r="E51" s="9" t="n">
        <v>12.8</v>
      </c>
    </row>
    <row r="52" customFormat="false" ht="15" hidden="false" customHeight="false" outlineLevel="0" collapsed="false">
      <c r="A52" s="9" t="s">
        <v>654</v>
      </c>
      <c r="B52" s="9" t="s">
        <v>438</v>
      </c>
      <c r="C52" s="9" t="n">
        <v>1316</v>
      </c>
      <c r="D52" s="9" t="n">
        <v>4.5</v>
      </c>
      <c r="E52" s="9" t="n">
        <v>13</v>
      </c>
    </row>
    <row r="53" customFormat="false" ht="15" hidden="false" customHeight="false" outlineLevel="0" collapsed="false">
      <c r="A53" s="9" t="s">
        <v>654</v>
      </c>
      <c r="B53" s="9" t="s">
        <v>438</v>
      </c>
      <c r="C53" s="9" t="n">
        <v>1336</v>
      </c>
      <c r="D53" s="9" t="n">
        <v>4.5</v>
      </c>
      <c r="E53" s="9" t="n">
        <v>13.4</v>
      </c>
    </row>
    <row r="54" customFormat="false" ht="15" hidden="false" customHeight="false" outlineLevel="0" collapsed="false">
      <c r="A54" s="9" t="s">
        <v>654</v>
      </c>
      <c r="B54" s="9" t="s">
        <v>438</v>
      </c>
      <c r="C54" s="9" t="n">
        <v>1224</v>
      </c>
      <c r="D54" s="9" t="n">
        <v>4.4</v>
      </c>
      <c r="E54" s="9" t="n">
        <v>12.8</v>
      </c>
    </row>
    <row r="55" customFormat="false" ht="15" hidden="false" customHeight="false" outlineLevel="0" collapsed="false">
      <c r="A55" s="9" t="s">
        <v>654</v>
      </c>
      <c r="B55" s="9" t="s">
        <v>438</v>
      </c>
      <c r="C55" s="9" t="n">
        <v>1210</v>
      </c>
      <c r="D55" s="9" t="n">
        <v>4.5</v>
      </c>
      <c r="E55" s="9" t="n">
        <v>13.7</v>
      </c>
    </row>
    <row r="56" customFormat="false" ht="15" hidden="false" customHeight="false" outlineLevel="0" collapsed="false">
      <c r="A56" s="9" t="s">
        <v>655</v>
      </c>
      <c r="B56" s="9" t="s">
        <v>437</v>
      </c>
      <c r="C56" s="9" t="n">
        <v>241</v>
      </c>
      <c r="D56" s="9" t="n">
        <v>3.4</v>
      </c>
      <c r="E56" s="9" t="n">
        <v>11.4</v>
      </c>
    </row>
    <row r="57" customFormat="false" ht="15" hidden="false" customHeight="false" outlineLevel="0" collapsed="false">
      <c r="A57" s="9" t="s">
        <v>655</v>
      </c>
      <c r="B57" s="9" t="s">
        <v>437</v>
      </c>
      <c r="C57" s="9" t="n">
        <v>236</v>
      </c>
      <c r="D57" s="9" t="n">
        <v>3.4</v>
      </c>
      <c r="E57" s="9" t="n">
        <v>13.8</v>
      </c>
    </row>
    <row r="58" customFormat="false" ht="15" hidden="false" customHeight="false" outlineLevel="0" collapsed="false">
      <c r="A58" s="9" t="s">
        <v>655</v>
      </c>
      <c r="B58" s="9" t="s">
        <v>437</v>
      </c>
      <c r="C58" s="9" t="n">
        <v>228</v>
      </c>
      <c r="D58" s="9" t="n">
        <v>3.5</v>
      </c>
      <c r="E58" s="9" t="n">
        <v>12.3</v>
      </c>
    </row>
    <row r="59" customFormat="false" ht="15" hidden="false" customHeight="false" outlineLevel="0" collapsed="false">
      <c r="A59" s="9" t="s">
        <v>655</v>
      </c>
      <c r="B59" s="9" t="s">
        <v>437</v>
      </c>
      <c r="C59" s="9" t="n">
        <v>218</v>
      </c>
      <c r="D59" s="9" t="n">
        <v>3.4</v>
      </c>
      <c r="E59" s="9" t="n">
        <v>14.6</v>
      </c>
    </row>
    <row r="60" customFormat="false" ht="15" hidden="false" customHeight="false" outlineLevel="0" collapsed="false">
      <c r="A60" s="9" t="s">
        <v>655</v>
      </c>
      <c r="B60" s="9" t="s">
        <v>438</v>
      </c>
      <c r="C60" s="9" t="n">
        <v>1064</v>
      </c>
      <c r="D60" s="9" t="n">
        <v>3.5</v>
      </c>
      <c r="E60" s="9" t="n">
        <v>13.8</v>
      </c>
    </row>
    <row r="61" customFormat="false" ht="15" hidden="false" customHeight="false" outlineLevel="0" collapsed="false">
      <c r="A61" s="9" t="s">
        <v>655</v>
      </c>
      <c r="B61" s="9" t="s">
        <v>438</v>
      </c>
      <c r="C61" s="9" t="n">
        <v>1032</v>
      </c>
      <c r="D61" s="9" t="n">
        <v>3.6</v>
      </c>
      <c r="E61" s="9" t="n">
        <v>12.1</v>
      </c>
    </row>
    <row r="62" customFormat="false" ht="15" hidden="false" customHeight="false" outlineLevel="0" collapsed="false">
      <c r="A62" s="9" t="s">
        <v>655</v>
      </c>
      <c r="B62" s="9" t="s">
        <v>438</v>
      </c>
      <c r="C62" s="9" t="n">
        <v>998</v>
      </c>
      <c r="D62" s="9" t="n">
        <v>3.5</v>
      </c>
      <c r="E62" s="9" t="n">
        <v>12.2</v>
      </c>
    </row>
    <row r="63" customFormat="false" ht="15" hidden="false" customHeight="false" outlineLevel="0" collapsed="false">
      <c r="A63" s="9" t="s">
        <v>655</v>
      </c>
      <c r="B63" s="9" t="s">
        <v>438</v>
      </c>
      <c r="C63" s="9" t="n">
        <v>973</v>
      </c>
      <c r="D63" s="9" t="n">
        <v>3.6</v>
      </c>
      <c r="E63" s="9" t="n">
        <v>14.5</v>
      </c>
    </row>
    <row r="64" customFormat="false" ht="15" hidden="false" customHeight="false" outlineLevel="0" collapsed="false">
      <c r="A64" s="9" t="s">
        <v>656</v>
      </c>
      <c r="B64" s="9" t="s">
        <v>437</v>
      </c>
      <c r="C64" s="9" t="n">
        <v>270</v>
      </c>
      <c r="D64" s="9" t="n">
        <v>4</v>
      </c>
      <c r="E64" s="9" t="n">
        <v>14.5</v>
      </c>
    </row>
    <row r="65" customFormat="false" ht="15" hidden="false" customHeight="false" outlineLevel="0" collapsed="false">
      <c r="A65" s="9" t="s">
        <v>656</v>
      </c>
      <c r="B65" s="9" t="s">
        <v>437</v>
      </c>
      <c r="C65" s="9" t="n">
        <v>269</v>
      </c>
      <c r="D65" s="9" t="n">
        <v>4.1</v>
      </c>
      <c r="E65" s="9" t="n">
        <v>14.4</v>
      </c>
    </row>
    <row r="66" customFormat="false" ht="15" hidden="false" customHeight="false" outlineLevel="0" collapsed="false">
      <c r="A66" s="9" t="s">
        <v>656</v>
      </c>
      <c r="B66" s="9" t="s">
        <v>437</v>
      </c>
      <c r="C66" s="9" t="n">
        <v>248</v>
      </c>
      <c r="D66" s="9" t="n">
        <v>4.1</v>
      </c>
      <c r="E66" s="9" t="n">
        <v>15</v>
      </c>
    </row>
    <row r="67" customFormat="false" ht="15" hidden="false" customHeight="false" outlineLevel="0" collapsed="false">
      <c r="A67" s="9" t="s">
        <v>656</v>
      </c>
      <c r="B67" s="9" t="s">
        <v>437</v>
      </c>
      <c r="C67" s="9" t="n">
        <v>242</v>
      </c>
      <c r="D67" s="9" t="n">
        <v>4</v>
      </c>
      <c r="E67" s="9" t="n">
        <v>17.5</v>
      </c>
    </row>
    <row r="68" customFormat="false" ht="15" hidden="false" customHeight="false" outlineLevel="0" collapsed="false">
      <c r="A68" s="9" t="s">
        <v>656</v>
      </c>
      <c r="B68" s="9" t="s">
        <v>438</v>
      </c>
      <c r="C68" s="9" t="n">
        <v>1326</v>
      </c>
      <c r="D68" s="9" t="n">
        <v>4.6</v>
      </c>
      <c r="E68" s="9" t="n">
        <v>12.2</v>
      </c>
    </row>
    <row r="69" customFormat="false" ht="15" hidden="false" customHeight="false" outlineLevel="0" collapsed="false">
      <c r="A69" s="9" t="s">
        <v>656</v>
      </c>
      <c r="B69" s="9" t="s">
        <v>438</v>
      </c>
      <c r="C69" s="9" t="n">
        <v>1323</v>
      </c>
      <c r="D69" s="9" t="n">
        <v>4.7</v>
      </c>
      <c r="E69" s="9" t="n">
        <v>12.9</v>
      </c>
    </row>
    <row r="70" customFormat="false" ht="15" hidden="false" customHeight="false" outlineLevel="0" collapsed="false">
      <c r="A70" s="9" t="s">
        <v>656</v>
      </c>
      <c r="B70" s="9" t="s">
        <v>438</v>
      </c>
      <c r="C70" s="9" t="n">
        <v>1281</v>
      </c>
      <c r="D70" s="9" t="n">
        <v>4.6</v>
      </c>
      <c r="E70" s="9" t="n">
        <v>14.4</v>
      </c>
    </row>
    <row r="71" customFormat="false" ht="15" hidden="false" customHeight="false" outlineLevel="0" collapsed="false">
      <c r="A71" s="9" t="s">
        <v>656</v>
      </c>
      <c r="B71" s="9" t="s">
        <v>438</v>
      </c>
      <c r="C71" s="9" t="n">
        <v>1225</v>
      </c>
      <c r="D71" s="9" t="n">
        <v>4.5</v>
      </c>
      <c r="E71" s="9" t="n">
        <v>13.6</v>
      </c>
    </row>
    <row r="72" customFormat="false" ht="15" hidden="false" customHeight="false" outlineLevel="0" collapsed="false">
      <c r="A72" s="9" t="s">
        <v>657</v>
      </c>
      <c r="B72" s="9" t="s">
        <v>437</v>
      </c>
      <c r="C72" s="9" t="n">
        <v>314</v>
      </c>
      <c r="D72" s="9" t="n">
        <v>4.1</v>
      </c>
      <c r="E72" s="9" t="n">
        <v>9.8</v>
      </c>
    </row>
    <row r="73" customFormat="false" ht="15" hidden="false" customHeight="false" outlineLevel="0" collapsed="false">
      <c r="A73" s="9" t="s">
        <v>657</v>
      </c>
      <c r="B73" s="9" t="s">
        <v>437</v>
      </c>
      <c r="C73" s="9" t="n">
        <v>306</v>
      </c>
      <c r="D73" s="9" t="n">
        <v>4.2</v>
      </c>
      <c r="E73" s="9" t="n">
        <v>10.5</v>
      </c>
    </row>
    <row r="74" customFormat="false" ht="15" hidden="false" customHeight="false" outlineLevel="0" collapsed="false">
      <c r="A74" s="9" t="s">
        <v>657</v>
      </c>
      <c r="B74" s="9" t="s">
        <v>437</v>
      </c>
      <c r="C74" s="9" t="n">
        <v>290</v>
      </c>
      <c r="D74" s="9" t="n">
        <v>4.1</v>
      </c>
      <c r="E74" s="9" t="n">
        <v>10.6</v>
      </c>
    </row>
    <row r="75" customFormat="false" ht="15" hidden="false" customHeight="false" outlineLevel="0" collapsed="false">
      <c r="A75" s="9" t="s">
        <v>657</v>
      </c>
      <c r="B75" s="9" t="s">
        <v>437</v>
      </c>
      <c r="C75" s="9" t="n">
        <v>289</v>
      </c>
      <c r="D75" s="9" t="n">
        <v>4.3</v>
      </c>
      <c r="E75" s="9" t="n">
        <v>9.8</v>
      </c>
    </row>
    <row r="76" customFormat="false" ht="15" hidden="false" customHeight="false" outlineLevel="0" collapsed="false">
      <c r="A76" s="9" t="s">
        <v>657</v>
      </c>
      <c r="B76" s="9" t="s">
        <v>438</v>
      </c>
      <c r="C76" s="9" t="n">
        <v>1356</v>
      </c>
      <c r="D76" s="9" t="n">
        <v>4.3</v>
      </c>
      <c r="E76" s="9" t="n">
        <v>9.8</v>
      </c>
    </row>
    <row r="77" customFormat="false" ht="15" hidden="false" customHeight="false" outlineLevel="0" collapsed="false">
      <c r="A77" s="9" t="s">
        <v>657</v>
      </c>
      <c r="B77" s="9" t="s">
        <v>438</v>
      </c>
      <c r="C77" s="9" t="n">
        <v>1356</v>
      </c>
      <c r="D77" s="9" t="n">
        <v>4.4</v>
      </c>
      <c r="E77" s="9" t="n">
        <v>10.5</v>
      </c>
    </row>
    <row r="78" customFormat="false" ht="15" hidden="false" customHeight="false" outlineLevel="0" collapsed="false">
      <c r="A78" s="9" t="s">
        <v>657</v>
      </c>
      <c r="B78" s="9" t="s">
        <v>438</v>
      </c>
      <c r="C78" s="9" t="n">
        <v>1317</v>
      </c>
      <c r="D78" s="9" t="n">
        <v>4.4</v>
      </c>
      <c r="E78" s="9" t="n">
        <v>11.8</v>
      </c>
    </row>
    <row r="79" customFormat="false" ht="15" hidden="false" customHeight="false" outlineLevel="0" collapsed="false">
      <c r="A79" s="9" t="s">
        <v>657</v>
      </c>
      <c r="B79" s="9" t="s">
        <v>438</v>
      </c>
      <c r="C79" s="9" t="n">
        <v>1285</v>
      </c>
      <c r="D79" s="9" t="n">
        <v>4.4</v>
      </c>
      <c r="E79" s="9" t="n">
        <v>10.1</v>
      </c>
    </row>
    <row r="80" customFormat="false" ht="15" hidden="false" customHeight="false" outlineLevel="0" collapsed="false">
      <c r="A80" s="9" t="s">
        <v>658</v>
      </c>
      <c r="B80" s="9" t="s">
        <v>437</v>
      </c>
      <c r="C80" s="9" t="n">
        <v>248</v>
      </c>
      <c r="D80" s="9" t="n">
        <v>3.6</v>
      </c>
      <c r="E80" s="9" t="n">
        <v>13.6</v>
      </c>
    </row>
    <row r="81" customFormat="false" ht="15" hidden="false" customHeight="false" outlineLevel="0" collapsed="false">
      <c r="A81" s="9" t="s">
        <v>658</v>
      </c>
      <c r="B81" s="9" t="s">
        <v>437</v>
      </c>
      <c r="C81" s="9" t="n">
        <v>253</v>
      </c>
      <c r="D81" s="9" t="n">
        <v>3.5</v>
      </c>
      <c r="E81" s="9" t="n">
        <v>12</v>
      </c>
    </row>
    <row r="82" customFormat="false" ht="15" hidden="false" customHeight="false" outlineLevel="0" collapsed="false">
      <c r="A82" s="9" t="s">
        <v>658</v>
      </c>
      <c r="B82" s="9" t="s">
        <v>437</v>
      </c>
      <c r="C82" s="9" t="n">
        <v>236</v>
      </c>
      <c r="D82" s="9" t="n">
        <v>3.6</v>
      </c>
      <c r="E82" s="9" t="n">
        <v>11</v>
      </c>
    </row>
    <row r="83" customFormat="false" ht="15" hidden="false" customHeight="false" outlineLevel="0" collapsed="false">
      <c r="A83" s="9" t="s">
        <v>658</v>
      </c>
      <c r="B83" s="9" t="s">
        <v>437</v>
      </c>
      <c r="C83" s="9" t="n">
        <v>232</v>
      </c>
      <c r="D83" s="9" t="n">
        <v>3.5</v>
      </c>
      <c r="E83" s="9" t="n">
        <v>11.2</v>
      </c>
    </row>
    <row r="84" customFormat="false" ht="15" hidden="false" customHeight="false" outlineLevel="0" collapsed="false">
      <c r="A84" s="9" t="s">
        <v>658</v>
      </c>
      <c r="B84" s="9" t="s">
        <v>438</v>
      </c>
      <c r="C84" s="9" t="n">
        <v>1100</v>
      </c>
      <c r="D84" s="9" t="n">
        <v>3.6</v>
      </c>
      <c r="E84" s="9" t="n">
        <v>12.5</v>
      </c>
    </row>
    <row r="85" customFormat="false" ht="15" hidden="false" customHeight="false" outlineLevel="0" collapsed="false">
      <c r="A85" s="9" t="s">
        <v>658</v>
      </c>
      <c r="B85" s="9" t="s">
        <v>438</v>
      </c>
      <c r="C85" s="9" t="n">
        <v>1081</v>
      </c>
      <c r="D85" s="9" t="n">
        <v>3.6</v>
      </c>
      <c r="E85" s="9" t="n">
        <v>12.3</v>
      </c>
    </row>
    <row r="86" customFormat="false" ht="15" hidden="false" customHeight="false" outlineLevel="0" collapsed="false">
      <c r="A86" s="9" t="s">
        <v>658</v>
      </c>
      <c r="B86" s="9" t="s">
        <v>438</v>
      </c>
      <c r="C86" s="9" t="n">
        <v>1037</v>
      </c>
      <c r="D86" s="9" t="n">
        <v>3.7</v>
      </c>
      <c r="E86" s="9" t="n">
        <v>13.9</v>
      </c>
    </row>
    <row r="87" customFormat="false" ht="15" hidden="false" customHeight="false" outlineLevel="0" collapsed="false">
      <c r="A87" s="9" t="s">
        <v>658</v>
      </c>
      <c r="B87" s="9" t="s">
        <v>438</v>
      </c>
      <c r="C87" s="9" t="n">
        <v>1002</v>
      </c>
      <c r="D87" s="9" t="n">
        <v>3.6</v>
      </c>
      <c r="E87" s="9" t="n">
        <v>11</v>
      </c>
    </row>
    <row r="88" customFormat="false" ht="15" hidden="false" customHeight="false" outlineLevel="0" collapsed="false">
      <c r="A88" s="9" t="s">
        <v>659</v>
      </c>
      <c r="B88" s="9" t="s">
        <v>437</v>
      </c>
      <c r="C88" s="9" t="n">
        <v>282</v>
      </c>
      <c r="D88" s="9" t="n">
        <v>4</v>
      </c>
      <c r="E88" s="9" t="n">
        <v>13.3</v>
      </c>
    </row>
    <row r="89" customFormat="false" ht="15" hidden="false" customHeight="false" outlineLevel="0" collapsed="false">
      <c r="A89" s="9" t="s">
        <v>659</v>
      </c>
      <c r="B89" s="9" t="s">
        <v>437</v>
      </c>
      <c r="C89" s="9" t="n">
        <v>280</v>
      </c>
      <c r="D89" s="9" t="n">
        <v>3.8</v>
      </c>
      <c r="E89" s="9" t="n">
        <v>13.3</v>
      </c>
    </row>
    <row r="90" customFormat="false" ht="15" hidden="false" customHeight="false" outlineLevel="0" collapsed="false">
      <c r="A90" s="9" t="s">
        <v>659</v>
      </c>
      <c r="B90" s="9" t="s">
        <v>437</v>
      </c>
      <c r="C90" s="9" t="n">
        <v>260</v>
      </c>
      <c r="D90" s="9" t="n">
        <v>3.9</v>
      </c>
      <c r="E90" s="9" t="n">
        <v>13.1</v>
      </c>
    </row>
    <row r="91" customFormat="false" ht="15" hidden="false" customHeight="false" outlineLevel="0" collapsed="false">
      <c r="A91" s="9" t="s">
        <v>659</v>
      </c>
      <c r="B91" s="9" t="s">
        <v>437</v>
      </c>
      <c r="C91" s="9" t="n">
        <v>254</v>
      </c>
      <c r="D91" s="9" t="n">
        <v>4</v>
      </c>
      <c r="E91" s="9" t="n">
        <v>11</v>
      </c>
    </row>
    <row r="92" customFormat="false" ht="15" hidden="false" customHeight="false" outlineLevel="0" collapsed="false">
      <c r="A92" s="9" t="s">
        <v>659</v>
      </c>
      <c r="B92" s="9" t="s">
        <v>438</v>
      </c>
      <c r="C92" s="9" t="n">
        <v>1218</v>
      </c>
      <c r="D92" s="9" t="n">
        <v>3.9</v>
      </c>
      <c r="E92" s="9" t="n">
        <v>14.3</v>
      </c>
    </row>
    <row r="93" customFormat="false" ht="15" hidden="false" customHeight="false" outlineLevel="0" collapsed="false">
      <c r="A93" s="9" t="s">
        <v>659</v>
      </c>
      <c r="B93" s="9" t="s">
        <v>438</v>
      </c>
      <c r="C93" s="9" t="n">
        <v>1217</v>
      </c>
      <c r="D93" s="9" t="n">
        <v>3.9</v>
      </c>
      <c r="E93" s="9" t="n">
        <v>13.3</v>
      </c>
    </row>
    <row r="94" customFormat="false" ht="15" hidden="false" customHeight="false" outlineLevel="0" collapsed="false">
      <c r="A94" s="9" t="s">
        <v>659</v>
      </c>
      <c r="B94" s="9" t="s">
        <v>438</v>
      </c>
      <c r="C94" s="9" t="n">
        <v>1151</v>
      </c>
      <c r="D94" s="9" t="n">
        <v>3.9</v>
      </c>
      <c r="E94" s="9" t="n">
        <v>11.7</v>
      </c>
    </row>
    <row r="95" customFormat="false" ht="15" hidden="false" customHeight="false" outlineLevel="0" collapsed="false">
      <c r="A95" s="9" t="s">
        <v>659</v>
      </c>
      <c r="B95" s="9" t="s">
        <v>438</v>
      </c>
      <c r="C95" s="9" t="n">
        <v>1138</v>
      </c>
      <c r="D95" s="9" t="n">
        <v>4</v>
      </c>
      <c r="E95" s="9" t="n">
        <v>13</v>
      </c>
    </row>
    <row r="96" customFormat="false" ht="15" hidden="false" customHeight="false" outlineLevel="0" collapsed="false">
      <c r="A96" s="9" t="s">
        <v>660</v>
      </c>
      <c r="B96" s="9" t="s">
        <v>437</v>
      </c>
      <c r="C96" s="9" t="n">
        <v>334</v>
      </c>
      <c r="D96" s="9" t="n">
        <v>4.6</v>
      </c>
      <c r="E96" s="9" t="n">
        <v>12.2</v>
      </c>
    </row>
    <row r="97" customFormat="false" ht="15" hidden="false" customHeight="false" outlineLevel="0" collapsed="false">
      <c r="A97" s="9" t="s">
        <v>660</v>
      </c>
      <c r="B97" s="9" t="s">
        <v>437</v>
      </c>
      <c r="C97" s="9" t="n">
        <v>328</v>
      </c>
      <c r="D97" s="9" t="n">
        <v>4.7</v>
      </c>
      <c r="E97" s="9" t="n">
        <v>14.3</v>
      </c>
    </row>
    <row r="98" customFormat="false" ht="15" hidden="false" customHeight="false" outlineLevel="0" collapsed="false">
      <c r="A98" s="9" t="s">
        <v>660</v>
      </c>
      <c r="B98" s="9" t="s">
        <v>437</v>
      </c>
      <c r="C98" s="9" t="n">
        <v>308</v>
      </c>
      <c r="D98" s="9" t="n">
        <v>4.6</v>
      </c>
      <c r="E98" s="9" t="n">
        <v>13</v>
      </c>
    </row>
    <row r="99" customFormat="false" ht="15" hidden="false" customHeight="false" outlineLevel="0" collapsed="false">
      <c r="A99" s="9" t="s">
        <v>660</v>
      </c>
      <c r="B99" s="9" t="s">
        <v>437</v>
      </c>
      <c r="C99" s="9" t="n">
        <v>300</v>
      </c>
      <c r="D99" s="9" t="n">
        <v>4.8</v>
      </c>
      <c r="E99" s="9" t="n">
        <v>12.4</v>
      </c>
    </row>
    <row r="100" customFormat="false" ht="15" hidden="false" customHeight="false" outlineLevel="0" collapsed="false">
      <c r="A100" s="9" t="s">
        <v>660</v>
      </c>
      <c r="B100" s="9" t="s">
        <v>438</v>
      </c>
      <c r="C100" s="9" t="n">
        <v>1434</v>
      </c>
      <c r="D100" s="9" t="n">
        <v>4.7</v>
      </c>
      <c r="E100" s="9" t="n">
        <v>14.3</v>
      </c>
    </row>
    <row r="101" customFormat="false" ht="15" hidden="false" customHeight="false" outlineLevel="0" collapsed="false">
      <c r="A101" s="9" t="s">
        <v>660</v>
      </c>
      <c r="B101" s="9" t="s">
        <v>438</v>
      </c>
      <c r="C101" s="9" t="n">
        <v>1457</v>
      </c>
      <c r="D101" s="9" t="n">
        <v>4.7</v>
      </c>
      <c r="E101" s="9" t="n">
        <v>14.3</v>
      </c>
    </row>
    <row r="102" customFormat="false" ht="15" hidden="false" customHeight="false" outlineLevel="0" collapsed="false">
      <c r="A102" s="9" t="s">
        <v>660</v>
      </c>
      <c r="B102" s="9" t="s">
        <v>438</v>
      </c>
      <c r="C102" s="9" t="n">
        <v>1341</v>
      </c>
      <c r="D102" s="9" t="n">
        <v>4.8</v>
      </c>
      <c r="E102" s="9" t="n">
        <v>13.9</v>
      </c>
    </row>
    <row r="103" customFormat="false" ht="15" hidden="false" customHeight="false" outlineLevel="0" collapsed="false">
      <c r="A103" s="9" t="s">
        <v>660</v>
      </c>
      <c r="B103" s="9" t="s">
        <v>438</v>
      </c>
      <c r="C103" s="9" t="n">
        <v>1328</v>
      </c>
      <c r="D103" s="9" t="n">
        <v>4.9</v>
      </c>
      <c r="E103" s="9" t="n">
        <v>12.5</v>
      </c>
    </row>
    <row r="104" customFormat="false" ht="15" hidden="false" customHeight="false" outlineLevel="0" collapsed="false">
      <c r="A104" s="9" t="s">
        <v>661</v>
      </c>
      <c r="B104" s="9" t="s">
        <v>437</v>
      </c>
      <c r="C104" s="9" t="n">
        <v>282</v>
      </c>
      <c r="D104" s="9" t="n">
        <v>3.7</v>
      </c>
      <c r="E104" s="9" t="n">
        <v>11.9</v>
      </c>
    </row>
    <row r="105" customFormat="false" ht="15" hidden="false" customHeight="false" outlineLevel="0" collapsed="false">
      <c r="A105" s="9" t="s">
        <v>661</v>
      </c>
      <c r="B105" s="9" t="s">
        <v>437</v>
      </c>
      <c r="C105" s="9" t="n">
        <v>283</v>
      </c>
      <c r="D105" s="9" t="n">
        <v>3.8</v>
      </c>
      <c r="E105" s="9" t="n">
        <v>9.9</v>
      </c>
    </row>
    <row r="106" customFormat="false" ht="15" hidden="false" customHeight="false" outlineLevel="0" collapsed="false">
      <c r="A106" s="9" t="s">
        <v>661</v>
      </c>
      <c r="B106" s="9" t="s">
        <v>437</v>
      </c>
      <c r="C106" s="9" t="n">
        <v>268</v>
      </c>
      <c r="D106" s="9" t="n">
        <v>3.8</v>
      </c>
      <c r="E106" s="9" t="n">
        <v>11.4</v>
      </c>
    </row>
    <row r="107" customFormat="false" ht="15" hidden="false" customHeight="false" outlineLevel="0" collapsed="false">
      <c r="A107" s="9" t="s">
        <v>661</v>
      </c>
      <c r="B107" s="9" t="s">
        <v>437</v>
      </c>
      <c r="C107" s="9" t="n">
        <v>261</v>
      </c>
      <c r="D107" s="9" t="n">
        <v>3.9</v>
      </c>
      <c r="E107" s="9" t="n">
        <v>10.6</v>
      </c>
    </row>
    <row r="108" customFormat="false" ht="15" hidden="false" customHeight="false" outlineLevel="0" collapsed="false">
      <c r="A108" s="9" t="s">
        <v>661</v>
      </c>
      <c r="B108" s="9" t="s">
        <v>438</v>
      </c>
      <c r="C108" s="9" t="n">
        <v>1248</v>
      </c>
      <c r="D108" s="9" t="n">
        <v>3.9</v>
      </c>
      <c r="E108" s="9" t="n">
        <v>10.1</v>
      </c>
    </row>
    <row r="109" customFormat="false" ht="15" hidden="false" customHeight="false" outlineLevel="0" collapsed="false">
      <c r="A109" s="9" t="s">
        <v>661</v>
      </c>
      <c r="B109" s="9" t="s">
        <v>438</v>
      </c>
      <c r="C109" s="9" t="n">
        <v>1246</v>
      </c>
      <c r="D109" s="9" t="n">
        <v>3.9</v>
      </c>
      <c r="E109" s="9" t="n">
        <v>10.9</v>
      </c>
    </row>
    <row r="110" customFormat="false" ht="15" hidden="false" customHeight="false" outlineLevel="0" collapsed="false">
      <c r="A110" s="9" t="s">
        <v>661</v>
      </c>
      <c r="B110" s="9" t="s">
        <v>438</v>
      </c>
      <c r="C110" s="9" t="n">
        <v>1164</v>
      </c>
      <c r="D110" s="9" t="n">
        <v>3.9</v>
      </c>
      <c r="E110" s="9" t="n">
        <v>9.2</v>
      </c>
    </row>
    <row r="111" customFormat="false" ht="15" hidden="false" customHeight="false" outlineLevel="0" collapsed="false">
      <c r="A111" s="9" t="s">
        <v>661</v>
      </c>
      <c r="B111" s="9" t="s">
        <v>438</v>
      </c>
      <c r="C111" s="9" t="n">
        <v>1151</v>
      </c>
      <c r="D111" s="9" t="n">
        <v>4</v>
      </c>
      <c r="E111" s="9" t="n">
        <v>11.6</v>
      </c>
    </row>
  </sheetData>
  <conditionalFormatting sqref="E6:E10">
    <cfRule type="expression" priority="2" aboveAverage="0" equalAverage="0" bottom="0" percent="0" rank="0" text="" dxfId="0">
      <formula>E6="Yes"</formula>
    </cfRule>
    <cfRule type="expression" priority="3" aboveAverage="0" equalAverage="0" bottom="0" percent="0" rank="0" text="" dxfId="1">
      <formula>0</formula>
    </cfRule>
    <cfRule type="expression" priority="4" aboveAverage="0" equalAverage="0" bottom="0" percent="0" rank="0" text="" dxfId="2">
      <formula>E6="No"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2"/>
    <col collapsed="false" customWidth="true" hidden="true" outlineLevel="0" max="11" min="11" style="0" width="13"/>
  </cols>
  <sheetData>
    <row r="1" customFormat="false" ht="19.7" hidden="false" customHeight="false" outlineLevel="0" collapsed="false">
      <c r="A1" s="6" t="s">
        <v>664</v>
      </c>
    </row>
    <row r="2" customFormat="false" ht="15" hidden="false" customHeight="false" outlineLevel="0" collapsed="false">
      <c r="A2" s="3" t="s">
        <v>665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385</v>
      </c>
      <c r="B5" s="8" t="s">
        <v>446</v>
      </c>
      <c r="C5" s="8" t="s">
        <v>447</v>
      </c>
    </row>
    <row r="6" customFormat="false" ht="15" hidden="false" customHeight="false" outlineLevel="0" collapsed="false">
      <c r="A6" s="11" t="s">
        <v>666</v>
      </c>
      <c r="B6" s="47" t="n">
        <f aca="false">IF('Y6 Results'!B6="","",'Y6 Results'!B6)</f>
        <v>1.85</v>
      </c>
      <c r="C6" s="47" t="n">
        <f aca="false">IF('Y7 Results'!B6="","",'Y7 Results'!B6)</f>
        <v>2.1</v>
      </c>
      <c r="K6" s="50" t="s">
        <v>667</v>
      </c>
    </row>
    <row r="7" customFormat="false" ht="15" hidden="false" customHeight="false" outlineLevel="0" collapsed="false">
      <c r="A7" s="5" t="s">
        <v>668</v>
      </c>
      <c r="B7" s="47" t="n">
        <f aca="false">IF('Y6 Results'!C6="","",'Y6 Results'!C6)</f>
        <v>2</v>
      </c>
      <c r="C7" s="47" t="n">
        <f aca="false">IF('Y7 Results'!C6="","",'Y7 Results'!C6)</f>
        <v>2.15</v>
      </c>
      <c r="K7" s="50" t="s">
        <v>669</v>
      </c>
    </row>
    <row r="8" customFormat="false" ht="15" hidden="false" customHeight="false" outlineLevel="0" collapsed="false">
      <c r="A8" s="11" t="s">
        <v>670</v>
      </c>
      <c r="B8" s="23" t="n">
        <f aca="false">IF('Y6 Results'!B7="","",'Y6 Results'!B7)</f>
        <v>0.142</v>
      </c>
      <c r="C8" s="23" t="n">
        <f aca="false">IF('Y7 Results'!B7="","",'Y7 Results'!B7)</f>
        <v>0.155</v>
      </c>
      <c r="K8" s="50" t="s">
        <v>671</v>
      </c>
    </row>
    <row r="9" customFormat="false" ht="15" hidden="false" customHeight="false" outlineLevel="0" collapsed="false">
      <c r="A9" s="5" t="s">
        <v>672</v>
      </c>
      <c r="B9" s="23" t="n">
        <f aca="false">IF('Y6 Results'!C7="","",'Y6 Results'!C7)</f>
        <v>0.15</v>
      </c>
      <c r="C9" s="23" t="n">
        <f aca="false">IF('Y7 Results'!C7="","",'Y7 Results'!C7)</f>
        <v>0.155</v>
      </c>
      <c r="K9" s="50" t="s">
        <v>673</v>
      </c>
    </row>
    <row r="10" customFormat="false" ht="15" hidden="false" customHeight="false" outlineLevel="0" collapsed="false">
      <c r="A10" s="11" t="s">
        <v>621</v>
      </c>
      <c r="B10" s="47" t="n">
        <f aca="false">IF('Y6 Results'!B8="","",'Y6 Results'!B8)</f>
        <v>22.4</v>
      </c>
      <c r="C10" s="47" t="n">
        <f aca="false">IF('Y7 Results'!B8="","",'Y7 Results'!B8)</f>
        <v>26.1</v>
      </c>
      <c r="K10" s="50" t="s">
        <v>674</v>
      </c>
    </row>
    <row r="11" customFormat="false" ht="15" hidden="false" customHeight="false" outlineLevel="0" collapsed="false">
      <c r="A11" s="5" t="s">
        <v>675</v>
      </c>
      <c r="B11" s="47" t="n">
        <f aca="false">IF('Y6 Results'!C8="","",'Y6 Results'!C8)</f>
        <v>25</v>
      </c>
      <c r="C11" s="47" t="n">
        <f aca="false">IF('Y7 Results'!C8="","",'Y7 Results'!C8)</f>
        <v>27</v>
      </c>
      <c r="K11" s="50" t="s">
        <v>654</v>
      </c>
    </row>
    <row r="12" customFormat="false" ht="15" hidden="false" customHeight="false" outlineLevel="0" collapsed="false">
      <c r="A12" s="11" t="s">
        <v>622</v>
      </c>
      <c r="B12" s="14" t="str">
        <f aca="false">IF('Y6 Results'!B9="","",'Y6 Results'!B9)</f>
        <v>B+</v>
      </c>
      <c r="C12" s="14" t="str">
        <f aca="false">IF('Y7 Results'!B9="","",'Y7 Results'!B9)</f>
        <v>BB-</v>
      </c>
      <c r="K12" s="50" t="s">
        <v>676</v>
      </c>
    </row>
    <row r="13" customFormat="false" ht="15" hidden="false" customHeight="false" outlineLevel="0" collapsed="false">
      <c r="A13" s="11" t="s">
        <v>677</v>
      </c>
      <c r="B13" s="10" t="n">
        <f aca="false">IF(B12="","",IFERROR(22-MATCH(B12,CreditScale,0),""))</f>
        <v>8</v>
      </c>
      <c r="C13" s="10" t="n">
        <f aca="false">IF(C12="","",IFERROR(22-MATCH(C12,CreditScale,0),""))</f>
        <v>9</v>
      </c>
      <c r="K13" s="50" t="s">
        <v>678</v>
      </c>
    </row>
    <row r="14" customFormat="false" ht="15" hidden="false" customHeight="false" outlineLevel="0" collapsed="false">
      <c r="A14" s="11" t="s">
        <v>625</v>
      </c>
      <c r="B14" s="10" t="n">
        <f aca="false">IF('Y6 Results'!B10="","",'Y6 Results'!B10)</f>
        <v>68</v>
      </c>
      <c r="C14" s="10" t="n">
        <f aca="false">IF('Y7 Results'!B10="","",'Y7 Results'!B10)</f>
        <v>71</v>
      </c>
      <c r="K14" s="50" t="s">
        <v>679</v>
      </c>
    </row>
    <row r="15" customFormat="false" ht="15" hidden="false" customHeight="false" outlineLevel="0" collapsed="false">
      <c r="A15" s="5" t="s">
        <v>680</v>
      </c>
      <c r="B15" s="10" t="n">
        <f aca="false">IF('Y6 Results'!C10="","",'Y6 Results'!C10)</f>
        <v>70</v>
      </c>
      <c r="C15" s="10" t="n">
        <f aca="false">IF('Y7 Results'!C10="","",'Y7 Results'!C10)</f>
        <v>72</v>
      </c>
      <c r="K15" s="50" t="s">
        <v>681</v>
      </c>
    </row>
    <row r="16" customFormat="false" ht="15" hidden="false" customHeight="false" outlineLevel="0" collapsed="false">
      <c r="A16" s="11" t="s">
        <v>682</v>
      </c>
      <c r="B16" s="10" t="n">
        <f aca="false">IF('Y6 Results'!B13="","",'Y6 Results'!B13)</f>
        <v>78</v>
      </c>
      <c r="C16" s="10" t="n">
        <f aca="false">IF('Y7 Results'!B13="","",'Y7 Results'!B13)</f>
        <v>84</v>
      </c>
      <c r="K16" s="50" t="s">
        <v>683</v>
      </c>
    </row>
    <row r="17" customFormat="false" ht="15" hidden="false" customHeight="false" outlineLevel="0" collapsed="false">
      <c r="A17" s="11" t="s">
        <v>153</v>
      </c>
      <c r="B17" s="10" t="n">
        <f aca="false">IF('Y6 Results'!B14="","",'Y6 Results'!B14)</f>
        <v>3</v>
      </c>
      <c r="C17" s="10" t="n">
        <f aca="false">IF('Y7 Results'!B14="","",'Y7 Results'!B14)</f>
        <v>2</v>
      </c>
      <c r="K17" s="50" t="s">
        <v>624</v>
      </c>
    </row>
    <row r="18" customFormat="false" ht="15" hidden="false" customHeight="false" outlineLevel="0" collapsed="false">
      <c r="A18" s="11" t="s">
        <v>630</v>
      </c>
      <c r="B18" s="51" t="n">
        <f aca="false">IF('Y6 Results'!B15="","",'Y6 Results'!B15)</f>
        <v>412000</v>
      </c>
      <c r="C18" s="51" t="n">
        <f aca="false">IF('Y7 Results'!B15="","",'Y7 Results'!B15)</f>
        <v>455000</v>
      </c>
      <c r="K18" s="50" t="s">
        <v>663</v>
      </c>
    </row>
    <row r="19" customFormat="false" ht="15" hidden="false" customHeight="false" outlineLevel="0" collapsed="false">
      <c r="A19" s="11" t="s">
        <v>631</v>
      </c>
      <c r="B19" s="51" t="n">
        <f aca="false">IF('Y6 Results'!B16="","",'Y6 Results'!B16)</f>
        <v>18500</v>
      </c>
      <c r="C19" s="51" t="n">
        <f aca="false">IF('Y7 Results'!B16="","",'Y7 Results'!B16)</f>
        <v>21900</v>
      </c>
      <c r="K19" s="50" t="s">
        <v>623</v>
      </c>
    </row>
    <row r="20" customFormat="false" ht="15" hidden="false" customHeight="false" outlineLevel="0" collapsed="false">
      <c r="A20" s="11" t="s">
        <v>632</v>
      </c>
      <c r="B20" s="51" t="n">
        <f aca="false">IF('Y6 Results'!B17="","",'Y6 Results'!B17)</f>
        <v>14200</v>
      </c>
      <c r="C20" s="51" t="n">
        <f aca="false">IF('Y7 Results'!B17="","",'Y7 Results'!B17)</f>
        <v>19800</v>
      </c>
      <c r="K20" s="50" t="s">
        <v>655</v>
      </c>
    </row>
    <row r="21" customFormat="false" ht="15" hidden="false" customHeight="false" outlineLevel="0" collapsed="false">
      <c r="A21" s="11" t="s">
        <v>684</v>
      </c>
      <c r="B21" s="12" t="n">
        <f aca="false">IF('Y6 Results'!B36="","",'Y6 Results'!B36)</f>
        <v>12.225</v>
      </c>
      <c r="C21" s="12" t="n">
        <f aca="false">IF('Y7 Results'!B36="","",'Y7 Results'!B36)</f>
        <v>12.975</v>
      </c>
      <c r="K21" s="50" t="s">
        <v>685</v>
      </c>
    </row>
    <row r="22" customFormat="false" ht="15" hidden="false" customHeight="false" outlineLevel="0" collapsed="false">
      <c r="A22" s="11" t="s">
        <v>686</v>
      </c>
      <c r="B22" s="12" t="n">
        <f aca="false">IF('Y6 Results'!C36="","",'Y6 Results'!C36)</f>
        <v>11.975</v>
      </c>
      <c r="C22" s="12" t="n">
        <f aca="false">IF('Y7 Results'!C36="","",'Y7 Results'!C36)</f>
        <v>12.55</v>
      </c>
      <c r="K22" s="50" t="s">
        <v>687</v>
      </c>
    </row>
    <row r="23" customFormat="false" ht="15" hidden="false" customHeight="false" outlineLevel="0" collapsed="false">
      <c r="A23" s="11" t="s">
        <v>688</v>
      </c>
      <c r="B23" s="33" t="n">
        <f aca="false">IF('Y6 Results'!B23="","",'Y6 Results'!B23)</f>
        <v>182</v>
      </c>
      <c r="C23" s="33" t="n">
        <f aca="false">IF('Y7 Results'!B23="","",'Y7 Results'!B23)</f>
        <v>176</v>
      </c>
      <c r="K23" s="50" t="s">
        <v>689</v>
      </c>
    </row>
    <row r="24" customFormat="false" ht="15" hidden="false" customHeight="false" outlineLevel="0" collapsed="false">
      <c r="A24" s="5" t="s">
        <v>690</v>
      </c>
      <c r="B24" s="33" t="n">
        <f aca="false">IF('Y6 Results'!B27="","",'Y6 Results'!B27)</f>
        <v>186</v>
      </c>
      <c r="C24" s="33" t="n">
        <f aca="false">IF('Y7 Results'!B27="","",'Y7 Results'!B27)</f>
        <v>184</v>
      </c>
      <c r="K24" s="50" t="s">
        <v>691</v>
      </c>
    </row>
    <row r="25" customFormat="false" ht="15" hidden="false" customHeight="false" outlineLevel="0" collapsed="false">
      <c r="A25" s="11" t="s">
        <v>692</v>
      </c>
      <c r="B25" s="33" t="n">
        <f aca="false">IF('Y6 Results'!C23="","",'Y6 Results'!C23)</f>
        <v>905</v>
      </c>
      <c r="C25" s="33" t="n">
        <f aca="false">IF('Y7 Results'!C23="","",'Y7 Results'!C23)</f>
        <v>884</v>
      </c>
      <c r="K25" s="50" t="s">
        <v>693</v>
      </c>
    </row>
    <row r="26" customFormat="false" ht="15" hidden="false" customHeight="false" outlineLevel="0" collapsed="false">
      <c r="A26" s="5" t="s">
        <v>694</v>
      </c>
      <c r="B26" s="33" t="n">
        <f aca="false">IF('Y6 Results'!C27="","",'Y6 Results'!C27)</f>
        <v>890</v>
      </c>
      <c r="C26" s="33" t="n">
        <f aca="false">IF('Y7 Results'!C27="","",'Y7 Results'!C27)</f>
        <v>879</v>
      </c>
      <c r="K26" s="50" t="s">
        <v>656</v>
      </c>
    </row>
    <row r="27" customFormat="false" ht="15" hidden="false" customHeight="false" outlineLevel="0" collapsed="false">
      <c r="A27" s="11" t="s">
        <v>695</v>
      </c>
      <c r="B27" s="33" t="n">
        <f aca="false">IF('Y6 Results'!B21="","",'Y6 Results'!B21)</f>
        <v>264</v>
      </c>
      <c r="C27" s="33" t="n">
        <f aca="false">IF('Y7 Results'!B21="","",'Y7 Results'!B21)</f>
        <v>259</v>
      </c>
    </row>
    <row r="28" customFormat="false" ht="15" hidden="false" customHeight="false" outlineLevel="0" collapsed="false">
      <c r="A28" s="11" t="s">
        <v>696</v>
      </c>
      <c r="B28" s="33" t="n">
        <f aca="false">IF('Y6 Results'!C21="","",'Y6 Results'!C21)</f>
        <v>1237</v>
      </c>
      <c r="C28" s="33" t="n">
        <f aca="false">IF('Y7 Results'!C21="","",'Y7 Results'!C21)</f>
        <v>1229</v>
      </c>
    </row>
    <row r="29" customFormat="false" ht="15" hidden="false" customHeight="false" outlineLevel="0" collapsed="false">
      <c r="A29" s="11" t="s">
        <v>697</v>
      </c>
      <c r="B29" s="12" t="n">
        <f aca="false">IF('Y6 Results'!B22="","",'Y6 Results'!B22)</f>
        <v>4</v>
      </c>
      <c r="C29" s="12" t="n">
        <f aca="false">IF('Y7 Results'!B22="","",'Y7 Results'!B22)</f>
        <v>4.2</v>
      </c>
    </row>
    <row r="30" customFormat="false" ht="15" hidden="false" customHeight="false" outlineLevel="0" collapsed="false">
      <c r="A30" s="11" t="s">
        <v>698</v>
      </c>
      <c r="B30" s="12" t="n">
        <f aca="false">IF('Y6 Results'!C22="","",'Y6 Results'!C22)</f>
        <v>4.2</v>
      </c>
      <c r="C30" s="12" t="n">
        <f aca="false">IF('Y7 Results'!C22="","",'Y7 Results'!C22)</f>
        <v>4.4</v>
      </c>
    </row>
    <row r="31" customFormat="false" ht="15" hidden="false" customHeight="false" outlineLevel="0" collapsed="false">
      <c r="A31" s="11" t="s">
        <v>699</v>
      </c>
      <c r="B31" s="23" t="n">
        <f aca="false">IF('Y6 Results'!B24="","",'Y6 Results'!B24)</f>
        <v>0.11</v>
      </c>
      <c r="C31" s="23" t="n">
        <f aca="false">IF('Y7 Results'!B24="","",'Y7 Results'!B24)</f>
        <v>0.125</v>
      </c>
    </row>
    <row r="32" customFormat="false" ht="15" hidden="false" customHeight="false" outlineLevel="0" collapsed="false">
      <c r="A32" s="11" t="s">
        <v>700</v>
      </c>
      <c r="B32" s="23" t="n">
        <f aca="false">IF('Y6 Results'!C24="","",'Y6 Results'!C24)</f>
        <v>0.09</v>
      </c>
      <c r="C32" s="23" t="n">
        <f aca="false">IF('Y7 Results'!C24="","",'Y7 Results'!C24)</f>
        <v>0.105</v>
      </c>
    </row>
    <row r="33" customFormat="false" ht="15" hidden="false" customHeight="false" outlineLevel="0" collapsed="false">
      <c r="A33" s="5" t="s">
        <v>701</v>
      </c>
      <c r="B33" s="33" t="n">
        <f aca="false">IF('Y6 Results'!B25="","",'Y6 Results'!B25)</f>
        <v>276</v>
      </c>
      <c r="C33" s="33" t="n">
        <f aca="false">IF('Y7 Results'!B25="","",'Y7 Results'!B25)</f>
        <v>271</v>
      </c>
    </row>
    <row r="34" customFormat="false" ht="15" hidden="false" customHeight="false" outlineLevel="0" collapsed="false">
      <c r="A34" s="5" t="s">
        <v>702</v>
      </c>
      <c r="B34" s="33" t="n">
        <f aca="false">IF('Y6 Results'!C25="","",'Y6 Results'!C25)</f>
        <v>1195</v>
      </c>
      <c r="C34" s="33" t="n">
        <f aca="false">IF('Y7 Results'!C25="","",'Y7 Results'!C25)</f>
        <v>1188</v>
      </c>
    </row>
    <row r="35" customFormat="false" ht="15" hidden="false" customHeight="false" outlineLevel="0" collapsed="false">
      <c r="A35" s="5" t="s">
        <v>703</v>
      </c>
      <c r="B35" s="12" t="n">
        <f aca="false">IF('Y6 Results'!B26="","",'Y6 Results'!B26)</f>
        <v>4</v>
      </c>
      <c r="C35" s="12" t="n">
        <f aca="false">IF('Y7 Results'!B26="","",'Y7 Results'!B26)</f>
        <v>4.1</v>
      </c>
    </row>
    <row r="36" customFormat="false" ht="15" hidden="false" customHeight="false" outlineLevel="0" collapsed="false">
      <c r="A36" s="5" t="s">
        <v>704</v>
      </c>
      <c r="B36" s="12" t="n">
        <f aca="false">IF('Y6 Results'!C26="","",'Y6 Results'!C26)</f>
        <v>4.1</v>
      </c>
      <c r="C36" s="12" t="n">
        <f aca="false">IF('Y7 Results'!C26="","",'Y7 Results'!C26)</f>
        <v>4.2</v>
      </c>
    </row>
    <row r="37" customFormat="false" ht="15" hidden="false" customHeight="false" outlineLevel="0" collapsed="false">
      <c r="A37" s="5" t="s">
        <v>705</v>
      </c>
      <c r="B37" s="49" t="n">
        <f aca="false">IF('Y6 Results'!B28="","",'Y6 Results'!B28)</f>
        <v>-0.0434782608695652</v>
      </c>
      <c r="C37" s="49" t="n">
        <f aca="false">IF('Y7 Results'!B28="","",'Y7 Results'!B28)</f>
        <v>-0.044280442804428</v>
      </c>
    </row>
    <row r="38" customFormat="false" ht="15" hidden="false" customHeight="false" outlineLevel="0" collapsed="false">
      <c r="A38" s="5" t="s">
        <v>706</v>
      </c>
      <c r="B38" s="49" t="n">
        <f aca="false">IF('Y6 Results'!B29="","",'Y6 Results'!B29)</f>
        <v>-0.021505376344086</v>
      </c>
      <c r="C38" s="49" t="n">
        <f aca="false">IF('Y7 Results'!B29="","",'Y7 Results'!B29)</f>
        <v>-0.0434782608695652</v>
      </c>
    </row>
    <row r="39" customFormat="false" ht="15" hidden="false" customHeight="false" outlineLevel="0" collapsed="false">
      <c r="A39" s="5" t="s">
        <v>707</v>
      </c>
      <c r="B39" s="49" t="n">
        <f aca="false">IF('Y6 Results'!C28="","",'Y6 Results'!C28)</f>
        <v>0.0351464435146442</v>
      </c>
      <c r="C39" s="49" t="n">
        <f aca="false">IF('Y7 Results'!C28="","",'Y7 Results'!C28)</f>
        <v>0.0345117845117846</v>
      </c>
    </row>
    <row r="40" customFormat="false" ht="15" hidden="false" customHeight="false" outlineLevel="0" collapsed="false">
      <c r="A40" s="5" t="s">
        <v>708</v>
      </c>
      <c r="B40" s="49" t="n">
        <f aca="false">IF('Y6 Results'!C29="","",'Y6 Results'!C29)</f>
        <v>0.0168539325842696</v>
      </c>
      <c r="C40" s="49" t="n">
        <f aca="false">IF('Y7 Results'!C29="","",'Y7 Results'!C29)</f>
        <v>0.00568828213879402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55C"/>
    <pageSetUpPr fitToPage="true"/>
  </sheetPr>
  <dimension ref="A1:C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1"/>
  </cols>
  <sheetData>
    <row r="1" customFormat="false" ht="19.7" hidden="false" customHeight="false" outlineLevel="0" collapsed="false">
      <c r="A1" s="6" t="s">
        <v>709</v>
      </c>
    </row>
    <row r="2" customFormat="false" ht="15" hidden="false" customHeight="false" outlineLevel="0" collapsed="false">
      <c r="A2" s="3" t="s">
        <v>710</v>
      </c>
    </row>
    <row r="3" customFormat="false" ht="15" hidden="false" customHeight="false" outlineLevel="0" collapsed="false">
      <c r="A3" s="7" t="s">
        <v>44</v>
      </c>
    </row>
    <row r="5" customFormat="false" ht="30" hidden="false" customHeight="true" outlineLevel="0" collapsed="false">
      <c r="A5" s="8" t="s">
        <v>682</v>
      </c>
      <c r="B5" s="8" t="s">
        <v>446</v>
      </c>
      <c r="C5" s="8" t="s">
        <v>447</v>
      </c>
    </row>
    <row r="6" customFormat="false" ht="15" hidden="false" customHeight="false" outlineLevel="0" collapsed="false">
      <c r="A6" s="52" t="s">
        <v>711</v>
      </c>
      <c r="B6" s="42" t="n">
        <v>81</v>
      </c>
      <c r="C6" s="42" t="n">
        <v>83</v>
      </c>
    </row>
    <row r="7" customFormat="false" ht="15" hidden="false" customHeight="false" outlineLevel="0" collapsed="false">
      <c r="A7" s="52" t="s">
        <v>712</v>
      </c>
      <c r="B7" s="42" t="n">
        <v>70</v>
      </c>
      <c r="C7" s="42" t="n">
        <v>72</v>
      </c>
    </row>
    <row r="8" customFormat="false" ht="15" hidden="false" customHeight="false" outlineLevel="0" collapsed="false">
      <c r="A8" s="4" t="s">
        <v>713</v>
      </c>
      <c r="B8" s="53" t="n">
        <v>78</v>
      </c>
      <c r="C8" s="53" t="n">
        <v>84</v>
      </c>
    </row>
    <row r="9" customFormat="false" ht="15" hidden="false" customHeight="false" outlineLevel="0" collapsed="false">
      <c r="A9" s="52" t="s">
        <v>714</v>
      </c>
      <c r="B9" s="42" t="n">
        <v>83</v>
      </c>
      <c r="C9" s="42" t="n">
        <v>86</v>
      </c>
    </row>
    <row r="10" customFormat="false" ht="15" hidden="false" customHeight="false" outlineLevel="0" collapsed="false">
      <c r="A10" s="52" t="s">
        <v>715</v>
      </c>
      <c r="B10" s="42" t="n">
        <v>66</v>
      </c>
      <c r="C10" s="42" t="n">
        <v>63</v>
      </c>
    </row>
    <row r="11" customFormat="false" ht="15" hidden="false" customHeight="false" outlineLevel="0" collapsed="false">
      <c r="A11" s="52" t="s">
        <v>716</v>
      </c>
      <c r="B11" s="42" t="n">
        <v>74</v>
      </c>
      <c r="C11" s="42" t="n">
        <v>75</v>
      </c>
    </row>
    <row r="12" customFormat="false" ht="15" hidden="false" customHeight="false" outlineLevel="0" collapsed="false">
      <c r="A12" s="52" t="s">
        <v>717</v>
      </c>
      <c r="B12" s="42" t="n">
        <v>77</v>
      </c>
      <c r="C12" s="42" t="n">
        <v>80</v>
      </c>
    </row>
    <row r="13" customFormat="false" ht="15" hidden="false" customHeight="false" outlineLevel="0" collapsed="false">
      <c r="A13" s="52" t="s">
        <v>718</v>
      </c>
      <c r="B13" s="42" t="n">
        <v>69</v>
      </c>
      <c r="C13" s="42" t="n">
        <v>67</v>
      </c>
    </row>
    <row r="15" customFormat="false" ht="30" hidden="false" customHeight="true" outlineLevel="0" collapsed="false">
      <c r="A15" s="8" t="s">
        <v>153</v>
      </c>
      <c r="B15" s="8" t="s">
        <v>446</v>
      </c>
      <c r="C15" s="8" t="s">
        <v>447</v>
      </c>
    </row>
    <row r="16" customFormat="false" ht="15" hidden="false" customHeight="false" outlineLevel="0" collapsed="false">
      <c r="A16" s="52" t="s">
        <v>711</v>
      </c>
      <c r="B16" s="42" t="n">
        <v>2</v>
      </c>
      <c r="C16" s="42" t="n">
        <v>3</v>
      </c>
    </row>
    <row r="17" customFormat="false" ht="15" hidden="false" customHeight="false" outlineLevel="0" collapsed="false">
      <c r="A17" s="52" t="s">
        <v>712</v>
      </c>
      <c r="B17" s="42" t="n">
        <v>6</v>
      </c>
      <c r="C17" s="42" t="n">
        <v>6</v>
      </c>
    </row>
    <row r="18" customFormat="false" ht="15" hidden="false" customHeight="false" outlineLevel="0" collapsed="false">
      <c r="A18" s="4" t="s">
        <v>713</v>
      </c>
      <c r="B18" s="53" t="n">
        <v>3</v>
      </c>
      <c r="C18" s="53" t="n">
        <v>2</v>
      </c>
    </row>
    <row r="19" customFormat="false" ht="15" hidden="false" customHeight="false" outlineLevel="0" collapsed="false">
      <c r="A19" s="52" t="s">
        <v>714</v>
      </c>
      <c r="B19" s="42" t="n">
        <v>1</v>
      </c>
      <c r="C19" s="42" t="n">
        <v>1</v>
      </c>
    </row>
    <row r="20" customFormat="false" ht="15" hidden="false" customHeight="false" outlineLevel="0" collapsed="false">
      <c r="A20" s="52" t="s">
        <v>715</v>
      </c>
      <c r="B20" s="42" t="n">
        <v>8</v>
      </c>
      <c r="C20" s="42" t="n">
        <v>8</v>
      </c>
    </row>
    <row r="21" customFormat="false" ht="15" hidden="false" customHeight="false" outlineLevel="0" collapsed="false">
      <c r="A21" s="52" t="s">
        <v>716</v>
      </c>
      <c r="B21" s="42" t="n">
        <v>5</v>
      </c>
      <c r="C21" s="42" t="n">
        <v>5</v>
      </c>
    </row>
    <row r="22" customFormat="false" ht="15" hidden="false" customHeight="false" outlineLevel="0" collapsed="false">
      <c r="A22" s="52" t="s">
        <v>717</v>
      </c>
      <c r="B22" s="42" t="n">
        <v>4</v>
      </c>
      <c r="C22" s="42" t="n">
        <v>4</v>
      </c>
    </row>
    <row r="23" customFormat="false" ht="15" hidden="false" customHeight="false" outlineLevel="0" collapsed="false">
      <c r="A23" s="52" t="s">
        <v>718</v>
      </c>
      <c r="B23" s="42" t="n">
        <v>7</v>
      </c>
      <c r="C23" s="42" t="n">
        <v>7</v>
      </c>
    </row>
    <row r="25" customFormat="false" ht="30" hidden="false" customHeight="true" outlineLevel="0" collapsed="false">
      <c r="A25" s="8" t="s">
        <v>695</v>
      </c>
      <c r="B25" s="8" t="s">
        <v>446</v>
      </c>
      <c r="C25" s="8" t="s">
        <v>447</v>
      </c>
    </row>
    <row r="26" customFormat="false" ht="15" hidden="false" customHeight="false" outlineLevel="0" collapsed="false">
      <c r="A26" s="52" t="s">
        <v>711</v>
      </c>
      <c r="B26" s="29" t="n">
        <v>288</v>
      </c>
      <c r="C26" s="29" t="n">
        <v>291.25</v>
      </c>
    </row>
    <row r="27" customFormat="false" ht="15" hidden="false" customHeight="false" outlineLevel="0" collapsed="false">
      <c r="A27" s="52" t="s">
        <v>712</v>
      </c>
      <c r="B27" s="29" t="n">
        <v>233.25</v>
      </c>
      <c r="C27" s="29" t="n">
        <v>230.75</v>
      </c>
    </row>
    <row r="28" customFormat="false" ht="15" hidden="false" customHeight="false" outlineLevel="0" collapsed="false">
      <c r="A28" s="4" t="s">
        <v>713</v>
      </c>
      <c r="B28" s="54" t="n">
        <v>262</v>
      </c>
      <c r="C28" s="54" t="n">
        <v>257.25</v>
      </c>
    </row>
    <row r="29" customFormat="false" ht="15" hidden="false" customHeight="false" outlineLevel="0" collapsed="false">
      <c r="A29" s="52" t="s">
        <v>714</v>
      </c>
      <c r="B29" s="29" t="n">
        <v>308.75</v>
      </c>
      <c r="C29" s="29" t="n">
        <v>299.75</v>
      </c>
    </row>
    <row r="30" customFormat="false" ht="15" hidden="false" customHeight="false" outlineLevel="0" collapsed="false">
      <c r="A30" s="52" t="s">
        <v>715</v>
      </c>
      <c r="B30" s="29" t="n">
        <v>243</v>
      </c>
      <c r="C30" s="29" t="n">
        <v>242.25</v>
      </c>
    </row>
    <row r="31" customFormat="false" ht="15" hidden="false" customHeight="false" outlineLevel="0" collapsed="false">
      <c r="A31" s="52" t="s">
        <v>716</v>
      </c>
      <c r="B31" s="29" t="n">
        <v>259.75</v>
      </c>
      <c r="C31" s="29" t="n">
        <v>269</v>
      </c>
    </row>
    <row r="32" customFormat="false" ht="15" hidden="false" customHeight="false" outlineLevel="0" collapsed="false">
      <c r="A32" s="52" t="s">
        <v>717</v>
      </c>
      <c r="B32" s="29" t="n">
        <v>317.25</v>
      </c>
      <c r="C32" s="29" t="n">
        <v>317.5</v>
      </c>
    </row>
    <row r="33" customFormat="false" ht="15" hidden="false" customHeight="false" outlineLevel="0" collapsed="false">
      <c r="A33" s="52" t="s">
        <v>718</v>
      </c>
      <c r="B33" s="29" t="n">
        <v>272</v>
      </c>
      <c r="C33" s="29" t="n">
        <v>273.5</v>
      </c>
    </row>
    <row r="35" customFormat="false" ht="30" hidden="false" customHeight="true" outlineLevel="0" collapsed="false">
      <c r="A35" s="8" t="s">
        <v>697</v>
      </c>
      <c r="B35" s="8" t="s">
        <v>446</v>
      </c>
      <c r="C35" s="8" t="s">
        <v>447</v>
      </c>
    </row>
    <row r="36" customFormat="false" ht="15" hidden="false" customHeight="false" outlineLevel="0" collapsed="false">
      <c r="A36" s="52" t="s">
        <v>711</v>
      </c>
      <c r="B36" s="13" t="n">
        <v>4.35</v>
      </c>
      <c r="C36" s="13" t="n">
        <v>4.375</v>
      </c>
    </row>
    <row r="37" customFormat="false" ht="15" hidden="false" customHeight="false" outlineLevel="0" collapsed="false">
      <c r="A37" s="52" t="s">
        <v>712</v>
      </c>
      <c r="B37" s="13" t="n">
        <v>3.4</v>
      </c>
      <c r="C37" s="13" t="n">
        <v>3.425</v>
      </c>
    </row>
    <row r="38" customFormat="false" ht="15" hidden="false" customHeight="false" outlineLevel="0" collapsed="false">
      <c r="A38" s="4" t="s">
        <v>713</v>
      </c>
      <c r="B38" s="55" t="n">
        <v>3.9</v>
      </c>
      <c r="C38" s="55" t="n">
        <v>4.05</v>
      </c>
    </row>
    <row r="39" customFormat="false" ht="15" hidden="false" customHeight="false" outlineLevel="0" collapsed="false">
      <c r="A39" s="52" t="s">
        <v>714</v>
      </c>
      <c r="B39" s="13" t="n">
        <v>4.2</v>
      </c>
      <c r="C39" s="13" t="n">
        <v>4.175</v>
      </c>
    </row>
    <row r="40" customFormat="false" ht="15" hidden="false" customHeight="false" outlineLevel="0" collapsed="false">
      <c r="A40" s="52" t="s">
        <v>715</v>
      </c>
      <c r="B40" s="13" t="n">
        <v>3.5</v>
      </c>
      <c r="C40" s="13" t="n">
        <v>3.55</v>
      </c>
    </row>
    <row r="41" customFormat="false" ht="15" hidden="false" customHeight="false" outlineLevel="0" collapsed="false">
      <c r="A41" s="52" t="s">
        <v>716</v>
      </c>
      <c r="B41" s="13" t="n">
        <v>3.9</v>
      </c>
      <c r="C41" s="13" t="n">
        <v>3.925</v>
      </c>
    </row>
    <row r="42" customFormat="false" ht="15" hidden="false" customHeight="false" outlineLevel="0" collapsed="false">
      <c r="A42" s="52" t="s">
        <v>717</v>
      </c>
      <c r="B42" s="13" t="n">
        <v>4.75</v>
      </c>
      <c r="C42" s="13" t="n">
        <v>4.675</v>
      </c>
    </row>
    <row r="43" customFormat="false" ht="15" hidden="false" customHeight="false" outlineLevel="0" collapsed="false">
      <c r="A43" s="52" t="s">
        <v>718</v>
      </c>
      <c r="B43" s="13" t="n">
        <v>3.875</v>
      </c>
      <c r="C43" s="13" t="n">
        <v>3.8</v>
      </c>
    </row>
    <row r="45" customFormat="false" ht="30" hidden="false" customHeight="true" outlineLevel="0" collapsed="false">
      <c r="A45" s="8" t="s">
        <v>719</v>
      </c>
      <c r="B45" s="8" t="s">
        <v>446</v>
      </c>
      <c r="C45" s="8" t="s">
        <v>447</v>
      </c>
    </row>
    <row r="46" customFormat="false" ht="15" hidden="false" customHeight="false" outlineLevel="0" collapsed="false">
      <c r="A46" s="52" t="s">
        <v>711</v>
      </c>
      <c r="B46" s="13" t="n">
        <v>13.6</v>
      </c>
      <c r="C46" s="13" t="n">
        <v>12.875</v>
      </c>
    </row>
    <row r="47" customFormat="false" ht="15" hidden="false" customHeight="false" outlineLevel="0" collapsed="false">
      <c r="A47" s="52" t="s">
        <v>712</v>
      </c>
      <c r="B47" s="13" t="n">
        <v>13.525</v>
      </c>
      <c r="C47" s="13" t="n">
        <v>13.025</v>
      </c>
    </row>
    <row r="48" customFormat="false" ht="15" hidden="false" customHeight="false" outlineLevel="0" collapsed="false">
      <c r="A48" s="4" t="s">
        <v>713</v>
      </c>
      <c r="B48" s="55" t="n">
        <v>14.675</v>
      </c>
      <c r="C48" s="55" t="n">
        <v>15.35</v>
      </c>
    </row>
    <row r="49" customFormat="false" ht="15" hidden="false" customHeight="false" outlineLevel="0" collapsed="false">
      <c r="A49" s="52" t="s">
        <v>714</v>
      </c>
      <c r="B49" s="13" t="n">
        <v>9.9</v>
      </c>
      <c r="C49" s="13" t="n">
        <v>10.175</v>
      </c>
    </row>
    <row r="50" customFormat="false" ht="15" hidden="false" customHeight="false" outlineLevel="0" collapsed="false">
      <c r="A50" s="52" t="s">
        <v>715</v>
      </c>
      <c r="B50" s="13" t="n">
        <v>12.65</v>
      </c>
      <c r="C50" s="13" t="n">
        <v>11.95</v>
      </c>
    </row>
    <row r="51" customFormat="false" ht="15" hidden="false" customHeight="false" outlineLevel="0" collapsed="false">
      <c r="A51" s="52" t="s">
        <v>716</v>
      </c>
      <c r="B51" s="13" t="n">
        <v>12.325</v>
      </c>
      <c r="C51" s="13" t="n">
        <v>12.675</v>
      </c>
    </row>
    <row r="52" customFormat="false" ht="15" hidden="false" customHeight="false" outlineLevel="0" collapsed="false">
      <c r="A52" s="52" t="s">
        <v>717</v>
      </c>
      <c r="B52" s="13" t="n">
        <v>12.35</v>
      </c>
      <c r="C52" s="13" t="n">
        <v>12.975</v>
      </c>
    </row>
    <row r="53" customFormat="false" ht="15" hidden="false" customHeight="false" outlineLevel="0" collapsed="false">
      <c r="A53" s="52" t="s">
        <v>718</v>
      </c>
      <c r="B53" s="13" t="n">
        <v>11.025</v>
      </c>
      <c r="C53" s="13" t="n">
        <v>10.95</v>
      </c>
    </row>
    <row r="55" customFormat="false" ht="30" hidden="false" customHeight="true" outlineLevel="0" collapsed="false">
      <c r="A55" s="8" t="s">
        <v>696</v>
      </c>
      <c r="B55" s="8" t="s">
        <v>446</v>
      </c>
      <c r="C55" s="8" t="s">
        <v>447</v>
      </c>
    </row>
    <row r="56" customFormat="false" ht="15" hidden="false" customHeight="false" outlineLevel="0" collapsed="false">
      <c r="A56" s="52" t="s">
        <v>711</v>
      </c>
      <c r="B56" s="29" t="n">
        <v>1268.25</v>
      </c>
      <c r="C56" s="29" t="n">
        <v>1271.5</v>
      </c>
    </row>
    <row r="57" customFormat="false" ht="15" hidden="false" customHeight="false" outlineLevel="0" collapsed="false">
      <c r="A57" s="52" t="s">
        <v>712</v>
      </c>
      <c r="B57" s="29" t="n">
        <v>1016.5</v>
      </c>
      <c r="C57" s="29" t="n">
        <v>1016.75</v>
      </c>
    </row>
    <row r="58" customFormat="false" ht="15" hidden="false" customHeight="false" outlineLevel="0" collapsed="false">
      <c r="A58" s="4" t="s">
        <v>713</v>
      </c>
      <c r="B58" s="54" t="n">
        <v>1282.75</v>
      </c>
      <c r="C58" s="54" t="n">
        <v>1288.75</v>
      </c>
    </row>
    <row r="59" customFormat="false" ht="15" hidden="false" customHeight="false" outlineLevel="0" collapsed="false">
      <c r="A59" s="52" t="s">
        <v>714</v>
      </c>
      <c r="B59" s="29" t="n">
        <v>1365.5</v>
      </c>
      <c r="C59" s="29" t="n">
        <v>1328.5</v>
      </c>
    </row>
    <row r="60" customFormat="false" ht="15" hidden="false" customHeight="false" outlineLevel="0" collapsed="false">
      <c r="A60" s="52" t="s">
        <v>715</v>
      </c>
      <c r="B60" s="29" t="n">
        <v>1073.75</v>
      </c>
      <c r="C60" s="29" t="n">
        <v>1055</v>
      </c>
    </row>
    <row r="61" customFormat="false" ht="15" hidden="false" customHeight="false" outlineLevel="0" collapsed="false">
      <c r="A61" s="52" t="s">
        <v>716</v>
      </c>
      <c r="B61" s="29" t="n">
        <v>1141</v>
      </c>
      <c r="C61" s="29" t="n">
        <v>1181</v>
      </c>
    </row>
    <row r="62" customFormat="false" ht="15" hidden="false" customHeight="false" outlineLevel="0" collapsed="false">
      <c r="A62" s="52" t="s">
        <v>717</v>
      </c>
      <c r="B62" s="29" t="n">
        <v>1389.5</v>
      </c>
      <c r="C62" s="29" t="n">
        <v>1390</v>
      </c>
    </row>
    <row r="63" customFormat="false" ht="15" hidden="false" customHeight="false" outlineLevel="0" collapsed="false">
      <c r="A63" s="52" t="s">
        <v>718</v>
      </c>
      <c r="B63" s="29" t="n">
        <v>1205.75</v>
      </c>
      <c r="C63" s="29" t="n">
        <v>1202.25</v>
      </c>
    </row>
    <row r="65" customFormat="false" ht="30" hidden="false" customHeight="true" outlineLevel="0" collapsed="false">
      <c r="A65" s="8" t="s">
        <v>698</v>
      </c>
      <c r="B65" s="8" t="s">
        <v>446</v>
      </c>
      <c r="C65" s="8" t="s">
        <v>447</v>
      </c>
    </row>
    <row r="66" customFormat="false" ht="15" hidden="false" customHeight="false" outlineLevel="0" collapsed="false">
      <c r="A66" s="52" t="s">
        <v>711</v>
      </c>
      <c r="B66" s="13" t="n">
        <v>4.475</v>
      </c>
      <c r="C66" s="13" t="n">
        <v>4.475</v>
      </c>
    </row>
    <row r="67" customFormat="false" ht="15" hidden="false" customHeight="false" outlineLevel="0" collapsed="false">
      <c r="A67" s="52" t="s">
        <v>712</v>
      </c>
      <c r="B67" s="13" t="n">
        <v>3.475</v>
      </c>
      <c r="C67" s="13" t="n">
        <v>3.55</v>
      </c>
    </row>
    <row r="68" customFormat="false" ht="15" hidden="false" customHeight="false" outlineLevel="0" collapsed="false">
      <c r="A68" s="4" t="s">
        <v>713</v>
      </c>
      <c r="B68" s="55" t="n">
        <v>4.65</v>
      </c>
      <c r="C68" s="55" t="n">
        <v>4.6</v>
      </c>
    </row>
    <row r="69" customFormat="false" ht="15" hidden="false" customHeight="false" outlineLevel="0" collapsed="false">
      <c r="A69" s="52" t="s">
        <v>714</v>
      </c>
      <c r="B69" s="13" t="n">
        <v>4.3</v>
      </c>
      <c r="C69" s="13" t="n">
        <v>4.375</v>
      </c>
    </row>
    <row r="70" customFormat="false" ht="15" hidden="false" customHeight="false" outlineLevel="0" collapsed="false">
      <c r="A70" s="52" t="s">
        <v>715</v>
      </c>
      <c r="B70" s="13" t="n">
        <v>3.575</v>
      </c>
      <c r="C70" s="13" t="n">
        <v>3.625</v>
      </c>
    </row>
    <row r="71" customFormat="false" ht="15" hidden="false" customHeight="false" outlineLevel="0" collapsed="false">
      <c r="A71" s="52" t="s">
        <v>716</v>
      </c>
      <c r="B71" s="13" t="n">
        <v>4.05</v>
      </c>
      <c r="C71" s="13" t="n">
        <v>3.925</v>
      </c>
    </row>
    <row r="72" customFormat="false" ht="15" hidden="false" customHeight="false" outlineLevel="0" collapsed="false">
      <c r="A72" s="52" t="s">
        <v>717</v>
      </c>
      <c r="B72" s="13" t="n">
        <v>4.775</v>
      </c>
      <c r="C72" s="13" t="n">
        <v>4.775</v>
      </c>
    </row>
    <row r="73" customFormat="false" ht="15" hidden="false" customHeight="false" outlineLevel="0" collapsed="false">
      <c r="A73" s="52" t="s">
        <v>718</v>
      </c>
      <c r="B73" s="13" t="n">
        <v>3.9</v>
      </c>
      <c r="C73" s="13" t="n">
        <v>3.925</v>
      </c>
    </row>
    <row r="75" customFormat="false" ht="30" hidden="false" customHeight="true" outlineLevel="0" collapsed="false">
      <c r="A75" s="8" t="s">
        <v>720</v>
      </c>
      <c r="B75" s="8" t="s">
        <v>446</v>
      </c>
      <c r="C75" s="8" t="s">
        <v>447</v>
      </c>
    </row>
    <row r="76" customFormat="false" ht="15" hidden="false" customHeight="false" outlineLevel="0" collapsed="false">
      <c r="A76" s="52" t="s">
        <v>711</v>
      </c>
      <c r="B76" s="13" t="n">
        <v>13</v>
      </c>
      <c r="C76" s="13" t="n">
        <v>13.225</v>
      </c>
    </row>
    <row r="77" customFormat="false" ht="15" hidden="false" customHeight="false" outlineLevel="0" collapsed="false">
      <c r="A77" s="52" t="s">
        <v>712</v>
      </c>
      <c r="B77" s="13" t="n">
        <v>12.925</v>
      </c>
      <c r="C77" s="13" t="n">
        <v>13.15</v>
      </c>
    </row>
    <row r="78" customFormat="false" ht="15" hidden="false" customHeight="false" outlineLevel="0" collapsed="false">
      <c r="A78" s="4" t="s">
        <v>713</v>
      </c>
      <c r="B78" s="55" t="n">
        <v>14.725</v>
      </c>
      <c r="C78" s="55" t="n">
        <v>13.275</v>
      </c>
    </row>
    <row r="79" customFormat="false" ht="15" hidden="false" customHeight="false" outlineLevel="0" collapsed="false">
      <c r="A79" s="52" t="s">
        <v>714</v>
      </c>
      <c r="B79" s="13" t="n">
        <v>9.225</v>
      </c>
      <c r="C79" s="13" t="n">
        <v>10.55</v>
      </c>
    </row>
    <row r="80" customFormat="false" ht="15" hidden="false" customHeight="false" outlineLevel="0" collapsed="false">
      <c r="A80" s="52" t="s">
        <v>715</v>
      </c>
      <c r="B80" s="13" t="n">
        <v>13.325</v>
      </c>
      <c r="C80" s="13" t="n">
        <v>12.425</v>
      </c>
    </row>
    <row r="81" customFormat="false" ht="15" hidden="false" customHeight="false" outlineLevel="0" collapsed="false">
      <c r="A81" s="52" t="s">
        <v>716</v>
      </c>
      <c r="B81" s="13" t="n">
        <v>12.775</v>
      </c>
      <c r="C81" s="13" t="n">
        <v>13.075</v>
      </c>
    </row>
    <row r="82" customFormat="false" ht="15" hidden="false" customHeight="false" outlineLevel="0" collapsed="false">
      <c r="A82" s="52" t="s">
        <v>717</v>
      </c>
      <c r="B82" s="13" t="n">
        <v>13.725</v>
      </c>
      <c r="C82" s="13" t="n">
        <v>13.75</v>
      </c>
    </row>
    <row r="83" customFormat="false" ht="15" hidden="false" customHeight="false" outlineLevel="0" collapsed="false">
      <c r="A83" s="52" t="s">
        <v>718</v>
      </c>
      <c r="B83" s="13" t="n">
        <v>10.25</v>
      </c>
      <c r="C83" s="13" t="n">
        <v>10.45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2026-10-07T23:18:08Z</dcterms:created>
  <dc:creator>openpyxl</dc:creator>
  <dc:description/>
  <dc:language>en-US</dc:language>
  <cp:lastModifiedBy/>
  <dcterms:modified xsi:type="dcterms:W3CDTF">2026-10-07T19:18:13Z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